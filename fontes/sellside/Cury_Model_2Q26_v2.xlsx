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al Estate\Housing\Homebuilders\Cury\Models\"/>
    </mc:Choice>
  </mc:AlternateContent>
  <xr:revisionPtr revIDLastSave="0" documentId="8_{34611B9A-0C24-43DC-8DC7-CC72BA7AEDFF}" xr6:coauthVersionLast="47" xr6:coauthVersionMax="47" xr10:uidLastSave="{00000000-0000-0000-0000-000000000000}"/>
  <bookViews>
    <workbookView xWindow="-120" yWindow="-120" windowWidth="29040" windowHeight="15720" tabRatio="702" activeTab="1" xr2:uid="{00000000-000D-0000-FFFF-FFFF00000000}"/>
  </bookViews>
  <sheets>
    <sheet name="Macro" sheetId="7" r:id="rId1"/>
    <sheet name="Income Statement" sheetId="2" r:id="rId2"/>
    <sheet name="Balance Sheet" sheetId="1" r:id="rId3"/>
    <sheet name="Forecasts" sheetId="9" r:id="rId4"/>
    <sheet name="Cash Flow" sheetId="15" r:id="rId5"/>
    <sheet name="TP Calculation" sheetId="20" r:id="rId6"/>
    <sheet name="DCF" sheetId="11" r:id="rId7"/>
    <sheet name="Tables" sheetId="22" r:id="rId8"/>
    <sheet name="Inventory &amp; Landbank" sheetId="24" r:id="rId9"/>
  </sheets>
  <definedNames>
    <definedName name="__123Graph_A" hidden="1">#REF!</definedName>
    <definedName name="_1_0BS_minor">#REF!</definedName>
    <definedName name="_10_0IS_straightpref">#REF!</definedName>
    <definedName name="_100__123Graph_XCHART_20" hidden="1">#REF!</definedName>
    <definedName name="_101__123Graph_XCHART_23" hidden="1">#REF!</definedName>
    <definedName name="_102__123Graph_XChart_3" hidden="1">#REF!</definedName>
    <definedName name="_103__123Graph_XChart_4" hidden="1">#REF!</definedName>
    <definedName name="_104__123Graph_XChart_5" hidden="1">#REF!</definedName>
    <definedName name="_105__123Graph_XChart_6" hidden="1">#REF!</definedName>
    <definedName name="_106J–Ï__íÇ">#REF!,#REF!,#REF!,#REF!,#REF!,#REF!,#REF!,#REF!,#REF!,#REF!,#REF!,#REF!</definedName>
    <definedName name="_107_0">#REF!,#REF!,#REF!,#REF!,#REF!,#REF!,#REF!,#REF!,#REF!,#REF!,#REF!,#REF!,#REF!,#REF!</definedName>
    <definedName name="_108_0_0BS_minor">#REF!</definedName>
    <definedName name="_109_0_0CF_minor">#REF!</definedName>
    <definedName name="_11_0Interc_Rev_LD_">#REF!</definedName>
    <definedName name="_110_0_0IS_convpref">#REF!</definedName>
    <definedName name="_111_0_0IS_intconv">#REF!</definedName>
    <definedName name="_112_0_0IS_intexist">#REF!</definedName>
    <definedName name="_113_0_0IS_minor">#REF!</definedName>
    <definedName name="_114_0_0IS_straightpref">#REF!</definedName>
    <definedName name="_115_0_0IS_synerg">#REF!</definedName>
    <definedName name="_116_0IS_synerg">#REF!</definedName>
    <definedName name="_117_0s">#REF!</definedName>
    <definedName name="_118_0Sfu">#REF!</definedName>
    <definedName name="_119_1">#REF!</definedName>
    <definedName name="_12_0Interc_Rev_Loc_">#REF!</definedName>
    <definedName name="_120_10">#REF!</definedName>
    <definedName name="_121_11">#REF!</definedName>
    <definedName name="_122_12">#REF!</definedName>
    <definedName name="_123_13">#REF!</definedName>
    <definedName name="_124_14">#REF!</definedName>
    <definedName name="_125_15">#REF!</definedName>
    <definedName name="_126_16">#REF!</definedName>
    <definedName name="_127_17">#REF!</definedName>
    <definedName name="_128_18">#REF!</definedName>
    <definedName name="_129_2">#REF!</definedName>
    <definedName name="_13_0OutGoingTraf">#REF!</definedName>
    <definedName name="_130_3">#REF!</definedName>
    <definedName name="_131_4">#REF!</definedName>
    <definedName name="_132_5">#REF!</definedName>
    <definedName name="_133_6">#REF!</definedName>
    <definedName name="_134p0t">#REF!,#REF!,#REF!,#REF!,#REF!</definedName>
    <definedName name="_135ÿ_0CAPEX">#REF!</definedName>
    <definedName name="_136ÿ_0CAPEX_">#REF!</definedName>
    <definedName name="_137ÿ_0CAPEX_billing_VMS_">#REF!</definedName>
    <definedName name="_138ÿ_0CAPEX_Civil_Wo">#REF!</definedName>
    <definedName name="_139ÿ_0CAPEX_computer_softw">#REF!</definedName>
    <definedName name="_14_0Perc_Reg_of">#REF!</definedName>
    <definedName name="_140ÿ_0CAPEX_Equipm">#REF!</definedName>
    <definedName name="_141ÿ_0CAPEX_Gateway_Equipm">#REF!</definedName>
    <definedName name="_142ÿ_0CAPEX_Licence_">#REF!</definedName>
    <definedName name="_143ÿ_0CAPEX_Microw">#REF!</definedName>
    <definedName name="_144ÿ_0CAPEX_office_furnit">#REF!</definedName>
    <definedName name="_145ÿ_0CAPEX_Subscri">#REF!</definedName>
    <definedName name="_146ÿ_0Cum._Invest_bill">#REF!</definedName>
    <definedName name="_147ÿ_0Depr_base_bill">#REF!</definedName>
    <definedName name="_148ÿ_0Depr_base_equipm">#REF!</definedName>
    <definedName name="_149ÿ_0Depr_bill">#REF!</definedName>
    <definedName name="_15_0BS_minor">#REF!</definedName>
    <definedName name="_150ÿ_0Depr_civil_wo">#REF!</definedName>
    <definedName name="_151ÿ_0Depr_computer_softw">#REF!</definedName>
    <definedName name="_152ÿ_0Depr_equipm">#REF!</definedName>
    <definedName name="_153ÿ_0Depr_lice">#REF!</definedName>
    <definedName name="_154ÿ_0Depr_office_furnit">#REF!</definedName>
    <definedName name="_155ÿ_0GSM_In">#REF!</definedName>
    <definedName name="_156ÿ_0Invest">#REF!</definedName>
    <definedName name="_157ÿ_0Invest_">#REF!</definedName>
    <definedName name="_158ÿ_0Invest_Gatew">#REF!</definedName>
    <definedName name="_159ÿ_0Invest_Microw">#REF!</definedName>
    <definedName name="_16_0CF_minor">#REF!</definedName>
    <definedName name="_160ÿ_0jdbytraft">#REF!</definedName>
    <definedName name="_161ÿ_0jdmktspli">#REF!</definedName>
    <definedName name="_162ÿ_0Number">#REF!</definedName>
    <definedName name="_163ÿ_0Number_">#REF!</definedName>
    <definedName name="_164ÿ_0Number_Gatew">#REF!</definedName>
    <definedName name="_165ÿ_0Number_Microw">#REF!</definedName>
    <definedName name="_166ÿ_0Price">#REF!</definedName>
    <definedName name="_167ÿ_0Price_">#REF!</definedName>
    <definedName name="_168ÿ_0Price_Gate">#REF!</definedName>
    <definedName name="_169ÿ_0Price_Microw">#REF!</definedName>
    <definedName name="_17_0IS_convpref">#REF!</definedName>
    <definedName name="_170ÿ_0Rev_In_Ca">#REF!</definedName>
    <definedName name="_171ÿ_0Tot_Fixed_Ass">#REF!</definedName>
    <definedName name="_18_0IS_intconv">#REF!</definedName>
    <definedName name="_19_0IS_intexist">#REF!</definedName>
    <definedName name="_2_0BS_minor">#REF!</definedName>
    <definedName name="_20_0IS_minor">#REF!</definedName>
    <definedName name="_21_0IS_straightpref">#REF!</definedName>
    <definedName name="_22_0cu20.ItemTypeCateg">#REF!</definedName>
    <definedName name="_23__123Graph_A_Chart_1A" hidden="1">#REF!</definedName>
    <definedName name="_24__123Graph_ACHART_1" localSheetId="3" hidden="1">#REF!</definedName>
    <definedName name="_25__123Graph_AChart_1" hidden="1">#REF!</definedName>
    <definedName name="_26__123Graph_ACHART_19" hidden="1">#REF!</definedName>
    <definedName name="_27__123Graph_AChart_2" hidden="1">#REF!</definedName>
    <definedName name="_28__123Graph_ACHART_20" hidden="1">#REF!</definedName>
    <definedName name="_29__123Graph_ACHART_22" hidden="1">#REF!</definedName>
    <definedName name="_3_0CF_minor">#REF!</definedName>
    <definedName name="_30__123Graph_ACHART_23" hidden="1">#REF!</definedName>
    <definedName name="_31__123Graph_AChart_3" hidden="1">#REF!</definedName>
    <definedName name="_32__123Graph_AChart_4" hidden="1">#REF!</definedName>
    <definedName name="_33__123Graph_AChart_5" hidden="1">#REF!</definedName>
    <definedName name="_34__123Graph_AChart_6" hidden="1">#REF!</definedName>
    <definedName name="_35__123Graph_B_Chart_1A" hidden="1">#REF!</definedName>
    <definedName name="_36__123Graph_BCHART_1" hidden="1">#REF!</definedName>
    <definedName name="_37__123Graph_BCHART_12" hidden="1">#REF!</definedName>
    <definedName name="_38__123Graph_C_Chart_1A" hidden="1">#REF!</definedName>
    <definedName name="_39__123Graph_CCHART_10" hidden="1">#REF!</definedName>
    <definedName name="_4_0HData_Segm_spli">#REF!</definedName>
    <definedName name="_40__123Graph_CCHART_11" hidden="1">#REF!</definedName>
    <definedName name="_41__123Graph_CCHART_12" hidden="1">#REF!</definedName>
    <definedName name="_42__123Graph_CCHART_13" hidden="1">#REF!</definedName>
    <definedName name="_43__123Graph_CCHART_14" hidden="1">#REF!</definedName>
    <definedName name="_44__123Graph_CCHART_15" hidden="1">#REF!</definedName>
    <definedName name="_45__123Graph_CCHART_16" hidden="1">#REF!</definedName>
    <definedName name="_46__123Graph_CCHART_17" hidden="1">#REF!</definedName>
    <definedName name="_47__123Graph_CCHART_18" hidden="1">#REF!</definedName>
    <definedName name="_48__123Graph_CCHART_4" hidden="1">#REF!</definedName>
    <definedName name="_49__123Graph_CCHART_6" hidden="1">#REF!</definedName>
    <definedName name="_5_0IS_convpref">#REF!</definedName>
    <definedName name="_50__123Graph_CCHART_7" hidden="1">#REF!</definedName>
    <definedName name="_51__123Graph_CCHART_8" hidden="1">#REF!</definedName>
    <definedName name="_52__123Graph_CCHART_9" hidden="1">#REF!</definedName>
    <definedName name="_53__123Graph_D_Chart_1A" hidden="1">#REF!</definedName>
    <definedName name="_54__123Graph_DCHART_10" hidden="1">#REF!</definedName>
    <definedName name="_55__123Graph_DCHART_11" hidden="1">#REF!</definedName>
    <definedName name="_56__123Graph_DCHART_12" hidden="1">#REF!</definedName>
    <definedName name="_57__123Graph_DCHART_13" hidden="1">#REF!</definedName>
    <definedName name="_58__123Graph_DCHART_14" hidden="1">#REF!</definedName>
    <definedName name="_59__123Graph_DCHART_15" hidden="1">#REF!</definedName>
    <definedName name="_6_0IS_intconv">#REF!</definedName>
    <definedName name="_60__123Graph_DCHART_16" hidden="1">#REF!</definedName>
    <definedName name="_61__123Graph_DCHART_17" hidden="1">#REF!</definedName>
    <definedName name="_62__123Graph_DCHART_18" hidden="1">#REF!</definedName>
    <definedName name="_63__123Graph_DCHART_4" hidden="1">#REF!</definedName>
    <definedName name="_64__123Graph_DCHART_6" hidden="1">#REF!</definedName>
    <definedName name="_65__123Graph_DCHART_7" hidden="1">#REF!</definedName>
    <definedName name="_66__123Graph_DCHART_8" hidden="1">#REF!</definedName>
    <definedName name="_67__123Graph_DCHART_9" hidden="1">#REF!</definedName>
    <definedName name="_68__123Graph_E_Chart_1A" hidden="1">#REF!</definedName>
    <definedName name="_69__123Graph_ECHART_10" hidden="1">#REF!</definedName>
    <definedName name="_7_0IS_intconv">#REF!</definedName>
    <definedName name="_70__123Graph_ECHART_11" hidden="1">#REF!</definedName>
    <definedName name="_71__123Graph_ECHART_12" hidden="1">#REF!</definedName>
    <definedName name="_72__123Graph_ECHART_13" hidden="1">#REF!</definedName>
    <definedName name="_73__123Graph_ECHART_14" hidden="1">#REF!</definedName>
    <definedName name="_74__123Graph_ECHART_15" hidden="1">#REF!</definedName>
    <definedName name="_75__123Graph_ECHART_16" hidden="1">#REF!</definedName>
    <definedName name="_76__123Graph_ECHART_17" hidden="1">#REF!</definedName>
    <definedName name="_77__123Graph_ECHART_18" hidden="1">#REF!</definedName>
    <definedName name="_78__123Graph_ECHART_4" hidden="1">#REF!</definedName>
    <definedName name="_79__123Graph_ECHART_6" hidden="1">#REF!</definedName>
    <definedName name="_8_0IS_intexist">#REF!</definedName>
    <definedName name="_80__123Graph_ECHART_7" hidden="1">#REF!</definedName>
    <definedName name="_81__123Graph_ECHART_8" hidden="1">#REF!</definedName>
    <definedName name="_82__123Graph_ECHART_9" hidden="1">#REF!</definedName>
    <definedName name="_83__123Graph_F_Chart_1A" hidden="1">#REF!</definedName>
    <definedName name="_84__123Graph_FCHART_10" hidden="1">#REF!</definedName>
    <definedName name="_85__123Graph_FCHART_11" hidden="1">#REF!</definedName>
    <definedName name="_86__123Graph_FCHART_12" hidden="1">#REF!</definedName>
    <definedName name="_87__123Graph_FCHART_13" hidden="1">#REF!</definedName>
    <definedName name="_88__123Graph_FCHART_14" hidden="1">#REF!</definedName>
    <definedName name="_89__123Graph_FCHART_15" hidden="1">#REF!</definedName>
    <definedName name="_9_0IS_minor">#REF!</definedName>
    <definedName name="_90__123Graph_FCHART_16" hidden="1">#REF!</definedName>
    <definedName name="_91__123Graph_FCHART_4" hidden="1">#REF!</definedName>
    <definedName name="_92__123Graph_FCHART_6" hidden="1">#REF!</definedName>
    <definedName name="_93__123Graph_FCHART_7" hidden="1">#REF!</definedName>
    <definedName name="_94__123Graph_FCHART_8" hidden="1">#REF!</definedName>
    <definedName name="_95__123Graph_FCHART_9" hidden="1">#REF!</definedName>
    <definedName name="_96__123Graph_X_Chart_1A" hidden="1">#REF!</definedName>
    <definedName name="_97__123Graph_XCHART_1" localSheetId="3" hidden="1">#REF!</definedName>
    <definedName name="_98__123Graph_XChart_1" hidden="1">#REF!</definedName>
    <definedName name="_99__123Graph_XChart_2" hidden="1">#REF!</definedName>
    <definedName name="_AP1">PPt</definedName>
    <definedName name="_AP2">PPt</definedName>
    <definedName name="_AP3">PPt</definedName>
    <definedName name="_b2" localSheetId="4" hidden="1">{"PVGraph2",#N/A,FALSE,"PV Data"}</definedName>
    <definedName name="_b2" localSheetId="6" hidden="1">{"PVGraph2",#N/A,FALSE,"PV Data"}</definedName>
    <definedName name="_b2" localSheetId="0" hidden="1">{"PVGraph2",#N/A,FALSE,"PV Data"}</definedName>
    <definedName name="_b2" hidden="1">{"PVGraph2",#N/A,FALSE,"PV Data"}</definedName>
    <definedName name="_b5">Word</definedName>
    <definedName name="_b6">Word</definedName>
    <definedName name="_C__CP_BREAKDOWN_ITEMS">"c_I_SALES:SALES,SERVICES,DEDUCTIONS$c_I_COGS:SERVICES,INTEREST,SALES"</definedName>
    <definedName name="_C__CP_BREAKDOWN_NAMES">"c_I_SALES:Real Estate Development and Sales,Construction &amp; Services Rendered,Deductions$c_I_COGS:Construction Services Rendered,Capitalized Interest,Real Estate Development and Sales"</definedName>
    <definedName name="_C__CP_EXPANDED_ITEMS">"PROP,REALESTATE,CF|cp_466864,cp_533162,cp_477403,cp_477404,cp_477412,cp_477417,cp_477418,cp_477425"</definedName>
    <definedName name="_C__CP_HIDDEN_ITEMS">"c_I_ROYALTIES,c_I_LEASING_EXP,c_I_OCC_IT_COST,c_I_EMP_COST,c_I_AMORT_OTHER,c_I_DEFINED_BEN,c_I_HEDGE_EXP,c_I_PROVISIONS,c_I_REVALUATIONS,c_I_EQ_ACC_PBT,c_I_ASSET_SALES,c_I_DIVIDENDS,c_I_INVEST_INCOME,c_I_INT_LEASE_EXP,c_I_INT_CONV_EXP,c_OTHER_NONREC,"</definedName>
    <definedName name="_C__CP_HIDDEN_ITEMS_VISIBLE">FALSE</definedName>
    <definedName name="_C__CP_HIDDEN_ITEMS1">"c_I_RESTRUCT_EXP,c_I_REVAL_NONREC,c_I_INC_DISC,c_I_IMPAIRMENT,c_I_OTHER_TAX,c_I_EQ_ACC_TAX,c_B_CA_CON_CR_FA,c_B_CA_OTH_REC,c_B_CA_BAD_DEBT_PROV,c_B_CA_TRADE_REC,c_B_CAP_EXP,c_B_NCA_INV,c_B_NCA_OTHINV,c_B_SECURITIES,c_B_NCA_ASSOC,c_B_NCA_CWIP,c_B_BRAN"</definedName>
    <definedName name="_C__CP_HIDDEN_ITEMS2">"D,c_B_CL_CON_CR_REFIN,c_B_CL_OTH_PROV,c_B_CL_RESTR_PROV,c_B_CL_EMP_PROV,c_B_CL_TAX_PROV,c_B_CL_DIV_PROV,c_B_CL_CUSTADV,c_B_NCL_OTH_PROV,c_B_NCL_RESTR_PROV,c_B_NCL_EMP_PROV,c_B_NCL_TAX_PROV,c_B_NCL_LEASES,c_B_NCL_CONV_DEBT,c_EQ_LIFE_FUND,c_EQ_RESERV_O"</definedName>
    <definedName name="_C__CP_HIDDEN_ITEMS3">"THER,c_EQ_RESERV_ASSREV,c_EQ_SHARE_RESERV,c_C_PAYMENTS,c_C_RECEIPTS,c_C_EXPLORATION,c_C_PURCHASE_PPE,c_C_MAINT_CAPEX,c_C_EXP_CAPEX,c_CP_PARTLY_PAID,c_CP_CONVERTIBLE,c_CP_OPTIONS,c_CP_PREF_EQUITY,c_CP_PREF_DEBT,c_CP_LIMITED_VOTE,c_CT_PARTLY_PAID,c_CT_"</definedName>
    <definedName name="_C__CP_HIDDEN_ITEMS4">"CONVERTIBLE,c_CT_OPTIONS,c_CT_PREF_EQUITY,c_CT_PREF_DEBT,c_CT_LIMITED_VOTE"</definedName>
    <definedName name="_C_BALANCE_DATE_PD">"_C_BALANCE_DATE_PS_12347_2006_2019"</definedName>
    <definedName name="_C_BALANCE_DATE_PS_12347_2006_2019">#REF!</definedName>
    <definedName name="_C_BS_SCALE">#REF!</definedName>
    <definedName name="_C_c_B_BRAND_PD">"_C_c_B_BRAND_PS_12347_2006_2019"</definedName>
    <definedName name="_C_c_B_BRAND_PS_12347_2006_2019">#REF!</definedName>
    <definedName name="_C_c_B_BV_GW_PD">"_C_c_B_BV_GW_PS_12347_2006_2019"</definedName>
    <definedName name="_C_c_B_BV_GW_PS_12347_2006_2019">#REF!</definedName>
    <definedName name="_C_c_B_CA_BAD_DEBT_PROV_PD">"_C_c_B_CA_BAD_DEBT_PROV_PS_12347_2006_2019"</definedName>
    <definedName name="_C_c_B_CA_BAD_DEBT_PROV_PS_12347_2006_2019">#REF!</definedName>
    <definedName name="_C_c_B_CA_CON_CR_FA_PD">"_C_c_B_CA_CON_CR_FA_PS_12347_2006_2019"</definedName>
    <definedName name="_C_c_B_CA_CON_CR_FA_PS_12347_2006_2019">#REF!</definedName>
    <definedName name="_C_c_B_CA_DEFCOST_PD">"_C_c_B_CA_DEFCOST_PS_12347_2006_2019"</definedName>
    <definedName name="_C_c_B_CA_DEFCOST_PS_12347_2006_2019">#REF!</definedName>
    <definedName name="_C_c_B_CA_INV_PD">"_C_c_B_CA_INV_PS_12347_2006_2019"</definedName>
    <definedName name="_C_c_B_CA_INV_PS_12347_2006_2019">#REF!</definedName>
    <definedName name="_C_c_B_CA_INVEST_PD">"_C_c_B_CA_INVEST_PS_12347_2006_2019"</definedName>
    <definedName name="_C_c_B_CA_INVEST_PS_12347_2006_2019">#REF!</definedName>
    <definedName name="_C_c_B_CA_OTH_REC_PD">"_C_c_B_CA_OTH_REC_PS_12347_2006_2019"</definedName>
    <definedName name="_C_c_B_CA_OTH_REC_PS_12347_2006_2019">#REF!</definedName>
    <definedName name="_C_c_B_CA_OTHER_PD">"_C_c_B_CA_OTHER_PS_12347_2006_2019"</definedName>
    <definedName name="_C_c_B_CA_OTHER_PS_12347_2006_2019">#REF!</definedName>
    <definedName name="_C_c_B_CA_PREPAY_PD">"_C_c_B_CA_PREPAY_PS_12347_2006_2019"</definedName>
    <definedName name="_C_c_B_CA_PREPAY_PS_12347_2006_2019">#REF!</definedName>
    <definedName name="_C_c_B_CA_REC_PD">"_C_c_B_CA_REC_PS_12347_2006_2019"</definedName>
    <definedName name="_C_c_B_CA_REC_PS_12347_2006_2019">#REF!</definedName>
    <definedName name="_C_c_B_CA_TRADE_REC_PD">"_C_c_B_CA_TRADE_REC_PS_12347_2006_2019"</definedName>
    <definedName name="_C_c_B_CA_TRADE_REC_PS_12347_2006_2019">#REF!</definedName>
    <definedName name="_C_c_B_CAP_EXP_PD">"_C_c_B_CAP_EXP_PS_12347_2006_2019"</definedName>
    <definedName name="_C_c_B_CAP_EXP_PS_12347_2006_2019">#REF!</definedName>
    <definedName name="_C_c_B_CASH_PD">"_C_c_B_CASH_PS_12347_2006_2019"</definedName>
    <definedName name="_C_c_B_CASH_PS_12347_2006_2019">#REF!</definedName>
    <definedName name="_C_c_B_CL_ACCREXP_PD">"_C_c_B_CL_ACCREXP_PS_12347_2006_2019"</definedName>
    <definedName name="_C_c_B_CL_ACCREXP_PS_12347_2006_2019">#REF!</definedName>
    <definedName name="_C_c_B_CL_CON_CR_REFIN_PD">"_C_c_B_CL_CON_CR_REFIN_PS_12347_2006_2019"</definedName>
    <definedName name="_C_c_B_CL_CON_CR_REFIN_PS_12347_2006_2019">#REF!</definedName>
    <definedName name="_C_c_B_CL_CUSTADV_PD">"_C_c_B_CL_CUSTADV_PS_12347_2006_2019"</definedName>
    <definedName name="_C_c_B_CL_CUSTADV_PS_12347_2006_2019">#REF!</definedName>
    <definedName name="_C_c_B_CL_DEF_REV_PD">"_C_c_B_CL_DEF_REV_PS_12347_2006_2019"</definedName>
    <definedName name="_C_c_B_CL_DEF_REV_PS_12347_2006_2019">#REF!</definedName>
    <definedName name="_C_c_B_CL_DIV_PROV_PD">"_C_c_B_CL_DIV_PROV_PS_12347_2006_2019"</definedName>
    <definedName name="_C_c_B_CL_DIV_PROV_PS_12347_2006_2019">#REF!</definedName>
    <definedName name="_C_c_B_CL_EMP_PROV_PD">"_C_c_B_CL_EMP_PROV_PS_12347_2006_2019"</definedName>
    <definedName name="_C_c_B_CL_EMP_PROV_PS_12347_2006_2019">#REF!</definedName>
    <definedName name="_C_c_B_CL_OTH_PROV_PD">"_C_c_B_CL_OTH_PROV_PS_12347_2006_2019"</definedName>
    <definedName name="_C_c_B_CL_OTH_PROV_PS_12347_2006_2019">#REF!</definedName>
    <definedName name="_C_c_B_CL_PROV_PD">"_C_c_B_CL_PROV_PS_12347_2006_2019"</definedName>
    <definedName name="_C_c_B_CL_PROV_PS_12347_2006_2019">#REF!</definedName>
    <definedName name="_C_c_B_CL_RESTR_PROV_PD">"_C_c_B_CL_RESTR_PROV_PS_12347_2006_2019"</definedName>
    <definedName name="_C_c_B_CL_RESTR_PROV_PS_12347_2006_2019">#REF!</definedName>
    <definedName name="_C_c_B_CL_TAX_PROV_PD">"_C_c_B_CL_TAX_PROV_PS_12347_2006_2019"</definedName>
    <definedName name="_C_c_B_CL_TAX_PROV_PS_12347_2006_2019">#REF!</definedName>
    <definedName name="_C_c_B_CURR_ASS_PD">"_C_c_B_CURR_ASS_PS_12347_2006_2019"</definedName>
    <definedName name="_C_c_B_CURR_ASS_PS_12347_2006_2019">#REF!</definedName>
    <definedName name="_C_c_B_CURR_BORROW_PD">"_C_c_B_CURR_BORROW_PS_12347_2006_2019"</definedName>
    <definedName name="_C_c_B_CURR_BORROW_PS_12347_2006_2019">#REF!</definedName>
    <definedName name="_C_c_B_CURR_CRED_PD">"_C_c_B_CURR_CRED_PS_12347_2006_2019"</definedName>
    <definedName name="_C_c_B_CURR_CRED_PS_12347_2006_2019">#REF!</definedName>
    <definedName name="_C_c_B_CURR_DEBT_PD">"_C_c_B_CURR_DEBT_PS_12347_2006_2019"</definedName>
    <definedName name="_C_c_B_CURR_DEBT_PS_12347_2006_2019">#REF!</definedName>
    <definedName name="_C_c_B_CURR_LIAB_PD">"_C_c_B_CURR_LIAB_PS_12347_2006_2019"</definedName>
    <definedName name="_C_c_B_CURR_LIAB_PS_12347_2006_2019">#REF!</definedName>
    <definedName name="_C_c_B_EV_ADJASSOC_PD">"_C_c_B_EV_ADJASSOC_PS_12347_2006_2019"</definedName>
    <definedName name="_C_c_B_EV_ADJASSOC_PS_12347_2006_2019">#REF!</definedName>
    <definedName name="_C_c_B_EV_ADJINV_PD">"_C_c_B_EV_ADJINV_PS_12347_2006_2019"</definedName>
    <definedName name="_C_c_B_EV_ADJINV_PS_12347_2006_2019">#REF!</definedName>
    <definedName name="_C_c_B_EV_ADJLEAS_PD">"_C_c_B_EV_ADJLEAS_PS_12347_2006_2019"</definedName>
    <definedName name="_C_c_B_EV_ADJLEAS_PS_12347_2006_2019">#REF!</definedName>
    <definedName name="_C_c_B_EV_ADJMINOR_PD">"_C_c_B_EV_ADJMINOR_PS_12347_2006_2019"</definedName>
    <definedName name="_C_c_B_EV_ADJMINOR_PS_12347_2006_2019">#REF!</definedName>
    <definedName name="_C_c_B_EV_ADJNONC_PD">"_C_c_B_EV_ADJNONC_PS_12347_2006_2019"</definedName>
    <definedName name="_C_c_B_EV_ADJNONC_PS_12347_2006_2019">#REF!</definedName>
    <definedName name="_C_c_B_EV_ADJOBLIG_PD">"_C_c_B_EV_ADJOBLIG_PS_12347_2006_2019"</definedName>
    <definedName name="_C_c_B_EV_ADJOBLIG_PS_12347_2006_2019">#REF!</definedName>
    <definedName name="_C_c_B_EV_ADJPENS_PD">"_C_c_B_EV_ADJPENS_PS_12347_2006_2019"</definedName>
    <definedName name="_C_c_B_EV_ADJPENS_PS_12347_2006_2019">#REF!</definedName>
    <definedName name="_C_c_B_EV_ADJUST_PD">"_C_c_B_EV_ADJUST_PS_12347_2006_2019"</definedName>
    <definedName name="_C_c_B_EV_ADJUST_PS_12347_2006_2019">#REF!</definedName>
    <definedName name="_C_c_B_FUT_TAX_PD">"_C_c_B_FUT_TAX_PS_12347_2006_2019"</definedName>
    <definedName name="_C_c_B_FUT_TAX_PS_12347_2006_2019">#REF!</definedName>
    <definedName name="_C_c_B_GW_AMORT_PD">"_C_c_B_GW_AMORT_PS_12347_2006_2019"</definedName>
    <definedName name="_C_c_B_GW_AMORT_PS_12347_2006_2019">#REF!</definedName>
    <definedName name="_C_c_B_GW_PD">"_C_c_B_GW_PS_12347_2006_2019"</definedName>
    <definedName name="_C_c_B_GW_PS_12347_2006_2019">#REF!</definedName>
    <definedName name="_C_c_B_INTANG_PD">"_C_c_B_INTANG_PS_12347_2006_2019"</definedName>
    <definedName name="_C_c_B_INTANG_PS_12347_2006_2019">#REF!</definedName>
    <definedName name="_C_c_B_NCA_ASSOC_PD">"_C_c_B_NCA_ASSOC_PS_12347_2006_2019"</definedName>
    <definedName name="_C_c_B_NCA_ASSOC_PS_12347_2006_2019">#REF!</definedName>
    <definedName name="_C_c_B_NCA_CWIP_PD">"_C_c_B_NCA_CWIP_PS_12347_2006_2019"</definedName>
    <definedName name="_C_c_B_NCA_CWIP_PS_12347_2006_2019">#REF!</definedName>
    <definedName name="_C_c_B_NCA_INV_PD">"_C_c_B_NCA_INV_PS_12347_2006_2019"</definedName>
    <definedName name="_C_c_B_NCA_INV_PS_12347_2006_2019">#REF!</definedName>
    <definedName name="_C_c_B_NCA_INVEST_PD">"_C_c_B_NCA_INVEST_PS_12347_2006_2019"</definedName>
    <definedName name="_C_c_B_NCA_INVEST_PS_12347_2006_2019">#REF!</definedName>
    <definedName name="_C_c_B_NCA_OTHINV_PD">"_C_c_B_NCA_OTHINV_PS_12347_2006_2019"</definedName>
    <definedName name="_C_c_B_NCA_OTHINV_PS_12347_2006_2019">#REF!</definedName>
    <definedName name="_C_c_B_NCA_REC_PD">"_C_c_B_NCA_REC_PS_12347_2006_2019"</definedName>
    <definedName name="_C_c_B_NCA_REC_PS_12347_2006_2019">#REF!</definedName>
    <definedName name="_C_c_B_NCL_BONDS_PD">"_C_c_B_NCL_BONDS_PS_12347_2006_2019"</definedName>
    <definedName name="_C_c_B_NCL_BONDS_PS_12347_2006_2019">#REF!</definedName>
    <definedName name="_C_c_B_NCL_BORROW_PD">"_C_c_B_NCL_BORROW_PS_12347_2006_2019"</definedName>
    <definedName name="_C_c_B_NCL_BORROW_PS_12347_2006_2019">#REF!</definedName>
    <definedName name="_C_c_B_NCL_CONV_DEBT_PD">"_C_c_B_NCL_CONV_DEBT_PS_12347_2006_2019"</definedName>
    <definedName name="_C_c_B_NCL_CONV_DEBT_PS_12347_2006_2019">#REF!</definedName>
    <definedName name="_C_c_B_NCL_CRED_PD">"_C_c_B_NCL_CRED_PS_12347_2006_2019"</definedName>
    <definedName name="_C_c_B_NCL_CRED_PS_12347_2006_2019">#REF!</definedName>
    <definedName name="_C_c_B_NCL_EMP_PROV_PD">"_C_c_B_NCL_EMP_PROV_PS_12347_2006_2019"</definedName>
    <definedName name="_C_c_B_NCL_EMP_PROV_PS_12347_2006_2019">#REF!</definedName>
    <definedName name="_C_c_B_NCL_LEASES_PD">"_C_c_B_NCL_LEASES_PS_12347_2006_2019"</definedName>
    <definedName name="_C_c_B_NCL_LEASES_PS_12347_2006_2019">#REF!</definedName>
    <definedName name="_C_c_B_NCL_OTH_PROV_PD">"_C_c_B_NCL_OTH_PROV_PS_12347_2006_2019"</definedName>
    <definedName name="_C_c_B_NCL_OTH_PROV_PS_12347_2006_2019">#REF!</definedName>
    <definedName name="_C_c_B_NCL_PROV_PD">"_C_c_B_NCL_PROV_PS_12347_2006_2019"</definedName>
    <definedName name="_C_c_B_NCL_PROV_PS_12347_2006_2019">#REF!</definedName>
    <definedName name="_C_c_B_NCL_RESTR_PROV_PD">"_C_c_B_NCL_RESTR_PROV_PS_12347_2006_2019"</definedName>
    <definedName name="_C_c_B_NCL_RESTR_PROV_PS_12347_2006_2019">#REF!</definedName>
    <definedName name="_C_c_B_NCL_TAX_PROV_PD">"_C_c_B_NCL_TAX_PROV_PS_12347_2006_2019"</definedName>
    <definedName name="_C_c_B_NCL_TAX_PROV_PS_12347_2006_2019">#REF!</definedName>
    <definedName name="_C_c_B_NON_CURR_ASS_PD">"_C_c_B_NON_CURR_ASS_PS_12347_2006_2019"</definedName>
    <definedName name="_C_c_B_NON_CURR_ASS_PS_12347_2006_2019">#REF!</definedName>
    <definedName name="_C_c_B_NON_CURR_LIAB_PD">"_C_c_B_NON_CURR_LIAB_PS_12347_2006_2019"</definedName>
    <definedName name="_C_c_B_NON_CURR_LIAB_PS_12347_2006_2019">#REF!</definedName>
    <definedName name="_C_c_B_OTH_INT_PD">"_C_c_B_OTH_INT_PS_12347_2006_2019"</definedName>
    <definedName name="_C_c_B_OTH_INT_PS_12347_2006_2019">#REF!</definedName>
    <definedName name="_C_c_B_OTH_NCA_PD">"_C_c_B_OTH_NCA_PS_12347_2006_2019"</definedName>
    <definedName name="_C_c_B_OTH_NCA_PS_12347_2006_2019">#REF!</definedName>
    <definedName name="_C_c_B_OTHER_CL_PD">"_C_c_B_OTHER_CL_PS_12347_2006_2019"</definedName>
    <definedName name="_C_c_B_OTHER_CL_PS_12347_2006_2019">#REF!</definedName>
    <definedName name="_C_c_B_OTHER_NCL_PD">"_C_c_B_OTHER_NCL_PS_12347_2006_2019"</definedName>
    <definedName name="_C_c_B_OTHER_NCL_PS_12347_2006_2019">#REF!</definedName>
    <definedName name="_C_c_B_PPE_ACC_DEPR_PD">"_C_c_B_PPE_ACC_DEPR_PS_12347_2006_2019"</definedName>
    <definedName name="_C_c_B_PPE_ACC_DEPR_PS_12347_2006_2019">#REF!</definedName>
    <definedName name="_C_c_B_PPE_BOOK_VAL_PD">"_C_c_B_PPE_BOOK_VAL_PS_12347_2006_2019"</definedName>
    <definedName name="_C_c_B_PPE_BOOK_VAL_PS_12347_2006_2019">#REF!</definedName>
    <definedName name="_C_c_B_PPE_PD">"_C_c_B_PPE_PS_12347_2006_2019"</definedName>
    <definedName name="_C_c_B_PPE_PS_12347_2006_2019">#REF!</definedName>
    <definedName name="_C_c_B_SECURITIES_PD">"_C_c_B_SECURITIES_PS_12347_2006_2019"</definedName>
    <definedName name="_C_c_B_SECURITIES_PS_12347_2006_2019">#REF!</definedName>
    <definedName name="_C_c_B_TOT_ASS_PD">"_C_c_B_TOT_ASS_PS_12347_2006_2019"</definedName>
    <definedName name="_C_c_B_TOT_ASS_PS_12347_2006_2019">#REF!</definedName>
    <definedName name="_C_c_B_TOT_LIAB_PD">"_C_c_B_TOT_LIAB_PS_12347_2006_2019"</definedName>
    <definedName name="_C_c_B_TOT_LIAB_PS_12347_2006_2019">#REF!</definedName>
    <definedName name="_C_c_BETA">#REF!</definedName>
    <definedName name="_C_c_BORROW_PD">"_C_c_BORROW_PS_12347_2006_2019"</definedName>
    <definedName name="_C_c_BORROW_PS_12347_2006_2019">#REF!</definedName>
    <definedName name="_C_c_BPS_PD">"_C_c_BPS_PS_12347_2006_2019"</definedName>
    <definedName name="_C_c_BPS_PS_12347_2006_2019">#REF!</definedName>
    <definedName name="_C_c_C_ACQUISITIONS_PD">"_C_c_C_ACQUISITIONS_PS_12347_2006_2019"</definedName>
    <definedName name="_C_c_C_ACQUISITIONS_PS_12347_2006_2019">#REF!</definedName>
    <definedName name="_C_c_C_CAP_RAISING_PD">"_C_c_C_CAP_RAISING_PS_12347_2006_2019"</definedName>
    <definedName name="_C_c_C_CAP_RAISING_PS_12347_2006_2019">#REF!</definedName>
    <definedName name="_C_c_C_CAPEX_PD">"_C_c_C_CAPEX_PS_12347_2006_2019"</definedName>
    <definedName name="_C_c_C_CAPEX_PS_12347_2006_2019">#REF!</definedName>
    <definedName name="_C_c_C_CHG_WC_PD">"_C_c_C_CHG_WC_PS_12347_2006_2019"</definedName>
    <definedName name="_C_c_C_CHG_WC_PS_12347_2006_2019">#REF!</definedName>
    <definedName name="_C_c_C_DISPOSALES_PD">"_C_c_C_DISPOSALES_PS_12347_2006_2019"</definedName>
    <definedName name="_C_c_C_DISPOSALES_PS_12347_2006_2019">#REF!</definedName>
    <definedName name="_C_c_C_DIV_PAID_PD">"_C_c_C_DIV_PAID_PS_12347_2006_2019"</definedName>
    <definedName name="_C_c_C_DIV_PAID_PS_12347_2006_2019">#REF!</definedName>
    <definedName name="_C_c_C_DIV_REC_PD">"_C_c_C_DIV_REC_PS_12347_2006_2019"</definedName>
    <definedName name="_C_c_C_DIV_REC_PS_12347_2006_2019">#REF!</definedName>
    <definedName name="_C_c_C_EBIT_PD">"_C_c_C_EBIT_PS_12347_2006_2019"</definedName>
    <definedName name="_C_c_C_EBIT_PS_12347_2006_2019">#REF!</definedName>
    <definedName name="_C_c_C_EXP_CAPEX_PD">"_C_c_C_EXP_CAPEX_PS_12347_2006_2019"</definedName>
    <definedName name="_C_c_C_EXP_CAPEX_PS_12347_2006_2019">#REF!</definedName>
    <definedName name="_C_c_C_EXPLORATION_PD">"_C_c_C_EXPLORATION_PS_12347_2006_2019"</definedName>
    <definedName name="_C_c_C_EXPLORATION_PS_12347_2006_2019">#REF!</definedName>
    <definedName name="_C_c_C_FINANCING_PD">"_C_c_C_FINANCING_PS_12347_2006_2019"</definedName>
    <definedName name="_C_c_C_FINANCING_PS_12347_2006_2019">#REF!</definedName>
    <definedName name="_C_c_C_FOREX_PD">"_C_c_C_FOREX_PS_12347_2006_2019"</definedName>
    <definedName name="_C_c_C_FOREX_PS_12347_2006_2019">#REF!</definedName>
    <definedName name="_C_c_C_GROSS_PROFIT_PD">"_C_c_C_GROSS_PROFIT_PS_12347_2006_2019"</definedName>
    <definedName name="_C_c_C_GROSS_PROFIT_PS_12347_2006_2019">#REF!</definedName>
    <definedName name="_C_c_C_INT_PAID_PD">"_C_c_C_INT_PAID_PS_12347_2006_2019"</definedName>
    <definedName name="_C_c_C_INT_PAID_PS_12347_2006_2019">#REF!</definedName>
    <definedName name="_C_c_C_INT_REC_PD">"_C_c_C_INT_REC_PS_12347_2006_2019"</definedName>
    <definedName name="_C_c_C_INT_REC_PS_12347_2006_2019">#REF!</definedName>
    <definedName name="_C_c_C_INTEREST_PD">"_C_c_C_INTEREST_PS_12347_2006_2019"</definedName>
    <definedName name="_C_c_C_INTEREST_PS_12347_2006_2019">#REF!</definedName>
    <definedName name="_C_c_C_INVESTING_PD">"_C_c_C_INVESTING_PS_12347_2006_2019"</definedName>
    <definedName name="_C_c_C_INVESTING_PS_12347_2006_2019">#REF!</definedName>
    <definedName name="_C_c_C_MAINT_CAPEX_PD">"_C_c_C_MAINT_CAPEX_PS_12347_2006_2019"</definedName>
    <definedName name="_C_c_C_MAINT_CAPEX_PS_12347_2006_2019">#REF!</definedName>
    <definedName name="_C_c_C_NET_BORROW_PD">"_C_c_C_NET_BORROW_PS_12347_2006_2019"</definedName>
    <definedName name="_C_c_C_NET_BORROW_PS_12347_2006_2019">#REF!</definedName>
    <definedName name="_C_c_C_NON_CASH_PD">"_C_c_C_NON_CASH_PS_12347_2006_2019"</definedName>
    <definedName name="_C_c_C_NON_CASH_PS_12347_2006_2019">#REF!</definedName>
    <definedName name="_C_c_C_OPERATING_PD">"_C_c_C_OPERATING_PS_12347_2006_2019"</definedName>
    <definedName name="_C_c_C_OPERATING_PS_12347_2006_2019">#REF!</definedName>
    <definedName name="_C_c_C_OTHER_FC_PD">"_C_c_C_OTHER_FC_PS_12347_2006_2019"</definedName>
    <definedName name="_C_c_C_OTHER_FC_PS_12347_2006_2019">#REF!</definedName>
    <definedName name="_C_c_C_OTHER_IC_PD">"_C_c_C_OTHER_IC_PS_12347_2006_2019"</definedName>
    <definedName name="_C_c_C_OTHER_IC_PS_12347_2006_2019">#REF!</definedName>
    <definedName name="_C_c_C_OTHER_OC_PD">"_C_c_C_OTHER_OC_PS_12347_2006_2019"</definedName>
    <definedName name="_C_c_C_OTHER_OC_PS_12347_2006_2019">#REF!</definedName>
    <definedName name="_C_c_C_PAYMENTS_PD">"_C_c_C_PAYMENTS_PS_12347_2006_2019"</definedName>
    <definedName name="_C_c_C_PAYMENTS_PS_12347_2006_2019">#REF!</definedName>
    <definedName name="_C_c_C_PURCHASE_PPE_PD">"_C_c_C_PURCHASE_PPE_PS_12347_2006_2019"</definedName>
    <definedName name="_C_c_C_PURCHASE_PPE_PS_12347_2006_2019">#REF!</definedName>
    <definedName name="_C_c_C_RECEIPTS_PD">"_C_c_C_RECEIPTS_PS_12347_2006_2019"</definedName>
    <definedName name="_C_c_C_RECEIPTS_PS_12347_2006_2019">#REF!</definedName>
    <definedName name="_C_c_C_SALE_PPE_PD">"_C_c_C_SALE_PPE_PS_12347_2006_2019"</definedName>
    <definedName name="_C_c_C_SALE_PPE_PS_12347_2006_2019">#REF!</definedName>
    <definedName name="_C_c_C_TAX_PD">"_C_c_C_TAX_PS_12347_2006_2019"</definedName>
    <definedName name="_C_c_C_TAX_PS_12347_2006_2019">#REF!</definedName>
    <definedName name="_C_c_CASH_CHANGE_PD">"_C_c_CASH_CHANGE_PS_12347_2006_2019"</definedName>
    <definedName name="_C_c_CASH_CHANGE_PS_12347_2006_2019">#REF!</definedName>
    <definedName name="_C_c_CP_CONVERTIBLE_PD">"_C_c_CP_CONVERTIBLE_PS_12347_2006_2019"</definedName>
    <definedName name="_C_c_CP_CONVERTIBLE_PS_12347_2006_2019">#REF!</definedName>
    <definedName name="_C_c_CP_LIMITED_VOTE_PD">"_C_c_CP_LIMITED_VOTE_PS_12347_2006_2019"</definedName>
    <definedName name="_C_c_CP_LIMITED_VOTE_PS_12347_2006_2019">#REF!</definedName>
    <definedName name="_C_c_CP_OPTIONS_PD">"_C_c_CP_OPTIONS_PS_12347_2006_2019"</definedName>
    <definedName name="_C_c_CP_OPTIONS_PS_12347_2006_2019">#REF!</definedName>
    <definedName name="_C_c_CP_ORDINARY_PD">"_C_c_CP_ORDINARY_PS_12347_2006_2019"</definedName>
    <definedName name="_C_c_CP_ORDINARY_PS_12347_2006_2019">#REF!</definedName>
    <definedName name="_C_c_CP_OTHER_PD">"_C_c_CP_OTHER_PS_12347_2006_2019"</definedName>
    <definedName name="_C_c_CP_OTHER_PS_12347_2006_2019">#REF!</definedName>
    <definedName name="_C_c_CP_PARTLY_PAID_PD">"_C_c_CP_PARTLY_PAID_PS_12347_2006_2019"</definedName>
    <definedName name="_C_c_CP_PARTLY_PAID_PS_12347_2006_2019">#REF!</definedName>
    <definedName name="_C_c_CP_PREF_DEBT_PD">"_C_c_CP_PREF_DEBT_PS_12347_2006_2019"</definedName>
    <definedName name="_C_c_CP_PREF_DEBT_PS_12347_2006_2019">#REF!</definedName>
    <definedName name="_C_c_CP_PREF_EQUITY_PD">"_C_c_CP_PREF_EQUITY_PS_12347_2006_2019"</definedName>
    <definedName name="_C_c_CP_PREF_EQUITY_PS_12347_2006_2019">#REF!</definedName>
    <definedName name="_C_c_CP_SHARES_PD">"_C_c_CP_SHARES_PS_12347_2006_2019"</definedName>
    <definedName name="_C_c_CP_SHARES_PS_12347_2006_2019">#REF!</definedName>
    <definedName name="_C_c_CPS_PD">"_C_c_CPS_PS_12347_2006_2019"</definedName>
    <definedName name="_C_c_CPS_PS_12347_2006_2019">#REF!</definedName>
    <definedName name="_C_c_CS_EPS_BASIC_PD">"_C_c_CS_EPS_BASIC_PS_12347_2006_2019"</definedName>
    <definedName name="_C_c_CS_EPS_BASIC_PS_12347_2006_2019">#REF!</definedName>
    <definedName name="_C_c_CT_CONVERTIBLE_PD">"_C_c_CT_CONVERTIBLE_PS_12347_2006_2019"</definedName>
    <definedName name="_C_c_CT_CONVERTIBLE_PS_12347_2006_2019">#REF!</definedName>
    <definedName name="_C_c_CT_LIMITED_VOTE_PD">"_C_c_CT_LIMITED_VOTE_PS_12347_2006_2019"</definedName>
    <definedName name="_C_c_CT_LIMITED_VOTE_PS_12347_2006_2019">#REF!</definedName>
    <definedName name="_C_c_CT_OPTIONS_PD">"_C_c_CT_OPTIONS_PS_12347_2006_2019"</definedName>
    <definedName name="_C_c_CT_OPTIONS_PS_12347_2006_2019">#REF!</definedName>
    <definedName name="_C_c_CT_ORDINARY_PD">"_C_c_CT_ORDINARY_PS_12347_2006_2019"</definedName>
    <definedName name="_C_c_CT_ORDINARY_PS_12347_2006_2019">#REF!</definedName>
    <definedName name="_C_c_CT_OTHER_PD">"_C_c_CT_OTHER_PS_12347_2006_2019"</definedName>
    <definedName name="_C_c_CT_OTHER_PS_12347_2006_2019">#REF!</definedName>
    <definedName name="_C_c_CT_PARTLY_PAID_PD">"_C_c_CT_PARTLY_PAID_PS_12347_2006_2019"</definedName>
    <definedName name="_C_c_CT_PARTLY_PAID_PS_12347_2006_2019">#REF!</definedName>
    <definedName name="_C_c_CT_PREF_DEBT_PD">"_C_c_CT_PREF_DEBT_PS_12347_2006_2019"</definedName>
    <definedName name="_C_c_CT_PREF_DEBT_PS_12347_2006_2019">#REF!</definedName>
    <definedName name="_C_c_CT_PREF_EQUITY_PD">"_C_c_CT_PREF_EQUITY_PS_12347_2006_2019"</definedName>
    <definedName name="_C_c_CT_PREF_EQUITY_PS_12347_2006_2019">#REF!</definedName>
    <definedName name="_C_c_CT_SHARES_PD">"_C_c_CT_SHARES_PS_12347_2006_2019"</definedName>
    <definedName name="_C_c_CT_SHARES_PS_12347_2006_2019">#REF!</definedName>
    <definedName name="_C_c_DIV_YIELD_PD">"_C_c_DIV_YIELD_PS_12347_2006_2019"</definedName>
    <definedName name="_C_c_DIV_YIELD_PS_12347_2006_2019">#REF!</definedName>
    <definedName name="_C_c_DPS_FINAL_EX_PD">"_C_c_DPS_FINAL_EX_PS_12347_2006_2019"</definedName>
    <definedName name="_C_c_DPS_FINAL_EX_PS_12347_2006_2019">#REF!</definedName>
    <definedName name="_C_c_DPS_FINAL_PD">"_C_c_DPS_FINAL_PS_12347_2006_2019"</definedName>
    <definedName name="_C_c_DPS_FINAL_PS_12347_2006_2019">#REF!</definedName>
    <definedName name="_C_c_DPS_INTERIM_EX_PD">"_C_c_DPS_INTERIM_EX_PS_12347_2006_2019"</definedName>
    <definedName name="_C_c_DPS_INTERIM_EX_PS_12347_2006_2019">#REF!</definedName>
    <definedName name="_C_c_DPS_INTERIM_PD">"_C_c_DPS_INTERIM_PS_12347_2006_2019"</definedName>
    <definedName name="_C_c_DPS_INTERIM_PS_12347_2006_2019">#REF!</definedName>
    <definedName name="_C_c_DPS_PD">"_C_c_DPS_PS_12347_2006_2019"</definedName>
    <definedName name="_C_c_DPS_PS_12347_2006_2019">#REF!</definedName>
    <definedName name="_C_c_DPS_SPECIAL_EX_PD">"_C_c_DPS_SPECIAL_EX_PS_12347_2006_2019"</definedName>
    <definedName name="_C_c_DPS_SPECIAL_EX_PS_12347_2006_2019">#REF!</definedName>
    <definedName name="_C_c_DPS_SPECIAL_PD">"_C_c_DPS_SPECIAL_PS_12347_2006_2019"</definedName>
    <definedName name="_C_c_DPS_SPECIAL_PS_12347_2006_2019">#REF!</definedName>
    <definedName name="_C_c_EBIT_MARGIN_PD">"_C_c_EBIT_MARGIN_PS_12347_2006_2019"</definedName>
    <definedName name="_C_c_EBIT_MARGIN_PS_12347_2006_2019">#REF!</definedName>
    <definedName name="_C_c_EBIT_MULTIPLE_PD">"_C_c_EBIT_MULTIPLE_PS_12347_2006_2019"</definedName>
    <definedName name="_C_c_EBIT_MULTIPLE_PS_12347_2006_2019">#REF!</definedName>
    <definedName name="_C_c_EBITDA_MARGIN_PD">"_C_c_EBITDA_MARGIN_PS_12347_2006_2019"</definedName>
    <definedName name="_C_c_EBITDA_MARGIN_PS_12347_2006_2019">#REF!</definedName>
    <definedName name="_C_c_EBITDA_MULTIPLE_PD">"_C_c_EBITDA_MULTIPLE_PS_12347_2006_2019"</definedName>
    <definedName name="_C_c_EBITDA_MULTIPLE_PS_12347_2006_2019">#REF!</definedName>
    <definedName name="_C_c_ENTVAL">#REF!</definedName>
    <definedName name="_C_c_ENTVAL_ANNUAL_PD">"_C_c_ENTVAL_ANNUAL_PS_12347_2006_2019"</definedName>
    <definedName name="_C_c_ENTVAL_ANNUAL_PS_12347_2006_2019">#REF!</definedName>
    <definedName name="_C_c_EPS_PD">"_C_c_EPS_PS_12347_2006_2019"</definedName>
    <definedName name="_C_c_EPS_PRE_GW_PD">"_C_c_EPS_PRE_GW_PS_12347_2006_2019"</definedName>
    <definedName name="_C_c_EPS_PRE_GW_PS_12347_2006_2019">#REF!</definedName>
    <definedName name="_C_c_EPS_PS_12347_2006_2019">#REF!</definedName>
    <definedName name="_C_c_EPS_SHARES_PD">"_C_c_EPS_SHARES_PS_12347_2006_2019"</definedName>
    <definedName name="_C_c_EPS_SHARES_PS_12347_2006_2019">#REF!</definedName>
    <definedName name="_C_c_EQ_COMMON_PD">"_C_c_EQ_COMMON_PS_12347_2006_2019"</definedName>
    <definedName name="_C_c_EQ_COMMON_PS_12347_2006_2019">#REF!</definedName>
    <definedName name="_C_c_EQ_CONVERT_PD">"_C_c_EQ_CONVERT_PS_12347_2006_2019"</definedName>
    <definedName name="_C_c_EQ_CONVERT_PS_12347_2006_2019">#REF!</definedName>
    <definedName name="_C_c_EQ_LIFE_FUND_PD">"_C_c_EQ_LIFE_FUND_PS_12347_2006_2019"</definedName>
    <definedName name="_C_c_EQ_LIFE_FUND_PS_12347_2006_2019">#REF!</definedName>
    <definedName name="_C_c_EQ_MINOR_PD">"_C_c_EQ_MINOR_PS_12347_2006_2019"</definedName>
    <definedName name="_C_c_EQ_MINOR_PS_12347_2006_2019">#REF!</definedName>
    <definedName name="_C_c_EQ_PREF_PD">"_C_c_EQ_PREF_PS_12347_2006_2019"</definedName>
    <definedName name="_C_c_EQ_PREF_PS_12347_2006_2019">#REF!</definedName>
    <definedName name="_C_c_EQ_RESERV_ASSREV_PD">"_C_c_EQ_RESERV_ASSREV_PS_12347_2006_2019"</definedName>
    <definedName name="_C_c_EQ_RESERV_ASSREV_PS_12347_2006_2019">#REF!</definedName>
    <definedName name="_C_c_EQ_RESERV_OTHER_PD">"_C_c_EQ_RESERV_OTHER_PS_12347_2006_2019"</definedName>
    <definedName name="_C_c_EQ_RESERV_OTHER_PS_12347_2006_2019">#REF!</definedName>
    <definedName name="_C_c_EQ_RESERV_PD">"_C_c_EQ_RESERV_PS_12347_2006_2019"</definedName>
    <definedName name="_C_c_EQ_RESERV_PS_12347_2006_2019">#REF!</definedName>
    <definedName name="_C_c_EQ_RETAIN_PROF_PD">"_C_c_EQ_RETAIN_PROF_PS_12347_2006_2019"</definedName>
    <definedName name="_C_c_EQ_RETAIN_PROF_PS_12347_2006_2019">#REF!</definedName>
    <definedName name="_C_c_EQ_SHARE_RESERV_PD">"_C_c_EQ_SHARE_RESERV_PS_12347_2006_2019"</definedName>
    <definedName name="_C_c_EQ_SHARE_RESERV_PS_12347_2006_2019">#REF!</definedName>
    <definedName name="_C_c_EQ_SHAREHOLD_PD">"_C_c_EQ_SHAREHOLD_PS_12347_2006_2019"</definedName>
    <definedName name="_C_c_EQ_SHAREHOLD_PS_12347_2006_2019">#REF!</definedName>
    <definedName name="_C_c_EQ_SUM_PD">"_C_c_EQ_SUM_PS_12347_2006_2019"</definedName>
    <definedName name="_C_c_EQ_SUM_PS_12347_2006_2019">#REF!</definedName>
    <definedName name="_C_c_FCF_PS_PD">"_C_c_FCF_PS_PS_12347_2006_2019"</definedName>
    <definedName name="_C_c_FCF_PS_PS_12347_2006_2019">#REF!</definedName>
    <definedName name="_C_c_FREE_CASH_ADJ_PD">"_C_c_FREE_CASH_ADJ_PS_12347_2006_2019"</definedName>
    <definedName name="_C_c_FREE_CASH_ADJ_PS_12347_2006_2019">#REF!</definedName>
    <definedName name="_C_C_FREE_CF_PD">"_C_C_FREE_CF_PS_12347_2006_2019"</definedName>
    <definedName name="_C_C_FREE_CF_PS_12347_2006_2019">#REF!</definedName>
    <definedName name="_C_c_GEARING_PD">"_C_c_GEARING_PS_12347_2006_2019"</definedName>
    <definedName name="_C_c_GEARING_PS_12347_2006_2019">#REF!</definedName>
    <definedName name="_C_c_GROSS_MARGIN_PD">"_C_c_GROSS_MARGIN_PS_12347_2006_2019"</definedName>
    <definedName name="_C_c_GROSS_MARGIN_PS_12347_2006_2019">#REF!</definedName>
    <definedName name="_C_c_HB_BACKLOG_COST_PD">"_C_c_HB_BACKLOG_COST_PS_12347_2006_2019"</definedName>
    <definedName name="_C_c_HB_BACKLOG_COST_PS_12347_2006_2019">#REF!</definedName>
    <definedName name="_C_c_HB_BACKLOG_COST_SCALE">#REF!</definedName>
    <definedName name="_C_c_HB_BACKLOG_REV_PD">"_C_c_HB_BACKLOG_REV_PS_12347_2006_2019"</definedName>
    <definedName name="_C_c_HB_BACKLOG_REV_PS_12347_2006_2019">#REF!</definedName>
    <definedName name="_C_c_HB_BACKLOG_REV_SCALE">#REF!</definedName>
    <definedName name="_C_c_HB_BV_ADJ_PD">"_C_c_HB_BV_ADJ_PS_12347_2006_2019"</definedName>
    <definedName name="_C_c_HB_BV_ADJ_PS_12347_2006_2019">#REF!</definedName>
    <definedName name="_C_c_HB_BV_ADJ_SCALE">#REF!</definedName>
    <definedName name="_C_c_HB_CONST_PROG_PD">"_C_c_HB_CONST_PROG_PS_12347_2006_2019"</definedName>
    <definedName name="_C_c_HB_CONST_PROG_PS_12347_2006_2019">#REF!</definedName>
    <definedName name="_C_c_HB_CONTRACT_SALE_PD">"_C_c_HB_CONTRACT_SALE_PS_12347_2006_2019"</definedName>
    <definedName name="_C_c_HB_CONTRACT_SALE_PS_12347_2006_2019">#REF!</definedName>
    <definedName name="_C_c_HB_CONTRACT_SALE_SCALE">#REF!</definedName>
    <definedName name="_C_c_HB_LAND_INVENTORY_PD">"_C_c_HB_LAND_INVENTORY_PS_12347_2006_2019"</definedName>
    <definedName name="_C_c_HB_LAND_INVENTORY_PS_12347_2006_2019">#REF!</definedName>
    <definedName name="_C_c_HB_LAND_INVENTORY_SCALE">#REF!</definedName>
    <definedName name="_C_c_HB_LAUNCH_PD">"_C_c_HB_LAUNCH_PS_12347_2006_2019"</definedName>
    <definedName name="_C_c_HB_LAUNCH_PS_12347_2006_2019">#REF!</definedName>
    <definedName name="_C_c_HB_LAUNCH_SCALE">#REF!</definedName>
    <definedName name="_C_c_HB_ORDERS_ASP_PD">"_C_c_HB_ORDERS_ASP_PS_12347_2006_2019"</definedName>
    <definedName name="_C_c_HB_ORDERS_ASP_PS_12347_2006_2019">#REF!</definedName>
    <definedName name="_C_c_HB_ORDERS_ASP_SCALE">#REF!</definedName>
    <definedName name="_C_c_I_ABNORMAL_NPAT_PD">"_C_c_I_ABNORMAL_NPAT_PS_12347_2006_2019"</definedName>
    <definedName name="_C_c_I_ABNORMAL_NPAT_PS_12347_2006_2019">#REF!</definedName>
    <definedName name="_C_c_I_ABNORMAL_PBT_PD">"_C_c_I_ABNORMAL_PBT_PS_12347_2006_2019"</definedName>
    <definedName name="_C_c_I_ABNORMAL_PBT_PS_12347_2006_2019">#REF!</definedName>
    <definedName name="_C_c_I_AMORT_GW_PD">"_C_c_I_AMORT_GW_PS_12347_2006_2019"</definedName>
    <definedName name="_C_c_I_AMORT_GW_PS_12347_2006_2019">#REF!</definedName>
    <definedName name="_C_c_I_AMORT_INTAN_PD">"_C_c_I_AMORT_INTAN_PS_12347_2006_2019"</definedName>
    <definedName name="_C_c_I_AMORT_INTAN_PS_12347_2006_2019">#REF!</definedName>
    <definedName name="_C_c_I_AMORT_OTHER_PD">"_C_c_I_AMORT_OTHER_PS_12347_2006_2019"</definedName>
    <definedName name="_C_c_I_AMORT_OTHER_PS_12347_2006_2019">#REF!</definedName>
    <definedName name="_C_c_I_ANALYST_ADJ_PD">"_C_c_I_ANALYST_ADJ_PS_12347_2006_2019"</definedName>
    <definedName name="_C_c_I_ANALYST_ADJ_PS_12347_2006_2019">#REF!</definedName>
    <definedName name="_C_c_I_ASSET_SALES_PD">"_C_c_I_ASSET_SALES_PS_12347_2006_2019"</definedName>
    <definedName name="_C_c_I_ASSET_SALES_PS_12347_2006_2019">#REF!</definedName>
    <definedName name="_C_c_I_B_BRCOM_EXP_PD">"_C_c_I_B_BRCOM_EXP_PS_12347_2006_2019"</definedName>
    <definedName name="_C_c_I_B_BRCOM_EXP_PS_12347_2006_2019">#REF!</definedName>
    <definedName name="_C_c_I_B_FAIR_VALUE_PD">"_C_c_I_B_FAIR_VALUE_PS_12347_2006_2019"</definedName>
    <definedName name="_C_c_I_B_FAIR_VALUE_PS_12347_2006_2019">#REF!</definedName>
    <definedName name="_C_c_I_COGS_INTEREST_PD">"_C_c_I_COGS_INTEREST_PS_12347_2006_2019"</definedName>
    <definedName name="_C_c_I_COGS_INTEREST_PS_12347_2006_2019">#REF!</definedName>
    <definedName name="_C_c_I_COGS_PD">"_C_c_I_COGS_PS_12347_2006_2019"</definedName>
    <definedName name="_C_c_I_COGS_PS_12347_2006_2019">#REF!</definedName>
    <definedName name="_C_c_I_COGS_SALES_PD">"_C_c_I_COGS_SALES_PS_12347_2006_2019"</definedName>
    <definedName name="_C_c_I_COGS_SALES_PS_12347_2006_2019">#REF!</definedName>
    <definedName name="_C_c_I_COGS_SERVICES_PD">"_C_c_I_COGS_SERVICES_PS_12347_2006_2019"</definedName>
    <definedName name="_C_c_I_COGS_SERVICES_PS_12347_2006_2019">#REF!</definedName>
    <definedName name="_C_c_I_DEFINED_BEN_PD">"_C_c_I_DEFINED_BEN_PS_12347_2006_2019"</definedName>
    <definedName name="_C_c_I_DEFINED_BEN_PS_12347_2006_2019">#REF!</definedName>
    <definedName name="_C_c_I_DEPR_AMORT_PD">"_C_c_I_DEPR_AMORT_PS_12347_2006_2019"</definedName>
    <definedName name="_C_c_I_DEPR_AMORT_PS_12347_2006_2019">#REF!</definedName>
    <definedName name="_C_c_I_DEPR_PD">"_C_c_I_DEPR_PS_12347_2006_2019"</definedName>
    <definedName name="_C_c_I_DEPR_PS_12347_2006_2019">#REF!</definedName>
    <definedName name="_C_c_I_DIVIDENDS_PD">"_C_c_I_DIVIDENDS_PS_12347_2006_2019"</definedName>
    <definedName name="_C_c_I_DIVIDENDS_PS_12347_2006_2019">#REF!</definedName>
    <definedName name="_C_c_I_EBIT_PD">"_C_c_I_EBIT_PS_12347_2006_2019"</definedName>
    <definedName name="_C_c_I_EBIT_PS_12347_2006_2019">#REF!</definedName>
    <definedName name="_C_c_I_EBITA_PD">"_C_c_I_EBITA_PS_12347_2006_2019"</definedName>
    <definedName name="_C_c_I_EBITA_PS_12347_2006_2019">#REF!</definedName>
    <definedName name="_C_c_I_EBITDA_PD">"_C_c_I_EBITDA_PS_12347_2006_2019"</definedName>
    <definedName name="_C_c_I_EBITDA_PS_12347_2006_2019">#REF!</definedName>
    <definedName name="_C_c_I_EMP_COST_PD">"_C_c_I_EMP_COST_PS_12347_2006_2019"</definedName>
    <definedName name="_C_c_I_EMP_COST_PS_12347_2006_2019">#REF!</definedName>
    <definedName name="_C_c_I_EMP_SHARES_PD">"_C_c_I_EMP_SHARES_PS_12347_2006_2019"</definedName>
    <definedName name="_C_c_I_EMP_SHARES_PS_12347_2006_2019">#REF!</definedName>
    <definedName name="_C_c_I_EMP_TOTAL_PD">"_C_c_I_EMP_TOTAL_PS_12347_2006_2019"</definedName>
    <definedName name="_C_c_I_EMP_TOTAL_PS_12347_2006_2019">#REF!</definedName>
    <definedName name="_C_c_I_EQ_ACC_PAT_PD">"_C_c_I_EQ_ACC_PAT_PS_12347_2006_2019"</definedName>
    <definedName name="_C_c_I_EQ_ACC_PAT_PS_12347_2006_2019">#REF!</definedName>
    <definedName name="_C_c_I_EQ_ACC_PBT_PD">"_C_c_I_EQ_ACC_PBT_PS_12347_2006_2019"</definedName>
    <definedName name="_C_c_I_EQ_ACC_PBT_PS_12347_2006_2019">#REF!</definedName>
    <definedName name="_C_c_I_EQ_ACC_TAX_PD">"_C_c_I_EQ_ACC_TAX_PS_12347_2006_2019"</definedName>
    <definedName name="_C_c_I_EQ_ACC_TAX_PS_12347_2006_2019">#REF!</definedName>
    <definedName name="_C_c_I_EXPENSES_PD">"_C_c_I_EXPENSES_PS_12347_2006_2019"</definedName>
    <definedName name="_C_c_I_EXPENSES_PS_12347_2006_2019">#REF!</definedName>
    <definedName name="_C_c_I_FOREX_LOSS_PD">"_C_c_I_FOREX_LOSS_PS_12347_2006_2019"</definedName>
    <definedName name="_C_c_I_FOREX_LOSS_PS_12347_2006_2019">#REF!</definedName>
    <definedName name="_C_c_I_GROSS_PROFIT_PD">"_C_c_I_GROSS_PROFIT_PS_12347_2006_2019"</definedName>
    <definedName name="_C_c_I_GROSS_PROFIT_PS_12347_2006_2019">#REF!</definedName>
    <definedName name="_C_c_I_HEDGE_EXP_PD">"_C_c_I_HEDGE_EXP_PS_12347_2006_2019"</definedName>
    <definedName name="_C_c_I_HEDGE_EXP_PS_12347_2006_2019">#REF!</definedName>
    <definedName name="_C_c_I_IMPAIRMENT_PD">"_C_c_I_IMPAIRMENT_PS_12347_2006_2019"</definedName>
    <definedName name="_C_c_I_IMPAIRMENT_PS_12347_2006_2019">#REF!</definedName>
    <definedName name="_C_c_I_INC_DISC_PD">"_C_c_I_INC_DISC_PS_12347_2006_2019"</definedName>
    <definedName name="_C_c_I_INC_DISC_PS_12347_2006_2019">#REF!</definedName>
    <definedName name="_C_c_I_INC_TAX_PD">"_C_c_I_INC_TAX_PS_12347_2006_2019"</definedName>
    <definedName name="_C_c_I_INC_TAX_PS_12347_2006_2019">#REF!</definedName>
    <definedName name="_C_c_I_INDINC_PD">"_C_c_I_INDINC_PS_12347_2006_2019"</definedName>
    <definedName name="_C_c_I_INDINC_PS_12347_2006_2019">#REF!</definedName>
    <definedName name="_C_c_I_INT_CONV_EXP_PD">"_C_c_I_INT_CONV_EXP_PS_12347_2006_2019"</definedName>
    <definedName name="_C_c_I_INT_CONV_EXP_PS_12347_2006_2019">#REF!</definedName>
    <definedName name="_C_c_I_INT_EXP_PD">"_C_c_I_INT_EXP_PS_12347_2006_2019"</definedName>
    <definedName name="_C_c_I_INT_EXP_PS_12347_2006_2019">#REF!</definedName>
    <definedName name="_C_c_I_INT_INCOME_PD">"_C_c_I_INT_INCOME_PS_12347_2006_2019"</definedName>
    <definedName name="_C_c_I_INT_INCOME_PS_12347_2006_2019">#REF!</definedName>
    <definedName name="_C_c_I_INT_LEASE_EXP_PD">"_C_c_I_INT_LEASE_EXP_PS_12347_2006_2019"</definedName>
    <definedName name="_C_c_I_INT_LEASE_EXP_PS_12347_2006_2019">#REF!</definedName>
    <definedName name="_C_c_I_INVEST_INCOME_PD">"_C_c_I_INVEST_INCOME_PS_12347_2006_2019"</definedName>
    <definedName name="_C_c_I_INVEST_INCOME_PS_12347_2006_2019">#REF!</definedName>
    <definedName name="_C_c_I_LEASING_EXP_PD">"_C_c_I_LEASING_EXP_PS_12347_2006_2019"</definedName>
    <definedName name="_C_c_I_LEASING_EXP_PS_12347_2006_2019">#REF!</definedName>
    <definedName name="_C_c_I_MINOR_PD">"_C_c_I_MINOR_PS_12347_2006_2019"</definedName>
    <definedName name="_C_c_I_MINOR_PS_12347_2006_2019">#REF!</definedName>
    <definedName name="_C_c_I_NET_INTEREST_PD">"_C_c_I_NET_INTEREST_PS_12347_2006_2019"</definedName>
    <definedName name="_C_c_I_NET_INTEREST_PS_12347_2006_2019">#REF!</definedName>
    <definedName name="_C_c_I_NONREC_ITEMS_PD">"_C_c_I_NONREC_ITEMS_PS_12347_2006_2019"</definedName>
    <definedName name="_C_c_I_NONREC_ITEMS_PS_12347_2006_2019">#REF!</definedName>
    <definedName name="_C_c_I_NOP_ITEMS_PD">"_C_c_I_NOP_ITEMS_PS_12347_2006_2019"</definedName>
    <definedName name="_C_c_I_NOP_ITEMS_PS_12347_2006_2019">#REF!</definedName>
    <definedName name="_C_c_I_NPAT_PD">"_C_c_I_NPAT_PS_12347_2006_2019"</definedName>
    <definedName name="_C_c_I_NPAT_PS_12347_2006_2019">#REF!</definedName>
    <definedName name="_C_c_I_OCC_IT_COST_PD">"_C_c_I_OCC_IT_COST_PS_12347_2006_2019"</definedName>
    <definedName name="_C_c_I_OCC_IT_COST_PS_12347_2006_2019">#REF!</definedName>
    <definedName name="_C_c_I_OOP_EXPENSES_PD">"_C_c_I_OOP_EXPENSES_PS_12347_2006_2019"</definedName>
    <definedName name="_C_c_I_OOP_EXPENSES_PS_12347_2006_2019">#REF!</definedName>
    <definedName name="_C_c_I_OOP_EXPENSES_SCALE">#REF!</definedName>
    <definedName name="_C_c_I_OOP_INCOME_PD">"_C_c_I_OOP_INCOME_PS_12347_2006_2019"</definedName>
    <definedName name="_C_c_I_OOP_INCOME_PS_12347_2006_2019">#REF!</definedName>
    <definedName name="_C_c_I_OOP_ITEMS_PD">"_C_c_I_OOP_ITEMS_PS_12347_2006_2019"</definedName>
    <definedName name="_C_c_I_OOP_ITEMS_PS_12347_2006_2019">#REF!</definedName>
    <definedName name="_C_c_I_OP_DIVIDEND_PD">"_C_c_I_OP_DIVIDEND_PS_12347_2006_2019"</definedName>
    <definedName name="_C_c_I_OP_DIVIDEND_PS_12347_2006_2019">#REF!</definedName>
    <definedName name="_C_c_I_OPERATING_INC_PD">"_C_c_I_OPERATING_INC_PS_12347_2006_2019"</definedName>
    <definedName name="_C_c_I_OPERATING_INC_PS_12347_2006_2019">#REF!</definedName>
    <definedName name="_C_c_I_OTH_EBITADJ_PD">"_C_c_I_OTH_EBITADJ_PS_12347_2006_2019"</definedName>
    <definedName name="_C_c_I_OTH_EBITADJ_PS_12347_2006_2019">#REF!</definedName>
    <definedName name="_C_c_I_OTH_EXP_PD">"_C_c_I_OTH_EXP_PS_12347_2006_2019"</definedName>
    <definedName name="_C_c_I_OTH_EXP_PS_12347_2006_2019">#REF!</definedName>
    <definedName name="_C_c_I_OTHER_PAT_PD">"_C_c_I_OTHER_PAT_PS_12347_2006_2019"</definedName>
    <definedName name="_C_c_I_OTHER_PAT_PS_12347_2006_2019">#REF!</definedName>
    <definedName name="_C_c_I_OTHER_PBT_PD">"_C_c_I_OTHER_PBT_PS_12347_2006_2019"</definedName>
    <definedName name="_C_c_I_OTHER_PBT_PS_12347_2006_2019">#REF!</definedName>
    <definedName name="_C_c_I_OTHER_PD">"_C_c_I_OTHER_PS_12347_2006_2019"</definedName>
    <definedName name="_C_c_I_OTHER_PS_12347_2006_2019">#REF!</definedName>
    <definedName name="_C_c_I_OTHER_TAX_PD">"_C_c_I_OTHER_TAX_PS_12347_2006_2019"</definedName>
    <definedName name="_C_c_I_OTHER_TAX_PS_12347_2006_2019">#REF!</definedName>
    <definedName name="_C_c_I_PBT_PD">"_C_c_I_PBT_PS_12347_2006_2019"</definedName>
    <definedName name="_C_c_I_PBT_PS_12347_2006_2019">#REF!</definedName>
    <definedName name="_C_c_I_PBT_REPORTED_PD">"_C_c_I_PBT_REPORTED_PS_12347_2006_2019"</definedName>
    <definedName name="_C_c_I_PBT_REPORTED_PS_12347_2006_2019">#REF!</definedName>
    <definedName name="_C_c_I_PREF_DIV_PAID_PD">"_C_c_I_PREF_DIV_PAID_PS_12347_2006_2019"</definedName>
    <definedName name="_C_c_I_PREF_DIV_PAID_PS_12347_2006_2019">#REF!</definedName>
    <definedName name="_C_c_I_PROVISIONS_PD">"_C_c_I_PROVISIONS_PS_12347_2006_2019"</definedName>
    <definedName name="_C_c_I_PROVISIONS_PS_12347_2006_2019">#REF!</definedName>
    <definedName name="_C_c_I_REP_NPAT_PD">"_C_c_I_REP_NPAT_PS_12347_2006_2019"</definedName>
    <definedName name="_C_c_I_REP_NPAT_PS_12347_2006_2019">#REF!</definedName>
    <definedName name="_C_c_I_RES_AND_DEV_PD">"_C_c_I_RES_AND_DEV_PS_12347_2006_2019"</definedName>
    <definedName name="_C_c_I_RES_AND_DEV_PS_12347_2006_2019">#REF!</definedName>
    <definedName name="_C_c_I_RESTRUCT_EXP_PD">"_C_c_I_RESTRUCT_EXP_PS_12347_2006_2019"</definedName>
    <definedName name="_C_c_I_RESTRUCT_EXP_PS_12347_2006_2019">#REF!</definedName>
    <definedName name="_C_c_I_REVAL_NONREC_PD">"_C_c_I_REVAL_NONREC_PS_12347_2006_2019"</definedName>
    <definedName name="_C_c_I_REVAL_NONREC_PS_12347_2006_2019">#REF!</definedName>
    <definedName name="_C_c_I_REVALUATIONS_PD">"_C_c_I_REVALUATIONS_PS_12347_2006_2019"</definedName>
    <definedName name="_C_c_I_REVALUATIONS_PS_12347_2006_2019">#REF!</definedName>
    <definedName name="_C_c_I_REVENUES_PD">"_C_c_I_REVENUES_PS_12347_2006_2019"</definedName>
    <definedName name="_C_c_I_REVENUES_PS_12347_2006_2019">#REF!</definedName>
    <definedName name="_C_c_I_ROYALTIES_PD">"_C_c_I_ROYALTIES_PS_12347_2006_2019"</definedName>
    <definedName name="_C_c_I_ROYALTIES_PS_12347_2006_2019">#REF!</definedName>
    <definedName name="_C_c_I_SALES_DEDUCTIONS_PD">"_C_c_I_SALES_DEDUCTIONS_PS_12347_2006_2019"</definedName>
    <definedName name="_C_c_I_SALES_DEDUCTIONS_PS_12347_2006_2019">#REF!</definedName>
    <definedName name="_C_c_I_SALES_GWTH_PD">"_C_c_I_SALES_GWTH_PS_12347_2006_2019"</definedName>
    <definedName name="_C_c_I_SALES_GWTH_PS_12347_2006_2019">#REF!</definedName>
    <definedName name="_C_c_I_SALES_PD">"_C_c_I_SALES_PS_12347_2006_2019"</definedName>
    <definedName name="_C_c_I_SALES_PS_12347_2006_2019">#REF!</definedName>
    <definedName name="_C_c_I_SALES_SALES_PD">"_C_c_I_SALES_SALES_PS_12347_2006_2019"</definedName>
    <definedName name="_C_c_I_SALES_SALES_PS_12347_2006_2019">#REF!</definedName>
    <definedName name="_C_c_I_SALES_SERVICES_PD">"_C_c_I_SALES_SERVICES_PS_12347_2006_2019"</definedName>
    <definedName name="_C_c_I_SALES_SERVICES_PS_12347_2006_2019">#REF!</definedName>
    <definedName name="_C_c_I_SGA_PD">"_C_c_I_SGA_PS_12347_2006_2019"</definedName>
    <definedName name="_C_c_I_SGA_PS_12347_2006_2019">#REF!</definedName>
    <definedName name="_C_c_I_TAX_PD">"_C_c_I_TAX_PS_12347_2006_2019"</definedName>
    <definedName name="_C_c_I_TAX_PS_12347_2006_2019">#REF!</definedName>
    <definedName name="_C_c_INT_COVER_PD">"_C_c_INT_COVER_PS_12347_2006_2019"</definedName>
    <definedName name="_C_c_INT_COVER_PS_12347_2006_2019">#REF!</definedName>
    <definedName name="_C_c_KD">#REF!</definedName>
    <definedName name="_C_c_KE">#REF!</definedName>
    <definedName name="_C_c_LEVERAGE_PD">"_C_c_LEVERAGE_PS_12347_2006_2019"</definedName>
    <definedName name="_C_c_LEVERAGE_PS_12347_2006_2019">#REF!</definedName>
    <definedName name="_C_c_NDE_PD">"_C_c_NDE_PS_12347_2006_2019"</definedName>
    <definedName name="_C_c_NDE_PS_12347_2006_2019">#REF!</definedName>
    <definedName name="_C_c_NET_DEBT_PD">"_C_c_NET_DEBT_PS_12347_2006_2019"</definedName>
    <definedName name="_C_c_NET_DEBT_PS_12347_2006_2019">#REF!</definedName>
    <definedName name="_C_c_NOT_INTEREST_PD">"_C_c_NOT_INTEREST_PS_12347_2006_2019"</definedName>
    <definedName name="_C_c_NOT_INTEREST_PS_12347_2006_2019">#REF!</definedName>
    <definedName name="_C_c_NTA_PS_PD">"_C_c_NTA_PS_PS_12347_2006_2019"</definedName>
    <definedName name="_C_c_NTA_PS_PS_12347_2006_2019">#REF!</definedName>
    <definedName name="_C_c_OTHER_NONREC_PD">"_C_c_OTHER_NONREC_PS_12347_2006_2019"</definedName>
    <definedName name="_C_c_OTHER_NONREC_PS_12347_2006_2019">#REF!</definedName>
    <definedName name="_C_c_PAYOUT_PD">"_C_c_PAYOUT_PS_12347_2006_2019"</definedName>
    <definedName name="_C_c_PAYOUT_PS_12347_2006_2019">#REF!</definedName>
    <definedName name="_C_c_PB_PD">"_C_c_PB_PS_12347_2006_2019"</definedName>
    <definedName name="_C_c_PB_PS_12347_2006_2019">#REF!</definedName>
    <definedName name="_C_c_PE_PD">"_C_c_PE_PS_12347_2006_2019"</definedName>
    <definedName name="_C_c_PE_PS_12347_2006_2019">#REF!</definedName>
    <definedName name="_C_c_PEN_LIAB_PD">"_C_c_PEN_LIAB_PS_12347_2006_2019"</definedName>
    <definedName name="_C_c_PEN_LIAB_PS_12347_2006_2019">#REF!</definedName>
    <definedName name="_C_c_PNTA_PD">"_C_c_PNTA_PS_12347_2006_2019"</definedName>
    <definedName name="_C_c_PNTA_PS_12347_2006_2019">#REF!</definedName>
    <definedName name="_C_c_PSALES_PD">"_C_c_PSALES_PS_12347_2006_2019"</definedName>
    <definedName name="_C_c_PSALES_PS_12347_2006_2019">#REF!</definedName>
    <definedName name="_C_c_PUB_DPS_PD">"_C_c_PUB_DPS_PS_12347_2006_2019"</definedName>
    <definedName name="_C_c_PUB_DPS_PS_12347_2006_2019">#REF!</definedName>
    <definedName name="_C_c_PUB_DRIVER_PD">"_C_c_PUB_DRIVER_PS_12347_2006_2019"</definedName>
    <definedName name="_C_c_PUB_DRIVER_PS_12347_2006_2019">#REF!</definedName>
    <definedName name="_C_c_PUB_EPS_PD">"_C_c_PUB_EPS_PS_12347_2006_2019"</definedName>
    <definedName name="_C_c_PUB_EPS_PS_12347_2006_2019">#REF!</definedName>
    <definedName name="_C_c_PUB_EPSGWTH_5YR">#REF!</definedName>
    <definedName name="_C_c_PUB_NETINC_PD">"_C_c_PUB_NETINC_PS_12347_2006_2019"</definedName>
    <definedName name="_C_c_PUB_NETINC_PS_12347_2006_2019">#REF!</definedName>
    <definedName name="_C_c_PUB_OP_INCOME_PD">"_C_c_PUB_OP_INCOME_PS_12347_2006_2019"</definedName>
    <definedName name="_C_c_PUB_OP_INCOME_PS_12347_2006_2019">#REF!</definedName>
    <definedName name="_C_c_PUB_PBT_PD">"_C_c_PUB_PBT_PS_12347_2006_2019"</definedName>
    <definedName name="_C_c_PUB_PBT_PS_12347_2006_2019">#REF!</definedName>
    <definedName name="_C_c_PUB_RECURRING_PROF_PD">"_C_c_PUB_RECURRING_PROF_PS_12347_2006_2019"</definedName>
    <definedName name="_C_c_PUB_RECURRING_PROF_PS_12347_2006_2019">#REF!</definedName>
    <definedName name="_C_c_PUB_REVENUES_PD">"_C_c_PUB_REVENUES_PS_12347_2006_2019"</definedName>
    <definedName name="_C_c_PUB_REVENUES_PS_12347_2006_2019">#REF!</definedName>
    <definedName name="_C_c_PUB_WEBSITE">#REF!</definedName>
    <definedName name="_C_c_REP_EPS_BASIC_PD">"_C_c_REP_EPS_BASIC_PS_12347_2006_2019"</definedName>
    <definedName name="_C_c_REP_EPS_BASIC_PS_12347_2006_2019">#REF!</definedName>
    <definedName name="_C_c_REP_EPS_PD">"_C_c_REP_EPS_PS_12347_2006_2019"</definedName>
    <definedName name="_C_c_REP_EPS_PS_12347_2006_2019">#REF!</definedName>
    <definedName name="_C_c_ROA_PD">"_C_c_ROA_PS_12347_2006_2019"</definedName>
    <definedName name="_C_c_ROA_PS_12347_2006_2019">#REF!</definedName>
    <definedName name="_C_c_ROE_PD">"_C_c_ROE_PS_12347_2006_2019"</definedName>
    <definedName name="_C_c_ROE_PS_12347_2006_2019">#REF!</definedName>
    <definedName name="_C_c_ROIC_PD">"_C_c_ROIC_PS_12347_2006_2019"</definedName>
    <definedName name="_C_c_ROIC_PS_12347_2006_2019">#REF!</definedName>
    <definedName name="_C_c_TAX_RATE_PD">"_C_c_TAX_RATE_PS_12347_2006_2019"</definedName>
    <definedName name="_C_c_TAX_RATE_PS_12347_2006_2019">#REF!</definedName>
    <definedName name="_C_c_TOTAL_CF_PD">"_C_c_TOTAL_CF_PS_12347_2006_2019"</definedName>
    <definedName name="_C_c_TOTAL_CF_PS_12347_2006_2019">#REF!</definedName>
    <definedName name="_C_c_TP_BLUESKY">#REF!</definedName>
    <definedName name="_C_c_TP_TROUGH">#REF!</definedName>
    <definedName name="_C_c_TPCOMM_BLUESKY">#REF!</definedName>
    <definedName name="_C_c_TPCOMM_TROUGH">#REF!</definedName>
    <definedName name="_C_c_VAL_METHOD">#REF!</definedName>
    <definedName name="_C_c_WACC_PD">"_C_c_WACC_PS_12347_2006_2019"</definedName>
    <definedName name="_C_c_WACC_PS_12347_2006_2019">#REF!</definedName>
    <definedName name="_C_CF_SCALE">#REF!</definedName>
    <definedName name="_C_COMPANY_CODE">#REF!</definedName>
    <definedName name="_C_FYE_DATE">#REF!</definedName>
    <definedName name="_C_I_EXP_INCL_DA_FLAG">#REF!</definedName>
    <definedName name="_C_IS_DILUTED">#REF!</definedName>
    <definedName name="_C_LAST_ACTUAL">#REF!</definedName>
    <definedName name="_C_LAST_ACTUAL_YEAR">#REF!</definedName>
    <definedName name="_C_OPEN_ASSUMPTION_PAGES">"RAT|PUB|REALESTATE"</definedName>
    <definedName name="_C_PL_SCALE">#REF!</definedName>
    <definedName name="_C_RATING">#REF!</definedName>
    <definedName name="_C_REP_CURRENCY">#REF!</definedName>
    <definedName name="_C_SH_SCALE">#REF!</definedName>
    <definedName name="_C_TARGET_PRICE">#REF!</definedName>
    <definedName name="_C_TEMPLATE_BUSINESS_TYPES">"NONFIN"</definedName>
    <definedName name="_C_TEMPLATE_COIN_DISPLAY">"DEFAULT"</definedName>
    <definedName name="_C_TEMPLATE_CREATED">"#26-Aug-2010 18:53#"</definedName>
    <definedName name="_C_TEMPLATE_CREATED_BY">"bgonsal1"</definedName>
    <definedName name="_C_TEMPLATE_TEMPLATE_NAME">"LIVE"</definedName>
    <definedName name="_C_VALUATION">#REF!</definedName>
    <definedName name="_c01234">Word</definedName>
    <definedName name="_c0321">Word</definedName>
    <definedName name="_co1">Word</definedName>
    <definedName name="_co10">Word</definedName>
    <definedName name="_co12">Word</definedName>
    <definedName name="_co123">Word</definedName>
    <definedName name="_co1233">Word</definedName>
    <definedName name="_co1234">Word</definedName>
    <definedName name="_co124">Word</definedName>
    <definedName name="_CO18">Word</definedName>
    <definedName name="_co2">Word</definedName>
    <definedName name="_co21">Word</definedName>
    <definedName name="_co22">Word</definedName>
    <definedName name="_co222">Word</definedName>
    <definedName name="_co23">Word</definedName>
    <definedName name="_co24">Word</definedName>
    <definedName name="_co25">Word</definedName>
    <definedName name="_co3">Word</definedName>
    <definedName name="_co32">#REF!</definedName>
    <definedName name="_co333">Word</definedName>
    <definedName name="_co34">Word</definedName>
    <definedName name="_co345">Word</definedName>
    <definedName name="_co4">Word</definedName>
    <definedName name="_co456">Word</definedName>
    <definedName name="_co5">Word</definedName>
    <definedName name="_co556">Word</definedName>
    <definedName name="_co56">Word</definedName>
    <definedName name="_co78">Word</definedName>
    <definedName name="_co79">Word</definedName>
    <definedName name="_co8">PPt</definedName>
    <definedName name="_co9">Word</definedName>
    <definedName name="_co911">Word</definedName>
    <definedName name="_co912">Word</definedName>
    <definedName name="_CP2">Word</definedName>
    <definedName name="_cp3">Word</definedName>
    <definedName name="_cp4">Word</definedName>
    <definedName name="_DT1">Word</definedName>
    <definedName name="_dt2">Word</definedName>
    <definedName name="_xlnm._FilterDatabase" localSheetId="8" hidden="1">'Inventory &amp; Landbank'!$B$2:$I$38</definedName>
    <definedName name="_fx1">#REF!</definedName>
    <definedName name="_FX2">PPt</definedName>
    <definedName name="_h9999">Word</definedName>
    <definedName name="_I2" localSheetId="4" hidden="1">{"PVGraph2",#N/A,FALSE,"PV Data"}</definedName>
    <definedName name="_I2" localSheetId="6" hidden="1">{"PVGraph2",#N/A,FALSE,"PV Data"}</definedName>
    <definedName name="_I2" localSheetId="0" hidden="1">{"PVGraph2",#N/A,FALSE,"PV Data"}</definedName>
    <definedName name="_I2" hidden="1">{"PVGraph2",#N/A,FALSE,"PV Data"}</definedName>
    <definedName name="_I22" localSheetId="4" hidden="1">{"PVGraph2",#N/A,FALSE,"PV Data"}</definedName>
    <definedName name="_I22" localSheetId="6" hidden="1">{"PVGraph2",#N/A,FALSE,"PV Data"}</definedName>
    <definedName name="_I22" localSheetId="0" hidden="1">{"PVGraph2",#N/A,FALSE,"PV Data"}</definedName>
    <definedName name="_I22" hidden="1">{"PVGraph2",#N/A,FALSE,"PV Data"}</definedName>
    <definedName name="_I3" localSheetId="4" hidden="1">{"PVGraph2",#N/A,FALSE,"PV Data"}</definedName>
    <definedName name="_I3" localSheetId="6" hidden="1">{"PVGraph2",#N/A,FALSE,"PV Data"}</definedName>
    <definedName name="_I3" localSheetId="0" hidden="1">{"PVGraph2",#N/A,FALSE,"PV Data"}</definedName>
    <definedName name="_I3" hidden="1">{"PVGraph2",#N/A,FALSE,"PV Data"}</definedName>
    <definedName name="_I7">PPt</definedName>
    <definedName name="_II2" localSheetId="4" hidden="1">{"PVGraph2",#N/A,FALSE,"PV Data"}</definedName>
    <definedName name="_II2" localSheetId="6" hidden="1">{"PVGraph2",#N/A,FALSE,"PV Data"}</definedName>
    <definedName name="_II2" localSheetId="0" hidden="1">{"PVGraph2",#N/A,FALSE,"PV Data"}</definedName>
    <definedName name="_II2" hidden="1">{"PVGraph2",#N/A,FALSE,"PV Data"}</definedName>
    <definedName name="_IPO2">PPt</definedName>
    <definedName name="_K2">Word</definedName>
    <definedName name="_m2">Word</definedName>
    <definedName name="_Num01">#REF!</definedName>
    <definedName name="_Num97">#REF!</definedName>
    <definedName name="_Num98">#REF!</definedName>
    <definedName name="_Num99">#REF!</definedName>
    <definedName name="_Q1">Word</definedName>
    <definedName name="_q22">Word</definedName>
    <definedName name="_q234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t2">#REF!</definedName>
    <definedName name="_t3">#REF!</definedName>
    <definedName name="_t5">#REF!</definedName>
    <definedName name="_v5555">Word</definedName>
    <definedName name="_w1" localSheetId="4" hidden="1">{"PVGraph2",#N/A,FALSE,"PV Data"}</definedName>
    <definedName name="_w1" localSheetId="6" hidden="1">{"PVGraph2",#N/A,FALSE,"PV Data"}</definedName>
    <definedName name="_w1" localSheetId="0" hidden="1">{"PVGraph2",#N/A,FALSE,"PV Data"}</definedName>
    <definedName name="_w1" hidden="1">{"PVGraph2",#N/A,FALSE,"PV Data"}</definedName>
    <definedName name="_w2" localSheetId="4" hidden="1">{"PVGraph2",#N/A,FALSE,"PV Data"}</definedName>
    <definedName name="_w2" localSheetId="6" hidden="1">{"PVGraph2",#N/A,FALSE,"PV Data"}</definedName>
    <definedName name="_w2" localSheetId="0" hidden="1">{"PVGraph2",#N/A,FALSE,"PV Data"}</definedName>
    <definedName name="_w2" hidden="1">{"PVGraph2",#N/A,FALSE,"PV Data"}</definedName>
    <definedName name="_w3" localSheetId="4" hidden="1">{"PVGraph2",#N/A,FALSE,"PV Data"}</definedName>
    <definedName name="_w3" localSheetId="6" hidden="1">{"PVGraph2",#N/A,FALSE,"PV Data"}</definedName>
    <definedName name="_w3" localSheetId="0" hidden="1">{"PVGraph2",#N/A,FALSE,"PV Data"}</definedName>
    <definedName name="_w3" hidden="1">{"PVGraph2",#N/A,FALSE,"PV Data"}</definedName>
    <definedName name="_w4">Word</definedName>
    <definedName name="_w5">Word</definedName>
    <definedName name="_w9" localSheetId="4" hidden="1">{"PVGraph2",#N/A,FALSE,"PV Data"}</definedName>
    <definedName name="_w9" localSheetId="6" hidden="1">{"PVGraph2",#N/A,FALSE,"PV Data"}</definedName>
    <definedName name="_w9" localSheetId="0" hidden="1">{"PVGraph2",#N/A,FALSE,"PV Data"}</definedName>
    <definedName name="_w9" hidden="1">{"PVGraph2",#N/A,FALSE,"PV Data"}</definedName>
    <definedName name="_x2" localSheetId="4" hidden="1">{"PVGraph2",#N/A,FALSE,"PV Data"}</definedName>
    <definedName name="_x2" localSheetId="6" hidden="1">{"PVGraph2",#N/A,FALSE,"PV Data"}</definedName>
    <definedName name="_x2" localSheetId="0" hidden="1">{"PVGraph2",#N/A,FALSE,"PV Data"}</definedName>
    <definedName name="_x2" hidden="1">{"PVGraph2",#N/A,FALSE,"PV Data"}</definedName>
    <definedName name="_y2" localSheetId="4" hidden="1">{"PVGraph2",#N/A,FALSE,"PV Data"}</definedName>
    <definedName name="_y2" localSheetId="6" hidden="1">{"PVGraph2",#N/A,FALSE,"PV Data"}</definedName>
    <definedName name="_y2" localSheetId="0" hidden="1">{"PVGraph2",#N/A,FALSE,"PV Data"}</definedName>
    <definedName name="_y2" hidden="1">{"PVGraph2",#N/A,FALSE,"PV Data"}</definedName>
    <definedName name="a" localSheetId="4" hidden="1">{#N/A,"100% Success",TRUE,"Sales Forecast";#N/A,#N/A,TRUE,"Sheet2"}</definedName>
    <definedName name="a" localSheetId="6" hidden="1">{#N/A,"100% Success",TRUE,"Sales Forecast";#N/A,#N/A,TRUE,"Sheet2"}</definedName>
    <definedName name="a" localSheetId="0" hidden="1">{#N/A,"100% Success",TRUE,"Sales Forecast";#N/A,#N/A,TRUE,"Sheet2"}</definedName>
    <definedName name="a" hidden="1">{#N/A,"100% Success",TRUE,"Sales Forecast";#N/A,#N/A,TRUE,"Sheet2"}</definedName>
    <definedName name="ACCDEP_1995">#REF!</definedName>
    <definedName name="ACCDEP_1996">#REF!</definedName>
    <definedName name="ACCDEP_1997">#REF!</definedName>
    <definedName name="ACCDEP_1998">#REF!</definedName>
    <definedName name="ACCDEP_1999">#REF!</definedName>
    <definedName name="ACCDEP_1Q00">#REF!</definedName>
    <definedName name="ACCDEP_1Q01">#REF!</definedName>
    <definedName name="ACCDEP_1Q02">#REF!</definedName>
    <definedName name="ACCDEP_1Q03">#REF!</definedName>
    <definedName name="ACCDEP_1Q04">#REF!</definedName>
    <definedName name="ACCDEP_1Q05">#REF!</definedName>
    <definedName name="ACCDEP_1Q06">#REF!</definedName>
    <definedName name="ACCDEP_1Q07">#REF!</definedName>
    <definedName name="ACCDEP_1Q08">#REF!</definedName>
    <definedName name="ACCDEP_1Q09">#REF!</definedName>
    <definedName name="ACCDEP_1Q10">#REF!</definedName>
    <definedName name="ACCDEP_1Q11">#REF!</definedName>
    <definedName name="ACCDEP_1Q12">#REF!</definedName>
    <definedName name="ACCDEP_1Q13">#REF!</definedName>
    <definedName name="ACCDEP_1Q14">#REF!</definedName>
    <definedName name="ACCDEP_1Q15">#REF!</definedName>
    <definedName name="ACCDEP_1Q16">#REF!</definedName>
    <definedName name="ACCDEP_1Q17">#REF!</definedName>
    <definedName name="ACCDEP_1Q18">#REF!</definedName>
    <definedName name="ACCDEP_1Q19">#REF!</definedName>
    <definedName name="ACCDEP_1Q20">#REF!</definedName>
    <definedName name="ACCDEP_1Q21">#REF!</definedName>
    <definedName name="ACCDEP_1Q22">#REF!</definedName>
    <definedName name="ACCDEP_1Q23">#REF!</definedName>
    <definedName name="ACCDEP_1Q24">#REF!</definedName>
    <definedName name="ACCDEP_2000">#REF!</definedName>
    <definedName name="ACCDEP_2001">#REF!</definedName>
    <definedName name="ACCDEP_2002">#REF!</definedName>
    <definedName name="ACCDEP_2003">#REF!</definedName>
    <definedName name="ACCDEP_2004">#REF!</definedName>
    <definedName name="ACCDEP_2005">#REF!</definedName>
    <definedName name="ACCDEP_2006">#REF!</definedName>
    <definedName name="ACCDEP_2007">#REF!</definedName>
    <definedName name="ACCDEP_2008">#REF!</definedName>
    <definedName name="ACCDEP_2009">#REF!</definedName>
    <definedName name="ACCDEP_2010">#REF!</definedName>
    <definedName name="ACCDEP_2011">#REF!</definedName>
    <definedName name="ACCDEP_2012">#REF!</definedName>
    <definedName name="ACCDEP_2013">#REF!</definedName>
    <definedName name="ACCDEP_2014">#REF!</definedName>
    <definedName name="ACCDEP_2015">#REF!</definedName>
    <definedName name="ACCDEP_2016">#REF!</definedName>
    <definedName name="ACCDEP_2017">#REF!</definedName>
    <definedName name="ACCDEP_2018">#REF!</definedName>
    <definedName name="ACCDEP_2019">#REF!</definedName>
    <definedName name="ACCDEP_2020">#REF!</definedName>
    <definedName name="ACCDEP_2021">#REF!</definedName>
    <definedName name="ACCDEP_2022">#REF!</definedName>
    <definedName name="ACCDEP_2023">#REF!</definedName>
    <definedName name="ACCDEP_2024">#REF!</definedName>
    <definedName name="ACCDEP_2Q00">#REF!</definedName>
    <definedName name="ACCDEP_2Q01">#REF!</definedName>
    <definedName name="ACCDEP_2Q02">#REF!</definedName>
    <definedName name="ACCDEP_2Q03">#REF!</definedName>
    <definedName name="ACCDEP_2Q04">#REF!</definedName>
    <definedName name="ACCDEP_2Q05">#REF!</definedName>
    <definedName name="ACCDEP_2Q06">#REF!</definedName>
    <definedName name="ACCDEP_2Q07">#REF!</definedName>
    <definedName name="ACCDEP_2Q08">#REF!</definedName>
    <definedName name="ACCDEP_2Q09">#REF!</definedName>
    <definedName name="ACCDEP_2Q10">#REF!</definedName>
    <definedName name="ACCDEP_2Q11">#REF!</definedName>
    <definedName name="ACCDEP_2Q12">#REF!</definedName>
    <definedName name="ACCDEP_2Q13">#REF!</definedName>
    <definedName name="ACCDEP_2Q14">#REF!</definedName>
    <definedName name="ACCDEP_2Q15">#REF!</definedName>
    <definedName name="ACCDEP_2Q16">#REF!</definedName>
    <definedName name="ACCDEP_2Q17">#REF!</definedName>
    <definedName name="ACCDEP_2Q18">#REF!</definedName>
    <definedName name="ACCDEP_2Q19">#REF!</definedName>
    <definedName name="ACCDEP_2Q20">#REF!</definedName>
    <definedName name="ACCDEP_2Q21">#REF!</definedName>
    <definedName name="ACCDEP_2Q22">#REF!</definedName>
    <definedName name="ACCDEP_2Q23">#REF!</definedName>
    <definedName name="ACCDEP_2Q24">#REF!</definedName>
    <definedName name="ACCDEP_3Q00">#REF!</definedName>
    <definedName name="ACCDEP_3Q01">#REF!</definedName>
    <definedName name="ACCDEP_3Q02">#REF!</definedName>
    <definedName name="ACCDEP_3Q03">#REF!</definedName>
    <definedName name="ACCDEP_3Q04">#REF!</definedName>
    <definedName name="ACCDEP_3Q05">#REF!</definedName>
    <definedName name="ACCDEP_3Q06">#REF!</definedName>
    <definedName name="ACCDEP_3Q07">#REF!</definedName>
    <definedName name="ACCDEP_3Q08">#REF!</definedName>
    <definedName name="ACCDEP_3Q09">#REF!</definedName>
    <definedName name="ACCDEP_3Q10">#REF!</definedName>
    <definedName name="ACCDEP_3Q11">#REF!</definedName>
    <definedName name="ACCDEP_3Q12">#REF!</definedName>
    <definedName name="ACCDEP_3Q13">#REF!</definedName>
    <definedName name="ACCDEP_3Q14">#REF!</definedName>
    <definedName name="ACCDEP_3Q15">#REF!</definedName>
    <definedName name="ACCDEP_3Q16">#REF!</definedName>
    <definedName name="ACCDEP_3Q17">#REF!</definedName>
    <definedName name="ACCDEP_3Q18">#REF!</definedName>
    <definedName name="ACCDEP_3Q19">#REF!</definedName>
    <definedName name="ACCDEP_3Q20">#REF!</definedName>
    <definedName name="ACCDEP_3Q21">#REF!</definedName>
    <definedName name="ACCDEP_3Q22">#REF!</definedName>
    <definedName name="ACCDEP_3Q23">#REF!</definedName>
    <definedName name="ACCDEP_3Q24">#REF!</definedName>
    <definedName name="ACCDEP_4Q00">#REF!</definedName>
    <definedName name="ACCDEP_4Q01">#REF!</definedName>
    <definedName name="ACCDEP_4Q02">#REF!</definedName>
    <definedName name="ACCDEP_4Q03">#REF!</definedName>
    <definedName name="ACCDEP_4Q04">#REF!</definedName>
    <definedName name="ACCDEP_4Q05">#REF!</definedName>
    <definedName name="ACCDEP_4Q06">#REF!</definedName>
    <definedName name="ACCDEP_4Q07">#REF!</definedName>
    <definedName name="ACCDEP_4Q08">#REF!</definedName>
    <definedName name="ACCDEP_4Q09">#REF!</definedName>
    <definedName name="ACCDEP_4Q10">#REF!</definedName>
    <definedName name="ACCDEP_4Q11">#REF!</definedName>
    <definedName name="ACCDEP_4Q12">#REF!</definedName>
    <definedName name="ACCDEP_4Q13">#REF!</definedName>
    <definedName name="ACCDEP_4Q14">#REF!</definedName>
    <definedName name="ACCDEP_4Q15">#REF!</definedName>
    <definedName name="ACCDEP_4Q16">#REF!</definedName>
    <definedName name="ACCDEP_4Q17">#REF!</definedName>
    <definedName name="ACCDEP_4Q18">#REF!</definedName>
    <definedName name="ACCDEP_4Q19">#REF!</definedName>
    <definedName name="ACCDEP_4Q20">#REF!</definedName>
    <definedName name="ACCDEP_4Q21">#REF!</definedName>
    <definedName name="ACCDEP_4Q22">#REF!</definedName>
    <definedName name="ACCDEP_4Q23">#REF!</definedName>
    <definedName name="ACCDEP_4Q24">#REF!</definedName>
    <definedName name="ACCREC_1995">#REF!</definedName>
    <definedName name="ACCREC_1996">#REF!</definedName>
    <definedName name="ACCREC_1997">#REF!</definedName>
    <definedName name="ACCREC_1998">#REF!</definedName>
    <definedName name="ACCREC_1999">#REF!</definedName>
    <definedName name="ACCREC_1Q00">#REF!</definedName>
    <definedName name="ACCREC_1Q01">#REF!</definedName>
    <definedName name="ACCREC_1Q02">#REF!</definedName>
    <definedName name="ACCREC_1Q03">#REF!</definedName>
    <definedName name="ACCREC_1Q04">#REF!</definedName>
    <definedName name="ACCREC_1Q05">#REF!</definedName>
    <definedName name="ACCREC_1Q06">#REF!</definedName>
    <definedName name="ACCREC_1Q07">#REF!</definedName>
    <definedName name="ACCREC_1Q08">#REF!</definedName>
    <definedName name="ACCREC_1Q09">#REF!</definedName>
    <definedName name="ACCREC_1Q10">#REF!</definedName>
    <definedName name="ACCREC_1Q11">#REF!</definedName>
    <definedName name="ACCREC_1Q12">#REF!</definedName>
    <definedName name="ACCREC_1Q13">#REF!</definedName>
    <definedName name="ACCREC_1Q14">#REF!</definedName>
    <definedName name="ACCREC_1Q15">#REF!</definedName>
    <definedName name="ACCREC_1Q16">#REF!</definedName>
    <definedName name="ACCREC_1Q17">#REF!</definedName>
    <definedName name="ACCREC_1Q18">#REF!</definedName>
    <definedName name="ACCREC_1Q19">#REF!</definedName>
    <definedName name="ACCREC_1Q20">#REF!</definedName>
    <definedName name="ACCREC_1Q21">#REF!</definedName>
    <definedName name="ACCREC_1Q22">#REF!</definedName>
    <definedName name="ACCREC_1Q23">#REF!</definedName>
    <definedName name="ACCREC_1Q24">#REF!</definedName>
    <definedName name="ACCREC_2000">#REF!</definedName>
    <definedName name="ACCREC_2001">#REF!</definedName>
    <definedName name="ACCREC_2002">#REF!</definedName>
    <definedName name="ACCREC_2003">#REF!</definedName>
    <definedName name="ACCREC_2004">#REF!</definedName>
    <definedName name="ACCREC_2005">#REF!</definedName>
    <definedName name="ACCREC_2006">#REF!</definedName>
    <definedName name="ACCREC_2007">#REF!</definedName>
    <definedName name="ACCREC_2008">#REF!</definedName>
    <definedName name="ACCREC_2009">#REF!</definedName>
    <definedName name="ACCREC_2010">#REF!</definedName>
    <definedName name="ACCREC_2011">#REF!</definedName>
    <definedName name="ACCREC_2012">#REF!</definedName>
    <definedName name="ACCREC_2013">#REF!</definedName>
    <definedName name="ACCREC_2014">#REF!</definedName>
    <definedName name="ACCREC_2015">#REF!</definedName>
    <definedName name="ACCREC_2016">#REF!</definedName>
    <definedName name="ACCREC_2017">#REF!</definedName>
    <definedName name="ACCREC_2018">#REF!</definedName>
    <definedName name="ACCREC_2019">#REF!</definedName>
    <definedName name="ACCREC_2020">#REF!</definedName>
    <definedName name="ACCREC_2021">#REF!</definedName>
    <definedName name="ACCREC_2022">#REF!</definedName>
    <definedName name="ACCREC_2023">#REF!</definedName>
    <definedName name="ACCREC_2024">#REF!</definedName>
    <definedName name="ACCREC_2Q00">#REF!</definedName>
    <definedName name="ACCREC_2Q01">#REF!</definedName>
    <definedName name="ACCREC_2Q02">#REF!</definedName>
    <definedName name="ACCREC_2Q03">#REF!</definedName>
    <definedName name="ACCREC_2Q04">#REF!</definedName>
    <definedName name="ACCREC_2Q05">#REF!</definedName>
    <definedName name="ACCREC_2Q06">#REF!</definedName>
    <definedName name="ACCREC_2Q07">#REF!</definedName>
    <definedName name="ACCREC_2Q08">#REF!</definedName>
    <definedName name="ACCREC_2Q09">#REF!</definedName>
    <definedName name="ACCREC_2Q10">#REF!</definedName>
    <definedName name="ACCREC_2Q11">#REF!</definedName>
    <definedName name="ACCREC_2Q12">#REF!</definedName>
    <definedName name="ACCREC_2Q13">#REF!</definedName>
    <definedName name="ACCREC_2Q14">#REF!</definedName>
    <definedName name="ACCREC_2Q15">#REF!</definedName>
    <definedName name="ACCREC_2Q16">#REF!</definedName>
    <definedName name="ACCREC_2Q17">#REF!</definedName>
    <definedName name="ACCREC_2Q18">#REF!</definedName>
    <definedName name="ACCREC_2Q19">#REF!</definedName>
    <definedName name="ACCREC_2Q20">#REF!</definedName>
    <definedName name="ACCREC_2Q21">#REF!</definedName>
    <definedName name="ACCREC_2Q22">#REF!</definedName>
    <definedName name="ACCREC_2Q23">#REF!</definedName>
    <definedName name="ACCREC_2Q24">#REF!</definedName>
    <definedName name="ACCREC_3Q00">#REF!</definedName>
    <definedName name="ACCREC_3Q01">#REF!</definedName>
    <definedName name="ACCREC_3Q02">#REF!</definedName>
    <definedName name="ACCREC_3Q03">#REF!</definedName>
    <definedName name="ACCREC_3Q04">#REF!</definedName>
    <definedName name="ACCREC_3Q05">#REF!</definedName>
    <definedName name="ACCREC_3Q06">#REF!</definedName>
    <definedName name="ACCREC_3Q07">#REF!</definedName>
    <definedName name="ACCREC_3Q08">#REF!</definedName>
    <definedName name="ACCREC_3Q09">#REF!</definedName>
    <definedName name="ACCREC_3Q10">#REF!</definedName>
    <definedName name="ACCREC_3Q11">#REF!</definedName>
    <definedName name="ACCREC_3Q12">#REF!</definedName>
    <definedName name="ACCREC_3Q13">#REF!</definedName>
    <definedName name="ACCREC_3Q14">#REF!</definedName>
    <definedName name="ACCREC_3Q15">#REF!</definedName>
    <definedName name="ACCREC_3Q16">#REF!</definedName>
    <definedName name="ACCREC_3Q17">#REF!</definedName>
    <definedName name="ACCREC_3Q18">#REF!</definedName>
    <definedName name="ACCREC_3Q19">#REF!</definedName>
    <definedName name="ACCREC_3Q20">#REF!</definedName>
    <definedName name="ACCREC_3Q21">#REF!</definedName>
    <definedName name="ACCREC_3Q22">#REF!</definedName>
    <definedName name="ACCREC_3Q23">#REF!</definedName>
    <definedName name="ACCREC_3Q24">#REF!</definedName>
    <definedName name="ACCREC_4Q00">#REF!</definedName>
    <definedName name="ACCREC_4Q01">#REF!</definedName>
    <definedName name="ACCREC_4Q02">#REF!</definedName>
    <definedName name="ACCREC_4Q03">#REF!</definedName>
    <definedName name="ACCREC_4Q04">#REF!</definedName>
    <definedName name="ACCREC_4Q05">#REF!</definedName>
    <definedName name="ACCREC_4Q06">#REF!</definedName>
    <definedName name="ACCREC_4Q07">#REF!</definedName>
    <definedName name="ACCREC_4Q08">#REF!</definedName>
    <definedName name="ACCREC_4Q09">#REF!</definedName>
    <definedName name="ACCREC_4Q10">#REF!</definedName>
    <definedName name="ACCREC_4Q11">#REF!</definedName>
    <definedName name="ACCREC_4Q12">#REF!</definedName>
    <definedName name="ACCREC_4Q13">#REF!</definedName>
    <definedName name="ACCREC_4Q14">#REF!</definedName>
    <definedName name="ACCREC_4Q15">#REF!</definedName>
    <definedName name="ACCREC_4Q16">#REF!</definedName>
    <definedName name="ACCREC_4Q17">#REF!</definedName>
    <definedName name="ACCREC_4Q18">#REF!</definedName>
    <definedName name="ACCREC_4Q19">#REF!</definedName>
    <definedName name="ACCREC_4Q20">#REF!</definedName>
    <definedName name="ACCREC_4Q21">#REF!</definedName>
    <definedName name="ACCREC_4Q22">#REF!</definedName>
    <definedName name="ACCREC_4Q23">#REF!</definedName>
    <definedName name="ACCREC_4Q24">#REF!</definedName>
    <definedName name="Adjusted_EBIT">#REF!</definedName>
    <definedName name="Adjusted_EBITDA">#REF!</definedName>
    <definedName name="AIIGNI_1995">#REF!</definedName>
    <definedName name="AIIGNI_1996">#REF!</definedName>
    <definedName name="AIIGNI_1997">#REF!</definedName>
    <definedName name="AIIGNI_1998">#REF!</definedName>
    <definedName name="AIIGNI_1999">#REF!</definedName>
    <definedName name="AIIGNI_1Q00">#REF!</definedName>
    <definedName name="AIIGNI_1Q01">#REF!</definedName>
    <definedName name="AIIGNI_1Q02">#REF!</definedName>
    <definedName name="AIIGNI_1Q03">#REF!</definedName>
    <definedName name="AIIGNI_1Q04">#REF!</definedName>
    <definedName name="AIIGNI_1Q05">#REF!</definedName>
    <definedName name="AIIGNI_1Q06">#REF!</definedName>
    <definedName name="AIIGNI_1Q07">#REF!</definedName>
    <definedName name="AIIGNI_1Q08">#REF!</definedName>
    <definedName name="AIIGNI_1Q09">#REF!</definedName>
    <definedName name="AIIGNI_1Q10">#REF!</definedName>
    <definedName name="AIIGNI_1Q11">#REF!</definedName>
    <definedName name="AIIGNI_1Q12">#REF!</definedName>
    <definedName name="AIIGNI_1Q13">#REF!</definedName>
    <definedName name="AIIGNI_1Q14">#REF!</definedName>
    <definedName name="AIIGNI_1Q15">#REF!</definedName>
    <definedName name="AIIGNI_1Q16">#REF!</definedName>
    <definedName name="AIIGNI_1Q17">#REF!</definedName>
    <definedName name="AIIGNI_1Q18">#REF!</definedName>
    <definedName name="AIIGNI_1Q19">#REF!</definedName>
    <definedName name="AIIGNI_1Q20">#REF!</definedName>
    <definedName name="AIIGNI_1Q21">#REF!</definedName>
    <definedName name="AIIGNI_1Q22">#REF!</definedName>
    <definedName name="AIIGNI_1Q23">#REF!</definedName>
    <definedName name="AIIGNI_1Q24">#REF!</definedName>
    <definedName name="AIIGNI_2000">#REF!</definedName>
    <definedName name="AIIGNI_2001">#REF!</definedName>
    <definedName name="AIIGNI_2002">#REF!</definedName>
    <definedName name="AIIGNI_2003">#REF!</definedName>
    <definedName name="AIIGNI_2004">#REF!</definedName>
    <definedName name="AIIGNI_2005">#REF!</definedName>
    <definedName name="AIIGNI_2006">#REF!</definedName>
    <definedName name="AIIGNI_2007">#REF!</definedName>
    <definedName name="AIIGNI_2008">#REF!</definedName>
    <definedName name="AIIGNI_2009">#REF!</definedName>
    <definedName name="AIIGNI_2010">#REF!</definedName>
    <definedName name="AIIGNI_2011">#REF!</definedName>
    <definedName name="AIIGNI_2012">#REF!</definedName>
    <definedName name="AIIGNI_2013">#REF!</definedName>
    <definedName name="AIIGNI_2014">#REF!</definedName>
    <definedName name="AIIGNI_2015">#REF!</definedName>
    <definedName name="AIIGNI_2016">#REF!</definedName>
    <definedName name="AIIGNI_2017">#REF!</definedName>
    <definedName name="AIIGNI_2018">#REF!</definedName>
    <definedName name="AIIGNI_2019">#REF!</definedName>
    <definedName name="AIIGNI_2020">#REF!</definedName>
    <definedName name="AIIGNI_2021">#REF!</definedName>
    <definedName name="AIIGNI_2022">#REF!</definedName>
    <definedName name="AIIGNI_2023">#REF!</definedName>
    <definedName name="AIIGNI_2024">#REF!</definedName>
    <definedName name="AIIGNI_2Q00">#REF!</definedName>
    <definedName name="AIIGNI_2Q01">#REF!</definedName>
    <definedName name="AIIGNI_2Q02">#REF!</definedName>
    <definedName name="AIIGNI_2Q03">#REF!</definedName>
    <definedName name="AIIGNI_2Q04">#REF!</definedName>
    <definedName name="AIIGNI_2Q05">#REF!</definedName>
    <definedName name="AIIGNI_2Q06">#REF!</definedName>
    <definedName name="AIIGNI_2Q07">#REF!</definedName>
    <definedName name="AIIGNI_2Q08">#REF!</definedName>
    <definedName name="AIIGNI_2Q09">#REF!</definedName>
    <definedName name="AIIGNI_2Q10">#REF!</definedName>
    <definedName name="AIIGNI_2Q11">#REF!</definedName>
    <definedName name="AIIGNI_2Q12">#REF!</definedName>
    <definedName name="AIIGNI_2Q13">#REF!</definedName>
    <definedName name="AIIGNI_2Q14">#REF!</definedName>
    <definedName name="AIIGNI_2Q15">#REF!</definedName>
    <definedName name="AIIGNI_2Q16">#REF!</definedName>
    <definedName name="AIIGNI_2Q17">#REF!</definedName>
    <definedName name="AIIGNI_2Q18">#REF!</definedName>
    <definedName name="AIIGNI_2Q19">#REF!</definedName>
    <definedName name="AIIGNI_2Q20">#REF!</definedName>
    <definedName name="AIIGNI_2Q21">#REF!</definedName>
    <definedName name="AIIGNI_2Q22">#REF!</definedName>
    <definedName name="AIIGNI_2Q23">#REF!</definedName>
    <definedName name="AIIGNI_2Q24">#REF!</definedName>
    <definedName name="AIIGNI_3Q00">#REF!</definedName>
    <definedName name="AIIGNI_3Q01">#REF!</definedName>
    <definedName name="AIIGNI_3Q02">#REF!</definedName>
    <definedName name="AIIGNI_3Q03">#REF!</definedName>
    <definedName name="AIIGNI_3Q04">#REF!</definedName>
    <definedName name="AIIGNI_3Q05">#REF!</definedName>
    <definedName name="AIIGNI_3Q06">#REF!</definedName>
    <definedName name="AIIGNI_3Q07">#REF!</definedName>
    <definedName name="AIIGNI_3Q08">#REF!</definedName>
    <definedName name="AIIGNI_3Q09">#REF!</definedName>
    <definedName name="AIIGNI_3Q10">#REF!</definedName>
    <definedName name="AIIGNI_3Q11">#REF!</definedName>
    <definedName name="AIIGNI_3Q12">#REF!</definedName>
    <definedName name="AIIGNI_3Q13">#REF!</definedName>
    <definedName name="AIIGNI_3Q14">#REF!</definedName>
    <definedName name="AIIGNI_3Q15">#REF!</definedName>
    <definedName name="AIIGNI_3Q16">#REF!</definedName>
    <definedName name="AIIGNI_3Q17">#REF!</definedName>
    <definedName name="AIIGNI_3Q18">#REF!</definedName>
    <definedName name="AIIGNI_3Q19">#REF!</definedName>
    <definedName name="AIIGNI_3Q20">#REF!</definedName>
    <definedName name="AIIGNI_3Q21">#REF!</definedName>
    <definedName name="AIIGNI_3Q22">#REF!</definedName>
    <definedName name="AIIGNI_3Q23">#REF!</definedName>
    <definedName name="AIIGNI_3Q24">#REF!</definedName>
    <definedName name="AIIGNI_4Q00">#REF!</definedName>
    <definedName name="AIIGNI_4Q01">#REF!</definedName>
    <definedName name="AIIGNI_4Q02">#REF!</definedName>
    <definedName name="AIIGNI_4Q03">#REF!</definedName>
    <definedName name="AIIGNI_4Q04">#REF!</definedName>
    <definedName name="AIIGNI_4Q05">#REF!</definedName>
    <definedName name="AIIGNI_4Q06">#REF!</definedName>
    <definedName name="AIIGNI_4Q07">#REF!</definedName>
    <definedName name="AIIGNI_4Q08">#REF!</definedName>
    <definedName name="AIIGNI_4Q09">#REF!</definedName>
    <definedName name="AIIGNI_4Q10">#REF!</definedName>
    <definedName name="AIIGNI_4Q11">#REF!</definedName>
    <definedName name="AIIGNI_4Q12">#REF!</definedName>
    <definedName name="AIIGNI_4Q13">#REF!</definedName>
    <definedName name="AIIGNI_4Q14">#REF!</definedName>
    <definedName name="AIIGNI_4Q15">#REF!</definedName>
    <definedName name="AIIGNI_4Q16">#REF!</definedName>
    <definedName name="AIIGNI_4Q17">#REF!</definedName>
    <definedName name="AIIGNI_4Q18">#REF!</definedName>
    <definedName name="AIIGNI_4Q19">#REF!</definedName>
    <definedName name="AIIGNI_4Q20">#REF!</definedName>
    <definedName name="AIIGNI_4Q21">#REF!</definedName>
    <definedName name="AIIGNI_4Q22">#REF!</definedName>
    <definedName name="AIIGNI_4Q23">#REF!</definedName>
    <definedName name="AIIGNI_4Q24">#REF!</definedName>
    <definedName name="ALSTAJ_1995">#REF!</definedName>
    <definedName name="ALSTAJ_1996">#REF!</definedName>
    <definedName name="ALSTAJ_1997">#REF!</definedName>
    <definedName name="ALSTAJ_1998">#REF!</definedName>
    <definedName name="ALSTAJ_1999">#REF!</definedName>
    <definedName name="ALSTAJ_1Q00">#REF!</definedName>
    <definedName name="ALSTAJ_1Q01">#REF!</definedName>
    <definedName name="ALSTAJ_1Q02">#REF!</definedName>
    <definedName name="ALSTAJ_1Q03">#REF!</definedName>
    <definedName name="ALSTAJ_1Q04">#REF!</definedName>
    <definedName name="ALSTAJ_1Q05">#REF!</definedName>
    <definedName name="ALSTAJ_1Q06">#REF!</definedName>
    <definedName name="ALSTAJ_1Q07">#REF!</definedName>
    <definedName name="ALSTAJ_1Q08">#REF!</definedName>
    <definedName name="ALSTAJ_1Q09">#REF!</definedName>
    <definedName name="ALSTAJ_1Q10">#REF!</definedName>
    <definedName name="ALSTAJ_1Q11">#REF!</definedName>
    <definedName name="ALSTAJ_1Q12">#REF!</definedName>
    <definedName name="ALSTAJ_1Q13">#REF!</definedName>
    <definedName name="ALSTAJ_1Q14">#REF!</definedName>
    <definedName name="ALSTAJ_1Q15">#REF!</definedName>
    <definedName name="ALSTAJ_1Q16">#REF!</definedName>
    <definedName name="ALSTAJ_1Q17">#REF!</definedName>
    <definedName name="ALSTAJ_1Q18">#REF!</definedName>
    <definedName name="ALSTAJ_1Q19">#REF!</definedName>
    <definedName name="ALSTAJ_1Q20">#REF!</definedName>
    <definedName name="ALSTAJ_1Q21">#REF!</definedName>
    <definedName name="ALSTAJ_1Q22">#REF!</definedName>
    <definedName name="ALSTAJ_1Q23">#REF!</definedName>
    <definedName name="ALSTAJ_1Q24">#REF!</definedName>
    <definedName name="ALSTAJ_2000">#REF!</definedName>
    <definedName name="ALSTAJ_2001">#REF!</definedName>
    <definedName name="ALSTAJ_2002">#REF!</definedName>
    <definedName name="ALSTAJ_2003">#REF!</definedName>
    <definedName name="ALSTAJ_2004">#REF!</definedName>
    <definedName name="ALSTAJ_2005">#REF!</definedName>
    <definedName name="ALSTAJ_2006">#REF!</definedName>
    <definedName name="ALSTAJ_2007">#REF!</definedName>
    <definedName name="ALSTAJ_2008">#REF!</definedName>
    <definedName name="ALSTAJ_2009">#REF!</definedName>
    <definedName name="ALSTAJ_2010">#REF!</definedName>
    <definedName name="ALSTAJ_2011">#REF!</definedName>
    <definedName name="ALSTAJ_2012">#REF!</definedName>
    <definedName name="ALSTAJ_2013">#REF!</definedName>
    <definedName name="ALSTAJ_2014">#REF!</definedName>
    <definedName name="ALSTAJ_2015">#REF!</definedName>
    <definedName name="ALSTAJ_2016">#REF!</definedName>
    <definedName name="ALSTAJ_2017">#REF!</definedName>
    <definedName name="ALSTAJ_2018">#REF!</definedName>
    <definedName name="ALSTAJ_2019">#REF!</definedName>
    <definedName name="ALSTAJ_2020">#REF!</definedName>
    <definedName name="ALSTAJ_2021">#REF!</definedName>
    <definedName name="ALSTAJ_2022">#REF!</definedName>
    <definedName name="ALSTAJ_2023">#REF!</definedName>
    <definedName name="ALSTAJ_2024">#REF!</definedName>
    <definedName name="ALSTAJ_2Q00">#REF!</definedName>
    <definedName name="ALSTAJ_2Q01">#REF!</definedName>
    <definedName name="ALSTAJ_2Q02">#REF!</definedName>
    <definedName name="ALSTAJ_2Q03">#REF!</definedName>
    <definedName name="ALSTAJ_2Q04">#REF!</definedName>
    <definedName name="ALSTAJ_2Q05">#REF!</definedName>
    <definedName name="ALSTAJ_2Q06">#REF!</definedName>
    <definedName name="ALSTAJ_2Q07">#REF!</definedName>
    <definedName name="ALSTAJ_2Q08">#REF!</definedName>
    <definedName name="ALSTAJ_2Q09">#REF!</definedName>
    <definedName name="ALSTAJ_2Q10">#REF!</definedName>
    <definedName name="ALSTAJ_2Q11">#REF!</definedName>
    <definedName name="ALSTAJ_2Q12">#REF!</definedName>
    <definedName name="ALSTAJ_2Q13">#REF!</definedName>
    <definedName name="ALSTAJ_2Q14">#REF!</definedName>
    <definedName name="ALSTAJ_2Q15">#REF!</definedName>
    <definedName name="ALSTAJ_2Q16">#REF!</definedName>
    <definedName name="ALSTAJ_2Q17">#REF!</definedName>
    <definedName name="ALSTAJ_2Q18">#REF!</definedName>
    <definedName name="ALSTAJ_2Q19">#REF!</definedName>
    <definedName name="ALSTAJ_2Q20">#REF!</definedName>
    <definedName name="ALSTAJ_2Q21">#REF!</definedName>
    <definedName name="ALSTAJ_2Q22">#REF!</definedName>
    <definedName name="ALSTAJ_2Q23">#REF!</definedName>
    <definedName name="ALSTAJ_2Q24">#REF!</definedName>
    <definedName name="ALSTAJ_3Q00">#REF!</definedName>
    <definedName name="ALSTAJ_3Q01">#REF!</definedName>
    <definedName name="ALSTAJ_3Q02">#REF!</definedName>
    <definedName name="ALSTAJ_3Q03">#REF!</definedName>
    <definedName name="ALSTAJ_3Q04">#REF!</definedName>
    <definedName name="ALSTAJ_3Q05">#REF!</definedName>
    <definedName name="ALSTAJ_3Q06">#REF!</definedName>
    <definedName name="ALSTAJ_3Q07">#REF!</definedName>
    <definedName name="ALSTAJ_3Q08">#REF!</definedName>
    <definedName name="ALSTAJ_3Q09">#REF!</definedName>
    <definedName name="ALSTAJ_3Q10">#REF!</definedName>
    <definedName name="ALSTAJ_3Q11">#REF!</definedName>
    <definedName name="ALSTAJ_3Q12">#REF!</definedName>
    <definedName name="ALSTAJ_3Q13">#REF!</definedName>
    <definedName name="ALSTAJ_3Q14">#REF!</definedName>
    <definedName name="ALSTAJ_3Q15">#REF!</definedName>
    <definedName name="ALSTAJ_3Q16">#REF!</definedName>
    <definedName name="ALSTAJ_3Q17">#REF!</definedName>
    <definedName name="ALSTAJ_3Q18">#REF!</definedName>
    <definedName name="ALSTAJ_3Q19">#REF!</definedName>
    <definedName name="ALSTAJ_3Q20">#REF!</definedName>
    <definedName name="ALSTAJ_3Q21">#REF!</definedName>
    <definedName name="ALSTAJ_3Q22">#REF!</definedName>
    <definedName name="ALSTAJ_3Q23">#REF!</definedName>
    <definedName name="ALSTAJ_3Q24">#REF!</definedName>
    <definedName name="ALSTAJ_4Q00">#REF!</definedName>
    <definedName name="ALSTAJ_4Q01">#REF!</definedName>
    <definedName name="ALSTAJ_4Q02">#REF!</definedName>
    <definedName name="ALSTAJ_4Q03">#REF!</definedName>
    <definedName name="ALSTAJ_4Q04">#REF!</definedName>
    <definedName name="ALSTAJ_4Q05">#REF!</definedName>
    <definedName name="ALSTAJ_4Q06">#REF!</definedName>
    <definedName name="ALSTAJ_4Q07">#REF!</definedName>
    <definedName name="ALSTAJ_4Q08">#REF!</definedName>
    <definedName name="ALSTAJ_4Q09">#REF!</definedName>
    <definedName name="ALSTAJ_4Q10">#REF!</definedName>
    <definedName name="ALSTAJ_4Q11">#REF!</definedName>
    <definedName name="ALSTAJ_4Q12">#REF!</definedName>
    <definedName name="ALSTAJ_4Q13">#REF!</definedName>
    <definedName name="ALSTAJ_4Q14">#REF!</definedName>
    <definedName name="ALSTAJ_4Q15">#REF!</definedName>
    <definedName name="ALSTAJ_4Q16">#REF!</definedName>
    <definedName name="ALSTAJ_4Q17">#REF!</definedName>
    <definedName name="ALSTAJ_4Q18">#REF!</definedName>
    <definedName name="ALSTAJ_4Q19">#REF!</definedName>
    <definedName name="ALSTAJ_4Q20">#REF!</definedName>
    <definedName name="ALSTAJ_4Q21">#REF!</definedName>
    <definedName name="ALSTAJ_4Q22">#REF!</definedName>
    <definedName name="ALSTAJ_4Q23">#REF!</definedName>
    <definedName name="ALSTAJ_4Q24">#REF!</definedName>
    <definedName name="AMGOOD_1995">#REF!</definedName>
    <definedName name="AMGOOD_1996">#REF!</definedName>
    <definedName name="AMGOOD_1997">#REF!</definedName>
    <definedName name="AMGOOD_1998">#REF!</definedName>
    <definedName name="AMGOOD_1999">#REF!</definedName>
    <definedName name="AMGOOD_1Q00">#REF!</definedName>
    <definedName name="AMGOOD_1Q01">#REF!</definedName>
    <definedName name="AMGOOD_1Q02">#REF!</definedName>
    <definedName name="AMGOOD_1Q03">#REF!</definedName>
    <definedName name="AMGOOD_1Q04">#REF!</definedName>
    <definedName name="AMGOOD_1Q05">#REF!</definedName>
    <definedName name="AMGOOD_1Q06">#REF!</definedName>
    <definedName name="AMGOOD_1Q07">#REF!</definedName>
    <definedName name="AMGOOD_1Q08">#REF!</definedName>
    <definedName name="AMGOOD_1Q09">#REF!</definedName>
    <definedName name="AMGOOD_1Q10">#REF!</definedName>
    <definedName name="AMGOOD_1Q11">#REF!</definedName>
    <definedName name="AMGOOD_1Q12">#REF!</definedName>
    <definedName name="AMGOOD_1Q13">#REF!</definedName>
    <definedName name="AMGOOD_1Q14">#REF!</definedName>
    <definedName name="AMGOOD_1Q15">#REF!</definedName>
    <definedName name="AMGOOD_1Q16">#REF!</definedName>
    <definedName name="AMGOOD_1Q17">#REF!</definedName>
    <definedName name="AMGOOD_1Q18">#REF!</definedName>
    <definedName name="AMGOOD_1Q19">#REF!</definedName>
    <definedName name="AMGOOD_1Q20">#REF!</definedName>
    <definedName name="AMGOOD_1Q21">#REF!</definedName>
    <definedName name="AMGOOD_1Q22">#REF!</definedName>
    <definedName name="AMGOOD_1Q23">#REF!</definedName>
    <definedName name="AMGOOD_1Q24">#REF!</definedName>
    <definedName name="AMGOOD_2000">#REF!</definedName>
    <definedName name="AMGOOD_2001">#REF!</definedName>
    <definedName name="AMGOOD_2002">#REF!</definedName>
    <definedName name="AMGOOD_2003">#REF!</definedName>
    <definedName name="AMGOOD_2004">#REF!</definedName>
    <definedName name="AMGOOD_2005">#REF!</definedName>
    <definedName name="AMGOOD_2006">#REF!</definedName>
    <definedName name="AMGOOD_2007">#REF!</definedName>
    <definedName name="AMGOOD_2008">#REF!</definedName>
    <definedName name="AMGOOD_2009">#REF!</definedName>
    <definedName name="AMGOOD_2010">#REF!</definedName>
    <definedName name="AMGOOD_2011">#REF!</definedName>
    <definedName name="AMGOOD_2012">#REF!</definedName>
    <definedName name="AMGOOD_2013">#REF!</definedName>
    <definedName name="AMGOOD_2014">#REF!</definedName>
    <definedName name="AMGOOD_2015">#REF!</definedName>
    <definedName name="AMGOOD_2016">#REF!</definedName>
    <definedName name="AMGOOD_2017">#REF!</definedName>
    <definedName name="AMGOOD_2018">#REF!</definedName>
    <definedName name="AMGOOD_2019">#REF!</definedName>
    <definedName name="AMGOOD_2020">#REF!</definedName>
    <definedName name="AMGOOD_2021">#REF!</definedName>
    <definedName name="AMGOOD_2022">#REF!</definedName>
    <definedName name="AMGOOD_2023">#REF!</definedName>
    <definedName name="AMGOOD_2024">#REF!</definedName>
    <definedName name="AMGOOD_2Q00">#REF!</definedName>
    <definedName name="AMGOOD_2Q01">#REF!</definedName>
    <definedName name="AMGOOD_2Q02">#REF!</definedName>
    <definedName name="AMGOOD_2Q03">#REF!</definedName>
    <definedName name="AMGOOD_2Q04">#REF!</definedName>
    <definedName name="AMGOOD_2Q05">#REF!</definedName>
    <definedName name="AMGOOD_2Q06">#REF!</definedName>
    <definedName name="AMGOOD_2Q07">#REF!</definedName>
    <definedName name="AMGOOD_2Q08">#REF!</definedName>
    <definedName name="AMGOOD_2Q09">#REF!</definedName>
    <definedName name="AMGOOD_2Q10">#REF!</definedName>
    <definedName name="AMGOOD_2Q11">#REF!</definedName>
    <definedName name="AMGOOD_2Q12">#REF!</definedName>
    <definedName name="AMGOOD_2Q13">#REF!</definedName>
    <definedName name="AMGOOD_2Q14">#REF!</definedName>
    <definedName name="AMGOOD_2Q15">#REF!</definedName>
    <definedName name="AMGOOD_2Q16">#REF!</definedName>
    <definedName name="AMGOOD_2Q17">#REF!</definedName>
    <definedName name="AMGOOD_2Q18">#REF!</definedName>
    <definedName name="AMGOOD_2Q19">#REF!</definedName>
    <definedName name="AMGOOD_2Q20">#REF!</definedName>
    <definedName name="AMGOOD_2Q21">#REF!</definedName>
    <definedName name="AMGOOD_2Q22">#REF!</definedName>
    <definedName name="AMGOOD_2Q23">#REF!</definedName>
    <definedName name="AMGOOD_2Q24">#REF!</definedName>
    <definedName name="AMGOOD_3Q00">#REF!</definedName>
    <definedName name="AMGOOD_3Q01">#REF!</definedName>
    <definedName name="AMGOOD_3Q02">#REF!</definedName>
    <definedName name="AMGOOD_3Q03">#REF!</definedName>
    <definedName name="AMGOOD_3Q04">#REF!</definedName>
    <definedName name="AMGOOD_3Q05">#REF!</definedName>
    <definedName name="AMGOOD_3Q06">#REF!</definedName>
    <definedName name="AMGOOD_3Q07">#REF!</definedName>
    <definedName name="AMGOOD_3Q08">#REF!</definedName>
    <definedName name="AMGOOD_3Q09">#REF!</definedName>
    <definedName name="AMGOOD_3Q10">#REF!</definedName>
    <definedName name="AMGOOD_3Q11">#REF!</definedName>
    <definedName name="AMGOOD_3Q12">#REF!</definedName>
    <definedName name="AMGOOD_3Q13">#REF!</definedName>
    <definedName name="AMGOOD_3Q14">#REF!</definedName>
    <definedName name="AMGOOD_3Q15">#REF!</definedName>
    <definedName name="AMGOOD_3Q16">#REF!</definedName>
    <definedName name="AMGOOD_3Q17">#REF!</definedName>
    <definedName name="AMGOOD_3Q18">#REF!</definedName>
    <definedName name="AMGOOD_3Q19">#REF!</definedName>
    <definedName name="AMGOOD_3Q20">#REF!</definedName>
    <definedName name="AMGOOD_3Q21">#REF!</definedName>
    <definedName name="AMGOOD_3Q22">#REF!</definedName>
    <definedName name="AMGOOD_3Q23">#REF!</definedName>
    <definedName name="AMGOOD_3Q24">#REF!</definedName>
    <definedName name="AMGOOD_4Q00">#REF!</definedName>
    <definedName name="AMGOOD_4Q01">#REF!</definedName>
    <definedName name="AMGOOD_4Q02">#REF!</definedName>
    <definedName name="AMGOOD_4Q03">#REF!</definedName>
    <definedName name="AMGOOD_4Q04">#REF!</definedName>
    <definedName name="AMGOOD_4Q05">#REF!</definedName>
    <definedName name="AMGOOD_4Q06">#REF!</definedName>
    <definedName name="AMGOOD_4Q07">#REF!</definedName>
    <definedName name="AMGOOD_4Q08">#REF!</definedName>
    <definedName name="AMGOOD_4Q09">#REF!</definedName>
    <definedName name="AMGOOD_4Q10">#REF!</definedName>
    <definedName name="AMGOOD_4Q11">#REF!</definedName>
    <definedName name="AMGOOD_4Q12">#REF!</definedName>
    <definedName name="AMGOOD_4Q13">#REF!</definedName>
    <definedName name="AMGOOD_4Q14">#REF!</definedName>
    <definedName name="AMGOOD_4Q15">#REF!</definedName>
    <definedName name="AMGOOD_4Q16">#REF!</definedName>
    <definedName name="AMGOOD_4Q17">#REF!</definedName>
    <definedName name="AMGOOD_4Q18">#REF!</definedName>
    <definedName name="AMGOOD_4Q19">#REF!</definedName>
    <definedName name="AMGOOD_4Q20">#REF!</definedName>
    <definedName name="AMGOOD_4Q21">#REF!</definedName>
    <definedName name="AMGOOD_4Q22">#REF!</definedName>
    <definedName name="AMGOOD_4Q23">#REF!</definedName>
    <definedName name="AMGOOD_4Q24">#REF!</definedName>
    <definedName name="AMITA_1995">#REF!</definedName>
    <definedName name="AMITA_1996">#REF!</definedName>
    <definedName name="AMITA_1997">#REF!</definedName>
    <definedName name="AMITA_1998">#REF!</definedName>
    <definedName name="AMITA_1999">#REF!</definedName>
    <definedName name="AMITA_1Q00">#REF!</definedName>
    <definedName name="AMITA_1Q01">#REF!</definedName>
    <definedName name="AMITA_1Q02">#REF!</definedName>
    <definedName name="AMITA_1Q03">#REF!</definedName>
    <definedName name="AMITA_1Q04">#REF!</definedName>
    <definedName name="AMITA_1Q05">#REF!</definedName>
    <definedName name="AMITA_1Q06">#REF!</definedName>
    <definedName name="AMITA_1Q07">#REF!</definedName>
    <definedName name="AMITA_1Q08">#REF!</definedName>
    <definedName name="AMITA_1Q09">#REF!</definedName>
    <definedName name="AMITA_1Q10">#REF!</definedName>
    <definedName name="AMITA_1Q11">#REF!</definedName>
    <definedName name="AMITA_1Q12">#REF!</definedName>
    <definedName name="AMITA_1Q13">#REF!</definedName>
    <definedName name="AMITA_1Q14">#REF!</definedName>
    <definedName name="AMITA_1Q15">#REF!</definedName>
    <definedName name="AMITA_1Q16">#REF!</definedName>
    <definedName name="AMITA_1Q17">#REF!</definedName>
    <definedName name="AMITA_1Q18">#REF!</definedName>
    <definedName name="AMITA_1Q19">#REF!</definedName>
    <definedName name="AMITA_1Q20">#REF!</definedName>
    <definedName name="AMITA_1Q21">#REF!</definedName>
    <definedName name="AMITA_1Q22">#REF!</definedName>
    <definedName name="AMITA_1Q23">#REF!</definedName>
    <definedName name="AMITA_1Q24">#REF!</definedName>
    <definedName name="AMITA_2000">#REF!</definedName>
    <definedName name="AMITA_2001">#REF!</definedName>
    <definedName name="AMITA_2002">#REF!</definedName>
    <definedName name="AMITA_2003">#REF!</definedName>
    <definedName name="AMITA_2004">#REF!</definedName>
    <definedName name="AMITA_2005">#REF!</definedName>
    <definedName name="AMITA_2006">#REF!</definedName>
    <definedName name="AMITA_2007">#REF!</definedName>
    <definedName name="AMITA_2008">#REF!</definedName>
    <definedName name="AMITA_2009">#REF!</definedName>
    <definedName name="AMITA_2010">#REF!</definedName>
    <definedName name="AMITA_2011">#REF!</definedName>
    <definedName name="AMITA_2012">#REF!</definedName>
    <definedName name="AMITA_2013">#REF!</definedName>
    <definedName name="AMITA_2014">#REF!</definedName>
    <definedName name="AMITA_2015">#REF!</definedName>
    <definedName name="AMITA_2016">#REF!</definedName>
    <definedName name="AMITA_2017">#REF!</definedName>
    <definedName name="AMITA_2018">#REF!</definedName>
    <definedName name="AMITA_2019">#REF!</definedName>
    <definedName name="AMITA_2020">#REF!</definedName>
    <definedName name="AMITA_2021">#REF!</definedName>
    <definedName name="AMITA_2022">#REF!</definedName>
    <definedName name="AMITA_2023">#REF!</definedName>
    <definedName name="AMITA_2024">#REF!</definedName>
    <definedName name="AMITA_2Q00">#REF!</definedName>
    <definedName name="AMITA_2Q01">#REF!</definedName>
    <definedName name="AMITA_2Q02">#REF!</definedName>
    <definedName name="AMITA_2Q03">#REF!</definedName>
    <definedName name="AMITA_2Q04">#REF!</definedName>
    <definedName name="AMITA_2Q05">#REF!</definedName>
    <definedName name="AMITA_2Q06">#REF!</definedName>
    <definedName name="AMITA_2Q07">#REF!</definedName>
    <definedName name="AMITA_2Q08">#REF!</definedName>
    <definedName name="AMITA_2Q09">#REF!</definedName>
    <definedName name="AMITA_2Q10">#REF!</definedName>
    <definedName name="AMITA_2Q11">#REF!</definedName>
    <definedName name="AMITA_2Q12">#REF!</definedName>
    <definedName name="AMITA_2Q13">#REF!</definedName>
    <definedName name="AMITA_2Q14">#REF!</definedName>
    <definedName name="AMITA_2Q15">#REF!</definedName>
    <definedName name="AMITA_2Q16">#REF!</definedName>
    <definedName name="AMITA_2Q17">#REF!</definedName>
    <definedName name="AMITA_2Q18">#REF!</definedName>
    <definedName name="AMITA_2Q19">#REF!</definedName>
    <definedName name="AMITA_2Q20">#REF!</definedName>
    <definedName name="AMITA_2Q21">#REF!</definedName>
    <definedName name="AMITA_2Q22">#REF!</definedName>
    <definedName name="AMITA_2Q23">#REF!</definedName>
    <definedName name="AMITA_2Q24">#REF!</definedName>
    <definedName name="AMITA_3Q00">#REF!</definedName>
    <definedName name="AMITA_3Q01">#REF!</definedName>
    <definedName name="AMITA_3Q02">#REF!</definedName>
    <definedName name="AMITA_3Q03">#REF!</definedName>
    <definedName name="AMITA_3Q04">#REF!</definedName>
    <definedName name="AMITA_3Q05">#REF!</definedName>
    <definedName name="AMITA_3Q06">#REF!</definedName>
    <definedName name="AMITA_3Q07">#REF!</definedName>
    <definedName name="AMITA_3Q08">#REF!</definedName>
    <definedName name="AMITA_3Q09">#REF!</definedName>
    <definedName name="AMITA_3Q10">#REF!</definedName>
    <definedName name="AMITA_3Q11">#REF!</definedName>
    <definedName name="AMITA_3Q12">#REF!</definedName>
    <definedName name="AMITA_3Q13">#REF!</definedName>
    <definedName name="AMITA_3Q14">#REF!</definedName>
    <definedName name="AMITA_3Q15">#REF!</definedName>
    <definedName name="AMITA_3Q16">#REF!</definedName>
    <definedName name="AMITA_3Q17">#REF!</definedName>
    <definedName name="AMITA_3Q18">#REF!</definedName>
    <definedName name="AMITA_3Q19">#REF!</definedName>
    <definedName name="AMITA_3Q20">#REF!</definedName>
    <definedName name="AMITA_3Q21">#REF!</definedName>
    <definedName name="AMITA_3Q22">#REF!</definedName>
    <definedName name="AMITA_3Q23">#REF!</definedName>
    <definedName name="AMITA_3Q24">#REF!</definedName>
    <definedName name="AMITA_4Q00">#REF!</definedName>
    <definedName name="AMITA_4Q01">#REF!</definedName>
    <definedName name="AMITA_4Q02">#REF!</definedName>
    <definedName name="AMITA_4Q03">#REF!</definedName>
    <definedName name="AMITA_4Q04">#REF!</definedName>
    <definedName name="AMITA_4Q05">#REF!</definedName>
    <definedName name="AMITA_4Q06">#REF!</definedName>
    <definedName name="AMITA_4Q07">#REF!</definedName>
    <definedName name="AMITA_4Q08">#REF!</definedName>
    <definedName name="AMITA_4Q09">#REF!</definedName>
    <definedName name="AMITA_4Q10">#REF!</definedName>
    <definedName name="AMITA_4Q11">#REF!</definedName>
    <definedName name="AMITA_4Q12">#REF!</definedName>
    <definedName name="AMITA_4Q13">#REF!</definedName>
    <definedName name="AMITA_4Q14">#REF!</definedName>
    <definedName name="AMITA_4Q15">#REF!</definedName>
    <definedName name="AMITA_4Q16">#REF!</definedName>
    <definedName name="AMITA_4Q17">#REF!</definedName>
    <definedName name="AMITA_4Q18">#REF!</definedName>
    <definedName name="AMITA_4Q19">#REF!</definedName>
    <definedName name="AMITA_4Q20">#REF!</definedName>
    <definedName name="AMITA_4Q21">#REF!</definedName>
    <definedName name="AMITA_4Q22">#REF!</definedName>
    <definedName name="AMITA_4Q23">#REF!</definedName>
    <definedName name="AMITA_4Q24">#REF!</definedName>
    <definedName name="AMPACT_1995">#REF!</definedName>
    <definedName name="AMPACT_1996">#REF!</definedName>
    <definedName name="AMPACT_1997">#REF!</definedName>
    <definedName name="AMPACT_1998">#REF!</definedName>
    <definedName name="AMPACT_1999">#REF!</definedName>
    <definedName name="AMPACT_1Q00">#REF!</definedName>
    <definedName name="AMPACT_1Q01">#REF!</definedName>
    <definedName name="AMPACT_1Q02">#REF!</definedName>
    <definedName name="AMPACT_1Q03">#REF!</definedName>
    <definedName name="AMPACT_1Q04">#REF!</definedName>
    <definedName name="AMPACT_1Q05">#REF!</definedName>
    <definedName name="AMPACT_1Q06">#REF!</definedName>
    <definedName name="AMPACT_1Q07">#REF!</definedName>
    <definedName name="AMPACT_1Q08">#REF!</definedName>
    <definedName name="AMPACT_1Q09">#REF!</definedName>
    <definedName name="AMPACT_1Q10">#REF!</definedName>
    <definedName name="AMPACT_1Q11">#REF!</definedName>
    <definedName name="AMPACT_1Q12">#REF!</definedName>
    <definedName name="AMPACT_1Q13">#REF!</definedName>
    <definedName name="AMPACT_1Q14">#REF!</definedName>
    <definedName name="AMPACT_1Q15">#REF!</definedName>
    <definedName name="AMPACT_1Q16">#REF!</definedName>
    <definedName name="AMPACT_1Q17">#REF!</definedName>
    <definedName name="AMPACT_1Q18">#REF!</definedName>
    <definedName name="AMPACT_1Q19">#REF!</definedName>
    <definedName name="AMPACT_1Q20">#REF!</definedName>
    <definedName name="AMPACT_1Q21">#REF!</definedName>
    <definedName name="AMPACT_1Q22">#REF!</definedName>
    <definedName name="AMPACT_1Q23">#REF!</definedName>
    <definedName name="AMPACT_1Q24">#REF!</definedName>
    <definedName name="AMPACT_2000">#REF!</definedName>
    <definedName name="AMPACT_2001">#REF!</definedName>
    <definedName name="AMPACT_2002">#REF!</definedName>
    <definedName name="AMPACT_2003">#REF!</definedName>
    <definedName name="AMPACT_2004">#REF!</definedName>
    <definedName name="AMPACT_2005">#REF!</definedName>
    <definedName name="AMPACT_2006">#REF!</definedName>
    <definedName name="AMPACT_2007">#REF!</definedName>
    <definedName name="AMPACT_2008">#REF!</definedName>
    <definedName name="AMPACT_2009">#REF!</definedName>
    <definedName name="AMPACT_2010">#REF!</definedName>
    <definedName name="AMPACT_2011">#REF!</definedName>
    <definedName name="AMPACT_2012">#REF!</definedName>
    <definedName name="AMPACT_2013">#REF!</definedName>
    <definedName name="AMPACT_2014">#REF!</definedName>
    <definedName name="AMPACT_2015">#REF!</definedName>
    <definedName name="AMPACT_2016">#REF!</definedName>
    <definedName name="AMPACT_2017">#REF!</definedName>
    <definedName name="AMPACT_2018">#REF!</definedName>
    <definedName name="AMPACT_2019">#REF!</definedName>
    <definedName name="AMPACT_2020">#REF!</definedName>
    <definedName name="AMPACT_2021">#REF!</definedName>
    <definedName name="AMPACT_2022">#REF!</definedName>
    <definedName name="AMPACT_2023">#REF!</definedName>
    <definedName name="AMPACT_2024">#REF!</definedName>
    <definedName name="AMPACT_2Q00">#REF!</definedName>
    <definedName name="AMPACT_2Q01">#REF!</definedName>
    <definedName name="AMPACT_2Q02">#REF!</definedName>
    <definedName name="AMPACT_2Q03">#REF!</definedName>
    <definedName name="AMPACT_2Q04">#REF!</definedName>
    <definedName name="AMPACT_2Q05">#REF!</definedName>
    <definedName name="AMPACT_2Q06">#REF!</definedName>
    <definedName name="AMPACT_2Q07">#REF!</definedName>
    <definedName name="AMPACT_2Q08">#REF!</definedName>
    <definedName name="AMPACT_2Q09">#REF!</definedName>
    <definedName name="AMPACT_2Q10">#REF!</definedName>
    <definedName name="AMPACT_2Q11">#REF!</definedName>
    <definedName name="AMPACT_2Q12">#REF!</definedName>
    <definedName name="AMPACT_2Q13">#REF!</definedName>
    <definedName name="AMPACT_2Q14">#REF!</definedName>
    <definedName name="AMPACT_2Q15">#REF!</definedName>
    <definedName name="AMPACT_2Q16">#REF!</definedName>
    <definedName name="AMPACT_2Q17">#REF!</definedName>
    <definedName name="AMPACT_2Q18">#REF!</definedName>
    <definedName name="AMPACT_2Q19">#REF!</definedName>
    <definedName name="AMPACT_2Q20">#REF!</definedName>
    <definedName name="AMPACT_2Q21">#REF!</definedName>
    <definedName name="AMPACT_2Q22">#REF!</definedName>
    <definedName name="AMPACT_2Q23">#REF!</definedName>
    <definedName name="AMPACT_2Q24">#REF!</definedName>
    <definedName name="AMPACT_3Q00">#REF!</definedName>
    <definedName name="AMPACT_3Q01">#REF!</definedName>
    <definedName name="AMPACT_3Q02">#REF!</definedName>
    <definedName name="AMPACT_3Q03">#REF!</definedName>
    <definedName name="AMPACT_3Q04">#REF!</definedName>
    <definedName name="AMPACT_3Q05">#REF!</definedName>
    <definedName name="AMPACT_3Q06">#REF!</definedName>
    <definedName name="AMPACT_3Q07">#REF!</definedName>
    <definedName name="AMPACT_3Q08">#REF!</definedName>
    <definedName name="AMPACT_3Q09">#REF!</definedName>
    <definedName name="AMPACT_3Q10">#REF!</definedName>
    <definedName name="AMPACT_3Q11">#REF!</definedName>
    <definedName name="AMPACT_3Q12">#REF!</definedName>
    <definedName name="AMPACT_3Q13">#REF!</definedName>
    <definedName name="AMPACT_3Q14">#REF!</definedName>
    <definedName name="AMPACT_3Q15">#REF!</definedName>
    <definedName name="AMPACT_3Q16">#REF!</definedName>
    <definedName name="AMPACT_3Q17">#REF!</definedName>
    <definedName name="AMPACT_3Q18">#REF!</definedName>
    <definedName name="AMPACT_3Q19">#REF!</definedName>
    <definedName name="AMPACT_3Q20">#REF!</definedName>
    <definedName name="AMPACT_3Q21">#REF!</definedName>
    <definedName name="AMPACT_3Q22">#REF!</definedName>
    <definedName name="AMPACT_3Q23">#REF!</definedName>
    <definedName name="AMPACT_3Q24">#REF!</definedName>
    <definedName name="AMPACT_4Q00">#REF!</definedName>
    <definedName name="AMPACT_4Q01">#REF!</definedName>
    <definedName name="AMPACT_4Q02">#REF!</definedName>
    <definedName name="AMPACT_4Q03">#REF!</definedName>
    <definedName name="AMPACT_4Q04">#REF!</definedName>
    <definedName name="AMPACT_4Q05">#REF!</definedName>
    <definedName name="AMPACT_4Q06">#REF!</definedName>
    <definedName name="AMPACT_4Q07">#REF!</definedName>
    <definedName name="AMPACT_4Q08">#REF!</definedName>
    <definedName name="AMPACT_4Q09">#REF!</definedName>
    <definedName name="AMPACT_4Q10">#REF!</definedName>
    <definedName name="AMPACT_4Q11">#REF!</definedName>
    <definedName name="AMPACT_4Q12">#REF!</definedName>
    <definedName name="AMPACT_4Q13">#REF!</definedName>
    <definedName name="AMPACT_4Q14">#REF!</definedName>
    <definedName name="AMPACT_4Q15">#REF!</definedName>
    <definedName name="AMPACT_4Q16">#REF!</definedName>
    <definedName name="AMPACT_4Q17">#REF!</definedName>
    <definedName name="AMPACT_4Q18">#REF!</definedName>
    <definedName name="AMPACT_4Q19">#REF!</definedName>
    <definedName name="AMPACT_4Q20">#REF!</definedName>
    <definedName name="AMPACT_4Q21">#REF!</definedName>
    <definedName name="AMPACT_4Q22">#REF!</definedName>
    <definedName name="AMPACT_4Q23">#REF!</definedName>
    <definedName name="AMPACT_4Q24">#REF!</definedName>
    <definedName name="ANDRE">TRUE</definedName>
    <definedName name="Annotate_Area">#REF!</definedName>
    <definedName name="AnnotateNote1">#REF!</definedName>
    <definedName name="AnnotateStart">#REF!</definedName>
    <definedName name="antonio" localSheetId="4" hidden="1">{#N/A,"70% Success",FALSE,"Sales Forecast";#N/A,#N/A,FALSE,"Sheet2"}</definedName>
    <definedName name="antonio" localSheetId="6" hidden="1">{#N/A,"70% Success",FALSE,"Sales Forecast";#N/A,#N/A,FALSE,"Sheet2"}</definedName>
    <definedName name="antonio" localSheetId="0" hidden="1">{#N/A,"70% Success",FALSE,"Sales Forecast";#N/A,#N/A,FALSE,"Sheet2"}</definedName>
    <definedName name="antonio" hidden="1">{#N/A,"70% Success",FALSE,"Sales Forecast";#N/A,#N/A,FALSE,"Sheet2"}</definedName>
    <definedName name="APOIO">#REF!</definedName>
    <definedName name="Aracruz">#REF!</definedName>
    <definedName name="AracruzADR">#REF!</definedName>
    <definedName name="ASSACQ_1995">#REF!</definedName>
    <definedName name="ASSACQ_1996">#REF!</definedName>
    <definedName name="ASSACQ_1997">#REF!</definedName>
    <definedName name="ASSACQ_1998">#REF!</definedName>
    <definedName name="ASSACQ_1999">#REF!</definedName>
    <definedName name="ASSACQ_1Q00">#REF!</definedName>
    <definedName name="ASSACQ_1Q01">#REF!</definedName>
    <definedName name="ASSACQ_1Q02">#REF!</definedName>
    <definedName name="ASSACQ_1Q03">#REF!</definedName>
    <definedName name="ASSACQ_1Q04">#REF!</definedName>
    <definedName name="ASSACQ_1Q05">#REF!</definedName>
    <definedName name="ASSACQ_1Q06">#REF!</definedName>
    <definedName name="ASSACQ_1Q07">#REF!</definedName>
    <definedName name="ASSACQ_1Q08">#REF!</definedName>
    <definedName name="ASSACQ_1Q09">#REF!</definedName>
    <definedName name="ASSACQ_1Q10">#REF!</definedName>
    <definedName name="ASSACQ_1Q11">#REF!</definedName>
    <definedName name="ASSACQ_1Q12">#REF!</definedName>
    <definedName name="ASSACQ_1Q13">#REF!</definedName>
    <definedName name="ASSACQ_1Q14">#REF!</definedName>
    <definedName name="ASSACQ_1Q15">#REF!</definedName>
    <definedName name="ASSACQ_1Q16">#REF!</definedName>
    <definedName name="ASSACQ_1Q17">#REF!</definedName>
    <definedName name="ASSACQ_1Q18">#REF!</definedName>
    <definedName name="ASSACQ_1Q19">#REF!</definedName>
    <definedName name="ASSACQ_1Q20">#REF!</definedName>
    <definedName name="ASSACQ_1Q21">#REF!</definedName>
    <definedName name="ASSACQ_1Q22">#REF!</definedName>
    <definedName name="ASSACQ_1Q23">#REF!</definedName>
    <definedName name="ASSACQ_1Q24">#REF!</definedName>
    <definedName name="ASSACQ_2000">#REF!</definedName>
    <definedName name="ASSACQ_2001">#REF!</definedName>
    <definedName name="ASSACQ_2002">#REF!</definedName>
    <definedName name="ASSACQ_2003">#REF!</definedName>
    <definedName name="ASSACQ_2004">#REF!</definedName>
    <definedName name="ASSACQ_2005">#REF!</definedName>
    <definedName name="ASSACQ_2006">#REF!</definedName>
    <definedName name="ASSACQ_2007">#REF!</definedName>
    <definedName name="ASSACQ_2008">#REF!</definedName>
    <definedName name="ASSACQ_2009">#REF!</definedName>
    <definedName name="ASSACQ_2010">#REF!</definedName>
    <definedName name="ASSACQ_2011">#REF!</definedName>
    <definedName name="ASSACQ_2012">#REF!</definedName>
    <definedName name="ASSACQ_2013">#REF!</definedName>
    <definedName name="ASSACQ_2014">#REF!</definedName>
    <definedName name="ASSACQ_2015">#REF!</definedName>
    <definedName name="ASSACQ_2016">#REF!</definedName>
    <definedName name="ASSACQ_2017">#REF!</definedName>
    <definedName name="ASSACQ_2018">#REF!</definedName>
    <definedName name="ASSACQ_2019">#REF!</definedName>
    <definedName name="ASSACQ_2020">#REF!</definedName>
    <definedName name="ASSACQ_2021">#REF!</definedName>
    <definedName name="ASSACQ_2022">#REF!</definedName>
    <definedName name="ASSACQ_2023">#REF!</definedName>
    <definedName name="ASSACQ_2024">#REF!</definedName>
    <definedName name="ASSACQ_2Q00">#REF!</definedName>
    <definedName name="ASSACQ_2Q01">#REF!</definedName>
    <definedName name="ASSACQ_2Q02">#REF!</definedName>
    <definedName name="ASSACQ_2Q03">#REF!</definedName>
    <definedName name="ASSACQ_2Q04">#REF!</definedName>
    <definedName name="ASSACQ_2Q05">#REF!</definedName>
    <definedName name="ASSACQ_2Q06">#REF!</definedName>
    <definedName name="ASSACQ_2Q07">#REF!</definedName>
    <definedName name="ASSACQ_2Q08">#REF!</definedName>
    <definedName name="ASSACQ_2Q09">#REF!</definedName>
    <definedName name="ASSACQ_2Q10">#REF!</definedName>
    <definedName name="ASSACQ_2Q11">#REF!</definedName>
    <definedName name="ASSACQ_2Q12">#REF!</definedName>
    <definedName name="ASSACQ_2Q13">#REF!</definedName>
    <definedName name="ASSACQ_2Q14">#REF!</definedName>
    <definedName name="ASSACQ_2Q15">#REF!</definedName>
    <definedName name="ASSACQ_2Q16">#REF!</definedName>
    <definedName name="ASSACQ_2Q17">#REF!</definedName>
    <definedName name="ASSACQ_2Q18">#REF!</definedName>
    <definedName name="ASSACQ_2Q19">#REF!</definedName>
    <definedName name="ASSACQ_2Q20">#REF!</definedName>
    <definedName name="ASSACQ_2Q21">#REF!</definedName>
    <definedName name="ASSACQ_2Q22">#REF!</definedName>
    <definedName name="ASSACQ_2Q23">#REF!</definedName>
    <definedName name="ASSACQ_2Q24">#REF!</definedName>
    <definedName name="ASSACQ_3Q00">#REF!</definedName>
    <definedName name="ASSACQ_3Q01">#REF!</definedName>
    <definedName name="ASSACQ_3Q02">#REF!</definedName>
    <definedName name="ASSACQ_3Q03">#REF!</definedName>
    <definedName name="ASSACQ_3Q04">#REF!</definedName>
    <definedName name="ASSACQ_3Q05">#REF!</definedName>
    <definedName name="ASSACQ_3Q06">#REF!</definedName>
    <definedName name="ASSACQ_3Q07">#REF!</definedName>
    <definedName name="ASSACQ_3Q08">#REF!</definedName>
    <definedName name="ASSACQ_3Q09">#REF!</definedName>
    <definedName name="ASSACQ_3Q10">#REF!</definedName>
    <definedName name="ASSACQ_3Q11">#REF!</definedName>
    <definedName name="ASSACQ_3Q12">#REF!</definedName>
    <definedName name="ASSACQ_3Q13">#REF!</definedName>
    <definedName name="ASSACQ_3Q14">#REF!</definedName>
    <definedName name="ASSACQ_3Q15">#REF!</definedName>
    <definedName name="ASSACQ_3Q16">#REF!</definedName>
    <definedName name="ASSACQ_3Q17">#REF!</definedName>
    <definedName name="ASSACQ_3Q18">#REF!</definedName>
    <definedName name="ASSACQ_3Q19">#REF!</definedName>
    <definedName name="ASSACQ_3Q20">#REF!</definedName>
    <definedName name="ASSACQ_3Q21">#REF!</definedName>
    <definedName name="ASSACQ_3Q22">#REF!</definedName>
    <definedName name="ASSACQ_3Q23">#REF!</definedName>
    <definedName name="ASSACQ_3Q24">#REF!</definedName>
    <definedName name="ASSACQ_4Q00">#REF!</definedName>
    <definedName name="ASSACQ_4Q01">#REF!</definedName>
    <definedName name="ASSACQ_4Q02">#REF!</definedName>
    <definedName name="ASSACQ_4Q03">#REF!</definedName>
    <definedName name="ASSACQ_4Q04">#REF!</definedName>
    <definedName name="ASSACQ_4Q05">#REF!</definedName>
    <definedName name="ASSACQ_4Q06">#REF!</definedName>
    <definedName name="ASSACQ_4Q07">#REF!</definedName>
    <definedName name="ASSACQ_4Q08">#REF!</definedName>
    <definedName name="ASSACQ_4Q09">#REF!</definedName>
    <definedName name="ASSACQ_4Q10">#REF!</definedName>
    <definedName name="ASSACQ_4Q11">#REF!</definedName>
    <definedName name="ASSACQ_4Q12">#REF!</definedName>
    <definedName name="ASSACQ_4Q13">#REF!</definedName>
    <definedName name="ASSACQ_4Q14">#REF!</definedName>
    <definedName name="ASSACQ_4Q15">#REF!</definedName>
    <definedName name="ASSACQ_4Q16">#REF!</definedName>
    <definedName name="ASSACQ_4Q17">#REF!</definedName>
    <definedName name="ASSACQ_4Q18">#REF!</definedName>
    <definedName name="ASSACQ_4Q19">#REF!</definedName>
    <definedName name="ASSACQ_4Q20">#REF!</definedName>
    <definedName name="ASSACQ_4Q21">#REF!</definedName>
    <definedName name="ASSACQ_4Q22">#REF!</definedName>
    <definedName name="ASSACQ_4Q23">#REF!</definedName>
    <definedName name="ASSACQ_4Q24">#REF!</definedName>
    <definedName name="ASSOC_1995">#REF!</definedName>
    <definedName name="ASSOC_1996">#REF!</definedName>
    <definedName name="ASSOC_1997">#REF!</definedName>
    <definedName name="ASSOC_1998">#REF!</definedName>
    <definedName name="ASSOC_1999">#REF!</definedName>
    <definedName name="ASSOC_1Q00">#REF!</definedName>
    <definedName name="ASSOC_1Q01">#REF!</definedName>
    <definedName name="ASSOC_1Q02">#REF!</definedName>
    <definedName name="ASSOC_1Q03">#REF!</definedName>
    <definedName name="ASSOC_1Q04">#REF!</definedName>
    <definedName name="ASSOC_1Q05">#REF!</definedName>
    <definedName name="ASSOC_1Q06">#REF!</definedName>
    <definedName name="ASSOC_1Q07">#REF!</definedName>
    <definedName name="ASSOC_1Q08">#REF!</definedName>
    <definedName name="ASSOC_1Q09">#REF!</definedName>
    <definedName name="ASSOC_1Q10">#REF!</definedName>
    <definedName name="ASSOC_1Q11">#REF!</definedName>
    <definedName name="ASSOC_1Q12">#REF!</definedName>
    <definedName name="ASSOC_1Q13">#REF!</definedName>
    <definedName name="ASSOC_1Q14">#REF!</definedName>
    <definedName name="ASSOC_1Q15">#REF!</definedName>
    <definedName name="ASSOC_1Q16">#REF!</definedName>
    <definedName name="ASSOC_1Q17">#REF!</definedName>
    <definedName name="ASSOC_1Q18">#REF!</definedName>
    <definedName name="ASSOC_1Q19">#REF!</definedName>
    <definedName name="ASSOC_1Q20">#REF!</definedName>
    <definedName name="ASSOC_1Q21">#REF!</definedName>
    <definedName name="ASSOC_1Q22">#REF!</definedName>
    <definedName name="ASSOC_1Q23">#REF!</definedName>
    <definedName name="ASSOC_1Q24">#REF!</definedName>
    <definedName name="ASSOC_2000">#REF!</definedName>
    <definedName name="ASSOC_2001">#REF!</definedName>
    <definedName name="ASSOC_2002">#REF!</definedName>
    <definedName name="ASSOC_2003">#REF!</definedName>
    <definedName name="ASSOC_2004">#REF!</definedName>
    <definedName name="ASSOC_2005">#REF!</definedName>
    <definedName name="ASSOC_2006">#REF!</definedName>
    <definedName name="ASSOC_2007">#REF!</definedName>
    <definedName name="ASSOC_2008">#REF!</definedName>
    <definedName name="ASSOC_2009">#REF!</definedName>
    <definedName name="ASSOC_2010">#REF!</definedName>
    <definedName name="ASSOC_2011">#REF!</definedName>
    <definedName name="ASSOC_2012">#REF!</definedName>
    <definedName name="ASSOC_2013">#REF!</definedName>
    <definedName name="ASSOC_2014">#REF!</definedName>
    <definedName name="ASSOC_2015">#REF!</definedName>
    <definedName name="ASSOC_2016">#REF!</definedName>
    <definedName name="ASSOC_2017">#REF!</definedName>
    <definedName name="ASSOC_2018">#REF!</definedName>
    <definedName name="ASSOC_2019">#REF!</definedName>
    <definedName name="ASSOC_2020">#REF!</definedName>
    <definedName name="ASSOC_2021">#REF!</definedName>
    <definedName name="ASSOC_2022">#REF!</definedName>
    <definedName name="ASSOC_2023">#REF!</definedName>
    <definedName name="ASSOC_2024">#REF!</definedName>
    <definedName name="ASSOC_2Q00">#REF!</definedName>
    <definedName name="ASSOC_2Q01">#REF!</definedName>
    <definedName name="ASSOC_2Q02">#REF!</definedName>
    <definedName name="ASSOC_2Q03">#REF!</definedName>
    <definedName name="ASSOC_2Q04">#REF!</definedName>
    <definedName name="ASSOC_2Q05">#REF!</definedName>
    <definedName name="ASSOC_2Q06">#REF!</definedName>
    <definedName name="ASSOC_2Q07">#REF!</definedName>
    <definedName name="ASSOC_2Q08">#REF!</definedName>
    <definedName name="ASSOC_2Q09">#REF!</definedName>
    <definedName name="ASSOC_2Q10">#REF!</definedName>
    <definedName name="ASSOC_2Q11">#REF!</definedName>
    <definedName name="ASSOC_2Q12">#REF!</definedName>
    <definedName name="ASSOC_2Q13">#REF!</definedName>
    <definedName name="ASSOC_2Q14">#REF!</definedName>
    <definedName name="ASSOC_2Q15">#REF!</definedName>
    <definedName name="ASSOC_2Q16">#REF!</definedName>
    <definedName name="ASSOC_2Q17">#REF!</definedName>
    <definedName name="ASSOC_2Q18">#REF!</definedName>
    <definedName name="ASSOC_2Q19">#REF!</definedName>
    <definedName name="ASSOC_2Q20">#REF!</definedName>
    <definedName name="ASSOC_2Q21">#REF!</definedName>
    <definedName name="ASSOC_2Q22">#REF!</definedName>
    <definedName name="ASSOC_2Q23">#REF!</definedName>
    <definedName name="ASSOC_2Q24">#REF!</definedName>
    <definedName name="ASSOC_3Q00">#REF!</definedName>
    <definedName name="ASSOC_3Q01">#REF!</definedName>
    <definedName name="ASSOC_3Q02">#REF!</definedName>
    <definedName name="ASSOC_3Q03">#REF!</definedName>
    <definedName name="ASSOC_3Q04">#REF!</definedName>
    <definedName name="ASSOC_3Q05">#REF!</definedName>
    <definedName name="ASSOC_3Q06">#REF!</definedName>
    <definedName name="ASSOC_3Q07">#REF!</definedName>
    <definedName name="ASSOC_3Q08">#REF!</definedName>
    <definedName name="ASSOC_3Q09">#REF!</definedName>
    <definedName name="ASSOC_3Q10">#REF!</definedName>
    <definedName name="ASSOC_3Q11">#REF!</definedName>
    <definedName name="ASSOC_3Q12">#REF!</definedName>
    <definedName name="ASSOC_3Q13">#REF!</definedName>
    <definedName name="ASSOC_3Q14">#REF!</definedName>
    <definedName name="ASSOC_3Q15">#REF!</definedName>
    <definedName name="ASSOC_3Q16">#REF!</definedName>
    <definedName name="ASSOC_3Q17">#REF!</definedName>
    <definedName name="ASSOC_3Q18">#REF!</definedName>
    <definedName name="ASSOC_3Q19">#REF!</definedName>
    <definedName name="ASSOC_3Q20">#REF!</definedName>
    <definedName name="ASSOC_3Q21">#REF!</definedName>
    <definedName name="ASSOC_3Q22">#REF!</definedName>
    <definedName name="ASSOC_3Q23">#REF!</definedName>
    <definedName name="ASSOC_3Q24">#REF!</definedName>
    <definedName name="ASSOC_4Q00">#REF!</definedName>
    <definedName name="ASSOC_4Q01">#REF!</definedName>
    <definedName name="ASSOC_4Q02">#REF!</definedName>
    <definedName name="ASSOC_4Q03">#REF!</definedName>
    <definedName name="ASSOC_4Q04">#REF!</definedName>
    <definedName name="ASSOC_4Q05">#REF!</definedName>
    <definedName name="ASSOC_4Q06">#REF!</definedName>
    <definedName name="ASSOC_4Q07">#REF!</definedName>
    <definedName name="ASSOC_4Q08">#REF!</definedName>
    <definedName name="ASSOC_4Q09">#REF!</definedName>
    <definedName name="ASSOC_4Q10">#REF!</definedName>
    <definedName name="ASSOC_4Q11">#REF!</definedName>
    <definedName name="ASSOC_4Q12">#REF!</definedName>
    <definedName name="ASSOC_4Q13">#REF!</definedName>
    <definedName name="ASSOC_4Q14">#REF!</definedName>
    <definedName name="ASSOC_4Q15">#REF!</definedName>
    <definedName name="ASSOC_4Q16">#REF!</definedName>
    <definedName name="ASSOC_4Q17">#REF!</definedName>
    <definedName name="ASSOC_4Q18">#REF!</definedName>
    <definedName name="ASSOC_4Q19">#REF!</definedName>
    <definedName name="ASSOC_4Q20">#REF!</definedName>
    <definedName name="ASSOC_4Q21">#REF!</definedName>
    <definedName name="ASSOC_4Q22">#REF!</definedName>
    <definedName name="ASSOC_4Q23">#REF!</definedName>
    <definedName name="ASSOC_4Q24">#REF!</definedName>
    <definedName name="ATIGTC_1995">#REF!</definedName>
    <definedName name="ATIGTC_1996">#REF!</definedName>
    <definedName name="ATIGTC_1997">#REF!</definedName>
    <definedName name="ATIGTC_1998">#REF!</definedName>
    <definedName name="ATIGTC_1999">#REF!</definedName>
    <definedName name="ATIGTC_1Q00">#REF!</definedName>
    <definedName name="ATIGTC_1Q01">#REF!</definedName>
    <definedName name="ATIGTC_1Q02">#REF!</definedName>
    <definedName name="ATIGTC_1Q03">#REF!</definedName>
    <definedName name="ATIGTC_1Q04">#REF!</definedName>
    <definedName name="ATIGTC_1Q05">#REF!</definedName>
    <definedName name="ATIGTC_1Q06">#REF!</definedName>
    <definedName name="ATIGTC_1Q07">#REF!</definedName>
    <definedName name="ATIGTC_1Q08">#REF!</definedName>
    <definedName name="ATIGTC_1Q09">#REF!</definedName>
    <definedName name="ATIGTC_1Q10">#REF!</definedName>
    <definedName name="ATIGTC_1Q11">#REF!</definedName>
    <definedName name="ATIGTC_1Q12">#REF!</definedName>
    <definedName name="ATIGTC_1Q13">#REF!</definedName>
    <definedName name="ATIGTC_1Q14">#REF!</definedName>
    <definedName name="ATIGTC_1Q15">#REF!</definedName>
    <definedName name="ATIGTC_1Q16">#REF!</definedName>
    <definedName name="ATIGTC_1Q17">#REF!</definedName>
    <definedName name="ATIGTC_1Q18">#REF!</definedName>
    <definedName name="ATIGTC_1Q19">#REF!</definedName>
    <definedName name="ATIGTC_1Q20">#REF!</definedName>
    <definedName name="ATIGTC_1Q21">#REF!</definedName>
    <definedName name="ATIGTC_1Q22">#REF!</definedName>
    <definedName name="ATIGTC_1Q23">#REF!</definedName>
    <definedName name="ATIGTC_1Q24">#REF!</definedName>
    <definedName name="ATIGTC_2000">#REF!</definedName>
    <definedName name="ATIGTC_2001">#REF!</definedName>
    <definedName name="ATIGTC_2002">#REF!</definedName>
    <definedName name="ATIGTC_2003">#REF!</definedName>
    <definedName name="ATIGTC_2004">#REF!</definedName>
    <definedName name="ATIGTC_2005">#REF!</definedName>
    <definedName name="ATIGTC_2006">#REF!</definedName>
    <definedName name="ATIGTC_2007">#REF!</definedName>
    <definedName name="ATIGTC_2008">#REF!</definedName>
    <definedName name="ATIGTC_2009">#REF!</definedName>
    <definedName name="ATIGTC_2010">#REF!</definedName>
    <definedName name="ATIGTC_2011">#REF!</definedName>
    <definedName name="ATIGTC_2012">#REF!</definedName>
    <definedName name="ATIGTC_2013">#REF!</definedName>
    <definedName name="ATIGTC_2014">#REF!</definedName>
    <definedName name="ATIGTC_2015">#REF!</definedName>
    <definedName name="ATIGTC_2016">#REF!</definedName>
    <definedName name="ATIGTC_2017">#REF!</definedName>
    <definedName name="ATIGTC_2018">#REF!</definedName>
    <definedName name="ATIGTC_2019">#REF!</definedName>
    <definedName name="ATIGTC_2020">#REF!</definedName>
    <definedName name="ATIGTC_2021">#REF!</definedName>
    <definedName name="ATIGTC_2022">#REF!</definedName>
    <definedName name="ATIGTC_2023">#REF!</definedName>
    <definedName name="ATIGTC_2024">#REF!</definedName>
    <definedName name="ATIGTC_2Q00">#REF!</definedName>
    <definedName name="ATIGTC_2Q01">#REF!</definedName>
    <definedName name="ATIGTC_2Q02">#REF!</definedName>
    <definedName name="ATIGTC_2Q03">#REF!</definedName>
    <definedName name="ATIGTC_2Q04">#REF!</definedName>
    <definedName name="ATIGTC_2Q05">#REF!</definedName>
    <definedName name="ATIGTC_2Q06">#REF!</definedName>
    <definedName name="ATIGTC_2Q07">#REF!</definedName>
    <definedName name="ATIGTC_2Q08">#REF!</definedName>
    <definedName name="ATIGTC_2Q09">#REF!</definedName>
    <definedName name="ATIGTC_2Q10">#REF!</definedName>
    <definedName name="ATIGTC_2Q11">#REF!</definedName>
    <definedName name="ATIGTC_2Q12">#REF!</definedName>
    <definedName name="ATIGTC_2Q13">#REF!</definedName>
    <definedName name="ATIGTC_2Q14">#REF!</definedName>
    <definedName name="ATIGTC_2Q15">#REF!</definedName>
    <definedName name="ATIGTC_2Q16">#REF!</definedName>
    <definedName name="ATIGTC_2Q17">#REF!</definedName>
    <definedName name="ATIGTC_2Q18">#REF!</definedName>
    <definedName name="ATIGTC_2Q19">#REF!</definedName>
    <definedName name="ATIGTC_2Q20">#REF!</definedName>
    <definedName name="ATIGTC_2Q21">#REF!</definedName>
    <definedName name="ATIGTC_2Q22">#REF!</definedName>
    <definedName name="ATIGTC_2Q23">#REF!</definedName>
    <definedName name="ATIGTC_2Q24">#REF!</definedName>
    <definedName name="ATIGTC_3Q00">#REF!</definedName>
    <definedName name="ATIGTC_3Q01">#REF!</definedName>
    <definedName name="ATIGTC_3Q02">#REF!</definedName>
    <definedName name="ATIGTC_3Q03">#REF!</definedName>
    <definedName name="ATIGTC_3Q04">#REF!</definedName>
    <definedName name="ATIGTC_3Q05">#REF!</definedName>
    <definedName name="ATIGTC_3Q06">#REF!</definedName>
    <definedName name="ATIGTC_3Q07">#REF!</definedName>
    <definedName name="ATIGTC_3Q08">#REF!</definedName>
    <definedName name="ATIGTC_3Q09">#REF!</definedName>
    <definedName name="ATIGTC_3Q10">#REF!</definedName>
    <definedName name="ATIGTC_3Q11">#REF!</definedName>
    <definedName name="ATIGTC_3Q12">#REF!</definedName>
    <definedName name="ATIGTC_3Q13">#REF!</definedName>
    <definedName name="ATIGTC_3Q14">#REF!</definedName>
    <definedName name="ATIGTC_3Q15">#REF!</definedName>
    <definedName name="ATIGTC_3Q16">#REF!</definedName>
    <definedName name="ATIGTC_3Q17">#REF!</definedName>
    <definedName name="ATIGTC_3Q18">#REF!</definedName>
    <definedName name="ATIGTC_3Q19">#REF!</definedName>
    <definedName name="ATIGTC_3Q20">#REF!</definedName>
    <definedName name="ATIGTC_3Q21">#REF!</definedName>
    <definedName name="ATIGTC_3Q22">#REF!</definedName>
    <definedName name="ATIGTC_3Q23">#REF!</definedName>
    <definedName name="ATIGTC_3Q24">#REF!</definedName>
    <definedName name="ATIGTC_4Q00">#REF!</definedName>
    <definedName name="ATIGTC_4Q01">#REF!</definedName>
    <definedName name="ATIGTC_4Q02">#REF!</definedName>
    <definedName name="ATIGTC_4Q03">#REF!</definedName>
    <definedName name="ATIGTC_4Q04">#REF!</definedName>
    <definedName name="ATIGTC_4Q05">#REF!</definedName>
    <definedName name="ATIGTC_4Q06">#REF!</definedName>
    <definedName name="ATIGTC_4Q07">#REF!</definedName>
    <definedName name="ATIGTC_4Q08">#REF!</definedName>
    <definedName name="ATIGTC_4Q09">#REF!</definedName>
    <definedName name="ATIGTC_4Q10">#REF!</definedName>
    <definedName name="ATIGTC_4Q11">#REF!</definedName>
    <definedName name="ATIGTC_4Q12">#REF!</definedName>
    <definedName name="ATIGTC_4Q13">#REF!</definedName>
    <definedName name="ATIGTC_4Q14">#REF!</definedName>
    <definedName name="ATIGTC_4Q15">#REF!</definedName>
    <definedName name="ATIGTC_4Q16">#REF!</definedName>
    <definedName name="ATIGTC_4Q17">#REF!</definedName>
    <definedName name="ATIGTC_4Q18">#REF!</definedName>
    <definedName name="ATIGTC_4Q19">#REF!</definedName>
    <definedName name="ATIGTC_4Q20">#REF!</definedName>
    <definedName name="ATIGTC_4Q21">#REF!</definedName>
    <definedName name="ATIGTC_4Q22">#REF!</definedName>
    <definedName name="ATIGTC_4Q23">#REF!</definedName>
    <definedName name="ATIGTC_4Q24">#REF!</definedName>
    <definedName name="AvgPrice">#REF!</definedName>
    <definedName name="AVHDC_1995">#REF!</definedName>
    <definedName name="AVHDC_1996">#REF!</definedName>
    <definedName name="AVHDC_1997">#REF!</definedName>
    <definedName name="AVHDC_1998">#REF!</definedName>
    <definedName name="AVHDC_1999">#REF!</definedName>
    <definedName name="AVHDC_1Q00">#REF!</definedName>
    <definedName name="AVHDC_1Q01">#REF!</definedName>
    <definedName name="AVHDC_1Q02">#REF!</definedName>
    <definedName name="AVHDC_1Q03">#REF!</definedName>
    <definedName name="AVHDC_1Q04">#REF!</definedName>
    <definedName name="AVHDC_1Q05">#REF!</definedName>
    <definedName name="AVHDC_1Q06">#REF!</definedName>
    <definedName name="AVHDC_1Q07">#REF!</definedName>
    <definedName name="AVHDC_1Q08">#REF!</definedName>
    <definedName name="AVHDC_1Q09">#REF!</definedName>
    <definedName name="AVHDC_1Q10">#REF!</definedName>
    <definedName name="AVHDC_1Q11">#REF!</definedName>
    <definedName name="AVHDC_1Q12">#REF!</definedName>
    <definedName name="AVHDC_1Q13">#REF!</definedName>
    <definedName name="AVHDC_1Q14">#REF!</definedName>
    <definedName name="AVHDC_1Q15">#REF!</definedName>
    <definedName name="AVHDC_1Q16">#REF!</definedName>
    <definedName name="AVHDC_1Q17">#REF!</definedName>
    <definedName name="AVHDC_1Q18">#REF!</definedName>
    <definedName name="AVHDC_1Q19">#REF!</definedName>
    <definedName name="AVHDC_1Q20">#REF!</definedName>
    <definedName name="AVHDC_1Q21">#REF!</definedName>
    <definedName name="AVHDC_1Q22">#REF!</definedName>
    <definedName name="AVHDC_1Q23">#REF!</definedName>
    <definedName name="AVHDC_1Q24">#REF!</definedName>
    <definedName name="AVHDC_2000">#REF!</definedName>
    <definedName name="AVHDC_2001">#REF!</definedName>
    <definedName name="AVHDC_2002">#REF!</definedName>
    <definedName name="AVHDC_2003">#REF!</definedName>
    <definedName name="AVHDC_2004">#REF!</definedName>
    <definedName name="AVHDC_2005">#REF!</definedName>
    <definedName name="AVHDC_2006">#REF!</definedName>
    <definedName name="AVHDC_2007">#REF!</definedName>
    <definedName name="AVHDC_2008">#REF!</definedName>
    <definedName name="AVHDC_2009">#REF!</definedName>
    <definedName name="AVHDC_2010">#REF!</definedName>
    <definedName name="AVHDC_2011">#REF!</definedName>
    <definedName name="AVHDC_2012">#REF!</definedName>
    <definedName name="AVHDC_2013">#REF!</definedName>
    <definedName name="AVHDC_2014">#REF!</definedName>
    <definedName name="AVHDC_2015">#REF!</definedName>
    <definedName name="AVHDC_2016">#REF!</definedName>
    <definedName name="AVHDC_2017">#REF!</definedName>
    <definedName name="AVHDC_2018">#REF!</definedName>
    <definedName name="AVHDC_2019">#REF!</definedName>
    <definedName name="AVHDC_2020">#REF!</definedName>
    <definedName name="AVHDC_2021">#REF!</definedName>
    <definedName name="AVHDC_2022">#REF!</definedName>
    <definedName name="AVHDC_2023">#REF!</definedName>
    <definedName name="AVHDC_2024">#REF!</definedName>
    <definedName name="AVHDC_2Q00">#REF!</definedName>
    <definedName name="AVHDC_2Q01">#REF!</definedName>
    <definedName name="AVHDC_2Q02">#REF!</definedName>
    <definedName name="AVHDC_2Q03">#REF!</definedName>
    <definedName name="AVHDC_2Q04">#REF!</definedName>
    <definedName name="AVHDC_2Q05">#REF!</definedName>
    <definedName name="AVHDC_2Q06">#REF!</definedName>
    <definedName name="AVHDC_2Q07">#REF!</definedName>
    <definedName name="AVHDC_2Q08">#REF!</definedName>
    <definedName name="AVHDC_2Q09">#REF!</definedName>
    <definedName name="AVHDC_2Q10">#REF!</definedName>
    <definedName name="AVHDC_2Q11">#REF!</definedName>
    <definedName name="AVHDC_2Q12">#REF!</definedName>
    <definedName name="AVHDC_2Q13">#REF!</definedName>
    <definedName name="AVHDC_2Q14">#REF!</definedName>
    <definedName name="AVHDC_2Q15">#REF!</definedName>
    <definedName name="AVHDC_2Q16">#REF!</definedName>
    <definedName name="AVHDC_2Q17">#REF!</definedName>
    <definedName name="AVHDC_2Q18">#REF!</definedName>
    <definedName name="AVHDC_2Q19">#REF!</definedName>
    <definedName name="AVHDC_2Q20">#REF!</definedName>
    <definedName name="AVHDC_2Q21">#REF!</definedName>
    <definedName name="AVHDC_2Q22">#REF!</definedName>
    <definedName name="AVHDC_2Q23">#REF!</definedName>
    <definedName name="AVHDC_2Q24">#REF!</definedName>
    <definedName name="AVHDC_3Q00">#REF!</definedName>
    <definedName name="AVHDC_3Q01">#REF!</definedName>
    <definedName name="AVHDC_3Q02">#REF!</definedName>
    <definedName name="AVHDC_3Q03">#REF!</definedName>
    <definedName name="AVHDC_3Q04">#REF!</definedName>
    <definedName name="AVHDC_3Q05">#REF!</definedName>
    <definedName name="AVHDC_3Q06">#REF!</definedName>
    <definedName name="AVHDC_3Q07">#REF!</definedName>
    <definedName name="AVHDC_3Q08">#REF!</definedName>
    <definedName name="AVHDC_3Q09">#REF!</definedName>
    <definedName name="AVHDC_3Q10">#REF!</definedName>
    <definedName name="AVHDC_3Q11">#REF!</definedName>
    <definedName name="AVHDC_3Q12">#REF!</definedName>
    <definedName name="AVHDC_3Q13">#REF!</definedName>
    <definedName name="AVHDC_3Q14">#REF!</definedName>
    <definedName name="AVHDC_3Q15">#REF!</definedName>
    <definedName name="AVHDC_3Q16">#REF!</definedName>
    <definedName name="AVHDC_3Q17">#REF!</definedName>
    <definedName name="AVHDC_3Q18">#REF!</definedName>
    <definedName name="AVHDC_3Q19">#REF!</definedName>
    <definedName name="AVHDC_3Q20">#REF!</definedName>
    <definedName name="AVHDC_3Q21">#REF!</definedName>
    <definedName name="AVHDC_3Q22">#REF!</definedName>
    <definedName name="AVHDC_3Q23">#REF!</definedName>
    <definedName name="AVHDC_3Q24">#REF!</definedName>
    <definedName name="AVHDC_4Q00">#REF!</definedName>
    <definedName name="AVHDC_4Q01">#REF!</definedName>
    <definedName name="AVHDC_4Q02">#REF!</definedName>
    <definedName name="AVHDC_4Q03">#REF!</definedName>
    <definedName name="AVHDC_4Q04">#REF!</definedName>
    <definedName name="AVHDC_4Q05">#REF!</definedName>
    <definedName name="AVHDC_4Q06">#REF!</definedName>
    <definedName name="AVHDC_4Q07">#REF!</definedName>
    <definedName name="AVHDC_4Q08">#REF!</definedName>
    <definedName name="AVHDC_4Q09">#REF!</definedName>
    <definedName name="AVHDC_4Q10">#REF!</definedName>
    <definedName name="AVHDC_4Q11">#REF!</definedName>
    <definedName name="AVHDC_4Q12">#REF!</definedName>
    <definedName name="AVHDC_4Q13">#REF!</definedName>
    <definedName name="AVHDC_4Q14">#REF!</definedName>
    <definedName name="AVHDC_4Q15">#REF!</definedName>
    <definedName name="AVHDC_4Q16">#REF!</definedName>
    <definedName name="AVHDC_4Q17">#REF!</definedName>
    <definedName name="AVHDC_4Q18">#REF!</definedName>
    <definedName name="AVHDC_4Q19">#REF!</definedName>
    <definedName name="AVHDC_4Q20">#REF!</definedName>
    <definedName name="AVHDC_4Q21">#REF!</definedName>
    <definedName name="AVHDC_4Q22">#REF!</definedName>
    <definedName name="AVHDC_4Q23">#REF!</definedName>
    <definedName name="AVHDC_4Q24">#REF!</definedName>
    <definedName name="AxesFormat">[0]!AxesFormat</definedName>
    <definedName name="b" localSheetId="4" hidden="1">{#N/A,"30% Success",TRUE,"Sales Forecast";#N/A,#N/A,TRUE,"Sheet2"}</definedName>
    <definedName name="b" localSheetId="6" hidden="1">{#N/A,"30% Success",TRUE,"Sales Forecast";#N/A,#N/A,TRUE,"Sheet2"}</definedName>
    <definedName name="b" localSheetId="0" hidden="1">{#N/A,"30% Success",TRUE,"Sales Forecast";#N/A,#N/A,TRUE,"Sheet2"}</definedName>
    <definedName name="b" hidden="1">{#N/A,"30% Success",TRUE,"Sales Forecast";#N/A,#N/A,TRUE,"Sheet2"}</definedName>
    <definedName name="BeginDate">#REF!</definedName>
    <definedName name="BeginDate2">#REF!</definedName>
    <definedName name="BeginDate3">#REF!</definedName>
    <definedName name="BeginDate4">#REF!</definedName>
    <definedName name="Berni" localSheetId="4" hidden="1">{#N/A,#N/A,FALSE,"Plan1";#N/A,#N/A,FALSE,"Plan2"}</definedName>
    <definedName name="Berni" localSheetId="6" hidden="1">{#N/A,#N/A,FALSE,"Plan1";#N/A,#N/A,FALSE,"Plan2"}</definedName>
    <definedName name="Berni" localSheetId="3" hidden="1">{#N/A,#N/A,FALSE,"Plan1";#N/A,#N/A,FALSE,"Plan2"}</definedName>
    <definedName name="Berni" hidden="1">{#N/A,#N/A,FALSE,"Plan1";#N/A,#N/A,FALSE,"Plan2"}</definedName>
    <definedName name="BlackWhiteNote">#REF!</definedName>
    <definedName name="ca" localSheetId="4" hidden="1">{#N/A,"70% Success",FALSE,"Sales Forecast";#N/A,#N/A,FALSE,"Sheet2"}</definedName>
    <definedName name="ca" localSheetId="6" hidden="1">{#N/A,"70% Success",FALSE,"Sales Forecast";#N/A,#N/A,FALSE,"Sheet2"}</definedName>
    <definedName name="ca" localSheetId="0" hidden="1">{#N/A,"70% Success",FALSE,"Sales Forecast";#N/A,#N/A,FALSE,"Sheet2"}</definedName>
    <definedName name="ca" hidden="1">{#N/A,"70% Success",FALSE,"Sales Forecast";#N/A,#N/A,FALSE,"Sheet2"}</definedName>
    <definedName name="CAPEXI_1995">#REF!</definedName>
    <definedName name="CAPEXI_1996">#REF!</definedName>
    <definedName name="CAPEXI_1997">#REF!</definedName>
    <definedName name="CAPEXI_1998">#REF!</definedName>
    <definedName name="CAPEXI_1999">#REF!</definedName>
    <definedName name="CAPEXI_1Q00">#REF!</definedName>
    <definedName name="CAPEXI_1Q01">#REF!</definedName>
    <definedName name="CAPEXI_1Q02">#REF!</definedName>
    <definedName name="CAPEXI_1Q03">#REF!</definedName>
    <definedName name="CAPEXI_1Q04">#REF!</definedName>
    <definedName name="CAPEXI_1Q05">#REF!</definedName>
    <definedName name="CAPEXI_1Q06">#REF!</definedName>
    <definedName name="CAPEXI_1Q07">#REF!</definedName>
    <definedName name="CAPEXI_1Q08">#REF!</definedName>
    <definedName name="CAPEXI_1Q09">#REF!</definedName>
    <definedName name="CAPEXI_1Q10">#REF!</definedName>
    <definedName name="CAPEXI_1Q11">#REF!</definedName>
    <definedName name="CAPEXI_1Q12">#REF!</definedName>
    <definedName name="CAPEXI_1Q13">#REF!</definedName>
    <definedName name="CAPEXI_1Q14">#REF!</definedName>
    <definedName name="CAPEXI_1Q15">#REF!</definedName>
    <definedName name="CAPEXI_1Q16">#REF!</definedName>
    <definedName name="CAPEXI_1Q17">#REF!</definedName>
    <definedName name="CAPEXI_1Q18">#REF!</definedName>
    <definedName name="CAPEXI_1Q19">#REF!</definedName>
    <definedName name="CAPEXI_1Q20">#REF!</definedName>
    <definedName name="CAPEXI_1Q21">#REF!</definedName>
    <definedName name="CAPEXI_1Q22">#REF!</definedName>
    <definedName name="CAPEXI_1Q23">#REF!</definedName>
    <definedName name="CAPEXI_1Q24">#REF!</definedName>
    <definedName name="CAPEXI_2000">#REF!</definedName>
    <definedName name="CAPEXI_2001">#REF!</definedName>
    <definedName name="CAPEXI_2002">#REF!</definedName>
    <definedName name="CAPEXI_2003">#REF!</definedName>
    <definedName name="CAPEXI_2004">#REF!</definedName>
    <definedName name="CAPEXI_2005">#REF!</definedName>
    <definedName name="CAPEXI_2006">#REF!</definedName>
    <definedName name="CAPEXI_2007">#REF!</definedName>
    <definedName name="CAPEXI_2008">#REF!</definedName>
    <definedName name="CAPEXI_2009">#REF!</definedName>
    <definedName name="CAPEXI_2010">#REF!</definedName>
    <definedName name="CAPEXI_2011">#REF!</definedName>
    <definedName name="CAPEXI_2012">#REF!</definedName>
    <definedName name="CAPEXI_2013">#REF!</definedName>
    <definedName name="CAPEXI_2014">#REF!</definedName>
    <definedName name="CAPEXI_2015">#REF!</definedName>
    <definedName name="CAPEXI_2016">#REF!</definedName>
    <definedName name="CAPEXI_2017">#REF!</definedName>
    <definedName name="CAPEXI_2018">#REF!</definedName>
    <definedName name="CAPEXI_2019">#REF!</definedName>
    <definedName name="CAPEXI_2020">#REF!</definedName>
    <definedName name="CAPEXI_2021">#REF!</definedName>
    <definedName name="CAPEXI_2022">#REF!</definedName>
    <definedName name="CAPEXI_2023">#REF!</definedName>
    <definedName name="CAPEXI_2024">#REF!</definedName>
    <definedName name="CAPEXI_2Q00">#REF!</definedName>
    <definedName name="CAPEXI_2Q01">#REF!</definedName>
    <definedName name="CAPEXI_2Q02">#REF!</definedName>
    <definedName name="CAPEXI_2Q03">#REF!</definedName>
    <definedName name="CAPEXI_2Q04">#REF!</definedName>
    <definedName name="CAPEXI_2Q05">#REF!</definedName>
    <definedName name="CAPEXI_2Q06">#REF!</definedName>
    <definedName name="CAPEXI_2Q07">#REF!</definedName>
    <definedName name="CAPEXI_2Q08">#REF!</definedName>
    <definedName name="CAPEXI_2Q09">#REF!</definedName>
    <definedName name="CAPEXI_2Q10">#REF!</definedName>
    <definedName name="CAPEXI_2Q11">#REF!</definedName>
    <definedName name="CAPEXI_2Q12">#REF!</definedName>
    <definedName name="CAPEXI_2Q13">#REF!</definedName>
    <definedName name="CAPEXI_2Q14">#REF!</definedName>
    <definedName name="CAPEXI_2Q15">#REF!</definedName>
    <definedName name="CAPEXI_2Q16">#REF!</definedName>
    <definedName name="CAPEXI_2Q17">#REF!</definedName>
    <definedName name="CAPEXI_2Q18">#REF!</definedName>
    <definedName name="CAPEXI_2Q19">#REF!</definedName>
    <definedName name="CAPEXI_2Q20">#REF!</definedName>
    <definedName name="CAPEXI_2Q21">#REF!</definedName>
    <definedName name="CAPEXI_2Q22">#REF!</definedName>
    <definedName name="CAPEXI_2Q23">#REF!</definedName>
    <definedName name="CAPEXI_2Q24">#REF!</definedName>
    <definedName name="CAPEXI_3Q00">#REF!</definedName>
    <definedName name="CAPEXI_3Q01">#REF!</definedName>
    <definedName name="CAPEXI_3Q02">#REF!</definedName>
    <definedName name="CAPEXI_3Q03">#REF!</definedName>
    <definedName name="CAPEXI_3Q04">#REF!</definedName>
    <definedName name="CAPEXI_3Q05">#REF!</definedName>
    <definedName name="CAPEXI_3Q06">#REF!</definedName>
    <definedName name="CAPEXI_3Q07">#REF!</definedName>
    <definedName name="CAPEXI_3Q08">#REF!</definedName>
    <definedName name="CAPEXI_3Q09">#REF!</definedName>
    <definedName name="CAPEXI_3Q10">#REF!</definedName>
    <definedName name="CAPEXI_3Q11">#REF!</definedName>
    <definedName name="CAPEXI_3Q12">#REF!</definedName>
    <definedName name="CAPEXI_3Q13">#REF!</definedName>
    <definedName name="CAPEXI_3Q14">#REF!</definedName>
    <definedName name="CAPEXI_3Q15">#REF!</definedName>
    <definedName name="CAPEXI_3Q16">#REF!</definedName>
    <definedName name="CAPEXI_3Q17">#REF!</definedName>
    <definedName name="CAPEXI_3Q18">#REF!</definedName>
    <definedName name="CAPEXI_3Q19">#REF!</definedName>
    <definedName name="CAPEXI_3Q20">#REF!</definedName>
    <definedName name="CAPEXI_3Q21">#REF!</definedName>
    <definedName name="CAPEXI_3Q22">#REF!</definedName>
    <definedName name="CAPEXI_3Q23">#REF!</definedName>
    <definedName name="CAPEXI_3Q24">#REF!</definedName>
    <definedName name="CAPEXI_4Q00">#REF!</definedName>
    <definedName name="CAPEXI_4Q01">#REF!</definedName>
    <definedName name="CAPEXI_4Q02">#REF!</definedName>
    <definedName name="CAPEXI_4Q03">#REF!</definedName>
    <definedName name="CAPEXI_4Q04">#REF!</definedName>
    <definedName name="CAPEXI_4Q05">#REF!</definedName>
    <definedName name="CAPEXI_4Q06">#REF!</definedName>
    <definedName name="CAPEXI_4Q07">#REF!</definedName>
    <definedName name="CAPEXI_4Q08">#REF!</definedName>
    <definedName name="CAPEXI_4Q09">#REF!</definedName>
    <definedName name="CAPEXI_4Q10">#REF!</definedName>
    <definedName name="CAPEXI_4Q11">#REF!</definedName>
    <definedName name="CAPEXI_4Q12">#REF!</definedName>
    <definedName name="CAPEXI_4Q13">#REF!</definedName>
    <definedName name="CAPEXI_4Q14">#REF!</definedName>
    <definedName name="CAPEXI_4Q15">#REF!</definedName>
    <definedName name="CAPEXI_4Q16">#REF!</definedName>
    <definedName name="CAPEXI_4Q17">#REF!</definedName>
    <definedName name="CAPEXI_4Q18">#REF!</definedName>
    <definedName name="CAPEXI_4Q19">#REF!</definedName>
    <definedName name="CAPEXI_4Q20">#REF!</definedName>
    <definedName name="CAPEXI_4Q21">#REF!</definedName>
    <definedName name="CAPEXI_4Q22">#REF!</definedName>
    <definedName name="CAPEXI_4Q23">#REF!</definedName>
    <definedName name="CAPEXI_4Q24">#REF!</definedName>
    <definedName name="CAPEXT_1995">#REF!</definedName>
    <definedName name="CAPEXT_1996">#REF!</definedName>
    <definedName name="CAPEXT_1997">#REF!</definedName>
    <definedName name="CAPEXT_1998">#REF!</definedName>
    <definedName name="CAPEXT_1999">#REF!</definedName>
    <definedName name="CAPEXT_1Q00">#REF!</definedName>
    <definedName name="CAPEXT_1Q01">#REF!</definedName>
    <definedName name="CAPEXT_1Q02">#REF!</definedName>
    <definedName name="CAPEXT_1Q03">#REF!</definedName>
    <definedName name="CAPEXT_1Q04">#REF!</definedName>
    <definedName name="CAPEXT_1Q05">#REF!</definedName>
    <definedName name="CAPEXT_1Q06">#REF!</definedName>
    <definedName name="CAPEXT_1Q07">#REF!</definedName>
    <definedName name="CAPEXT_1Q08">#REF!</definedName>
    <definedName name="CAPEXT_1Q09">#REF!</definedName>
    <definedName name="CAPEXT_1Q10">#REF!</definedName>
    <definedName name="CAPEXT_1Q11">#REF!</definedName>
    <definedName name="CAPEXT_1Q12">#REF!</definedName>
    <definedName name="CAPEXT_1Q13">#REF!</definedName>
    <definedName name="CAPEXT_1Q14">#REF!</definedName>
    <definedName name="CAPEXT_1Q15">#REF!</definedName>
    <definedName name="CAPEXT_1Q16">#REF!</definedName>
    <definedName name="CAPEXT_1Q17">#REF!</definedName>
    <definedName name="CAPEXT_1Q18">#REF!</definedName>
    <definedName name="CAPEXT_1Q19">#REF!</definedName>
    <definedName name="CAPEXT_1Q20">#REF!</definedName>
    <definedName name="CAPEXT_1Q21">#REF!</definedName>
    <definedName name="CAPEXT_1Q22">#REF!</definedName>
    <definedName name="CAPEXT_1Q23">#REF!</definedName>
    <definedName name="CAPEXT_1Q24">#REF!</definedName>
    <definedName name="CAPEXT_2000">#REF!</definedName>
    <definedName name="CAPEXT_2001">#REF!</definedName>
    <definedName name="CAPEXT_2002">#REF!</definedName>
    <definedName name="CAPEXT_2003">#REF!</definedName>
    <definedName name="CAPEXT_2004">#REF!</definedName>
    <definedName name="CAPEXT_2005">#REF!</definedName>
    <definedName name="CAPEXT_2006">#REF!</definedName>
    <definedName name="CAPEXT_2007">#REF!</definedName>
    <definedName name="CAPEXT_2008">#REF!</definedName>
    <definedName name="CAPEXT_2009">#REF!</definedName>
    <definedName name="CAPEXT_2010">#REF!</definedName>
    <definedName name="CAPEXT_2011">#REF!</definedName>
    <definedName name="CAPEXT_2012">#REF!</definedName>
    <definedName name="CAPEXT_2013">#REF!</definedName>
    <definedName name="CAPEXT_2014">#REF!</definedName>
    <definedName name="CAPEXT_2015">#REF!</definedName>
    <definedName name="CAPEXT_2016">#REF!</definedName>
    <definedName name="CAPEXT_2017">#REF!</definedName>
    <definedName name="CAPEXT_2018">#REF!</definedName>
    <definedName name="CAPEXT_2019">#REF!</definedName>
    <definedName name="CAPEXT_2020">#REF!</definedName>
    <definedName name="CAPEXT_2021">#REF!</definedName>
    <definedName name="CAPEXT_2022">#REF!</definedName>
    <definedName name="CAPEXT_2023">#REF!</definedName>
    <definedName name="CAPEXT_2024">#REF!</definedName>
    <definedName name="CAPEXT_2Q00">#REF!</definedName>
    <definedName name="CAPEXT_2Q01">#REF!</definedName>
    <definedName name="CAPEXT_2Q02">#REF!</definedName>
    <definedName name="CAPEXT_2Q03">#REF!</definedName>
    <definedName name="CAPEXT_2Q04">#REF!</definedName>
    <definedName name="CAPEXT_2Q05">#REF!</definedName>
    <definedName name="CAPEXT_2Q06">#REF!</definedName>
    <definedName name="CAPEXT_2Q07">#REF!</definedName>
    <definedName name="CAPEXT_2Q08">#REF!</definedName>
    <definedName name="CAPEXT_2Q09">#REF!</definedName>
    <definedName name="CAPEXT_2Q10">#REF!</definedName>
    <definedName name="CAPEXT_2Q11">#REF!</definedName>
    <definedName name="CAPEXT_2Q12">#REF!</definedName>
    <definedName name="CAPEXT_2Q13">#REF!</definedName>
    <definedName name="CAPEXT_2Q14">#REF!</definedName>
    <definedName name="CAPEXT_2Q15">#REF!</definedName>
    <definedName name="CAPEXT_2Q16">#REF!</definedName>
    <definedName name="CAPEXT_2Q17">#REF!</definedName>
    <definedName name="CAPEXT_2Q18">#REF!</definedName>
    <definedName name="CAPEXT_2Q19">#REF!</definedName>
    <definedName name="CAPEXT_2Q20">#REF!</definedName>
    <definedName name="CAPEXT_2Q21">#REF!</definedName>
    <definedName name="CAPEXT_2Q22">#REF!</definedName>
    <definedName name="CAPEXT_2Q23">#REF!</definedName>
    <definedName name="CAPEXT_2Q24">#REF!</definedName>
    <definedName name="CAPEXT_3Q00">#REF!</definedName>
    <definedName name="CAPEXT_3Q01">#REF!</definedName>
    <definedName name="CAPEXT_3Q02">#REF!</definedName>
    <definedName name="CAPEXT_3Q03">#REF!</definedName>
    <definedName name="CAPEXT_3Q04">#REF!</definedName>
    <definedName name="CAPEXT_3Q05">#REF!</definedName>
    <definedName name="CAPEXT_3Q06">#REF!</definedName>
    <definedName name="CAPEXT_3Q07">#REF!</definedName>
    <definedName name="CAPEXT_3Q08">#REF!</definedName>
    <definedName name="CAPEXT_3Q09">#REF!</definedName>
    <definedName name="CAPEXT_3Q10">#REF!</definedName>
    <definedName name="CAPEXT_3Q11">#REF!</definedName>
    <definedName name="CAPEXT_3Q12">#REF!</definedName>
    <definedName name="CAPEXT_3Q13">#REF!</definedName>
    <definedName name="CAPEXT_3Q14">#REF!</definedName>
    <definedName name="CAPEXT_3Q15">#REF!</definedName>
    <definedName name="CAPEXT_3Q16">#REF!</definedName>
    <definedName name="CAPEXT_3Q17">#REF!</definedName>
    <definedName name="CAPEXT_3Q18">#REF!</definedName>
    <definedName name="CAPEXT_3Q19">#REF!</definedName>
    <definedName name="CAPEXT_3Q20">#REF!</definedName>
    <definedName name="CAPEXT_3Q21">#REF!</definedName>
    <definedName name="CAPEXT_3Q22">#REF!</definedName>
    <definedName name="CAPEXT_3Q23">#REF!</definedName>
    <definedName name="CAPEXT_3Q24">#REF!</definedName>
    <definedName name="CAPEXT_4Q00">#REF!</definedName>
    <definedName name="CAPEXT_4Q01">#REF!</definedName>
    <definedName name="CAPEXT_4Q02">#REF!</definedName>
    <definedName name="CAPEXT_4Q03">#REF!</definedName>
    <definedName name="CAPEXT_4Q04">#REF!</definedName>
    <definedName name="CAPEXT_4Q05">#REF!</definedName>
    <definedName name="CAPEXT_4Q06">#REF!</definedName>
    <definedName name="CAPEXT_4Q07">#REF!</definedName>
    <definedName name="CAPEXT_4Q08">#REF!</definedName>
    <definedName name="CAPEXT_4Q09">#REF!</definedName>
    <definedName name="CAPEXT_4Q10">#REF!</definedName>
    <definedName name="CAPEXT_4Q11">#REF!</definedName>
    <definedName name="CAPEXT_4Q12">#REF!</definedName>
    <definedName name="CAPEXT_4Q13">#REF!</definedName>
    <definedName name="CAPEXT_4Q14">#REF!</definedName>
    <definedName name="CAPEXT_4Q15">#REF!</definedName>
    <definedName name="CAPEXT_4Q16">#REF!</definedName>
    <definedName name="CAPEXT_4Q17">#REF!</definedName>
    <definedName name="CAPEXT_4Q18">#REF!</definedName>
    <definedName name="CAPEXT_4Q19">#REF!</definedName>
    <definedName name="CAPEXT_4Q20">#REF!</definedName>
    <definedName name="CAPEXT_4Q21">#REF!</definedName>
    <definedName name="CAPEXT_4Q22">#REF!</definedName>
    <definedName name="CAPEXT_4Q23">#REF!</definedName>
    <definedName name="CAPEXT_4Q24">#REF!</definedName>
    <definedName name="CAPMES_1995">#REF!</definedName>
    <definedName name="CAPMES_1996">#REF!</definedName>
    <definedName name="CAPMES_1997">#REF!</definedName>
    <definedName name="CAPMES_1998">#REF!</definedName>
    <definedName name="CAPMES_1999">#REF!</definedName>
    <definedName name="CAPMES_1Q00">#REF!</definedName>
    <definedName name="CAPMES_1Q01">#REF!</definedName>
    <definedName name="CAPMES_1Q02">#REF!</definedName>
    <definedName name="CAPMES_1Q03">#REF!</definedName>
    <definedName name="CAPMES_1Q04">#REF!</definedName>
    <definedName name="CAPMES_1Q05">#REF!</definedName>
    <definedName name="CAPMES_1Q06">#REF!</definedName>
    <definedName name="CAPMES_1Q07">#REF!</definedName>
    <definedName name="CAPMES_1Q08">#REF!</definedName>
    <definedName name="CAPMES_1Q09">#REF!</definedName>
    <definedName name="CAPMES_1Q10">#REF!</definedName>
    <definedName name="CAPMES_1Q11">#REF!</definedName>
    <definedName name="CAPMES_1Q12">#REF!</definedName>
    <definedName name="CAPMES_1Q13">#REF!</definedName>
    <definedName name="CAPMES_1Q14">#REF!</definedName>
    <definedName name="CAPMES_1Q15">#REF!</definedName>
    <definedName name="CAPMES_1Q16">#REF!</definedName>
    <definedName name="CAPMES_1Q17">#REF!</definedName>
    <definedName name="CAPMES_1Q18">#REF!</definedName>
    <definedName name="CAPMES_1Q19">#REF!</definedName>
    <definedName name="CAPMES_1Q20">#REF!</definedName>
    <definedName name="CAPMES_1Q21">#REF!</definedName>
    <definedName name="CAPMES_1Q22">#REF!</definedName>
    <definedName name="CAPMES_1Q23">#REF!</definedName>
    <definedName name="CAPMES_1Q24">#REF!</definedName>
    <definedName name="CAPMES_2000">#REF!</definedName>
    <definedName name="CAPMES_2001">#REF!</definedName>
    <definedName name="CAPMES_2002">#REF!</definedName>
    <definedName name="CAPMES_2003">#REF!</definedName>
    <definedName name="CAPMES_2004">#REF!</definedName>
    <definedName name="CAPMES_2005">#REF!</definedName>
    <definedName name="CAPMES_2006">#REF!</definedName>
    <definedName name="CAPMES_2007">#REF!</definedName>
    <definedName name="CAPMES_2008">#REF!</definedName>
    <definedName name="CAPMES_2009">#REF!</definedName>
    <definedName name="CAPMES_2010">#REF!</definedName>
    <definedName name="CAPMES_2011">#REF!</definedName>
    <definedName name="CAPMES_2012">#REF!</definedName>
    <definedName name="CAPMES_2013">#REF!</definedName>
    <definedName name="CAPMES_2014">#REF!</definedName>
    <definedName name="CAPMES_2015">#REF!</definedName>
    <definedName name="CAPMES_2016">#REF!</definedName>
    <definedName name="CAPMES_2017">#REF!</definedName>
    <definedName name="CAPMES_2018">#REF!</definedName>
    <definedName name="CAPMES_2019">#REF!</definedName>
    <definedName name="CAPMES_2020">#REF!</definedName>
    <definedName name="CAPMES_2021">#REF!</definedName>
    <definedName name="CAPMES_2022">#REF!</definedName>
    <definedName name="CAPMES_2023">#REF!</definedName>
    <definedName name="CAPMES_2024">#REF!</definedName>
    <definedName name="CAPMES_2Q00">#REF!</definedName>
    <definedName name="CAPMES_2Q01">#REF!</definedName>
    <definedName name="CAPMES_2Q02">#REF!</definedName>
    <definedName name="CAPMES_2Q03">#REF!</definedName>
    <definedName name="CAPMES_2Q04">#REF!</definedName>
    <definedName name="CAPMES_2Q05">#REF!</definedName>
    <definedName name="CAPMES_2Q06">#REF!</definedName>
    <definedName name="CAPMES_2Q07">#REF!</definedName>
    <definedName name="CAPMES_2Q08">#REF!</definedName>
    <definedName name="CAPMES_2Q09">#REF!</definedName>
    <definedName name="CAPMES_2Q10">#REF!</definedName>
    <definedName name="CAPMES_2Q11">#REF!</definedName>
    <definedName name="CAPMES_2Q12">#REF!</definedName>
    <definedName name="CAPMES_2Q13">#REF!</definedName>
    <definedName name="CAPMES_2Q14">#REF!</definedName>
    <definedName name="CAPMES_2Q15">#REF!</definedName>
    <definedName name="CAPMES_2Q16">#REF!</definedName>
    <definedName name="CAPMES_2Q17">#REF!</definedName>
    <definedName name="CAPMES_2Q18">#REF!</definedName>
    <definedName name="CAPMES_2Q19">#REF!</definedName>
    <definedName name="CAPMES_2Q20">#REF!</definedName>
    <definedName name="CAPMES_2Q21">#REF!</definedName>
    <definedName name="CAPMES_2Q22">#REF!</definedName>
    <definedName name="CAPMES_2Q23">#REF!</definedName>
    <definedName name="CAPMES_2Q24">#REF!</definedName>
    <definedName name="CAPMES_3Q00">#REF!</definedName>
    <definedName name="CAPMES_3Q01">#REF!</definedName>
    <definedName name="CAPMES_3Q02">#REF!</definedName>
    <definedName name="CAPMES_3Q03">#REF!</definedName>
    <definedName name="CAPMES_3Q04">#REF!</definedName>
    <definedName name="CAPMES_3Q05">#REF!</definedName>
    <definedName name="CAPMES_3Q06">#REF!</definedName>
    <definedName name="CAPMES_3Q07">#REF!</definedName>
    <definedName name="CAPMES_3Q08">#REF!</definedName>
    <definedName name="CAPMES_3Q09">#REF!</definedName>
    <definedName name="CAPMES_3Q10">#REF!</definedName>
    <definedName name="CAPMES_3Q11">#REF!</definedName>
    <definedName name="CAPMES_3Q12">#REF!</definedName>
    <definedName name="CAPMES_3Q13">#REF!</definedName>
    <definedName name="CAPMES_3Q14">#REF!</definedName>
    <definedName name="CAPMES_3Q15">#REF!</definedName>
    <definedName name="CAPMES_3Q16">#REF!</definedName>
    <definedName name="CAPMES_3Q17">#REF!</definedName>
    <definedName name="CAPMES_3Q18">#REF!</definedName>
    <definedName name="CAPMES_3Q19">#REF!</definedName>
    <definedName name="CAPMES_3Q20">#REF!</definedName>
    <definedName name="CAPMES_3Q21">#REF!</definedName>
    <definedName name="CAPMES_3Q22">#REF!</definedName>
    <definedName name="CAPMES_3Q23">#REF!</definedName>
    <definedName name="CAPMES_3Q24">#REF!</definedName>
    <definedName name="CAPMES_4Q00">#REF!</definedName>
    <definedName name="CAPMES_4Q01">#REF!</definedName>
    <definedName name="CAPMES_4Q02">#REF!</definedName>
    <definedName name="CAPMES_4Q03">#REF!</definedName>
    <definedName name="CAPMES_4Q04">#REF!</definedName>
    <definedName name="CAPMES_4Q05">#REF!</definedName>
    <definedName name="CAPMES_4Q06">#REF!</definedName>
    <definedName name="CAPMES_4Q07">#REF!</definedName>
    <definedName name="CAPMES_4Q08">#REF!</definedName>
    <definedName name="CAPMES_4Q09">#REF!</definedName>
    <definedName name="CAPMES_4Q10">#REF!</definedName>
    <definedName name="CAPMES_4Q11">#REF!</definedName>
    <definedName name="CAPMES_4Q12">#REF!</definedName>
    <definedName name="CAPMES_4Q13">#REF!</definedName>
    <definedName name="CAPMES_4Q14">#REF!</definedName>
    <definedName name="CAPMES_4Q15">#REF!</definedName>
    <definedName name="CAPMES_4Q16">#REF!</definedName>
    <definedName name="CAPMES_4Q17">#REF!</definedName>
    <definedName name="CAPMES_4Q18">#REF!</definedName>
    <definedName name="CAPMES_4Q19">#REF!</definedName>
    <definedName name="CAPMES_4Q20">#REF!</definedName>
    <definedName name="CAPMES_4Q21">#REF!</definedName>
    <definedName name="CAPMES_4Q22">#REF!</definedName>
    <definedName name="CAPMES_4Q23">#REF!</definedName>
    <definedName name="CAPMES_4Q24">#REF!</definedName>
    <definedName name="carlos" localSheetId="4" hidden="1">{#N/A,"10% Success",FALSE,"Sales Forecast";#N/A,#N/A,FALSE,"Sheet2"}</definedName>
    <definedName name="carlos" localSheetId="6" hidden="1">{#N/A,"10% Success",FALSE,"Sales Forecast";#N/A,#N/A,FALSE,"Sheet2"}</definedName>
    <definedName name="carlos" localSheetId="0" hidden="1">{#N/A,"10% Success",FALSE,"Sales Forecast";#N/A,#N/A,FALSE,"Sheet2"}</definedName>
    <definedName name="carlos" hidden="1">{#N/A,"10% Success",FALSE,"Sales Forecast";#N/A,#N/A,FALSE,"Sheet2"}</definedName>
    <definedName name="CASH_1995">#REF!</definedName>
    <definedName name="CASH_1996">#REF!</definedName>
    <definedName name="CASH_1997">#REF!</definedName>
    <definedName name="CASH_1998">#REF!</definedName>
    <definedName name="CASH_1999">#REF!</definedName>
    <definedName name="CASH_1Q00">#REF!</definedName>
    <definedName name="CASH_1Q01">#REF!</definedName>
    <definedName name="CASH_1Q02">#REF!</definedName>
    <definedName name="CASH_1Q03">#REF!</definedName>
    <definedName name="CASH_1Q04">#REF!</definedName>
    <definedName name="CASH_1Q05">#REF!</definedName>
    <definedName name="CASH_1Q06">#REF!</definedName>
    <definedName name="CASH_1Q07">#REF!</definedName>
    <definedName name="CASH_1Q08">#REF!</definedName>
    <definedName name="CASH_1Q09">#REF!</definedName>
    <definedName name="CASH_1Q10">#REF!</definedName>
    <definedName name="CASH_1Q11">#REF!</definedName>
    <definedName name="CASH_1Q12">#REF!</definedName>
    <definedName name="CASH_1Q13">#REF!</definedName>
    <definedName name="CASH_1Q14">#REF!</definedName>
    <definedName name="CASH_1Q15">#REF!</definedName>
    <definedName name="CASH_1Q16">#REF!</definedName>
    <definedName name="CASH_1Q17">#REF!</definedName>
    <definedName name="CASH_1Q18">#REF!</definedName>
    <definedName name="CASH_1Q19">#REF!</definedName>
    <definedName name="CASH_1Q20">#REF!</definedName>
    <definedName name="CASH_1Q21">#REF!</definedName>
    <definedName name="CASH_1Q22">#REF!</definedName>
    <definedName name="CASH_1Q23">#REF!</definedName>
    <definedName name="CASH_1Q24">#REF!</definedName>
    <definedName name="CASH_2000">#REF!</definedName>
    <definedName name="CASH_2001">#REF!</definedName>
    <definedName name="CASH_2002">#REF!</definedName>
    <definedName name="CASH_2003">#REF!</definedName>
    <definedName name="CASH_2004">#REF!</definedName>
    <definedName name="CASH_2005">#REF!</definedName>
    <definedName name="CASH_2006">#REF!</definedName>
    <definedName name="CASH_2007">#REF!</definedName>
    <definedName name="CASH_2008">#REF!</definedName>
    <definedName name="CASH_2009">#REF!</definedName>
    <definedName name="CASH_2010">#REF!</definedName>
    <definedName name="CASH_2011">#REF!</definedName>
    <definedName name="CASH_2012">#REF!</definedName>
    <definedName name="CASH_2013">#REF!</definedName>
    <definedName name="CASH_2014">#REF!</definedName>
    <definedName name="CASH_2015">#REF!</definedName>
    <definedName name="CASH_2016">#REF!</definedName>
    <definedName name="CASH_2017">#REF!</definedName>
    <definedName name="CASH_2018">#REF!</definedName>
    <definedName name="CASH_2019">#REF!</definedName>
    <definedName name="CASH_2020">#REF!</definedName>
    <definedName name="CASH_2021">#REF!</definedName>
    <definedName name="CASH_2022">#REF!</definedName>
    <definedName name="CASH_2023">#REF!</definedName>
    <definedName name="CASH_2024">#REF!</definedName>
    <definedName name="CASH_2Q00">#REF!</definedName>
    <definedName name="CASH_2Q01">#REF!</definedName>
    <definedName name="CASH_2Q02">#REF!</definedName>
    <definedName name="CASH_2Q03">#REF!</definedName>
    <definedName name="CASH_2Q04">#REF!</definedName>
    <definedName name="CASH_2Q05">#REF!</definedName>
    <definedName name="CASH_2Q06">#REF!</definedName>
    <definedName name="CASH_2Q07">#REF!</definedName>
    <definedName name="CASH_2Q08">#REF!</definedName>
    <definedName name="CASH_2Q09">#REF!</definedName>
    <definedName name="CASH_2Q10">#REF!</definedName>
    <definedName name="CASH_2Q11">#REF!</definedName>
    <definedName name="CASH_2Q12">#REF!</definedName>
    <definedName name="CASH_2Q13">#REF!</definedName>
    <definedName name="CASH_2Q14">#REF!</definedName>
    <definedName name="CASH_2Q15">#REF!</definedName>
    <definedName name="CASH_2Q16">#REF!</definedName>
    <definedName name="CASH_2Q17">#REF!</definedName>
    <definedName name="CASH_2Q18">#REF!</definedName>
    <definedName name="CASH_2Q19">#REF!</definedName>
    <definedName name="CASH_2Q20">#REF!</definedName>
    <definedName name="CASH_2Q21">#REF!</definedName>
    <definedName name="CASH_2Q22">#REF!</definedName>
    <definedName name="CASH_2Q23">#REF!</definedName>
    <definedName name="CASH_2Q24">#REF!</definedName>
    <definedName name="CASH_3Q00">#REF!</definedName>
    <definedName name="CASH_3Q01">#REF!</definedName>
    <definedName name="CASH_3Q02">#REF!</definedName>
    <definedName name="CASH_3Q03">#REF!</definedName>
    <definedName name="CASH_3Q04">#REF!</definedName>
    <definedName name="CASH_3Q05">#REF!</definedName>
    <definedName name="CASH_3Q06">#REF!</definedName>
    <definedName name="CASH_3Q07">#REF!</definedName>
    <definedName name="CASH_3Q08">#REF!</definedName>
    <definedName name="CASH_3Q09">#REF!</definedName>
    <definedName name="CASH_3Q10">#REF!</definedName>
    <definedName name="CASH_3Q11">#REF!</definedName>
    <definedName name="CASH_3Q12">#REF!</definedName>
    <definedName name="CASH_3Q13">#REF!</definedName>
    <definedName name="CASH_3Q14">#REF!</definedName>
    <definedName name="CASH_3Q15">#REF!</definedName>
    <definedName name="CASH_3Q16">#REF!</definedName>
    <definedName name="CASH_3Q17">#REF!</definedName>
    <definedName name="CASH_3Q18">#REF!</definedName>
    <definedName name="CASH_3Q19">#REF!</definedName>
    <definedName name="CASH_3Q20">#REF!</definedName>
    <definedName name="CASH_3Q21">#REF!</definedName>
    <definedName name="CASH_3Q22">#REF!</definedName>
    <definedName name="CASH_3Q23">#REF!</definedName>
    <definedName name="CASH_3Q24">#REF!</definedName>
    <definedName name="CASH_4Q00">#REF!</definedName>
    <definedName name="CASH_4Q01">#REF!</definedName>
    <definedName name="CASH_4Q02">#REF!</definedName>
    <definedName name="CASH_4Q03">#REF!</definedName>
    <definedName name="CASH_4Q04">#REF!</definedName>
    <definedName name="CASH_4Q05">#REF!</definedName>
    <definedName name="CASH_4Q06">#REF!</definedName>
    <definedName name="CASH_4Q07">#REF!</definedName>
    <definedName name="CASH_4Q08">#REF!</definedName>
    <definedName name="CASH_4Q09">#REF!</definedName>
    <definedName name="CASH_4Q10">#REF!</definedName>
    <definedName name="CASH_4Q11">#REF!</definedName>
    <definedName name="CASH_4Q12">#REF!</definedName>
    <definedName name="CASH_4Q13">#REF!</definedName>
    <definedName name="CASH_4Q14">#REF!</definedName>
    <definedName name="CASH_4Q15">#REF!</definedName>
    <definedName name="CASH_4Q16">#REF!</definedName>
    <definedName name="CASH_4Q17">#REF!</definedName>
    <definedName name="CASH_4Q18">#REF!</definedName>
    <definedName name="CASH_4Q19">#REF!</definedName>
    <definedName name="CASH_4Q20">#REF!</definedName>
    <definedName name="CASH_4Q21">#REF!</definedName>
    <definedName name="CASH_4Q22">#REF!</definedName>
    <definedName name="CASH_4Q23">#REF!</definedName>
    <definedName name="CASH_4Q24">#REF!</definedName>
    <definedName name="CBOOM_1995">#REF!</definedName>
    <definedName name="CBOOM_1996">#REF!</definedName>
    <definedName name="CBOOM_1997">#REF!</definedName>
    <definedName name="CBOOM_1998">#REF!</definedName>
    <definedName name="CBOOM_1999">#REF!</definedName>
    <definedName name="CBOOM_1Q00">#REF!</definedName>
    <definedName name="CBOOM_1Q01">#REF!</definedName>
    <definedName name="CBOOM_1Q02">#REF!</definedName>
    <definedName name="CBOOM_1Q03">#REF!</definedName>
    <definedName name="CBOOM_1Q04">#REF!</definedName>
    <definedName name="CBOOM_1Q05">#REF!</definedName>
    <definedName name="CBOOM_1Q06">#REF!</definedName>
    <definedName name="CBOOM_1Q07">#REF!</definedName>
    <definedName name="CBOOM_1Q08">#REF!</definedName>
    <definedName name="CBOOM_1Q09">#REF!</definedName>
    <definedName name="CBOOM_1Q10">#REF!</definedName>
    <definedName name="CBOOM_1Q11">#REF!</definedName>
    <definedName name="CBOOM_1Q12">#REF!</definedName>
    <definedName name="CBOOM_1Q13">#REF!</definedName>
    <definedName name="CBOOM_1Q14">#REF!</definedName>
    <definedName name="CBOOM_1Q15">#REF!</definedName>
    <definedName name="CBOOM_1Q16">#REF!</definedName>
    <definedName name="CBOOM_1Q17">#REF!</definedName>
    <definedName name="CBOOM_1Q18">#REF!</definedName>
    <definedName name="CBOOM_1Q19">#REF!</definedName>
    <definedName name="CBOOM_1Q20">#REF!</definedName>
    <definedName name="CBOOM_1Q21">#REF!</definedName>
    <definedName name="CBOOM_1Q22">#REF!</definedName>
    <definedName name="CBOOM_1Q23">#REF!</definedName>
    <definedName name="CBOOM_1Q24">#REF!</definedName>
    <definedName name="CBOOM_2000">#REF!</definedName>
    <definedName name="CBOOM_2001">#REF!</definedName>
    <definedName name="CBOOM_2002">#REF!</definedName>
    <definedName name="CBOOM_2003">#REF!</definedName>
    <definedName name="CBOOM_2004">#REF!</definedName>
    <definedName name="CBOOM_2005">#REF!</definedName>
    <definedName name="CBOOM_2006">#REF!</definedName>
    <definedName name="CBOOM_2007">#REF!</definedName>
    <definedName name="CBOOM_2008">#REF!</definedName>
    <definedName name="CBOOM_2009">#REF!</definedName>
    <definedName name="CBOOM_2010">#REF!</definedName>
    <definedName name="CBOOM_2011">#REF!</definedName>
    <definedName name="CBOOM_2012">#REF!</definedName>
    <definedName name="CBOOM_2013">#REF!</definedName>
    <definedName name="CBOOM_2014">#REF!</definedName>
    <definedName name="CBOOM_2015">#REF!</definedName>
    <definedName name="CBOOM_2016">#REF!</definedName>
    <definedName name="CBOOM_2017">#REF!</definedName>
    <definedName name="CBOOM_2018">#REF!</definedName>
    <definedName name="CBOOM_2019">#REF!</definedName>
    <definedName name="CBOOM_2020">#REF!</definedName>
    <definedName name="CBOOM_2021">#REF!</definedName>
    <definedName name="CBOOM_2022">#REF!</definedName>
    <definedName name="CBOOM_2023">#REF!</definedName>
    <definedName name="CBOOM_2024">#REF!</definedName>
    <definedName name="CBOOM_2Q00">#REF!</definedName>
    <definedName name="CBOOM_2Q01">#REF!</definedName>
    <definedName name="CBOOM_2Q02">#REF!</definedName>
    <definedName name="CBOOM_2Q03">#REF!</definedName>
    <definedName name="CBOOM_2Q04">#REF!</definedName>
    <definedName name="CBOOM_2Q05">#REF!</definedName>
    <definedName name="CBOOM_2Q06">#REF!</definedName>
    <definedName name="CBOOM_2Q07">#REF!</definedName>
    <definedName name="CBOOM_2Q08">#REF!</definedName>
    <definedName name="CBOOM_2Q09">#REF!</definedName>
    <definedName name="CBOOM_2Q10">#REF!</definedName>
    <definedName name="CBOOM_2Q11">#REF!</definedName>
    <definedName name="CBOOM_2Q12">#REF!</definedName>
    <definedName name="CBOOM_2Q13">#REF!</definedName>
    <definedName name="CBOOM_2Q14">#REF!</definedName>
    <definedName name="CBOOM_2Q15">#REF!</definedName>
    <definedName name="CBOOM_2Q16">#REF!</definedName>
    <definedName name="CBOOM_2Q17">#REF!</definedName>
    <definedName name="CBOOM_2Q18">#REF!</definedName>
    <definedName name="CBOOM_2Q19">#REF!</definedName>
    <definedName name="CBOOM_2Q20">#REF!</definedName>
    <definedName name="CBOOM_2Q21">#REF!</definedName>
    <definedName name="CBOOM_2Q22">#REF!</definedName>
    <definedName name="CBOOM_2Q23">#REF!</definedName>
    <definedName name="CBOOM_2Q24">#REF!</definedName>
    <definedName name="CBOOM_3Q00">#REF!</definedName>
    <definedName name="CBOOM_3Q01">#REF!</definedName>
    <definedName name="CBOOM_3Q02">#REF!</definedName>
    <definedName name="CBOOM_3Q03">#REF!</definedName>
    <definedName name="CBOOM_3Q04">#REF!</definedName>
    <definedName name="CBOOM_3Q05">#REF!</definedName>
    <definedName name="CBOOM_3Q06">#REF!</definedName>
    <definedName name="CBOOM_3Q07">#REF!</definedName>
    <definedName name="CBOOM_3Q08">#REF!</definedName>
    <definedName name="CBOOM_3Q09">#REF!</definedName>
    <definedName name="CBOOM_3Q10">#REF!</definedName>
    <definedName name="CBOOM_3Q11">#REF!</definedName>
    <definedName name="CBOOM_3Q12">#REF!</definedName>
    <definedName name="CBOOM_3Q13">#REF!</definedName>
    <definedName name="CBOOM_3Q14">#REF!</definedName>
    <definedName name="CBOOM_3Q15">#REF!</definedName>
    <definedName name="CBOOM_3Q16">#REF!</definedName>
    <definedName name="CBOOM_3Q17">#REF!</definedName>
    <definedName name="CBOOM_3Q18">#REF!</definedName>
    <definedName name="CBOOM_3Q19">#REF!</definedName>
    <definedName name="CBOOM_3Q20">#REF!</definedName>
    <definedName name="CBOOM_3Q21">#REF!</definedName>
    <definedName name="CBOOM_3Q22">#REF!</definedName>
    <definedName name="CBOOM_3Q23">#REF!</definedName>
    <definedName name="CBOOM_3Q24">#REF!</definedName>
    <definedName name="CBOOM_4Q00">#REF!</definedName>
    <definedName name="CBOOM_4Q01">#REF!</definedName>
    <definedName name="CBOOM_4Q02">#REF!</definedName>
    <definedName name="CBOOM_4Q03">#REF!</definedName>
    <definedName name="CBOOM_4Q04">#REF!</definedName>
    <definedName name="CBOOM_4Q05">#REF!</definedName>
    <definedName name="CBOOM_4Q06">#REF!</definedName>
    <definedName name="CBOOM_4Q07">#REF!</definedName>
    <definedName name="CBOOM_4Q08">#REF!</definedName>
    <definedName name="CBOOM_4Q09">#REF!</definedName>
    <definedName name="CBOOM_4Q10">#REF!</definedName>
    <definedName name="CBOOM_4Q11">#REF!</definedName>
    <definedName name="CBOOM_4Q12">#REF!</definedName>
    <definedName name="CBOOM_4Q13">#REF!</definedName>
    <definedName name="CBOOM_4Q14">#REF!</definedName>
    <definedName name="CBOOM_4Q15">#REF!</definedName>
    <definedName name="CBOOM_4Q16">#REF!</definedName>
    <definedName name="CBOOM_4Q17">#REF!</definedName>
    <definedName name="CBOOM_4Q18">#REF!</definedName>
    <definedName name="CBOOM_4Q19">#REF!</definedName>
    <definedName name="CBOOM_4Q20">#REF!</definedName>
    <definedName name="CBOOM_4Q21">#REF!</definedName>
    <definedName name="CBOOM_4Q22">#REF!</definedName>
    <definedName name="CBOOM_4Q23">#REF!</definedName>
    <definedName name="CBOOM_4Q24">#REF!</definedName>
    <definedName name="CCNCND_1995">#REF!</definedName>
    <definedName name="CCNCND_1996">#REF!</definedName>
    <definedName name="CCNCND_1997">#REF!</definedName>
    <definedName name="CCNCND_1998">#REF!</definedName>
    <definedName name="CCNCND_1999">#REF!</definedName>
    <definedName name="CCNCND_1Q00">#REF!</definedName>
    <definedName name="CCNCND_1Q01">#REF!</definedName>
    <definedName name="CCNCND_1Q02">#REF!</definedName>
    <definedName name="CCNCND_1Q03">#REF!</definedName>
    <definedName name="CCNCND_1Q04">#REF!</definedName>
    <definedName name="CCNCND_1Q05">#REF!</definedName>
    <definedName name="CCNCND_1Q06">#REF!</definedName>
    <definedName name="CCNCND_1Q07">#REF!</definedName>
    <definedName name="CCNCND_1Q08">#REF!</definedName>
    <definedName name="CCNCND_1Q09">#REF!</definedName>
    <definedName name="CCNCND_1Q10">#REF!</definedName>
    <definedName name="CCNCND_1Q11">#REF!</definedName>
    <definedName name="CCNCND_1Q12">#REF!</definedName>
    <definedName name="CCNCND_1Q13">#REF!</definedName>
    <definedName name="CCNCND_1Q14">#REF!</definedName>
    <definedName name="CCNCND_1Q15">#REF!</definedName>
    <definedName name="CCNCND_1Q16">#REF!</definedName>
    <definedName name="CCNCND_1Q17">#REF!</definedName>
    <definedName name="CCNCND_1Q18">#REF!</definedName>
    <definedName name="CCNCND_1Q19">#REF!</definedName>
    <definedName name="CCNCND_1Q20">#REF!</definedName>
    <definedName name="CCNCND_1Q21">#REF!</definedName>
    <definedName name="CCNCND_1Q22">#REF!</definedName>
    <definedName name="CCNCND_1Q23">#REF!</definedName>
    <definedName name="CCNCND_1Q24">#REF!</definedName>
    <definedName name="CCNCND_2000">#REF!</definedName>
    <definedName name="CCNCND_2001">#REF!</definedName>
    <definedName name="CCNCND_2002">#REF!</definedName>
    <definedName name="CCNCND_2003">#REF!</definedName>
    <definedName name="CCNCND_2004">#REF!</definedName>
    <definedName name="CCNCND_2005">#REF!</definedName>
    <definedName name="CCNCND_2006">#REF!</definedName>
    <definedName name="CCNCND_2007">#REF!</definedName>
    <definedName name="CCNCND_2008">#REF!</definedName>
    <definedName name="CCNCND_2009">#REF!</definedName>
    <definedName name="CCNCND_2010">#REF!</definedName>
    <definedName name="CCNCND_2011">#REF!</definedName>
    <definedName name="CCNCND_2012">#REF!</definedName>
    <definedName name="CCNCND_2013">#REF!</definedName>
    <definedName name="CCNCND_2014">#REF!</definedName>
    <definedName name="CCNCND_2015">#REF!</definedName>
    <definedName name="CCNCND_2016">#REF!</definedName>
    <definedName name="CCNCND_2017">#REF!</definedName>
    <definedName name="CCNCND_2018">#REF!</definedName>
    <definedName name="CCNCND_2019">#REF!</definedName>
    <definedName name="CCNCND_2020">#REF!</definedName>
    <definedName name="CCNCND_2021">#REF!</definedName>
    <definedName name="CCNCND_2022">#REF!</definedName>
    <definedName name="CCNCND_2023">#REF!</definedName>
    <definedName name="CCNCND_2024">#REF!</definedName>
    <definedName name="CCNCND_2Q00">#REF!</definedName>
    <definedName name="CCNCND_2Q01">#REF!</definedName>
    <definedName name="CCNCND_2Q02">#REF!</definedName>
    <definedName name="CCNCND_2Q03">#REF!</definedName>
    <definedName name="CCNCND_2Q04">#REF!</definedName>
    <definedName name="CCNCND_2Q05">#REF!</definedName>
    <definedName name="CCNCND_2Q06">#REF!</definedName>
    <definedName name="CCNCND_2Q07">#REF!</definedName>
    <definedName name="CCNCND_2Q08">#REF!</definedName>
    <definedName name="CCNCND_2Q09">#REF!</definedName>
    <definedName name="CCNCND_2Q10">#REF!</definedName>
    <definedName name="CCNCND_2Q11">#REF!</definedName>
    <definedName name="CCNCND_2Q12">#REF!</definedName>
    <definedName name="CCNCND_2Q13">#REF!</definedName>
    <definedName name="CCNCND_2Q14">#REF!</definedName>
    <definedName name="CCNCND_2Q15">#REF!</definedName>
    <definedName name="CCNCND_2Q16">#REF!</definedName>
    <definedName name="CCNCND_2Q17">#REF!</definedName>
    <definedName name="CCNCND_2Q18">#REF!</definedName>
    <definedName name="CCNCND_2Q19">#REF!</definedName>
    <definedName name="CCNCND_2Q20">#REF!</definedName>
    <definedName name="CCNCND_2Q21">#REF!</definedName>
    <definedName name="CCNCND_2Q22">#REF!</definedName>
    <definedName name="CCNCND_2Q23">#REF!</definedName>
    <definedName name="CCNCND_2Q24">#REF!</definedName>
    <definedName name="CCNCND_3Q00">#REF!</definedName>
    <definedName name="CCNCND_3Q01">#REF!</definedName>
    <definedName name="CCNCND_3Q02">#REF!</definedName>
    <definedName name="CCNCND_3Q03">#REF!</definedName>
    <definedName name="CCNCND_3Q04">#REF!</definedName>
    <definedName name="CCNCND_3Q05">#REF!</definedName>
    <definedName name="CCNCND_3Q06">#REF!</definedName>
    <definedName name="CCNCND_3Q07">#REF!</definedName>
    <definedName name="CCNCND_3Q08">#REF!</definedName>
    <definedName name="CCNCND_3Q09">#REF!</definedName>
    <definedName name="CCNCND_3Q10">#REF!</definedName>
    <definedName name="CCNCND_3Q11">#REF!</definedName>
    <definedName name="CCNCND_3Q12">#REF!</definedName>
    <definedName name="CCNCND_3Q13">#REF!</definedName>
    <definedName name="CCNCND_3Q14">#REF!</definedName>
    <definedName name="CCNCND_3Q15">#REF!</definedName>
    <definedName name="CCNCND_3Q16">#REF!</definedName>
    <definedName name="CCNCND_3Q17">#REF!</definedName>
    <definedName name="CCNCND_3Q18">#REF!</definedName>
    <definedName name="CCNCND_3Q19">#REF!</definedName>
    <definedName name="CCNCND_3Q20">#REF!</definedName>
    <definedName name="CCNCND_3Q21">#REF!</definedName>
    <definedName name="CCNCND_3Q22">#REF!</definedName>
    <definedName name="CCNCND_3Q23">#REF!</definedName>
    <definedName name="CCNCND_3Q24">#REF!</definedName>
    <definedName name="CCNCND_4Q00">#REF!</definedName>
    <definedName name="CCNCND_4Q01">#REF!</definedName>
    <definedName name="CCNCND_4Q02">#REF!</definedName>
    <definedName name="CCNCND_4Q03">#REF!</definedName>
    <definedName name="CCNCND_4Q04">#REF!</definedName>
    <definedName name="CCNCND_4Q05">#REF!</definedName>
    <definedName name="CCNCND_4Q06">#REF!</definedName>
    <definedName name="CCNCND_4Q07">#REF!</definedName>
    <definedName name="CCNCND_4Q08">#REF!</definedName>
    <definedName name="CCNCND_4Q09">#REF!</definedName>
    <definedName name="CCNCND_4Q10">#REF!</definedName>
    <definedName name="CCNCND_4Q11">#REF!</definedName>
    <definedName name="CCNCND_4Q12">#REF!</definedName>
    <definedName name="CCNCND_4Q13">#REF!</definedName>
    <definedName name="CCNCND_4Q14">#REF!</definedName>
    <definedName name="CCNCND_4Q15">#REF!</definedName>
    <definedName name="CCNCND_4Q16">#REF!</definedName>
    <definedName name="CCNCND_4Q17">#REF!</definedName>
    <definedName name="CCNCND_4Q18">#REF!</definedName>
    <definedName name="CCNCND_4Q19">#REF!</definedName>
    <definedName name="CCNCND_4Q20">#REF!</definedName>
    <definedName name="CCNCND_4Q21">#REF!</definedName>
    <definedName name="CCNCND_4Q22">#REF!</definedName>
    <definedName name="CCNCND_4Q23">#REF!</definedName>
    <definedName name="CCNCND_4Q24">#REF!</definedName>
    <definedName name="Cellsdown">#REF!</definedName>
    <definedName name="CEVNPA_1995">#REF!</definedName>
    <definedName name="CEVNPA_1996">#REF!</definedName>
    <definedName name="CEVNPA_1997">#REF!</definedName>
    <definedName name="CEVNPA_1998">#REF!</definedName>
    <definedName name="CEVNPA_1999">#REF!</definedName>
    <definedName name="CEVNPA_1Q00">#REF!</definedName>
    <definedName name="CEVNPA_1Q01">#REF!</definedName>
    <definedName name="CEVNPA_1Q02">#REF!</definedName>
    <definedName name="CEVNPA_1Q03">#REF!</definedName>
    <definedName name="CEVNPA_1Q04">#REF!</definedName>
    <definedName name="CEVNPA_1Q05">#REF!</definedName>
    <definedName name="CEVNPA_1Q06">#REF!</definedName>
    <definedName name="CEVNPA_1Q07">#REF!</definedName>
    <definedName name="CEVNPA_1Q08">#REF!</definedName>
    <definedName name="CEVNPA_1Q09">#REF!</definedName>
    <definedName name="CEVNPA_1Q10">#REF!</definedName>
    <definedName name="CEVNPA_1Q11">#REF!</definedName>
    <definedName name="CEVNPA_1Q12">#REF!</definedName>
    <definedName name="CEVNPA_1Q13">#REF!</definedName>
    <definedName name="CEVNPA_1Q14">#REF!</definedName>
    <definedName name="CEVNPA_1Q15">#REF!</definedName>
    <definedName name="CEVNPA_1Q16">#REF!</definedName>
    <definedName name="CEVNPA_1Q17">#REF!</definedName>
    <definedName name="CEVNPA_1Q18">#REF!</definedName>
    <definedName name="CEVNPA_1Q19">#REF!</definedName>
    <definedName name="CEVNPA_1Q20">#REF!</definedName>
    <definedName name="CEVNPA_1Q21">#REF!</definedName>
    <definedName name="CEVNPA_1Q22">#REF!</definedName>
    <definedName name="CEVNPA_1Q23">#REF!</definedName>
    <definedName name="CEVNPA_1Q24">#REF!</definedName>
    <definedName name="CEVNPA_2000">#REF!</definedName>
    <definedName name="CEVNPA_2001">#REF!</definedName>
    <definedName name="CEVNPA_2002">#REF!</definedName>
    <definedName name="CEVNPA_2003">#REF!</definedName>
    <definedName name="CEVNPA_2004">#REF!</definedName>
    <definedName name="CEVNPA_2005">#REF!</definedName>
    <definedName name="CEVNPA_2006">#REF!</definedName>
    <definedName name="CEVNPA_2007">#REF!</definedName>
    <definedName name="CEVNPA_2008">#REF!</definedName>
    <definedName name="CEVNPA_2009">#REF!</definedName>
    <definedName name="CEVNPA_2010">#REF!</definedName>
    <definedName name="CEVNPA_2011">#REF!</definedName>
    <definedName name="CEVNPA_2012">#REF!</definedName>
    <definedName name="CEVNPA_2013">#REF!</definedName>
    <definedName name="CEVNPA_2014">#REF!</definedName>
    <definedName name="CEVNPA_2015">#REF!</definedName>
    <definedName name="CEVNPA_2016">#REF!</definedName>
    <definedName name="CEVNPA_2017">#REF!</definedName>
    <definedName name="CEVNPA_2018">#REF!</definedName>
    <definedName name="CEVNPA_2019">#REF!</definedName>
    <definedName name="CEVNPA_2020">#REF!</definedName>
    <definedName name="CEVNPA_2021">#REF!</definedName>
    <definedName name="CEVNPA_2022">#REF!</definedName>
    <definedName name="CEVNPA_2023">#REF!</definedName>
    <definedName name="CEVNPA_2024">#REF!</definedName>
    <definedName name="CEVNPA_2Q00">#REF!</definedName>
    <definedName name="CEVNPA_2Q01">#REF!</definedName>
    <definedName name="CEVNPA_2Q02">#REF!</definedName>
    <definedName name="CEVNPA_2Q03">#REF!</definedName>
    <definedName name="CEVNPA_2Q04">#REF!</definedName>
    <definedName name="CEVNPA_2Q05">#REF!</definedName>
    <definedName name="CEVNPA_2Q06">#REF!</definedName>
    <definedName name="CEVNPA_2Q07">#REF!</definedName>
    <definedName name="CEVNPA_2Q08">#REF!</definedName>
    <definedName name="CEVNPA_2Q09">#REF!</definedName>
    <definedName name="CEVNPA_2Q10">#REF!</definedName>
    <definedName name="CEVNPA_2Q11">#REF!</definedName>
    <definedName name="CEVNPA_2Q12">#REF!</definedName>
    <definedName name="CEVNPA_2Q13">#REF!</definedName>
    <definedName name="CEVNPA_2Q14">#REF!</definedName>
    <definedName name="CEVNPA_2Q15">#REF!</definedName>
    <definedName name="CEVNPA_2Q16">#REF!</definedName>
    <definedName name="CEVNPA_2Q17">#REF!</definedName>
    <definedName name="CEVNPA_2Q18">#REF!</definedName>
    <definedName name="CEVNPA_2Q19">#REF!</definedName>
    <definedName name="CEVNPA_2Q20">#REF!</definedName>
    <definedName name="CEVNPA_2Q21">#REF!</definedName>
    <definedName name="CEVNPA_2Q22">#REF!</definedName>
    <definedName name="CEVNPA_2Q23">#REF!</definedName>
    <definedName name="CEVNPA_2Q24">#REF!</definedName>
    <definedName name="CEVNPA_3Q00">#REF!</definedName>
    <definedName name="CEVNPA_3Q01">#REF!</definedName>
    <definedName name="CEVNPA_3Q02">#REF!</definedName>
    <definedName name="CEVNPA_3Q03">#REF!</definedName>
    <definedName name="CEVNPA_3Q04">#REF!</definedName>
    <definedName name="CEVNPA_3Q05">#REF!</definedName>
    <definedName name="CEVNPA_3Q06">#REF!</definedName>
    <definedName name="CEVNPA_3Q07">#REF!</definedName>
    <definedName name="CEVNPA_3Q08">#REF!</definedName>
    <definedName name="CEVNPA_3Q09">#REF!</definedName>
    <definedName name="CEVNPA_3Q10">#REF!</definedName>
    <definedName name="CEVNPA_3Q11">#REF!</definedName>
    <definedName name="CEVNPA_3Q12">#REF!</definedName>
    <definedName name="CEVNPA_3Q13">#REF!</definedName>
    <definedName name="CEVNPA_3Q14">#REF!</definedName>
    <definedName name="CEVNPA_3Q15">#REF!</definedName>
    <definedName name="CEVNPA_3Q16">#REF!</definedName>
    <definedName name="CEVNPA_3Q17">#REF!</definedName>
    <definedName name="CEVNPA_3Q18">#REF!</definedName>
    <definedName name="CEVNPA_3Q19">#REF!</definedName>
    <definedName name="CEVNPA_3Q20">#REF!</definedName>
    <definedName name="CEVNPA_3Q21">#REF!</definedName>
    <definedName name="CEVNPA_3Q22">#REF!</definedName>
    <definedName name="CEVNPA_3Q23">#REF!</definedName>
    <definedName name="CEVNPA_3Q24">#REF!</definedName>
    <definedName name="CEVNPA_4Q00">#REF!</definedName>
    <definedName name="CEVNPA_4Q01">#REF!</definedName>
    <definedName name="CEVNPA_4Q02">#REF!</definedName>
    <definedName name="CEVNPA_4Q03">#REF!</definedName>
    <definedName name="CEVNPA_4Q04">#REF!</definedName>
    <definedName name="CEVNPA_4Q05">#REF!</definedName>
    <definedName name="CEVNPA_4Q06">#REF!</definedName>
    <definedName name="CEVNPA_4Q07">#REF!</definedName>
    <definedName name="CEVNPA_4Q08">#REF!</definedName>
    <definedName name="CEVNPA_4Q09">#REF!</definedName>
    <definedName name="CEVNPA_4Q10">#REF!</definedName>
    <definedName name="CEVNPA_4Q11">#REF!</definedName>
    <definedName name="CEVNPA_4Q12">#REF!</definedName>
    <definedName name="CEVNPA_4Q13">#REF!</definedName>
    <definedName name="CEVNPA_4Q14">#REF!</definedName>
    <definedName name="CEVNPA_4Q15">#REF!</definedName>
    <definedName name="CEVNPA_4Q16">#REF!</definedName>
    <definedName name="CEVNPA_4Q17">#REF!</definedName>
    <definedName name="CEVNPA_4Q18">#REF!</definedName>
    <definedName name="CEVNPA_4Q19">#REF!</definedName>
    <definedName name="CEVNPA_4Q20">#REF!</definedName>
    <definedName name="CEVNPA_4Q21">#REF!</definedName>
    <definedName name="CEVNPA_4Q22">#REF!</definedName>
    <definedName name="CEVNPA_4Q23">#REF!</definedName>
    <definedName name="CEVNPA_4Q24">#REF!</definedName>
    <definedName name="CEVNWC_1995">#REF!</definedName>
    <definedName name="CEVNWC_1996">#REF!</definedName>
    <definedName name="CEVNWC_1997">#REF!</definedName>
    <definedName name="CEVNWC_1998">#REF!</definedName>
    <definedName name="CEVNWC_1999">#REF!</definedName>
    <definedName name="CEVNWC_1Q00">#REF!</definedName>
    <definedName name="CEVNWC_1Q01">#REF!</definedName>
    <definedName name="CEVNWC_1Q02">#REF!</definedName>
    <definedName name="CEVNWC_1Q03">#REF!</definedName>
    <definedName name="CEVNWC_1Q04">#REF!</definedName>
    <definedName name="CEVNWC_1Q05">#REF!</definedName>
    <definedName name="CEVNWC_1Q06">#REF!</definedName>
    <definedName name="CEVNWC_1Q07">#REF!</definedName>
    <definedName name="CEVNWC_1Q08">#REF!</definedName>
    <definedName name="CEVNWC_1Q09">#REF!</definedName>
    <definedName name="CEVNWC_1Q10">#REF!</definedName>
    <definedName name="CEVNWC_1Q11">#REF!</definedName>
    <definedName name="CEVNWC_1Q12">#REF!</definedName>
    <definedName name="CEVNWC_1Q13">#REF!</definedName>
    <definedName name="CEVNWC_1Q14">#REF!</definedName>
    <definedName name="CEVNWC_1Q15">#REF!</definedName>
    <definedName name="CEVNWC_1Q16">#REF!</definedName>
    <definedName name="CEVNWC_1Q17">#REF!</definedName>
    <definedName name="CEVNWC_1Q18">#REF!</definedName>
    <definedName name="CEVNWC_1Q19">#REF!</definedName>
    <definedName name="CEVNWC_1Q20">#REF!</definedName>
    <definedName name="CEVNWC_1Q21">#REF!</definedName>
    <definedName name="CEVNWC_1Q22">#REF!</definedName>
    <definedName name="CEVNWC_1Q23">#REF!</definedName>
    <definedName name="CEVNWC_1Q24">#REF!</definedName>
    <definedName name="CEVNWC_2000">#REF!</definedName>
    <definedName name="CEVNWC_2001">#REF!</definedName>
    <definedName name="CEVNWC_2002">#REF!</definedName>
    <definedName name="CEVNWC_2003">#REF!</definedName>
    <definedName name="CEVNWC_2004">#REF!</definedName>
    <definedName name="CEVNWC_2005">#REF!</definedName>
    <definedName name="CEVNWC_2006">#REF!</definedName>
    <definedName name="CEVNWC_2007">#REF!</definedName>
    <definedName name="CEVNWC_2008">#REF!</definedName>
    <definedName name="CEVNWC_2009">#REF!</definedName>
    <definedName name="CEVNWC_2010">#REF!</definedName>
    <definedName name="CEVNWC_2011">#REF!</definedName>
    <definedName name="CEVNWC_2012">#REF!</definedName>
    <definedName name="CEVNWC_2013">#REF!</definedName>
    <definedName name="CEVNWC_2014">#REF!</definedName>
    <definedName name="CEVNWC_2015">#REF!</definedName>
    <definedName name="CEVNWC_2016">#REF!</definedName>
    <definedName name="CEVNWC_2017">#REF!</definedName>
    <definedName name="CEVNWC_2018">#REF!</definedName>
    <definedName name="CEVNWC_2019">#REF!</definedName>
    <definedName name="CEVNWC_2020">#REF!</definedName>
    <definedName name="CEVNWC_2021">#REF!</definedName>
    <definedName name="CEVNWC_2022">#REF!</definedName>
    <definedName name="CEVNWC_2023">#REF!</definedName>
    <definedName name="CEVNWC_2024">#REF!</definedName>
    <definedName name="CEVNWC_2Q00">#REF!</definedName>
    <definedName name="CEVNWC_2Q01">#REF!</definedName>
    <definedName name="CEVNWC_2Q02">#REF!</definedName>
    <definedName name="CEVNWC_2Q03">#REF!</definedName>
    <definedName name="CEVNWC_2Q04">#REF!</definedName>
    <definedName name="CEVNWC_2Q05">#REF!</definedName>
    <definedName name="CEVNWC_2Q06">#REF!</definedName>
    <definedName name="CEVNWC_2Q07">#REF!</definedName>
    <definedName name="CEVNWC_2Q08">#REF!</definedName>
    <definedName name="CEVNWC_2Q09">#REF!</definedName>
    <definedName name="CEVNWC_2Q10">#REF!</definedName>
    <definedName name="CEVNWC_2Q11">#REF!</definedName>
    <definedName name="CEVNWC_2Q12">#REF!</definedName>
    <definedName name="CEVNWC_2Q13">#REF!</definedName>
    <definedName name="CEVNWC_2Q14">#REF!</definedName>
    <definedName name="CEVNWC_2Q15">#REF!</definedName>
    <definedName name="CEVNWC_2Q16">#REF!</definedName>
    <definedName name="CEVNWC_2Q17">#REF!</definedName>
    <definedName name="CEVNWC_2Q18">#REF!</definedName>
    <definedName name="CEVNWC_2Q19">#REF!</definedName>
    <definedName name="CEVNWC_2Q20">#REF!</definedName>
    <definedName name="CEVNWC_2Q21">#REF!</definedName>
    <definedName name="CEVNWC_2Q22">#REF!</definedName>
    <definedName name="CEVNWC_2Q23">#REF!</definedName>
    <definedName name="CEVNWC_2Q24">#REF!</definedName>
    <definedName name="CEVNWC_3Q00">#REF!</definedName>
    <definedName name="CEVNWC_3Q01">#REF!</definedName>
    <definedName name="CEVNWC_3Q02">#REF!</definedName>
    <definedName name="CEVNWC_3Q03">#REF!</definedName>
    <definedName name="CEVNWC_3Q04">#REF!</definedName>
    <definedName name="CEVNWC_3Q05">#REF!</definedName>
    <definedName name="CEVNWC_3Q06">#REF!</definedName>
    <definedName name="CEVNWC_3Q07">#REF!</definedName>
    <definedName name="CEVNWC_3Q08">#REF!</definedName>
    <definedName name="CEVNWC_3Q09">#REF!</definedName>
    <definedName name="CEVNWC_3Q10">#REF!</definedName>
    <definedName name="CEVNWC_3Q11">#REF!</definedName>
    <definedName name="CEVNWC_3Q12">#REF!</definedName>
    <definedName name="CEVNWC_3Q13">#REF!</definedName>
    <definedName name="CEVNWC_3Q14">#REF!</definedName>
    <definedName name="CEVNWC_3Q15">#REF!</definedName>
    <definedName name="CEVNWC_3Q16">#REF!</definedName>
    <definedName name="CEVNWC_3Q17">#REF!</definedName>
    <definedName name="CEVNWC_3Q18">#REF!</definedName>
    <definedName name="CEVNWC_3Q19">#REF!</definedName>
    <definedName name="CEVNWC_3Q20">#REF!</definedName>
    <definedName name="CEVNWC_3Q21">#REF!</definedName>
    <definedName name="CEVNWC_3Q22">#REF!</definedName>
    <definedName name="CEVNWC_3Q23">#REF!</definedName>
    <definedName name="CEVNWC_3Q24">#REF!</definedName>
    <definedName name="CEVNWC_4Q00">#REF!</definedName>
    <definedName name="CEVNWC_4Q01">#REF!</definedName>
    <definedName name="CEVNWC_4Q02">#REF!</definedName>
    <definedName name="CEVNWC_4Q03">#REF!</definedName>
    <definedName name="CEVNWC_4Q04">#REF!</definedName>
    <definedName name="CEVNWC_4Q05">#REF!</definedName>
    <definedName name="CEVNWC_4Q06">#REF!</definedName>
    <definedName name="CEVNWC_4Q07">#REF!</definedName>
    <definedName name="CEVNWC_4Q08">#REF!</definedName>
    <definedName name="CEVNWC_4Q09">#REF!</definedName>
    <definedName name="CEVNWC_4Q10">#REF!</definedName>
    <definedName name="CEVNWC_4Q11">#REF!</definedName>
    <definedName name="CEVNWC_4Q12">#REF!</definedName>
    <definedName name="CEVNWC_4Q13">#REF!</definedName>
    <definedName name="CEVNWC_4Q14">#REF!</definedName>
    <definedName name="CEVNWC_4Q15">#REF!</definedName>
    <definedName name="CEVNWC_4Q16">#REF!</definedName>
    <definedName name="CEVNWC_4Q17">#REF!</definedName>
    <definedName name="CEVNWC_4Q18">#REF!</definedName>
    <definedName name="CEVNWC_4Q19">#REF!</definedName>
    <definedName name="CEVNWC_4Q20">#REF!</definedName>
    <definedName name="CEVNWC_4Q21">#REF!</definedName>
    <definedName name="CEVNWC_4Q22">#REF!</definedName>
    <definedName name="CEVNWC_4Q23">#REF!</definedName>
    <definedName name="CEVNWC_4Q24">#REF!</definedName>
    <definedName name="CGPWO_1995">#REF!</definedName>
    <definedName name="CGPWO_1996">#REF!</definedName>
    <definedName name="CGPWO_1997">#REF!</definedName>
    <definedName name="CGPWO_1998">#REF!</definedName>
    <definedName name="CGPWO_1999">#REF!</definedName>
    <definedName name="CGPWO_1Q00">#REF!</definedName>
    <definedName name="CGPWO_1Q01">#REF!</definedName>
    <definedName name="CGPWO_1Q02">#REF!</definedName>
    <definedName name="CGPWO_1Q03">#REF!</definedName>
    <definedName name="CGPWO_1Q04">#REF!</definedName>
    <definedName name="CGPWO_1Q05">#REF!</definedName>
    <definedName name="CGPWO_1Q06">#REF!</definedName>
    <definedName name="CGPWO_1Q07">#REF!</definedName>
    <definedName name="CGPWO_1Q08">#REF!</definedName>
    <definedName name="CGPWO_1Q09">#REF!</definedName>
    <definedName name="CGPWO_1Q10">#REF!</definedName>
    <definedName name="CGPWO_1Q11">#REF!</definedName>
    <definedName name="CGPWO_1Q12">#REF!</definedName>
    <definedName name="CGPWO_1Q13">#REF!</definedName>
    <definedName name="CGPWO_1Q14">#REF!</definedName>
    <definedName name="CGPWO_1Q15">#REF!</definedName>
    <definedName name="CGPWO_1Q16">#REF!</definedName>
    <definedName name="CGPWO_1Q17">#REF!</definedName>
    <definedName name="CGPWO_1Q18">#REF!</definedName>
    <definedName name="CGPWO_1Q19">#REF!</definedName>
    <definedName name="CGPWO_1Q20">#REF!</definedName>
    <definedName name="CGPWO_1Q21">#REF!</definedName>
    <definedName name="CGPWO_1Q22">#REF!</definedName>
    <definedName name="CGPWO_1Q23">#REF!</definedName>
    <definedName name="CGPWO_1Q24">#REF!</definedName>
    <definedName name="CGPWO_2000">#REF!</definedName>
    <definedName name="CGPWO_2001">#REF!</definedName>
    <definedName name="CGPWO_2002">#REF!</definedName>
    <definedName name="CGPWO_2003">#REF!</definedName>
    <definedName name="CGPWO_2004">#REF!</definedName>
    <definedName name="CGPWO_2005">#REF!</definedName>
    <definedName name="CGPWO_2006">#REF!</definedName>
    <definedName name="CGPWO_2007">#REF!</definedName>
    <definedName name="CGPWO_2008">#REF!</definedName>
    <definedName name="CGPWO_2009">#REF!</definedName>
    <definedName name="CGPWO_2010">#REF!</definedName>
    <definedName name="CGPWO_2011">#REF!</definedName>
    <definedName name="CGPWO_2012">#REF!</definedName>
    <definedName name="CGPWO_2013">#REF!</definedName>
    <definedName name="CGPWO_2014">#REF!</definedName>
    <definedName name="CGPWO_2015">#REF!</definedName>
    <definedName name="CGPWO_2016">#REF!</definedName>
    <definedName name="CGPWO_2017">#REF!</definedName>
    <definedName name="CGPWO_2018">#REF!</definedName>
    <definedName name="CGPWO_2019">#REF!</definedName>
    <definedName name="CGPWO_2020">#REF!</definedName>
    <definedName name="CGPWO_2021">#REF!</definedName>
    <definedName name="CGPWO_2022">#REF!</definedName>
    <definedName name="CGPWO_2023">#REF!</definedName>
    <definedName name="CGPWO_2024">#REF!</definedName>
    <definedName name="CGPWO_2Q00">#REF!</definedName>
    <definedName name="CGPWO_2Q01">#REF!</definedName>
    <definedName name="CGPWO_2Q02">#REF!</definedName>
    <definedName name="CGPWO_2Q03">#REF!</definedName>
    <definedName name="CGPWO_2Q04">#REF!</definedName>
    <definedName name="CGPWO_2Q05">#REF!</definedName>
    <definedName name="CGPWO_2Q06">#REF!</definedName>
    <definedName name="CGPWO_2Q07">#REF!</definedName>
    <definedName name="CGPWO_2Q08">#REF!</definedName>
    <definedName name="CGPWO_2Q09">#REF!</definedName>
    <definedName name="CGPWO_2Q10">#REF!</definedName>
    <definedName name="CGPWO_2Q11">#REF!</definedName>
    <definedName name="CGPWO_2Q12">#REF!</definedName>
    <definedName name="CGPWO_2Q13">#REF!</definedName>
    <definedName name="CGPWO_2Q14">#REF!</definedName>
    <definedName name="CGPWO_2Q15">#REF!</definedName>
    <definedName name="CGPWO_2Q16">#REF!</definedName>
    <definedName name="CGPWO_2Q17">#REF!</definedName>
    <definedName name="CGPWO_2Q18">#REF!</definedName>
    <definedName name="CGPWO_2Q19">#REF!</definedName>
    <definedName name="CGPWO_2Q20">#REF!</definedName>
    <definedName name="CGPWO_2Q21">#REF!</definedName>
    <definedName name="CGPWO_2Q22">#REF!</definedName>
    <definedName name="CGPWO_2Q23">#REF!</definedName>
    <definedName name="CGPWO_2Q24">#REF!</definedName>
    <definedName name="CGPWO_3Q00">#REF!</definedName>
    <definedName name="CGPWO_3Q01">#REF!</definedName>
    <definedName name="CGPWO_3Q02">#REF!</definedName>
    <definedName name="CGPWO_3Q03">#REF!</definedName>
    <definedName name="CGPWO_3Q04">#REF!</definedName>
    <definedName name="CGPWO_3Q05">#REF!</definedName>
    <definedName name="CGPWO_3Q06">#REF!</definedName>
    <definedName name="CGPWO_3Q07">#REF!</definedName>
    <definedName name="CGPWO_3Q08">#REF!</definedName>
    <definedName name="CGPWO_3Q09">#REF!</definedName>
    <definedName name="CGPWO_3Q10">#REF!</definedName>
    <definedName name="CGPWO_3Q11">#REF!</definedName>
    <definedName name="CGPWO_3Q12">#REF!</definedName>
    <definedName name="CGPWO_3Q13">#REF!</definedName>
    <definedName name="CGPWO_3Q14">#REF!</definedName>
    <definedName name="CGPWO_3Q15">#REF!</definedName>
    <definedName name="CGPWO_3Q16">#REF!</definedName>
    <definedName name="CGPWO_3Q17">#REF!</definedName>
    <definedName name="CGPWO_3Q18">#REF!</definedName>
    <definedName name="CGPWO_3Q19">#REF!</definedName>
    <definedName name="CGPWO_3Q20">#REF!</definedName>
    <definedName name="CGPWO_3Q21">#REF!</definedName>
    <definedName name="CGPWO_3Q22">#REF!</definedName>
    <definedName name="CGPWO_3Q23">#REF!</definedName>
    <definedName name="CGPWO_3Q24">#REF!</definedName>
    <definedName name="CGPWO_4Q00">#REF!</definedName>
    <definedName name="CGPWO_4Q01">#REF!</definedName>
    <definedName name="CGPWO_4Q02">#REF!</definedName>
    <definedName name="CGPWO_4Q03">#REF!</definedName>
    <definedName name="CGPWO_4Q04">#REF!</definedName>
    <definedName name="CGPWO_4Q05">#REF!</definedName>
    <definedName name="CGPWO_4Q06">#REF!</definedName>
    <definedName name="CGPWO_4Q07">#REF!</definedName>
    <definedName name="CGPWO_4Q08">#REF!</definedName>
    <definedName name="CGPWO_4Q09">#REF!</definedName>
    <definedName name="CGPWO_4Q10">#REF!</definedName>
    <definedName name="CGPWO_4Q11">#REF!</definedName>
    <definedName name="CGPWO_4Q12">#REF!</definedName>
    <definedName name="CGPWO_4Q13">#REF!</definedName>
    <definedName name="CGPWO_4Q14">#REF!</definedName>
    <definedName name="CGPWO_4Q15">#REF!</definedName>
    <definedName name="CGPWO_4Q16">#REF!</definedName>
    <definedName name="CGPWO_4Q17">#REF!</definedName>
    <definedName name="CGPWO_4Q18">#REF!</definedName>
    <definedName name="CGPWO_4Q19">#REF!</definedName>
    <definedName name="CGPWO_4Q20">#REF!</definedName>
    <definedName name="CGPWO_4Q21">#REF!</definedName>
    <definedName name="CGPWO_4Q22">#REF!</definedName>
    <definedName name="CGPWO_4Q23">#REF!</definedName>
    <definedName name="CGPWO_4Q24">#REF!</definedName>
    <definedName name="ChartType">#REF!</definedName>
    <definedName name="chkIpoPrice">#REF!</definedName>
    <definedName name="claudia" localSheetId="4" hidden="1">{#N/A,"70% Success",FALSE,"Sales Forecast";#N/A,#N/A,FALSE,"Sheet2"}</definedName>
    <definedName name="claudia" localSheetId="6" hidden="1">{#N/A,"70% Success",FALSE,"Sales Forecast";#N/A,#N/A,FALSE,"Sheet2"}</definedName>
    <definedName name="claudia" localSheetId="0" hidden="1">{#N/A,"70% Success",FALSE,"Sales Forecast";#N/A,#N/A,FALSE,"Sheet2"}</definedName>
    <definedName name="claudia" hidden="1">{#N/A,"70% Success",FALSE,"Sales Forecast";#N/A,#N/A,FALSE,"Sheet2"}</definedName>
    <definedName name="CO.TAG">#REF!</definedName>
    <definedName name="COGS_1995">#REF!</definedName>
    <definedName name="COGS_1996">#REF!</definedName>
    <definedName name="COGS_1997">#REF!</definedName>
    <definedName name="COGS_1998">#REF!</definedName>
    <definedName name="COGS_1999">#REF!</definedName>
    <definedName name="COGS_1Q00">#REF!</definedName>
    <definedName name="COGS_1Q01">#REF!</definedName>
    <definedName name="COGS_1Q02">#REF!</definedName>
    <definedName name="COGS_1Q03">#REF!</definedName>
    <definedName name="COGS_1Q04">#REF!</definedName>
    <definedName name="COGS_1Q05">#REF!</definedName>
    <definedName name="COGS_1Q06">#REF!</definedName>
    <definedName name="COGS_1Q07">#REF!</definedName>
    <definedName name="COGS_1Q08">#REF!</definedName>
    <definedName name="COGS_1Q09">#REF!</definedName>
    <definedName name="COGS_1Q10">#REF!</definedName>
    <definedName name="COGS_1Q11">#REF!</definedName>
    <definedName name="COGS_1Q12">#REF!</definedName>
    <definedName name="COGS_1Q13">#REF!</definedName>
    <definedName name="COGS_1Q14">#REF!</definedName>
    <definedName name="COGS_1Q15">#REF!</definedName>
    <definedName name="COGS_1Q16">#REF!</definedName>
    <definedName name="COGS_1Q17">#REF!</definedName>
    <definedName name="COGS_1Q18">#REF!</definedName>
    <definedName name="COGS_1Q19">#REF!</definedName>
    <definedName name="COGS_1Q20">#REF!</definedName>
    <definedName name="COGS_1Q21">#REF!</definedName>
    <definedName name="COGS_1Q22">#REF!</definedName>
    <definedName name="COGS_1Q23">#REF!</definedName>
    <definedName name="COGS_1Q24">#REF!</definedName>
    <definedName name="COGS_2000">#REF!</definedName>
    <definedName name="COGS_2001">#REF!</definedName>
    <definedName name="COGS_2002">#REF!</definedName>
    <definedName name="COGS_2003">#REF!</definedName>
    <definedName name="COGS_2004">#REF!</definedName>
    <definedName name="COGS_2005">#REF!</definedName>
    <definedName name="COGS_2006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2013">#REF!</definedName>
    <definedName name="COGS_2014">#REF!</definedName>
    <definedName name="COGS_2015">#REF!</definedName>
    <definedName name="COGS_2016">#REF!</definedName>
    <definedName name="COGS_2017">#REF!</definedName>
    <definedName name="COGS_2018">#REF!</definedName>
    <definedName name="COGS_2019">#REF!</definedName>
    <definedName name="COGS_2020">#REF!</definedName>
    <definedName name="COGS_2021">#REF!</definedName>
    <definedName name="COGS_2022">#REF!</definedName>
    <definedName name="COGS_2023">#REF!</definedName>
    <definedName name="COGS_2024">#REF!</definedName>
    <definedName name="COGS_2Q00">#REF!</definedName>
    <definedName name="COGS_2Q01">#REF!</definedName>
    <definedName name="COGS_2Q02">#REF!</definedName>
    <definedName name="COGS_2Q03">#REF!</definedName>
    <definedName name="COGS_2Q04">#REF!</definedName>
    <definedName name="COGS_2Q05">#REF!</definedName>
    <definedName name="COGS_2Q06">#REF!</definedName>
    <definedName name="COGS_2Q07">#REF!</definedName>
    <definedName name="COGS_2Q08">#REF!</definedName>
    <definedName name="COGS_2Q09">#REF!</definedName>
    <definedName name="COGS_2Q10">#REF!</definedName>
    <definedName name="COGS_2Q11">#REF!</definedName>
    <definedName name="COGS_2Q12">#REF!</definedName>
    <definedName name="COGS_2Q13">#REF!</definedName>
    <definedName name="COGS_2Q14">#REF!</definedName>
    <definedName name="COGS_2Q15">#REF!</definedName>
    <definedName name="COGS_2Q16">#REF!</definedName>
    <definedName name="COGS_2Q17">#REF!</definedName>
    <definedName name="COGS_2Q18">#REF!</definedName>
    <definedName name="COGS_2Q19">#REF!</definedName>
    <definedName name="COGS_2Q20">#REF!</definedName>
    <definedName name="COGS_2Q21">#REF!</definedName>
    <definedName name="COGS_2Q22">#REF!</definedName>
    <definedName name="COGS_2Q23">#REF!</definedName>
    <definedName name="COGS_2Q24">#REF!</definedName>
    <definedName name="COGS_3Q00">#REF!</definedName>
    <definedName name="COGS_3Q01">#REF!</definedName>
    <definedName name="COGS_3Q02">#REF!</definedName>
    <definedName name="COGS_3Q03">#REF!</definedName>
    <definedName name="COGS_3Q04">#REF!</definedName>
    <definedName name="COGS_3Q05">#REF!</definedName>
    <definedName name="COGS_3Q06">#REF!</definedName>
    <definedName name="COGS_3Q07">#REF!</definedName>
    <definedName name="COGS_3Q08">#REF!</definedName>
    <definedName name="COGS_3Q09">#REF!</definedName>
    <definedName name="COGS_3Q10">#REF!</definedName>
    <definedName name="COGS_3Q11">#REF!</definedName>
    <definedName name="COGS_3Q12">#REF!</definedName>
    <definedName name="COGS_3Q13">#REF!</definedName>
    <definedName name="COGS_3Q14">#REF!</definedName>
    <definedName name="COGS_3Q15">#REF!</definedName>
    <definedName name="COGS_3Q16">#REF!</definedName>
    <definedName name="COGS_3Q17">#REF!</definedName>
    <definedName name="COGS_3Q18">#REF!</definedName>
    <definedName name="COGS_3Q19">#REF!</definedName>
    <definedName name="COGS_3Q20">#REF!</definedName>
    <definedName name="COGS_3Q21">#REF!</definedName>
    <definedName name="COGS_3Q22">#REF!</definedName>
    <definedName name="COGS_3Q23">#REF!</definedName>
    <definedName name="COGS_3Q24">#REF!</definedName>
    <definedName name="COGS_4Q00">#REF!</definedName>
    <definedName name="COGS_4Q01">#REF!</definedName>
    <definedName name="COGS_4Q02">#REF!</definedName>
    <definedName name="COGS_4Q03">#REF!</definedName>
    <definedName name="COGS_4Q04">#REF!</definedName>
    <definedName name="COGS_4Q05">#REF!</definedName>
    <definedName name="COGS_4Q06">#REF!</definedName>
    <definedName name="COGS_4Q07">#REF!</definedName>
    <definedName name="COGS_4Q08">#REF!</definedName>
    <definedName name="COGS_4Q09">#REF!</definedName>
    <definedName name="COGS_4Q10">#REF!</definedName>
    <definedName name="COGS_4Q11">#REF!</definedName>
    <definedName name="COGS_4Q12">#REF!</definedName>
    <definedName name="COGS_4Q13">#REF!</definedName>
    <definedName name="COGS_4Q14">#REF!</definedName>
    <definedName name="COGS_4Q15">#REF!</definedName>
    <definedName name="COGS_4Q16">#REF!</definedName>
    <definedName name="COGS_4Q17">#REF!</definedName>
    <definedName name="COGS_4Q18">#REF!</definedName>
    <definedName name="COGS_4Q19">#REF!</definedName>
    <definedName name="COGS_4Q20">#REF!</definedName>
    <definedName name="COGS_4Q21">#REF!</definedName>
    <definedName name="COGS_4Q22">#REF!</definedName>
    <definedName name="COGS_4Q23">#REF!</definedName>
    <definedName name="COGS_4Q24">#REF!</definedName>
    <definedName name="ColourIndex">#REF!</definedName>
    <definedName name="CompanyName1">#REF!</definedName>
    <definedName name="CompanyTicker1">#REF!</definedName>
    <definedName name="Comparison">#REF!</definedName>
    <definedName name="Concessão_Malha_Sul" localSheetId="4" hidden="1">{#N/A,"100% Success",TRUE,"Sales Forecast";#N/A,#N/A,TRUE,"Sheet2"}</definedName>
    <definedName name="Concessão_Malha_Sul" localSheetId="6" hidden="1">{#N/A,"100% Success",TRUE,"Sales Forecast";#N/A,#N/A,TRUE,"Sheet2"}</definedName>
    <definedName name="Concessão_Malha_Sul" localSheetId="0" hidden="1">{#N/A,"100% Success",TRUE,"Sales Forecast";#N/A,#N/A,TRUE,"Sheet2"}</definedName>
    <definedName name="Concessão_Malha_Sul" hidden="1">{#N/A,"100% Success",TRUE,"Sales Forecast";#N/A,#N/A,TRUE,"Sheet2"}</definedName>
    <definedName name="copy_area">#REF!</definedName>
    <definedName name="CPPROV_1995">#REF!</definedName>
    <definedName name="CPPROV_1996">#REF!</definedName>
    <definedName name="CPPROV_1997">#REF!</definedName>
    <definedName name="CPPROV_1998">#REF!</definedName>
    <definedName name="CPPROV_1999">#REF!</definedName>
    <definedName name="CPPROV_1Q00">#REF!</definedName>
    <definedName name="CPPROV_1Q01">#REF!</definedName>
    <definedName name="CPPROV_1Q02">#REF!</definedName>
    <definedName name="CPPROV_1Q03">#REF!</definedName>
    <definedName name="CPPROV_1Q04">#REF!</definedName>
    <definedName name="CPPROV_1Q05">#REF!</definedName>
    <definedName name="CPPROV_1Q06">#REF!</definedName>
    <definedName name="CPPROV_1Q07">#REF!</definedName>
    <definedName name="CPPROV_1Q08">#REF!</definedName>
    <definedName name="CPPROV_1Q09">#REF!</definedName>
    <definedName name="CPPROV_1Q10">#REF!</definedName>
    <definedName name="CPPROV_1Q11">#REF!</definedName>
    <definedName name="CPPROV_1Q12">#REF!</definedName>
    <definedName name="CPPROV_1Q13">#REF!</definedName>
    <definedName name="CPPROV_1Q14">#REF!</definedName>
    <definedName name="CPPROV_1Q15">#REF!</definedName>
    <definedName name="CPPROV_1Q16">#REF!</definedName>
    <definedName name="CPPROV_1Q17">#REF!</definedName>
    <definedName name="CPPROV_1Q18">#REF!</definedName>
    <definedName name="CPPROV_1Q19">#REF!</definedName>
    <definedName name="CPPROV_1Q20">#REF!</definedName>
    <definedName name="CPPROV_1Q21">#REF!</definedName>
    <definedName name="CPPROV_1Q22">#REF!</definedName>
    <definedName name="CPPROV_1Q23">#REF!</definedName>
    <definedName name="CPPROV_1Q24">#REF!</definedName>
    <definedName name="CPPROV_2000">#REF!</definedName>
    <definedName name="CPPROV_2001">#REF!</definedName>
    <definedName name="CPPROV_2002">#REF!</definedName>
    <definedName name="CPPROV_2003">#REF!</definedName>
    <definedName name="CPPROV_2004">#REF!</definedName>
    <definedName name="CPPROV_2005">#REF!</definedName>
    <definedName name="CPPROV_2006">#REF!</definedName>
    <definedName name="CPPROV_2007">#REF!</definedName>
    <definedName name="CPPROV_2008">#REF!</definedName>
    <definedName name="CPPROV_2009">#REF!</definedName>
    <definedName name="CPPROV_2010">#REF!</definedName>
    <definedName name="CPPROV_2011">#REF!</definedName>
    <definedName name="CPPROV_2012">#REF!</definedName>
    <definedName name="CPPROV_2013">#REF!</definedName>
    <definedName name="CPPROV_2014">#REF!</definedName>
    <definedName name="CPPROV_2015">#REF!</definedName>
    <definedName name="CPPROV_2016">#REF!</definedName>
    <definedName name="CPPROV_2017">#REF!</definedName>
    <definedName name="CPPROV_2018">#REF!</definedName>
    <definedName name="CPPROV_2019">#REF!</definedName>
    <definedName name="CPPROV_2020">#REF!</definedName>
    <definedName name="CPPROV_2021">#REF!</definedName>
    <definedName name="CPPROV_2022">#REF!</definedName>
    <definedName name="CPPROV_2023">#REF!</definedName>
    <definedName name="CPPROV_2024">#REF!</definedName>
    <definedName name="CPPROV_2Q00">#REF!</definedName>
    <definedName name="CPPROV_2Q01">#REF!</definedName>
    <definedName name="CPPROV_2Q02">#REF!</definedName>
    <definedName name="CPPROV_2Q03">#REF!</definedName>
    <definedName name="CPPROV_2Q04">#REF!</definedName>
    <definedName name="CPPROV_2Q05">#REF!</definedName>
    <definedName name="CPPROV_2Q06">#REF!</definedName>
    <definedName name="CPPROV_2Q07">#REF!</definedName>
    <definedName name="CPPROV_2Q08">#REF!</definedName>
    <definedName name="CPPROV_2Q09">#REF!</definedName>
    <definedName name="CPPROV_2Q10">#REF!</definedName>
    <definedName name="CPPROV_2Q11">#REF!</definedName>
    <definedName name="CPPROV_2Q12">#REF!</definedName>
    <definedName name="CPPROV_2Q13">#REF!</definedName>
    <definedName name="CPPROV_2Q14">#REF!</definedName>
    <definedName name="CPPROV_2Q15">#REF!</definedName>
    <definedName name="CPPROV_2Q16">#REF!</definedName>
    <definedName name="CPPROV_2Q17">#REF!</definedName>
    <definedName name="CPPROV_2Q18">#REF!</definedName>
    <definedName name="CPPROV_2Q19">#REF!</definedName>
    <definedName name="CPPROV_2Q20">#REF!</definedName>
    <definedName name="CPPROV_2Q21">#REF!</definedName>
    <definedName name="CPPROV_2Q22">#REF!</definedName>
    <definedName name="CPPROV_2Q23">#REF!</definedName>
    <definedName name="CPPROV_2Q24">#REF!</definedName>
    <definedName name="CPPROV_3Q00">#REF!</definedName>
    <definedName name="CPPROV_3Q01">#REF!</definedName>
    <definedName name="CPPROV_3Q02">#REF!</definedName>
    <definedName name="CPPROV_3Q03">#REF!</definedName>
    <definedName name="CPPROV_3Q04">#REF!</definedName>
    <definedName name="CPPROV_3Q05">#REF!</definedName>
    <definedName name="CPPROV_3Q06">#REF!</definedName>
    <definedName name="CPPROV_3Q07">#REF!</definedName>
    <definedName name="CPPROV_3Q08">#REF!</definedName>
    <definedName name="CPPROV_3Q09">#REF!</definedName>
    <definedName name="CPPROV_3Q10">#REF!</definedName>
    <definedName name="CPPROV_3Q11">#REF!</definedName>
    <definedName name="CPPROV_3Q12">#REF!</definedName>
    <definedName name="CPPROV_3Q13">#REF!</definedName>
    <definedName name="CPPROV_3Q14">#REF!</definedName>
    <definedName name="CPPROV_3Q15">#REF!</definedName>
    <definedName name="CPPROV_3Q16">#REF!</definedName>
    <definedName name="CPPROV_3Q17">#REF!</definedName>
    <definedName name="CPPROV_3Q18">#REF!</definedName>
    <definedName name="CPPROV_3Q19">#REF!</definedName>
    <definedName name="CPPROV_3Q20">#REF!</definedName>
    <definedName name="CPPROV_3Q21">#REF!</definedName>
    <definedName name="CPPROV_3Q22">#REF!</definedName>
    <definedName name="CPPROV_3Q23">#REF!</definedName>
    <definedName name="CPPROV_3Q24">#REF!</definedName>
    <definedName name="CPPROV_4Q00">#REF!</definedName>
    <definedName name="CPPROV_4Q01">#REF!</definedName>
    <definedName name="CPPROV_4Q02">#REF!</definedName>
    <definedName name="CPPROV_4Q03">#REF!</definedName>
    <definedName name="CPPROV_4Q04">#REF!</definedName>
    <definedName name="CPPROV_4Q05">#REF!</definedName>
    <definedName name="CPPROV_4Q06">#REF!</definedName>
    <definedName name="CPPROV_4Q07">#REF!</definedName>
    <definedName name="CPPROV_4Q08">#REF!</definedName>
    <definedName name="CPPROV_4Q09">#REF!</definedName>
    <definedName name="CPPROV_4Q10">#REF!</definedName>
    <definedName name="CPPROV_4Q11">#REF!</definedName>
    <definedName name="CPPROV_4Q12">#REF!</definedName>
    <definedName name="CPPROV_4Q13">#REF!</definedName>
    <definedName name="CPPROV_4Q14">#REF!</definedName>
    <definedName name="CPPROV_4Q15">#REF!</definedName>
    <definedName name="CPPROV_4Q16">#REF!</definedName>
    <definedName name="CPPROV_4Q17">#REF!</definedName>
    <definedName name="CPPROV_4Q18">#REF!</definedName>
    <definedName name="CPPROV_4Q19">#REF!</definedName>
    <definedName name="CPPROV_4Q20">#REF!</definedName>
    <definedName name="CPPROV_4Q21">#REF!</definedName>
    <definedName name="CPPROV_4Q22">#REF!</definedName>
    <definedName name="CPPROV_4Q23">#REF!</definedName>
    <definedName name="CPPROV_4Q24">#REF!</definedName>
    <definedName name="Credit0000">#REF!</definedName>
    <definedName name="Credit0101">#REF!</definedName>
    <definedName name="Credit9797">#REF!</definedName>
    <definedName name="Credit9898">#REF!</definedName>
    <definedName name="Credit9999">#REF!</definedName>
    <definedName name="Crng_Landscape">#REF!</definedName>
    <definedName name="Crng_Normal">#REF!</definedName>
    <definedName name="Crng_Portrait">#REF!</definedName>
    <definedName name="Crng_WPane">#REF!</definedName>
    <definedName name="cu102.ShareScalingFactor" hidden="1">1000000</definedName>
    <definedName name="cu103.EmployeeScalingFactor" hidden="1">1000</definedName>
    <definedName name="cu71.ScalingFactor" hidden="1">1000000</definedName>
    <definedName name="CUPEIT_1995">#REF!</definedName>
    <definedName name="CUPEIT_1996">#REF!</definedName>
    <definedName name="CUPEIT_1997">#REF!</definedName>
    <definedName name="CUPEIT_1998">#REF!</definedName>
    <definedName name="CUPEIT_1999">#REF!</definedName>
    <definedName name="CUPEIT_1Q00">#REF!</definedName>
    <definedName name="CUPEIT_1Q01">#REF!</definedName>
    <definedName name="CUPEIT_1Q02">#REF!</definedName>
    <definedName name="CUPEIT_1Q03">#REF!</definedName>
    <definedName name="CUPEIT_1Q04">#REF!</definedName>
    <definedName name="CUPEIT_1Q05">#REF!</definedName>
    <definedName name="CUPEIT_1Q06">#REF!</definedName>
    <definedName name="CUPEIT_1Q07">#REF!</definedName>
    <definedName name="CUPEIT_1Q08">#REF!</definedName>
    <definedName name="CUPEIT_1Q09">#REF!</definedName>
    <definedName name="CUPEIT_1Q10">#REF!</definedName>
    <definedName name="CUPEIT_1Q11">#REF!</definedName>
    <definedName name="CUPEIT_1Q12">#REF!</definedName>
    <definedName name="CUPEIT_1Q13">#REF!</definedName>
    <definedName name="CUPEIT_1Q14">#REF!</definedName>
    <definedName name="CUPEIT_1Q15">#REF!</definedName>
    <definedName name="CUPEIT_1Q16">#REF!</definedName>
    <definedName name="CUPEIT_1Q17">#REF!</definedName>
    <definedName name="CUPEIT_1Q18">#REF!</definedName>
    <definedName name="CUPEIT_1Q19">#REF!</definedName>
    <definedName name="CUPEIT_1Q20">#REF!</definedName>
    <definedName name="CUPEIT_1Q21">#REF!</definedName>
    <definedName name="CUPEIT_1Q22">#REF!</definedName>
    <definedName name="CUPEIT_1Q23">#REF!</definedName>
    <definedName name="CUPEIT_1Q24">#REF!</definedName>
    <definedName name="CUPEIT_2000">#REF!</definedName>
    <definedName name="CUPEIT_2001">#REF!</definedName>
    <definedName name="CUPEIT_2002">#REF!</definedName>
    <definedName name="CUPEIT_2003">#REF!</definedName>
    <definedName name="CUPEIT_2004">#REF!</definedName>
    <definedName name="CUPEIT_2005">#REF!</definedName>
    <definedName name="CUPEIT_2006">#REF!</definedName>
    <definedName name="CUPEIT_2007">#REF!</definedName>
    <definedName name="CUPEIT_2008">#REF!</definedName>
    <definedName name="CUPEIT_2009">#REF!</definedName>
    <definedName name="CUPEIT_2010">#REF!</definedName>
    <definedName name="CUPEIT_2011">#REF!</definedName>
    <definedName name="CUPEIT_2012">#REF!</definedName>
    <definedName name="CUPEIT_2013">#REF!</definedName>
    <definedName name="CUPEIT_2014">#REF!</definedName>
    <definedName name="CUPEIT_2015">#REF!</definedName>
    <definedName name="CUPEIT_2016">#REF!</definedName>
    <definedName name="CUPEIT_2017">#REF!</definedName>
    <definedName name="CUPEIT_2018">#REF!</definedName>
    <definedName name="CUPEIT_2019">#REF!</definedName>
    <definedName name="CUPEIT_2020">#REF!</definedName>
    <definedName name="CUPEIT_2021">#REF!</definedName>
    <definedName name="CUPEIT_2022">#REF!</definedName>
    <definedName name="CUPEIT_2023">#REF!</definedName>
    <definedName name="CUPEIT_2024">#REF!</definedName>
    <definedName name="CUPEIT_2Q00">#REF!</definedName>
    <definedName name="CUPEIT_2Q01">#REF!</definedName>
    <definedName name="CUPEIT_2Q02">#REF!</definedName>
    <definedName name="CUPEIT_2Q03">#REF!</definedName>
    <definedName name="CUPEIT_2Q04">#REF!</definedName>
    <definedName name="CUPEIT_2Q05">#REF!</definedName>
    <definedName name="CUPEIT_2Q06">#REF!</definedName>
    <definedName name="CUPEIT_2Q07">#REF!</definedName>
    <definedName name="CUPEIT_2Q08">#REF!</definedName>
    <definedName name="CUPEIT_2Q09">#REF!</definedName>
    <definedName name="CUPEIT_2Q10">#REF!</definedName>
    <definedName name="CUPEIT_2Q11">#REF!</definedName>
    <definedName name="CUPEIT_2Q12">#REF!</definedName>
    <definedName name="CUPEIT_2Q13">#REF!</definedName>
    <definedName name="CUPEIT_2Q14">#REF!</definedName>
    <definedName name="CUPEIT_2Q15">#REF!</definedName>
    <definedName name="CUPEIT_2Q16">#REF!</definedName>
    <definedName name="CUPEIT_2Q17">#REF!</definedName>
    <definedName name="CUPEIT_2Q18">#REF!</definedName>
    <definedName name="CUPEIT_2Q19">#REF!</definedName>
    <definedName name="CUPEIT_2Q20">#REF!</definedName>
    <definedName name="CUPEIT_2Q21">#REF!</definedName>
    <definedName name="CUPEIT_2Q22">#REF!</definedName>
    <definedName name="CUPEIT_2Q23">#REF!</definedName>
    <definedName name="CUPEIT_2Q24">#REF!</definedName>
    <definedName name="CUPEIT_3Q00">#REF!</definedName>
    <definedName name="CUPEIT_3Q01">#REF!</definedName>
    <definedName name="CUPEIT_3Q02">#REF!</definedName>
    <definedName name="CUPEIT_3Q03">#REF!</definedName>
    <definedName name="CUPEIT_3Q04">#REF!</definedName>
    <definedName name="CUPEIT_3Q05">#REF!</definedName>
    <definedName name="CUPEIT_3Q06">#REF!</definedName>
    <definedName name="CUPEIT_3Q07">#REF!</definedName>
    <definedName name="CUPEIT_3Q08">#REF!</definedName>
    <definedName name="CUPEIT_3Q09">#REF!</definedName>
    <definedName name="CUPEIT_3Q10">#REF!</definedName>
    <definedName name="CUPEIT_3Q11">#REF!</definedName>
    <definedName name="CUPEIT_3Q12">#REF!</definedName>
    <definedName name="CUPEIT_3Q13">#REF!</definedName>
    <definedName name="CUPEIT_3Q14">#REF!</definedName>
    <definedName name="CUPEIT_3Q15">#REF!</definedName>
    <definedName name="CUPEIT_3Q16">#REF!</definedName>
    <definedName name="CUPEIT_3Q17">#REF!</definedName>
    <definedName name="CUPEIT_3Q18">#REF!</definedName>
    <definedName name="CUPEIT_3Q19">#REF!</definedName>
    <definedName name="CUPEIT_3Q20">#REF!</definedName>
    <definedName name="CUPEIT_3Q21">#REF!</definedName>
    <definedName name="CUPEIT_3Q22">#REF!</definedName>
    <definedName name="CUPEIT_3Q23">#REF!</definedName>
    <definedName name="CUPEIT_3Q24">#REF!</definedName>
    <definedName name="CUPEIT_4Q00">#REF!</definedName>
    <definedName name="CUPEIT_4Q01">#REF!</definedName>
    <definedName name="CUPEIT_4Q02">#REF!</definedName>
    <definedName name="CUPEIT_4Q03">#REF!</definedName>
    <definedName name="CUPEIT_4Q04">#REF!</definedName>
    <definedName name="CUPEIT_4Q05">#REF!</definedName>
    <definedName name="CUPEIT_4Q06">#REF!</definedName>
    <definedName name="CUPEIT_4Q07">#REF!</definedName>
    <definedName name="CUPEIT_4Q08">#REF!</definedName>
    <definedName name="CUPEIT_4Q09">#REF!</definedName>
    <definedName name="CUPEIT_4Q10">#REF!</definedName>
    <definedName name="CUPEIT_4Q11">#REF!</definedName>
    <definedName name="CUPEIT_4Q12">#REF!</definedName>
    <definedName name="CUPEIT_4Q13">#REF!</definedName>
    <definedName name="CUPEIT_4Q14">#REF!</definedName>
    <definedName name="CUPEIT_4Q15">#REF!</definedName>
    <definedName name="CUPEIT_4Q16">#REF!</definedName>
    <definedName name="CUPEIT_4Q17">#REF!</definedName>
    <definedName name="CUPEIT_4Q18">#REF!</definedName>
    <definedName name="CUPEIT_4Q19">#REF!</definedName>
    <definedName name="CUPEIT_4Q20">#REF!</definedName>
    <definedName name="CUPEIT_4Q21">#REF!</definedName>
    <definedName name="CUPEIT_4Q22">#REF!</definedName>
    <definedName name="CUPEIT_4Q23">#REF!</definedName>
    <definedName name="CUPEIT_4Q24">#REF!</definedName>
    <definedName name="CurrencyCell">#REF!</definedName>
    <definedName name="CurrencySymbol">#REF!</definedName>
    <definedName name="CustomIndexDate">#REF!</definedName>
    <definedName name="CustomIndexValue">#REF!</definedName>
    <definedName name="CVMCPX_1995">#REF!</definedName>
    <definedName name="CVMCPX_1996">#REF!</definedName>
    <definedName name="CVMCPX_1997">#REF!</definedName>
    <definedName name="CVMCPX_1998">#REF!</definedName>
    <definedName name="CVMCPX_1999">#REF!</definedName>
    <definedName name="CVMCPX_1Q00">#REF!</definedName>
    <definedName name="CVMCPX_1Q01">#REF!</definedName>
    <definedName name="CVMCPX_1Q02">#REF!</definedName>
    <definedName name="CVMCPX_1Q03">#REF!</definedName>
    <definedName name="CVMCPX_1Q04">#REF!</definedName>
    <definedName name="CVMCPX_1Q05">#REF!</definedName>
    <definedName name="CVMCPX_1Q06">#REF!</definedName>
    <definedName name="CVMCPX_1Q07">#REF!</definedName>
    <definedName name="CVMCPX_1Q08">#REF!</definedName>
    <definedName name="CVMCPX_1Q09">#REF!</definedName>
    <definedName name="CVMCPX_1Q10">#REF!</definedName>
    <definedName name="CVMCPX_1Q11">#REF!</definedName>
    <definedName name="CVMCPX_1Q12">#REF!</definedName>
    <definedName name="CVMCPX_1Q13">#REF!</definedName>
    <definedName name="CVMCPX_1Q14">#REF!</definedName>
    <definedName name="CVMCPX_1Q15">#REF!</definedName>
    <definedName name="CVMCPX_1Q16">#REF!</definedName>
    <definedName name="CVMCPX_1Q17">#REF!</definedName>
    <definedName name="CVMCPX_1Q18">#REF!</definedName>
    <definedName name="CVMCPX_1Q19">#REF!</definedName>
    <definedName name="CVMCPX_1Q20">#REF!</definedName>
    <definedName name="CVMCPX_1Q21">#REF!</definedName>
    <definedName name="CVMCPX_1Q22">#REF!</definedName>
    <definedName name="CVMCPX_1Q23">#REF!</definedName>
    <definedName name="CVMCPX_1Q24">#REF!</definedName>
    <definedName name="CVMCPX_2000">#REF!</definedName>
    <definedName name="CVMCPX_2001">#REF!</definedName>
    <definedName name="CVMCPX_2002">#REF!</definedName>
    <definedName name="CVMCPX_2003">#REF!</definedName>
    <definedName name="CVMCPX_2004">#REF!</definedName>
    <definedName name="CVMCPX_2005">#REF!</definedName>
    <definedName name="CVMCPX_2006">#REF!</definedName>
    <definedName name="CVMCPX_2007">#REF!</definedName>
    <definedName name="CVMCPX_2008">#REF!</definedName>
    <definedName name="CVMCPX_2009">#REF!</definedName>
    <definedName name="CVMCPX_2010">#REF!</definedName>
    <definedName name="CVMCPX_2011">#REF!</definedName>
    <definedName name="CVMCPX_2012">#REF!</definedName>
    <definedName name="CVMCPX_2013">#REF!</definedName>
    <definedName name="CVMCPX_2014">#REF!</definedName>
    <definedName name="CVMCPX_2015">#REF!</definedName>
    <definedName name="CVMCPX_2016">#REF!</definedName>
    <definedName name="CVMCPX_2017">#REF!</definedName>
    <definedName name="CVMCPX_2018">#REF!</definedName>
    <definedName name="CVMCPX_2019">#REF!</definedName>
    <definedName name="CVMCPX_2020">#REF!</definedName>
    <definedName name="CVMCPX_2021">#REF!</definedName>
    <definedName name="CVMCPX_2022">#REF!</definedName>
    <definedName name="CVMCPX_2023">#REF!</definedName>
    <definedName name="CVMCPX_2024">#REF!</definedName>
    <definedName name="CVMCPX_2Q00">#REF!</definedName>
    <definedName name="CVMCPX_2Q01">#REF!</definedName>
    <definedName name="CVMCPX_2Q02">#REF!</definedName>
    <definedName name="CVMCPX_2Q03">#REF!</definedName>
    <definedName name="CVMCPX_2Q04">#REF!</definedName>
    <definedName name="CVMCPX_2Q05">#REF!</definedName>
    <definedName name="CVMCPX_2Q06">#REF!</definedName>
    <definedName name="CVMCPX_2Q07">#REF!</definedName>
    <definedName name="CVMCPX_2Q08">#REF!</definedName>
    <definedName name="CVMCPX_2Q09">#REF!</definedName>
    <definedName name="CVMCPX_2Q10">#REF!</definedName>
    <definedName name="CVMCPX_2Q11">#REF!</definedName>
    <definedName name="CVMCPX_2Q12">#REF!</definedName>
    <definedName name="CVMCPX_2Q13">#REF!</definedName>
    <definedName name="CVMCPX_2Q14">#REF!</definedName>
    <definedName name="CVMCPX_2Q15">#REF!</definedName>
    <definedName name="CVMCPX_2Q16">#REF!</definedName>
    <definedName name="CVMCPX_2Q17">#REF!</definedName>
    <definedName name="CVMCPX_2Q18">#REF!</definedName>
    <definedName name="CVMCPX_2Q19">#REF!</definedName>
    <definedName name="CVMCPX_2Q20">#REF!</definedName>
    <definedName name="CVMCPX_2Q21">#REF!</definedName>
    <definedName name="CVMCPX_2Q22">#REF!</definedName>
    <definedName name="CVMCPX_2Q23">#REF!</definedName>
    <definedName name="CVMCPX_2Q24">#REF!</definedName>
    <definedName name="CVMCPX_3Q00">#REF!</definedName>
    <definedName name="CVMCPX_3Q01">#REF!</definedName>
    <definedName name="CVMCPX_3Q02">#REF!</definedName>
    <definedName name="CVMCPX_3Q03">#REF!</definedName>
    <definedName name="CVMCPX_3Q04">#REF!</definedName>
    <definedName name="CVMCPX_3Q05">#REF!</definedName>
    <definedName name="CVMCPX_3Q06">#REF!</definedName>
    <definedName name="CVMCPX_3Q07">#REF!</definedName>
    <definedName name="CVMCPX_3Q08">#REF!</definedName>
    <definedName name="CVMCPX_3Q09">#REF!</definedName>
    <definedName name="CVMCPX_3Q10">#REF!</definedName>
    <definedName name="CVMCPX_3Q11">#REF!</definedName>
    <definedName name="CVMCPX_3Q12">#REF!</definedName>
    <definedName name="CVMCPX_3Q13">#REF!</definedName>
    <definedName name="CVMCPX_3Q14">#REF!</definedName>
    <definedName name="CVMCPX_3Q15">#REF!</definedName>
    <definedName name="CVMCPX_3Q16">#REF!</definedName>
    <definedName name="CVMCPX_3Q17">#REF!</definedName>
    <definedName name="CVMCPX_3Q18">#REF!</definedName>
    <definedName name="CVMCPX_3Q19">#REF!</definedName>
    <definedName name="CVMCPX_3Q20">#REF!</definedName>
    <definedName name="CVMCPX_3Q21">#REF!</definedName>
    <definedName name="CVMCPX_3Q22">#REF!</definedName>
    <definedName name="CVMCPX_3Q23">#REF!</definedName>
    <definedName name="CVMCPX_3Q24">#REF!</definedName>
    <definedName name="CVMCPX_4Q00">#REF!</definedName>
    <definedName name="CVMCPX_4Q01">#REF!</definedName>
    <definedName name="CVMCPX_4Q02">#REF!</definedName>
    <definedName name="CVMCPX_4Q03">#REF!</definedName>
    <definedName name="CVMCPX_4Q04">#REF!</definedName>
    <definedName name="CVMCPX_4Q05">#REF!</definedName>
    <definedName name="CVMCPX_4Q06">#REF!</definedName>
    <definedName name="CVMCPX_4Q07">#REF!</definedName>
    <definedName name="CVMCPX_4Q08">#REF!</definedName>
    <definedName name="CVMCPX_4Q09">#REF!</definedName>
    <definedName name="CVMCPX_4Q10">#REF!</definedName>
    <definedName name="CVMCPX_4Q11">#REF!</definedName>
    <definedName name="CVMCPX_4Q12">#REF!</definedName>
    <definedName name="CVMCPX_4Q13">#REF!</definedName>
    <definedName name="CVMCPX_4Q14">#REF!</definedName>
    <definedName name="CVMCPX_4Q15">#REF!</definedName>
    <definedName name="CVMCPX_4Q16">#REF!</definedName>
    <definedName name="CVMCPX_4Q17">#REF!</definedName>
    <definedName name="CVMCPX_4Q18">#REF!</definedName>
    <definedName name="CVMCPX_4Q19">#REF!</definedName>
    <definedName name="CVMCPX_4Q20">#REF!</definedName>
    <definedName name="CVMCPX_4Q21">#REF!</definedName>
    <definedName name="CVMCPX_4Q22">#REF!</definedName>
    <definedName name="CVMCPX_4Q23">#REF!</definedName>
    <definedName name="CVMCPX_4Q24">#REF!</definedName>
    <definedName name="CVOPLE_1995">#REF!</definedName>
    <definedName name="CVOPLE_1996">#REF!</definedName>
    <definedName name="CVOPLE_1997">#REF!</definedName>
    <definedName name="CVOPLE_1998">#REF!</definedName>
    <definedName name="CVOPLE_1999">#REF!</definedName>
    <definedName name="CVOPLE_1Q00">#REF!</definedName>
    <definedName name="CVOPLE_1Q01">#REF!</definedName>
    <definedName name="CVOPLE_1Q02">#REF!</definedName>
    <definedName name="CVOPLE_1Q03">#REF!</definedName>
    <definedName name="CVOPLE_1Q04">#REF!</definedName>
    <definedName name="CVOPLE_1Q05">#REF!</definedName>
    <definedName name="CVOPLE_1Q06">#REF!</definedName>
    <definedName name="CVOPLE_1Q07">#REF!</definedName>
    <definedName name="CVOPLE_1Q08">#REF!</definedName>
    <definedName name="CVOPLE_1Q09">#REF!</definedName>
    <definedName name="CVOPLE_1Q10">#REF!</definedName>
    <definedName name="CVOPLE_1Q11">#REF!</definedName>
    <definedName name="CVOPLE_1Q12">#REF!</definedName>
    <definedName name="CVOPLE_1Q13">#REF!</definedName>
    <definedName name="CVOPLE_1Q14">#REF!</definedName>
    <definedName name="CVOPLE_1Q15">#REF!</definedName>
    <definedName name="CVOPLE_1Q16">#REF!</definedName>
    <definedName name="CVOPLE_1Q17">#REF!</definedName>
    <definedName name="CVOPLE_1Q18">#REF!</definedName>
    <definedName name="CVOPLE_1Q19">#REF!</definedName>
    <definedName name="CVOPLE_1Q20">#REF!</definedName>
    <definedName name="CVOPLE_1Q21">#REF!</definedName>
    <definedName name="CVOPLE_1Q22">#REF!</definedName>
    <definedName name="CVOPLE_1Q23">#REF!</definedName>
    <definedName name="CVOPLE_1Q24">#REF!</definedName>
    <definedName name="CVOPLE_2000">#REF!</definedName>
    <definedName name="CVOPLE_2001">#REF!</definedName>
    <definedName name="CVOPLE_2002">#REF!</definedName>
    <definedName name="CVOPLE_2003">#REF!</definedName>
    <definedName name="CVOPLE_2004">#REF!</definedName>
    <definedName name="CVOPLE_2005">#REF!</definedName>
    <definedName name="CVOPLE_2006">#REF!</definedName>
    <definedName name="CVOPLE_2007">#REF!</definedName>
    <definedName name="CVOPLE_2008">#REF!</definedName>
    <definedName name="CVOPLE_2009">#REF!</definedName>
    <definedName name="CVOPLE_2010">#REF!</definedName>
    <definedName name="CVOPLE_2011">#REF!</definedName>
    <definedName name="CVOPLE_2012">#REF!</definedName>
    <definedName name="CVOPLE_2013">#REF!</definedName>
    <definedName name="CVOPLE_2014">#REF!</definedName>
    <definedName name="CVOPLE_2015">#REF!</definedName>
    <definedName name="CVOPLE_2016">#REF!</definedName>
    <definedName name="CVOPLE_2017">#REF!</definedName>
    <definedName name="CVOPLE_2018">#REF!</definedName>
    <definedName name="CVOPLE_2019">#REF!</definedName>
    <definedName name="CVOPLE_2020">#REF!</definedName>
    <definedName name="CVOPLE_2021">#REF!</definedName>
    <definedName name="CVOPLE_2022">#REF!</definedName>
    <definedName name="CVOPLE_2023">#REF!</definedName>
    <definedName name="CVOPLE_2024">#REF!</definedName>
    <definedName name="CVOPLE_2Q00">#REF!</definedName>
    <definedName name="CVOPLE_2Q01">#REF!</definedName>
    <definedName name="CVOPLE_2Q02">#REF!</definedName>
    <definedName name="CVOPLE_2Q03">#REF!</definedName>
    <definedName name="CVOPLE_2Q04">#REF!</definedName>
    <definedName name="CVOPLE_2Q05">#REF!</definedName>
    <definedName name="CVOPLE_2Q06">#REF!</definedName>
    <definedName name="CVOPLE_2Q07">#REF!</definedName>
    <definedName name="CVOPLE_2Q08">#REF!</definedName>
    <definedName name="CVOPLE_2Q09">#REF!</definedName>
    <definedName name="CVOPLE_2Q10">#REF!</definedName>
    <definedName name="CVOPLE_2Q11">#REF!</definedName>
    <definedName name="CVOPLE_2Q12">#REF!</definedName>
    <definedName name="CVOPLE_2Q13">#REF!</definedName>
    <definedName name="CVOPLE_2Q14">#REF!</definedName>
    <definedName name="CVOPLE_2Q15">#REF!</definedName>
    <definedName name="CVOPLE_2Q16">#REF!</definedName>
    <definedName name="CVOPLE_2Q17">#REF!</definedName>
    <definedName name="CVOPLE_2Q18">#REF!</definedName>
    <definedName name="CVOPLE_2Q19">#REF!</definedName>
    <definedName name="CVOPLE_2Q20">#REF!</definedName>
    <definedName name="CVOPLE_2Q21">#REF!</definedName>
    <definedName name="CVOPLE_2Q22">#REF!</definedName>
    <definedName name="CVOPLE_2Q23">#REF!</definedName>
    <definedName name="CVOPLE_2Q24">#REF!</definedName>
    <definedName name="CVOPLE_3Q00">#REF!</definedName>
    <definedName name="CVOPLE_3Q01">#REF!</definedName>
    <definedName name="CVOPLE_3Q02">#REF!</definedName>
    <definedName name="CVOPLE_3Q03">#REF!</definedName>
    <definedName name="CVOPLE_3Q04">#REF!</definedName>
    <definedName name="CVOPLE_3Q05">#REF!</definedName>
    <definedName name="CVOPLE_3Q06">#REF!</definedName>
    <definedName name="CVOPLE_3Q07">#REF!</definedName>
    <definedName name="CVOPLE_3Q08">#REF!</definedName>
    <definedName name="CVOPLE_3Q09">#REF!</definedName>
    <definedName name="CVOPLE_3Q10">#REF!</definedName>
    <definedName name="CVOPLE_3Q11">#REF!</definedName>
    <definedName name="CVOPLE_3Q12">#REF!</definedName>
    <definedName name="CVOPLE_3Q13">#REF!</definedName>
    <definedName name="CVOPLE_3Q14">#REF!</definedName>
    <definedName name="CVOPLE_3Q15">#REF!</definedName>
    <definedName name="CVOPLE_3Q16">#REF!</definedName>
    <definedName name="CVOPLE_3Q17">#REF!</definedName>
    <definedName name="CVOPLE_3Q18">#REF!</definedName>
    <definedName name="CVOPLE_3Q19">#REF!</definedName>
    <definedName name="CVOPLE_3Q20">#REF!</definedName>
    <definedName name="CVOPLE_3Q21">#REF!</definedName>
    <definedName name="CVOPLE_3Q22">#REF!</definedName>
    <definedName name="CVOPLE_3Q23">#REF!</definedName>
    <definedName name="CVOPLE_3Q24">#REF!</definedName>
    <definedName name="CVOPLE_4Q00">#REF!</definedName>
    <definedName name="CVOPLE_4Q01">#REF!</definedName>
    <definedName name="CVOPLE_4Q02">#REF!</definedName>
    <definedName name="CVOPLE_4Q03">#REF!</definedName>
    <definedName name="CVOPLE_4Q04">#REF!</definedName>
    <definedName name="CVOPLE_4Q05">#REF!</definedName>
    <definedName name="CVOPLE_4Q06">#REF!</definedName>
    <definedName name="CVOPLE_4Q07">#REF!</definedName>
    <definedName name="CVOPLE_4Q08">#REF!</definedName>
    <definedName name="CVOPLE_4Q09">#REF!</definedName>
    <definedName name="CVOPLE_4Q10">#REF!</definedName>
    <definedName name="CVOPLE_4Q11">#REF!</definedName>
    <definedName name="CVOPLE_4Q12">#REF!</definedName>
    <definedName name="CVOPLE_4Q13">#REF!</definedName>
    <definedName name="CVOPLE_4Q14">#REF!</definedName>
    <definedName name="CVOPLE_4Q15">#REF!</definedName>
    <definedName name="CVOPLE_4Q16">#REF!</definedName>
    <definedName name="CVOPLE_4Q17">#REF!</definedName>
    <definedName name="CVOPLE_4Q18">#REF!</definedName>
    <definedName name="CVOPLE_4Q19">#REF!</definedName>
    <definedName name="CVOPLE_4Q20">#REF!</definedName>
    <definedName name="CVOPLE_4Q21">#REF!</definedName>
    <definedName name="CVOPLE_4Q22">#REF!</definedName>
    <definedName name="CVOPLE_4Q23">#REF!</definedName>
    <definedName name="CVOPLE_4Q24">#REF!</definedName>
    <definedName name="d" localSheetId="4" hidden="1">{#N/A,"70% Success",FALSE,"Sales Forecast";#N/A,#N/A,FALSE,"Sheet2"}</definedName>
    <definedName name="d" localSheetId="6" hidden="1">{#N/A,"70% Success",FALSE,"Sales Forecast";#N/A,#N/A,FALSE,"Sheet2"}</definedName>
    <definedName name="d" localSheetId="0" hidden="1">{#N/A,"70% Success",FALSE,"Sales Forecast";#N/A,#N/A,FALSE,"Sheet2"}</definedName>
    <definedName name="d" hidden="1">{#N/A,"70% Success",FALSE,"Sales Forecast";#N/A,#N/A,FALSE,"Sheet2"}</definedName>
    <definedName name="DataAdjust">#REF!</definedName>
    <definedName name="_xlnm.Database">#REF!</definedName>
    <definedName name="DataRange">#REF!</definedName>
    <definedName name="DB">"WIRENYPROD"</definedName>
    <definedName name="DEP_1995">#REF!</definedName>
    <definedName name="DEP_1996">#REF!</definedName>
    <definedName name="DEP_1997">#REF!</definedName>
    <definedName name="DEP_1998">#REF!</definedName>
    <definedName name="DEP_1999">#REF!</definedName>
    <definedName name="DEP_1Q00">#REF!</definedName>
    <definedName name="DEP_1Q01">#REF!</definedName>
    <definedName name="DEP_1Q02">#REF!</definedName>
    <definedName name="DEP_1Q03">#REF!</definedName>
    <definedName name="DEP_1Q04">#REF!</definedName>
    <definedName name="DEP_1Q05">#REF!</definedName>
    <definedName name="DEP_1Q06">#REF!</definedName>
    <definedName name="DEP_1Q07">#REF!</definedName>
    <definedName name="DEP_1Q08">#REF!</definedName>
    <definedName name="DEP_1Q09">#REF!</definedName>
    <definedName name="DEP_1Q10">#REF!</definedName>
    <definedName name="DEP_1Q11">#REF!</definedName>
    <definedName name="DEP_1Q12">#REF!</definedName>
    <definedName name="DEP_1Q13">#REF!</definedName>
    <definedName name="DEP_1Q14">#REF!</definedName>
    <definedName name="DEP_1Q15">#REF!</definedName>
    <definedName name="DEP_1Q16">#REF!</definedName>
    <definedName name="DEP_1Q17">#REF!</definedName>
    <definedName name="DEP_1Q18">#REF!</definedName>
    <definedName name="DEP_1Q19">#REF!</definedName>
    <definedName name="DEP_1Q20">#REF!</definedName>
    <definedName name="DEP_1Q21">#REF!</definedName>
    <definedName name="DEP_1Q22">#REF!</definedName>
    <definedName name="DEP_1Q23">#REF!</definedName>
    <definedName name="DEP_1Q24">#REF!</definedName>
    <definedName name="DEP_2000">#REF!</definedName>
    <definedName name="DEP_2001">#REF!</definedName>
    <definedName name="DEP_2002">#REF!</definedName>
    <definedName name="DEP_2003">#REF!</definedName>
    <definedName name="DEP_2004">#REF!</definedName>
    <definedName name="DEP_2005">#REF!</definedName>
    <definedName name="DEP_2006">#REF!</definedName>
    <definedName name="DEP_2007">#REF!</definedName>
    <definedName name="DEP_2008">#REF!</definedName>
    <definedName name="DEP_2009">#REF!</definedName>
    <definedName name="DEP_2010">#REF!</definedName>
    <definedName name="DEP_2011">#REF!</definedName>
    <definedName name="DEP_2012">#REF!</definedName>
    <definedName name="DEP_2013">#REF!</definedName>
    <definedName name="DEP_2014">#REF!</definedName>
    <definedName name="DEP_2015">#REF!</definedName>
    <definedName name="DEP_2016">#REF!</definedName>
    <definedName name="DEP_2017">#REF!</definedName>
    <definedName name="DEP_2018">#REF!</definedName>
    <definedName name="DEP_2019">#REF!</definedName>
    <definedName name="DEP_2020">#REF!</definedName>
    <definedName name="DEP_2021">#REF!</definedName>
    <definedName name="DEP_2022">#REF!</definedName>
    <definedName name="DEP_2023">#REF!</definedName>
    <definedName name="DEP_2024">#REF!</definedName>
    <definedName name="DEP_2Q00">#REF!</definedName>
    <definedName name="DEP_2Q01">#REF!</definedName>
    <definedName name="DEP_2Q02">#REF!</definedName>
    <definedName name="DEP_2Q03">#REF!</definedName>
    <definedName name="DEP_2Q04">#REF!</definedName>
    <definedName name="DEP_2Q05">#REF!</definedName>
    <definedName name="DEP_2Q06">#REF!</definedName>
    <definedName name="DEP_2Q07">#REF!</definedName>
    <definedName name="DEP_2Q08">#REF!</definedName>
    <definedName name="DEP_2Q09">#REF!</definedName>
    <definedName name="DEP_2Q10">#REF!</definedName>
    <definedName name="DEP_2Q11">#REF!</definedName>
    <definedName name="DEP_2Q12">#REF!</definedName>
    <definedName name="DEP_2Q13">#REF!</definedName>
    <definedName name="DEP_2Q14">#REF!</definedName>
    <definedName name="DEP_2Q15">#REF!</definedName>
    <definedName name="DEP_2Q16">#REF!</definedName>
    <definedName name="DEP_2Q17">#REF!</definedName>
    <definedName name="DEP_2Q18">#REF!</definedName>
    <definedName name="DEP_2Q19">#REF!</definedName>
    <definedName name="DEP_2Q20">#REF!</definedName>
    <definedName name="DEP_2Q21">#REF!</definedName>
    <definedName name="DEP_2Q22">#REF!</definedName>
    <definedName name="DEP_2Q23">#REF!</definedName>
    <definedName name="DEP_2Q24">#REF!</definedName>
    <definedName name="DEP_3Q00">#REF!</definedName>
    <definedName name="DEP_3Q01">#REF!</definedName>
    <definedName name="DEP_3Q02">#REF!</definedName>
    <definedName name="DEP_3Q03">#REF!</definedName>
    <definedName name="DEP_3Q04">#REF!</definedName>
    <definedName name="DEP_3Q05">#REF!</definedName>
    <definedName name="DEP_3Q06">#REF!</definedName>
    <definedName name="DEP_3Q07">#REF!</definedName>
    <definedName name="DEP_3Q08">#REF!</definedName>
    <definedName name="DEP_3Q09">#REF!</definedName>
    <definedName name="DEP_3Q10">#REF!</definedName>
    <definedName name="DEP_3Q11">#REF!</definedName>
    <definedName name="DEP_3Q12">#REF!</definedName>
    <definedName name="DEP_3Q13">#REF!</definedName>
    <definedName name="DEP_3Q14">#REF!</definedName>
    <definedName name="DEP_3Q15">#REF!</definedName>
    <definedName name="DEP_3Q16">#REF!</definedName>
    <definedName name="DEP_3Q17">#REF!</definedName>
    <definedName name="DEP_3Q18">#REF!</definedName>
    <definedName name="DEP_3Q19">#REF!</definedName>
    <definedName name="DEP_3Q20">#REF!</definedName>
    <definedName name="DEP_3Q21">#REF!</definedName>
    <definedName name="DEP_3Q22">#REF!</definedName>
    <definedName name="DEP_3Q23">#REF!</definedName>
    <definedName name="DEP_3Q24">#REF!</definedName>
    <definedName name="DEP_4Q00">#REF!</definedName>
    <definedName name="DEP_4Q01">#REF!</definedName>
    <definedName name="DEP_4Q02">#REF!</definedName>
    <definedName name="DEP_4Q03">#REF!</definedName>
    <definedName name="DEP_4Q04">#REF!</definedName>
    <definedName name="DEP_4Q05">#REF!</definedName>
    <definedName name="DEP_4Q06">#REF!</definedName>
    <definedName name="DEP_4Q07">#REF!</definedName>
    <definedName name="DEP_4Q08">#REF!</definedName>
    <definedName name="DEP_4Q09">#REF!</definedName>
    <definedName name="DEP_4Q10">#REF!</definedName>
    <definedName name="DEP_4Q11">#REF!</definedName>
    <definedName name="DEP_4Q12">#REF!</definedName>
    <definedName name="DEP_4Q13">#REF!</definedName>
    <definedName name="DEP_4Q14">#REF!</definedName>
    <definedName name="DEP_4Q15">#REF!</definedName>
    <definedName name="DEP_4Q16">#REF!</definedName>
    <definedName name="DEP_4Q17">#REF!</definedName>
    <definedName name="DEP_4Q18">#REF!</definedName>
    <definedName name="DEP_4Q19">#REF!</definedName>
    <definedName name="DEP_4Q20">#REF!</definedName>
    <definedName name="DEP_4Q21">#REF!</definedName>
    <definedName name="DEP_4Q22">#REF!</definedName>
    <definedName name="DEP_4Q23">#REF!</definedName>
    <definedName name="DEP_4Q24">#REF!</definedName>
    <definedName name="DISCOP_1995">#REF!</definedName>
    <definedName name="DISCOP_1996">#REF!</definedName>
    <definedName name="DISCOP_1997">#REF!</definedName>
    <definedName name="DISCOP_1998">#REF!</definedName>
    <definedName name="DISCOP_1999">#REF!</definedName>
    <definedName name="DISCOP_1Q00">#REF!</definedName>
    <definedName name="DISCOP_1Q01">#REF!</definedName>
    <definedName name="DISCOP_1Q02">#REF!</definedName>
    <definedName name="DISCOP_1Q03">#REF!</definedName>
    <definedName name="DISCOP_1Q04">#REF!</definedName>
    <definedName name="DISCOP_1Q05">#REF!</definedName>
    <definedName name="DISCOP_1Q06">#REF!</definedName>
    <definedName name="DISCOP_1Q07">#REF!</definedName>
    <definedName name="DISCOP_1Q08">#REF!</definedName>
    <definedName name="DISCOP_1Q09">#REF!</definedName>
    <definedName name="DISCOP_1Q10">#REF!</definedName>
    <definedName name="DISCOP_1Q11">#REF!</definedName>
    <definedName name="DISCOP_1Q12">#REF!</definedName>
    <definedName name="DISCOP_1Q13">#REF!</definedName>
    <definedName name="DISCOP_1Q14">#REF!</definedName>
    <definedName name="DISCOP_1Q15">#REF!</definedName>
    <definedName name="DISCOP_1Q16">#REF!</definedName>
    <definedName name="DISCOP_1Q17">#REF!</definedName>
    <definedName name="DISCOP_1Q18">#REF!</definedName>
    <definedName name="DISCOP_1Q19">#REF!</definedName>
    <definedName name="DISCOP_1Q20">#REF!</definedName>
    <definedName name="DISCOP_1Q21">#REF!</definedName>
    <definedName name="DISCOP_1Q22">#REF!</definedName>
    <definedName name="DISCOP_1Q23">#REF!</definedName>
    <definedName name="DISCOP_1Q24">#REF!</definedName>
    <definedName name="DISCOP_2000">#REF!</definedName>
    <definedName name="DISCOP_2001">#REF!</definedName>
    <definedName name="DISCOP_2002">#REF!</definedName>
    <definedName name="DISCOP_2003">#REF!</definedName>
    <definedName name="DISCOP_2004">#REF!</definedName>
    <definedName name="DISCOP_2005">#REF!</definedName>
    <definedName name="DISCOP_2006">#REF!</definedName>
    <definedName name="DISCOP_2007">#REF!</definedName>
    <definedName name="DISCOP_2008">#REF!</definedName>
    <definedName name="DISCOP_2009">#REF!</definedName>
    <definedName name="DISCOP_2010">#REF!</definedName>
    <definedName name="DISCOP_2011">#REF!</definedName>
    <definedName name="DISCOP_2012">#REF!</definedName>
    <definedName name="DISCOP_2013">#REF!</definedName>
    <definedName name="DISCOP_2014">#REF!</definedName>
    <definedName name="DISCOP_2015">#REF!</definedName>
    <definedName name="DISCOP_2016">#REF!</definedName>
    <definedName name="DISCOP_2017">#REF!</definedName>
    <definedName name="DISCOP_2018">#REF!</definedName>
    <definedName name="DISCOP_2019">#REF!</definedName>
    <definedName name="DISCOP_2020">#REF!</definedName>
    <definedName name="DISCOP_2021">#REF!</definedName>
    <definedName name="DISCOP_2022">#REF!</definedName>
    <definedName name="DISCOP_2023">#REF!</definedName>
    <definedName name="DISCOP_2024">#REF!</definedName>
    <definedName name="DISCOP_2Q00">#REF!</definedName>
    <definedName name="DISCOP_2Q01">#REF!</definedName>
    <definedName name="DISCOP_2Q02">#REF!</definedName>
    <definedName name="DISCOP_2Q03">#REF!</definedName>
    <definedName name="DISCOP_2Q04">#REF!</definedName>
    <definedName name="DISCOP_2Q05">#REF!</definedName>
    <definedName name="DISCOP_2Q06">#REF!</definedName>
    <definedName name="DISCOP_2Q07">#REF!</definedName>
    <definedName name="DISCOP_2Q08">#REF!</definedName>
    <definedName name="DISCOP_2Q09">#REF!</definedName>
    <definedName name="DISCOP_2Q10">#REF!</definedName>
    <definedName name="DISCOP_2Q11">#REF!</definedName>
    <definedName name="DISCOP_2Q12">#REF!</definedName>
    <definedName name="DISCOP_2Q13">#REF!</definedName>
    <definedName name="DISCOP_2Q14">#REF!</definedName>
    <definedName name="DISCOP_2Q15">#REF!</definedName>
    <definedName name="DISCOP_2Q16">#REF!</definedName>
    <definedName name="DISCOP_2Q17">#REF!</definedName>
    <definedName name="DISCOP_2Q18">#REF!</definedName>
    <definedName name="DISCOP_2Q19">#REF!</definedName>
    <definedName name="DISCOP_2Q20">#REF!</definedName>
    <definedName name="DISCOP_2Q21">#REF!</definedName>
    <definedName name="DISCOP_2Q22">#REF!</definedName>
    <definedName name="DISCOP_2Q23">#REF!</definedName>
    <definedName name="DISCOP_2Q24">#REF!</definedName>
    <definedName name="DISCOP_3Q00">#REF!</definedName>
    <definedName name="DISCOP_3Q01">#REF!</definedName>
    <definedName name="DISCOP_3Q02">#REF!</definedName>
    <definedName name="DISCOP_3Q03">#REF!</definedName>
    <definedName name="DISCOP_3Q04">#REF!</definedName>
    <definedName name="DISCOP_3Q05">#REF!</definedName>
    <definedName name="DISCOP_3Q06">#REF!</definedName>
    <definedName name="DISCOP_3Q07">#REF!</definedName>
    <definedName name="DISCOP_3Q08">#REF!</definedName>
    <definedName name="DISCOP_3Q09">#REF!</definedName>
    <definedName name="DISCOP_3Q10">#REF!</definedName>
    <definedName name="DISCOP_3Q11">#REF!</definedName>
    <definedName name="DISCOP_3Q12">#REF!</definedName>
    <definedName name="DISCOP_3Q13">#REF!</definedName>
    <definedName name="DISCOP_3Q14">#REF!</definedName>
    <definedName name="DISCOP_3Q15">#REF!</definedName>
    <definedName name="DISCOP_3Q16">#REF!</definedName>
    <definedName name="DISCOP_3Q17">#REF!</definedName>
    <definedName name="DISCOP_3Q18">#REF!</definedName>
    <definedName name="DISCOP_3Q19">#REF!</definedName>
    <definedName name="DISCOP_3Q20">#REF!</definedName>
    <definedName name="DISCOP_3Q21">#REF!</definedName>
    <definedName name="DISCOP_3Q22">#REF!</definedName>
    <definedName name="DISCOP_3Q23">#REF!</definedName>
    <definedName name="DISCOP_3Q24">#REF!</definedName>
    <definedName name="DISCOP_4Q00">#REF!</definedName>
    <definedName name="DISCOP_4Q01">#REF!</definedName>
    <definedName name="DISCOP_4Q02">#REF!</definedName>
    <definedName name="DISCOP_4Q03">#REF!</definedName>
    <definedName name="DISCOP_4Q04">#REF!</definedName>
    <definedName name="DISCOP_4Q05">#REF!</definedName>
    <definedName name="DISCOP_4Q06">#REF!</definedName>
    <definedName name="DISCOP_4Q07">#REF!</definedName>
    <definedName name="DISCOP_4Q08">#REF!</definedName>
    <definedName name="DISCOP_4Q09">#REF!</definedName>
    <definedName name="DISCOP_4Q10">#REF!</definedName>
    <definedName name="DISCOP_4Q11">#REF!</definedName>
    <definedName name="DISCOP_4Q12">#REF!</definedName>
    <definedName name="DISCOP_4Q13">#REF!</definedName>
    <definedName name="DISCOP_4Q14">#REF!</definedName>
    <definedName name="DISCOP_4Q15">#REF!</definedName>
    <definedName name="DISCOP_4Q16">#REF!</definedName>
    <definedName name="DISCOP_4Q17">#REF!</definedName>
    <definedName name="DISCOP_4Q18">#REF!</definedName>
    <definedName name="DISCOP_4Q19">#REF!</definedName>
    <definedName name="DISCOP_4Q20">#REF!</definedName>
    <definedName name="DISCOP_4Q21">#REF!</definedName>
    <definedName name="DISCOP_4Q22">#REF!</definedName>
    <definedName name="DISCOP_4Q23">#REF!</definedName>
    <definedName name="DISCOP_4Q24">#REF!</definedName>
    <definedName name="Div_Method">#REF!</definedName>
    <definedName name="Dividends_Common_1995">#REF!</definedName>
    <definedName name="Dividends_Common_1996">#REF!</definedName>
    <definedName name="Dividends_Common_1997">#REF!</definedName>
    <definedName name="Dividends_Common_1998">#REF!</definedName>
    <definedName name="Dividends_Common_1999">#REF!</definedName>
    <definedName name="Dividends_Common_1Q00">#REF!</definedName>
    <definedName name="Dividends_Common_1Q01">#REF!</definedName>
    <definedName name="Dividends_Common_1Q02">#REF!</definedName>
    <definedName name="Dividends_Common_1Q03">#REF!</definedName>
    <definedName name="Dividends_Common_1Q04">#REF!</definedName>
    <definedName name="Dividends_Common_1Q05">#REF!</definedName>
    <definedName name="Dividends_Common_1Q06">#REF!</definedName>
    <definedName name="Dividends_Common_1Q07">#REF!</definedName>
    <definedName name="Dividends_Common_1Q08">#REF!</definedName>
    <definedName name="Dividends_Common_1Q09">#REF!</definedName>
    <definedName name="Dividends_Common_1Q10">#REF!</definedName>
    <definedName name="Dividends_Common_1Q11">#REF!</definedName>
    <definedName name="Dividends_Common_1Q12">#REF!</definedName>
    <definedName name="Dividends_Common_1Q13">#REF!</definedName>
    <definedName name="Dividends_Common_1Q14">#REF!</definedName>
    <definedName name="Dividends_Common_1Q15">#REF!</definedName>
    <definedName name="Dividends_Common_1Q16">#REF!</definedName>
    <definedName name="Dividends_Common_1Q17">#REF!</definedName>
    <definedName name="Dividends_Common_1Q18">#REF!</definedName>
    <definedName name="Dividends_Common_1Q19">#REF!</definedName>
    <definedName name="Dividends_Common_1Q20">#REF!</definedName>
    <definedName name="DIVIDENDS_COMMON_1Q21">#REF!</definedName>
    <definedName name="DIVIDENDS_COMMON_1Q22">#REF!</definedName>
    <definedName name="DIVIDENDS_COMMON_1Q23">#REF!</definedName>
    <definedName name="DIVIDENDS_COMMON_1Q24">#REF!</definedName>
    <definedName name="Dividends_Common_2000">#REF!</definedName>
    <definedName name="Dividends_Common_2001">#REF!</definedName>
    <definedName name="Dividends_Common_2002">#REF!</definedName>
    <definedName name="Dividends_Common_2003">#REF!</definedName>
    <definedName name="Dividends_Common_2004">#REF!</definedName>
    <definedName name="Dividends_Common_2005">#REF!</definedName>
    <definedName name="Dividends_Common_2006">#REF!</definedName>
    <definedName name="Dividends_Common_2007">#REF!</definedName>
    <definedName name="Dividends_Common_2008">#REF!</definedName>
    <definedName name="Dividends_Common_2009">#REF!</definedName>
    <definedName name="Dividends_Common_2010">#REF!</definedName>
    <definedName name="Dividends_Common_2011">#REF!</definedName>
    <definedName name="Dividends_Common_2012">#REF!</definedName>
    <definedName name="Dividends_Common_2013">#REF!</definedName>
    <definedName name="Dividends_Common_2014">#REF!</definedName>
    <definedName name="Dividends_Common_2015">#REF!</definedName>
    <definedName name="Dividends_Common_2016">#REF!</definedName>
    <definedName name="Dividends_Common_2017">#REF!</definedName>
    <definedName name="Dividends_Common_2018">#REF!</definedName>
    <definedName name="Dividends_Common_2019">#REF!</definedName>
    <definedName name="Dividends_Common_2020">#REF!</definedName>
    <definedName name="DIVIDENDS_COMMON_2021">#REF!</definedName>
    <definedName name="DIVIDENDS_COMMON_2022">#REF!</definedName>
    <definedName name="DIVIDENDS_COMMON_2023">#REF!</definedName>
    <definedName name="DIVIDENDS_COMMON_2024">#REF!</definedName>
    <definedName name="Dividends_Common_2Q00">#REF!</definedName>
    <definedName name="Dividends_Common_2Q01">#REF!</definedName>
    <definedName name="Dividends_Common_2Q02">#REF!</definedName>
    <definedName name="Dividends_Common_2Q03">#REF!</definedName>
    <definedName name="Dividends_Common_2Q04">#REF!</definedName>
    <definedName name="Dividends_Common_2Q05">#REF!</definedName>
    <definedName name="Dividends_Common_2Q06">#REF!</definedName>
    <definedName name="Dividends_Common_2Q07">#REF!</definedName>
    <definedName name="Dividends_Common_2Q08">#REF!</definedName>
    <definedName name="Dividends_Common_2Q09">#REF!</definedName>
    <definedName name="Dividends_Common_2Q10">#REF!</definedName>
    <definedName name="Dividends_Common_2Q11">#REF!</definedName>
    <definedName name="Dividends_Common_2Q12">#REF!</definedName>
    <definedName name="Dividends_Common_2Q13">#REF!</definedName>
    <definedName name="Dividends_Common_2Q14">#REF!</definedName>
    <definedName name="Dividends_Common_2Q15">#REF!</definedName>
    <definedName name="Dividends_Common_2Q16">#REF!</definedName>
    <definedName name="Dividends_Common_2Q17">#REF!</definedName>
    <definedName name="Dividends_Common_2Q18">#REF!</definedName>
    <definedName name="Dividends_Common_2Q19">#REF!</definedName>
    <definedName name="Dividends_Common_2Q20">#REF!</definedName>
    <definedName name="DIVIDENDS_COMMON_2Q21">#REF!</definedName>
    <definedName name="DIVIDENDS_COMMON_2Q22">#REF!</definedName>
    <definedName name="DIVIDENDS_COMMON_2Q23">#REF!</definedName>
    <definedName name="DIVIDENDS_COMMON_2Q24">#REF!</definedName>
    <definedName name="Dividends_Common_3Q00">#REF!</definedName>
    <definedName name="Dividends_Common_3Q01">#REF!</definedName>
    <definedName name="Dividends_Common_3Q02">#REF!</definedName>
    <definedName name="Dividends_Common_3Q03">#REF!</definedName>
    <definedName name="Dividends_Common_3Q04">#REF!</definedName>
    <definedName name="Dividends_Common_3Q05">#REF!</definedName>
    <definedName name="Dividends_Common_3Q06">#REF!</definedName>
    <definedName name="Dividends_Common_3Q07">#REF!</definedName>
    <definedName name="Dividends_Common_3Q08">#REF!</definedName>
    <definedName name="Dividends_Common_3Q09">#REF!</definedName>
    <definedName name="Dividends_Common_3Q10">#REF!</definedName>
    <definedName name="Dividends_Common_3Q11">#REF!</definedName>
    <definedName name="Dividends_Common_3Q12">#REF!</definedName>
    <definedName name="Dividends_Common_3Q13">#REF!</definedName>
    <definedName name="Dividends_Common_3Q14">#REF!</definedName>
    <definedName name="Dividends_Common_3Q15">#REF!</definedName>
    <definedName name="Dividends_Common_3Q16">#REF!</definedName>
    <definedName name="Dividends_Common_3Q17">#REF!</definedName>
    <definedName name="Dividends_Common_3Q18">#REF!</definedName>
    <definedName name="Dividends_Common_3Q19">#REF!</definedName>
    <definedName name="Dividends_Common_3Q20">#REF!</definedName>
    <definedName name="DIVIDENDS_COMMON_3Q21">#REF!</definedName>
    <definedName name="DIVIDENDS_COMMON_3Q22">#REF!</definedName>
    <definedName name="DIVIDENDS_COMMON_3Q23">#REF!</definedName>
    <definedName name="DIVIDENDS_COMMON_3Q24">#REF!</definedName>
    <definedName name="Dividends_Common_4Q00">#REF!</definedName>
    <definedName name="Dividends_Common_4Q01">#REF!</definedName>
    <definedName name="Dividends_Common_4Q02">#REF!</definedName>
    <definedName name="Dividends_Common_4Q03">#REF!</definedName>
    <definedName name="Dividends_Common_4Q04">#REF!</definedName>
    <definedName name="Dividends_Common_4Q05">#REF!</definedName>
    <definedName name="Dividends_Common_4Q06">#REF!</definedName>
    <definedName name="Dividends_Common_4Q07">#REF!</definedName>
    <definedName name="Dividends_Common_4Q08">#REF!</definedName>
    <definedName name="Dividends_Common_4Q09">#REF!</definedName>
    <definedName name="Dividends_Common_4Q10">#REF!</definedName>
    <definedName name="Dividends_Common_4Q11">#REF!</definedName>
    <definedName name="Dividends_Common_4Q12">#REF!</definedName>
    <definedName name="Dividends_Common_4Q13">#REF!</definedName>
    <definedName name="Dividends_Common_4Q14">#REF!</definedName>
    <definedName name="Dividends_Common_4Q15">#REF!</definedName>
    <definedName name="Dividends_Common_4Q16">#REF!</definedName>
    <definedName name="Dividends_Common_4Q17">#REF!</definedName>
    <definedName name="Dividends_Common_4Q18">#REF!</definedName>
    <definedName name="Dividends_Common_4Q19">#REF!</definedName>
    <definedName name="Dividends_Common_4Q20">#REF!</definedName>
    <definedName name="DIVIDENDS_COMMON_4Q21">#REF!</definedName>
    <definedName name="DIVIDENDS_COMMON_4Q22">#REF!</definedName>
    <definedName name="DIVIDENDS_COMMON_4Q23">#REF!</definedName>
    <definedName name="DIVIDENDS_COMMON_4Q24">#REF!</definedName>
    <definedName name="Dividends_Preferred_1995">#REF!</definedName>
    <definedName name="Dividends_Preferred_1996">#REF!</definedName>
    <definedName name="Dividends_Preferred_1997">#REF!</definedName>
    <definedName name="Dividends_Preferred_1998">#REF!</definedName>
    <definedName name="Dividends_Preferred_1999">#REF!</definedName>
    <definedName name="Dividends_Preferred_1Q00">#REF!</definedName>
    <definedName name="Dividends_Preferred_1Q01">#REF!</definedName>
    <definedName name="Dividends_Preferred_1Q02">#REF!</definedName>
    <definedName name="Dividends_Preferred_1Q03">#REF!</definedName>
    <definedName name="Dividends_Preferred_1Q04">#REF!</definedName>
    <definedName name="Dividends_Preferred_1Q05">#REF!</definedName>
    <definedName name="Dividends_Preferred_1Q06">#REF!</definedName>
    <definedName name="Dividends_Preferred_1Q07">#REF!</definedName>
    <definedName name="Dividends_Preferred_1Q08">#REF!</definedName>
    <definedName name="Dividends_Preferred_1Q09">#REF!</definedName>
    <definedName name="Dividends_Preferred_1Q10">#REF!</definedName>
    <definedName name="Dividends_Preferred_1Q11">#REF!</definedName>
    <definedName name="Dividends_Preferred_1Q12">#REF!</definedName>
    <definedName name="Dividends_Preferred_1Q13">#REF!</definedName>
    <definedName name="Dividends_Preferred_1Q14">#REF!</definedName>
    <definedName name="Dividends_Preferred_1Q15">#REF!</definedName>
    <definedName name="Dividends_Preferred_1Q16">#REF!</definedName>
    <definedName name="Dividends_Preferred_1Q17">#REF!</definedName>
    <definedName name="Dividends_Preferred_1Q18">#REF!</definedName>
    <definedName name="Dividends_Preferred_1Q19">#REF!</definedName>
    <definedName name="Dividends_Preferred_1Q20">#REF!</definedName>
    <definedName name="DIVIDENDS_PREFERRED_1Q21">#REF!</definedName>
    <definedName name="DIVIDENDS_PREFERRED_1Q22">#REF!</definedName>
    <definedName name="DIVIDENDS_PREFERRED_1Q23">#REF!</definedName>
    <definedName name="DIVIDENDS_PREFERRED_1Q24">#REF!</definedName>
    <definedName name="Dividends_Preferred_2000">#REF!</definedName>
    <definedName name="Dividends_Preferred_2001">#REF!</definedName>
    <definedName name="Dividends_Preferred_2002">#REF!</definedName>
    <definedName name="Dividends_Preferred_2003">#REF!</definedName>
    <definedName name="Dividends_Preferred_2004">#REF!</definedName>
    <definedName name="Dividends_Preferred_2005">#REF!</definedName>
    <definedName name="Dividends_Preferred_2006">#REF!</definedName>
    <definedName name="Dividends_Preferred_2007">#REF!</definedName>
    <definedName name="Dividends_Preferred_2008">#REF!</definedName>
    <definedName name="Dividends_Preferred_2009">#REF!</definedName>
    <definedName name="Dividends_Preferred_2010">#REF!</definedName>
    <definedName name="Dividends_Preferred_2011">#REF!</definedName>
    <definedName name="Dividends_Preferred_2012">#REF!</definedName>
    <definedName name="Dividends_Preferred_2013">#REF!</definedName>
    <definedName name="Dividends_Preferred_2014">#REF!</definedName>
    <definedName name="Dividends_Preferred_2015">#REF!</definedName>
    <definedName name="Dividends_Preferred_2016">#REF!</definedName>
    <definedName name="Dividends_Preferred_2017">#REF!</definedName>
    <definedName name="Dividends_Preferred_2018">#REF!</definedName>
    <definedName name="Dividends_Preferred_2019">#REF!</definedName>
    <definedName name="Dividends_Preferred_2020">#REF!</definedName>
    <definedName name="DIVIDENDS_PREFERRED_2021">#REF!</definedName>
    <definedName name="DIVIDENDS_PREFERRED_2022">#REF!</definedName>
    <definedName name="DIVIDENDS_PREFERRED_2023">#REF!</definedName>
    <definedName name="DIVIDENDS_PREFERRED_2024">#REF!</definedName>
    <definedName name="Dividends_Preferred_2Q00">#REF!</definedName>
    <definedName name="Dividends_Preferred_2Q01">#REF!</definedName>
    <definedName name="Dividends_Preferred_2Q02">#REF!</definedName>
    <definedName name="Dividends_Preferred_2Q03">#REF!</definedName>
    <definedName name="Dividends_Preferred_2Q04">#REF!</definedName>
    <definedName name="Dividends_Preferred_2Q05">#REF!</definedName>
    <definedName name="Dividends_Preferred_2Q06">#REF!</definedName>
    <definedName name="Dividends_Preferred_2Q07">#REF!</definedName>
    <definedName name="Dividends_Preferred_2Q08">#REF!</definedName>
    <definedName name="Dividends_Preferred_2Q09">#REF!</definedName>
    <definedName name="Dividends_Preferred_2Q10">#REF!</definedName>
    <definedName name="Dividends_Preferred_2Q11">#REF!</definedName>
    <definedName name="Dividends_Preferred_2Q12">#REF!</definedName>
    <definedName name="Dividends_Preferred_2Q13">#REF!</definedName>
    <definedName name="Dividends_Preferred_2Q14">#REF!</definedName>
    <definedName name="Dividends_Preferred_2Q15">#REF!</definedName>
    <definedName name="Dividends_Preferred_2Q16">#REF!</definedName>
    <definedName name="Dividends_Preferred_2Q17">#REF!</definedName>
    <definedName name="Dividends_Preferred_2Q18">#REF!</definedName>
    <definedName name="Dividends_Preferred_2Q19">#REF!</definedName>
    <definedName name="Dividends_Preferred_2Q20">#REF!</definedName>
    <definedName name="DIVIDENDS_PREFERRED_2Q21">#REF!</definedName>
    <definedName name="DIVIDENDS_PREFERRED_2Q22">#REF!</definedName>
    <definedName name="DIVIDENDS_PREFERRED_2Q23">#REF!</definedName>
    <definedName name="DIVIDENDS_PREFERRED_2Q24">#REF!</definedName>
    <definedName name="Dividends_Preferred_3Q00">#REF!</definedName>
    <definedName name="Dividends_Preferred_3Q01">#REF!</definedName>
    <definedName name="Dividends_Preferred_3Q02">#REF!</definedName>
    <definedName name="Dividends_Preferred_3Q03">#REF!</definedName>
    <definedName name="Dividends_Preferred_3Q04">#REF!</definedName>
    <definedName name="Dividends_Preferred_3Q05">#REF!</definedName>
    <definedName name="Dividends_Preferred_3Q06">#REF!</definedName>
    <definedName name="Dividends_Preferred_3Q07">#REF!</definedName>
    <definedName name="Dividends_Preferred_3Q08">#REF!</definedName>
    <definedName name="Dividends_Preferred_3Q09">#REF!</definedName>
    <definedName name="Dividends_Preferred_3Q10">#REF!</definedName>
    <definedName name="Dividends_Preferred_3Q11">#REF!</definedName>
    <definedName name="Dividends_Preferred_3Q12">#REF!</definedName>
    <definedName name="Dividends_Preferred_3Q13">#REF!</definedName>
    <definedName name="Dividends_Preferred_3Q14">#REF!</definedName>
    <definedName name="Dividends_Preferred_3Q15">#REF!</definedName>
    <definedName name="Dividends_Preferred_3Q16">#REF!</definedName>
    <definedName name="Dividends_Preferred_3Q17">#REF!</definedName>
    <definedName name="Dividends_Preferred_3Q18">#REF!</definedName>
    <definedName name="Dividends_Preferred_3Q19">#REF!</definedName>
    <definedName name="Dividends_Preferred_3Q20">#REF!</definedName>
    <definedName name="DIVIDENDS_PREFERRED_3Q21">#REF!</definedName>
    <definedName name="DIVIDENDS_PREFERRED_3Q22">#REF!</definedName>
    <definedName name="DIVIDENDS_PREFERRED_3Q23">#REF!</definedName>
    <definedName name="DIVIDENDS_PREFERRED_3Q24">#REF!</definedName>
    <definedName name="Dividends_Preferred_4Q00">#REF!</definedName>
    <definedName name="Dividends_Preferred_4Q01">#REF!</definedName>
    <definedName name="Dividends_Preferred_4Q02">#REF!</definedName>
    <definedName name="Dividends_Preferred_4Q03">#REF!</definedName>
    <definedName name="Dividends_Preferred_4Q04">#REF!</definedName>
    <definedName name="Dividends_Preferred_4Q05">#REF!</definedName>
    <definedName name="Dividends_Preferred_4Q06">#REF!</definedName>
    <definedName name="Dividends_Preferred_4Q07">#REF!</definedName>
    <definedName name="Dividends_Preferred_4Q08">#REF!</definedName>
    <definedName name="Dividends_Preferred_4Q09">#REF!</definedName>
    <definedName name="Dividends_Preferred_4Q10">#REF!</definedName>
    <definedName name="Dividends_Preferred_4Q11">#REF!</definedName>
    <definedName name="Dividends_Preferred_4Q12">#REF!</definedName>
    <definedName name="Dividends_Preferred_4Q13">#REF!</definedName>
    <definedName name="Dividends_Preferred_4Q14">#REF!</definedName>
    <definedName name="Dividends_Preferred_4Q15">#REF!</definedName>
    <definedName name="Dividends_Preferred_4Q16">#REF!</definedName>
    <definedName name="Dividends_Preferred_4Q17">#REF!</definedName>
    <definedName name="Dividends_Preferred_4Q18">#REF!</definedName>
    <definedName name="Dividends_Preferred_4Q19">#REF!</definedName>
    <definedName name="Dividends_Preferred_4Q20">#REF!</definedName>
    <definedName name="DIVIDENDS_PREFERRED_4Q21">#REF!</definedName>
    <definedName name="DIVIDENDS_PREFERRED_4Q22">#REF!</definedName>
    <definedName name="DIVIDENDS_PREFERRED_4Q23">#REF!</definedName>
    <definedName name="DIVIDENDS_PREFERRED_4Q24">#REF!</definedName>
    <definedName name="DocType">PPt</definedName>
    <definedName name="DTCCTC_1995">#REF!</definedName>
    <definedName name="DTCCTC_1996">#REF!</definedName>
    <definedName name="DTCCTC_1997">#REF!</definedName>
    <definedName name="DTCCTC_1998">#REF!</definedName>
    <definedName name="DTCCTC_1999">#REF!</definedName>
    <definedName name="DTCCTC_1Q00">#REF!</definedName>
    <definedName name="DTCCTC_1Q01">#REF!</definedName>
    <definedName name="DTCCTC_1Q02">#REF!</definedName>
    <definedName name="DTCCTC_1Q03">#REF!</definedName>
    <definedName name="DTCCTC_1Q04">#REF!</definedName>
    <definedName name="DTCCTC_1Q05">#REF!</definedName>
    <definedName name="DTCCTC_1Q06">#REF!</definedName>
    <definedName name="DTCCTC_1Q07">#REF!</definedName>
    <definedName name="DTCCTC_1Q08">#REF!</definedName>
    <definedName name="DTCCTC_1Q09">#REF!</definedName>
    <definedName name="DTCCTC_1Q10">#REF!</definedName>
    <definedName name="DTCCTC_1Q11">#REF!</definedName>
    <definedName name="DTCCTC_1Q12">#REF!</definedName>
    <definedName name="DTCCTC_1Q13">#REF!</definedName>
    <definedName name="DTCCTC_1Q14">#REF!</definedName>
    <definedName name="DTCCTC_1Q15">#REF!</definedName>
    <definedName name="DTCCTC_1Q16">#REF!</definedName>
    <definedName name="DTCCTC_1Q17">#REF!</definedName>
    <definedName name="DTCCTC_1Q18">#REF!</definedName>
    <definedName name="DTCCTC_1Q19">#REF!</definedName>
    <definedName name="DTCCTC_1Q20">#REF!</definedName>
    <definedName name="DTCCTC_1Q21">#REF!</definedName>
    <definedName name="DTCCTC_1Q22">#REF!</definedName>
    <definedName name="DTCCTC_1Q23">#REF!</definedName>
    <definedName name="DTCCTC_1Q24">#REF!</definedName>
    <definedName name="DTCCTC_2000">#REF!</definedName>
    <definedName name="DTCCTC_2001">#REF!</definedName>
    <definedName name="DTCCTC_2002">#REF!</definedName>
    <definedName name="DTCCTC_2003">#REF!</definedName>
    <definedName name="DTCCTC_2004">#REF!</definedName>
    <definedName name="DTCCTC_2005">#REF!</definedName>
    <definedName name="DTCCTC_2006">#REF!</definedName>
    <definedName name="DTCCTC_2007">#REF!</definedName>
    <definedName name="DTCCTC_2008">#REF!</definedName>
    <definedName name="DTCCTC_2009">#REF!</definedName>
    <definedName name="DTCCTC_2010">#REF!</definedName>
    <definedName name="DTCCTC_2011">#REF!</definedName>
    <definedName name="DTCCTC_2012">#REF!</definedName>
    <definedName name="DTCCTC_2013">#REF!</definedName>
    <definedName name="DTCCTC_2014">#REF!</definedName>
    <definedName name="DTCCTC_2015">#REF!</definedName>
    <definedName name="DTCCTC_2016">#REF!</definedName>
    <definedName name="DTCCTC_2017">#REF!</definedName>
    <definedName name="DTCCTC_2018">#REF!</definedName>
    <definedName name="DTCCTC_2019">#REF!</definedName>
    <definedName name="DTCCTC_2020">#REF!</definedName>
    <definedName name="DTCCTC_2021">#REF!</definedName>
    <definedName name="DTCCTC_2022">#REF!</definedName>
    <definedName name="DTCCTC_2023">#REF!</definedName>
    <definedName name="DTCCTC_2024">#REF!</definedName>
    <definedName name="DTCCTC_2Q00">#REF!</definedName>
    <definedName name="DTCCTC_2Q01">#REF!</definedName>
    <definedName name="DTCCTC_2Q02">#REF!</definedName>
    <definedName name="DTCCTC_2Q03">#REF!</definedName>
    <definedName name="DTCCTC_2Q04">#REF!</definedName>
    <definedName name="DTCCTC_2Q05">#REF!</definedName>
    <definedName name="DTCCTC_2Q06">#REF!</definedName>
    <definedName name="DTCCTC_2Q07">#REF!</definedName>
    <definedName name="DTCCTC_2Q08">#REF!</definedName>
    <definedName name="DTCCTC_2Q09">#REF!</definedName>
    <definedName name="DTCCTC_2Q10">#REF!</definedName>
    <definedName name="DTCCTC_2Q11">#REF!</definedName>
    <definedName name="DTCCTC_2Q12">#REF!</definedName>
    <definedName name="DTCCTC_2Q13">#REF!</definedName>
    <definedName name="DTCCTC_2Q14">#REF!</definedName>
    <definedName name="DTCCTC_2Q15">#REF!</definedName>
    <definedName name="DTCCTC_2Q16">#REF!</definedName>
    <definedName name="DTCCTC_2Q17">#REF!</definedName>
    <definedName name="DTCCTC_2Q18">#REF!</definedName>
    <definedName name="DTCCTC_2Q19">#REF!</definedName>
    <definedName name="DTCCTC_2Q20">#REF!</definedName>
    <definedName name="DTCCTC_2Q21">#REF!</definedName>
    <definedName name="DTCCTC_2Q22">#REF!</definedName>
    <definedName name="DTCCTC_2Q23">#REF!</definedName>
    <definedName name="DTCCTC_2Q24">#REF!</definedName>
    <definedName name="DTCCTC_3Q00">#REF!</definedName>
    <definedName name="DTCCTC_3Q01">#REF!</definedName>
    <definedName name="DTCCTC_3Q02">#REF!</definedName>
    <definedName name="DTCCTC_3Q03">#REF!</definedName>
    <definedName name="DTCCTC_3Q04">#REF!</definedName>
    <definedName name="DTCCTC_3Q05">#REF!</definedName>
    <definedName name="DTCCTC_3Q06">#REF!</definedName>
    <definedName name="DTCCTC_3Q07">#REF!</definedName>
    <definedName name="DTCCTC_3Q08">#REF!</definedName>
    <definedName name="DTCCTC_3Q09">#REF!</definedName>
    <definedName name="DTCCTC_3Q10">#REF!</definedName>
    <definedName name="DTCCTC_3Q11">#REF!</definedName>
    <definedName name="DTCCTC_3Q12">#REF!</definedName>
    <definedName name="DTCCTC_3Q13">#REF!</definedName>
    <definedName name="DTCCTC_3Q14">#REF!</definedName>
    <definedName name="DTCCTC_3Q15">#REF!</definedName>
    <definedName name="DTCCTC_3Q16">#REF!</definedName>
    <definedName name="DTCCTC_3Q17">#REF!</definedName>
    <definedName name="DTCCTC_3Q18">#REF!</definedName>
    <definedName name="DTCCTC_3Q19">#REF!</definedName>
    <definedName name="DTCCTC_3Q20">#REF!</definedName>
    <definedName name="DTCCTC_3Q21">#REF!</definedName>
    <definedName name="DTCCTC_3Q22">#REF!</definedName>
    <definedName name="DTCCTC_3Q23">#REF!</definedName>
    <definedName name="DTCCTC_3Q24">#REF!</definedName>
    <definedName name="DTCCTC_4Q00">#REF!</definedName>
    <definedName name="DTCCTC_4Q01">#REF!</definedName>
    <definedName name="DTCCTC_4Q02">#REF!</definedName>
    <definedName name="DTCCTC_4Q03">#REF!</definedName>
    <definedName name="DTCCTC_4Q04">#REF!</definedName>
    <definedName name="DTCCTC_4Q05">#REF!</definedName>
    <definedName name="DTCCTC_4Q06">#REF!</definedName>
    <definedName name="DTCCTC_4Q07">#REF!</definedName>
    <definedName name="DTCCTC_4Q08">#REF!</definedName>
    <definedName name="DTCCTC_4Q09">#REF!</definedName>
    <definedName name="DTCCTC_4Q10">#REF!</definedName>
    <definedName name="DTCCTC_4Q11">#REF!</definedName>
    <definedName name="DTCCTC_4Q12">#REF!</definedName>
    <definedName name="DTCCTC_4Q13">#REF!</definedName>
    <definedName name="DTCCTC_4Q14">#REF!</definedName>
    <definedName name="DTCCTC_4Q15">#REF!</definedName>
    <definedName name="DTCCTC_4Q16">#REF!</definedName>
    <definedName name="DTCCTC_4Q17">#REF!</definedName>
    <definedName name="DTCCTC_4Q18">#REF!</definedName>
    <definedName name="DTCCTC_4Q19">#REF!</definedName>
    <definedName name="DTCCTC_4Q20">#REF!</definedName>
    <definedName name="DTCCTC_4Q21">#REF!</definedName>
    <definedName name="DTCCTC_4Q22">#REF!</definedName>
    <definedName name="DTCCTC_4Q23">#REF!</definedName>
    <definedName name="DTCCTC_4Q24">#REF!</definedName>
    <definedName name="ENANAJ_1995">#REF!</definedName>
    <definedName name="ENANAJ_1996">#REF!</definedName>
    <definedName name="ENANAJ_1997">#REF!</definedName>
    <definedName name="ENANAJ_1998">#REF!</definedName>
    <definedName name="ENANAJ_1999">#REF!</definedName>
    <definedName name="ENANAJ_1Q00">#REF!</definedName>
    <definedName name="ENANAJ_1Q01">#REF!</definedName>
    <definedName name="ENANAJ_1Q02">#REF!</definedName>
    <definedName name="ENANAJ_1Q03">#REF!</definedName>
    <definedName name="ENANAJ_1Q04">#REF!</definedName>
    <definedName name="ENANAJ_1Q05">#REF!</definedName>
    <definedName name="ENANAJ_1Q06">#REF!</definedName>
    <definedName name="ENANAJ_1Q07">#REF!</definedName>
    <definedName name="ENANAJ_1Q08">#REF!</definedName>
    <definedName name="ENANAJ_1Q09">#REF!</definedName>
    <definedName name="ENANAJ_1Q10">#REF!</definedName>
    <definedName name="ENANAJ_1Q11">#REF!</definedName>
    <definedName name="ENANAJ_1Q12">#REF!</definedName>
    <definedName name="ENANAJ_1Q13">#REF!</definedName>
    <definedName name="ENANAJ_1Q14">#REF!</definedName>
    <definedName name="ENANAJ_1Q15">#REF!</definedName>
    <definedName name="ENANAJ_1Q16">#REF!</definedName>
    <definedName name="ENANAJ_1Q17">#REF!</definedName>
    <definedName name="ENANAJ_1Q18">#REF!</definedName>
    <definedName name="ENANAJ_1Q19">#REF!</definedName>
    <definedName name="ENANAJ_1Q20">#REF!</definedName>
    <definedName name="ENANAJ_1Q21">#REF!</definedName>
    <definedName name="ENANAJ_1Q22">#REF!</definedName>
    <definedName name="ENANAJ_1Q23">#REF!</definedName>
    <definedName name="ENANAJ_1Q24">#REF!</definedName>
    <definedName name="ENANAJ_2000">#REF!</definedName>
    <definedName name="ENANAJ_2001">#REF!</definedName>
    <definedName name="ENANAJ_2002">#REF!</definedName>
    <definedName name="ENANAJ_2003">#REF!</definedName>
    <definedName name="ENANAJ_2004">#REF!</definedName>
    <definedName name="ENANAJ_2005">#REF!</definedName>
    <definedName name="ENANAJ_2006">#REF!</definedName>
    <definedName name="ENANAJ_2007">#REF!</definedName>
    <definedName name="ENANAJ_2008">#REF!</definedName>
    <definedName name="ENANAJ_2009">#REF!</definedName>
    <definedName name="ENANAJ_2010">#REF!</definedName>
    <definedName name="ENANAJ_2011">#REF!</definedName>
    <definedName name="ENANAJ_2012">#REF!</definedName>
    <definedName name="ENANAJ_2013">#REF!</definedName>
    <definedName name="ENANAJ_2014">#REF!</definedName>
    <definedName name="ENANAJ_2015">#REF!</definedName>
    <definedName name="ENANAJ_2016">#REF!</definedName>
    <definedName name="ENANAJ_2017">#REF!</definedName>
    <definedName name="ENANAJ_2018">#REF!</definedName>
    <definedName name="ENANAJ_2019">#REF!</definedName>
    <definedName name="ENANAJ_2020">#REF!</definedName>
    <definedName name="ENANAJ_2021">#REF!</definedName>
    <definedName name="ENANAJ_2022">#REF!</definedName>
    <definedName name="ENANAJ_2023">#REF!</definedName>
    <definedName name="ENANAJ_2024">#REF!</definedName>
    <definedName name="ENANAJ_2Q00">#REF!</definedName>
    <definedName name="ENANAJ_2Q01">#REF!</definedName>
    <definedName name="ENANAJ_2Q02">#REF!</definedName>
    <definedName name="ENANAJ_2Q03">#REF!</definedName>
    <definedName name="ENANAJ_2Q04">#REF!</definedName>
    <definedName name="ENANAJ_2Q05">#REF!</definedName>
    <definedName name="ENANAJ_2Q06">#REF!</definedName>
    <definedName name="ENANAJ_2Q07">#REF!</definedName>
    <definedName name="ENANAJ_2Q08">#REF!</definedName>
    <definedName name="ENANAJ_2Q09">#REF!</definedName>
    <definedName name="ENANAJ_2Q10">#REF!</definedName>
    <definedName name="ENANAJ_2Q11">#REF!</definedName>
    <definedName name="ENANAJ_2Q12">#REF!</definedName>
    <definedName name="ENANAJ_2Q13">#REF!</definedName>
    <definedName name="ENANAJ_2Q14">#REF!</definedName>
    <definedName name="ENANAJ_2Q15">#REF!</definedName>
    <definedName name="ENANAJ_2Q16">#REF!</definedName>
    <definedName name="ENANAJ_2Q17">#REF!</definedName>
    <definedName name="ENANAJ_2Q18">#REF!</definedName>
    <definedName name="ENANAJ_2Q19">#REF!</definedName>
    <definedName name="ENANAJ_2Q20">#REF!</definedName>
    <definedName name="ENANAJ_2Q21">#REF!</definedName>
    <definedName name="ENANAJ_2Q22">#REF!</definedName>
    <definedName name="ENANAJ_2Q23">#REF!</definedName>
    <definedName name="ENANAJ_2Q24">#REF!</definedName>
    <definedName name="ENANAJ_3Q00">#REF!</definedName>
    <definedName name="ENANAJ_3Q01">#REF!</definedName>
    <definedName name="ENANAJ_3Q02">#REF!</definedName>
    <definedName name="ENANAJ_3Q03">#REF!</definedName>
    <definedName name="ENANAJ_3Q04">#REF!</definedName>
    <definedName name="ENANAJ_3Q05">#REF!</definedName>
    <definedName name="ENANAJ_3Q06">#REF!</definedName>
    <definedName name="ENANAJ_3Q07">#REF!</definedName>
    <definedName name="ENANAJ_3Q08">#REF!</definedName>
    <definedName name="ENANAJ_3Q09">#REF!</definedName>
    <definedName name="ENANAJ_3Q10">#REF!</definedName>
    <definedName name="ENANAJ_3Q11">#REF!</definedName>
    <definedName name="ENANAJ_3Q12">#REF!</definedName>
    <definedName name="ENANAJ_3Q13">#REF!</definedName>
    <definedName name="ENANAJ_3Q14">#REF!</definedName>
    <definedName name="ENANAJ_3Q15">#REF!</definedName>
    <definedName name="ENANAJ_3Q16">#REF!</definedName>
    <definedName name="ENANAJ_3Q17">#REF!</definedName>
    <definedName name="ENANAJ_3Q18">#REF!</definedName>
    <definedName name="ENANAJ_3Q19">#REF!</definedName>
    <definedName name="ENANAJ_3Q20">#REF!</definedName>
    <definedName name="ENANAJ_3Q21">#REF!</definedName>
    <definedName name="ENANAJ_3Q22">#REF!</definedName>
    <definedName name="ENANAJ_3Q23">#REF!</definedName>
    <definedName name="ENANAJ_3Q24">#REF!</definedName>
    <definedName name="ENANAJ_4Q00">#REF!</definedName>
    <definedName name="ENANAJ_4Q01">#REF!</definedName>
    <definedName name="ENANAJ_4Q02">#REF!</definedName>
    <definedName name="ENANAJ_4Q03">#REF!</definedName>
    <definedName name="ENANAJ_4Q04">#REF!</definedName>
    <definedName name="ENANAJ_4Q05">#REF!</definedName>
    <definedName name="ENANAJ_4Q06">#REF!</definedName>
    <definedName name="ENANAJ_4Q07">#REF!</definedName>
    <definedName name="ENANAJ_4Q08">#REF!</definedName>
    <definedName name="ENANAJ_4Q09">#REF!</definedName>
    <definedName name="ENANAJ_4Q10">#REF!</definedName>
    <definedName name="ENANAJ_4Q11">#REF!</definedName>
    <definedName name="ENANAJ_4Q12">#REF!</definedName>
    <definedName name="ENANAJ_4Q13">#REF!</definedName>
    <definedName name="ENANAJ_4Q14">#REF!</definedName>
    <definedName name="ENANAJ_4Q15">#REF!</definedName>
    <definedName name="ENANAJ_4Q16">#REF!</definedName>
    <definedName name="ENANAJ_4Q17">#REF!</definedName>
    <definedName name="ENANAJ_4Q18">#REF!</definedName>
    <definedName name="ENANAJ_4Q19">#REF!</definedName>
    <definedName name="ENANAJ_4Q20">#REF!</definedName>
    <definedName name="ENANAJ_4Q21">#REF!</definedName>
    <definedName name="ENANAJ_4Q22">#REF!</definedName>
    <definedName name="ENANAJ_4Q23">#REF!</definedName>
    <definedName name="ENANAJ_4Q24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PEFIA_1995">#REF!</definedName>
    <definedName name="EPEFIA_1996">#REF!</definedName>
    <definedName name="EPEFIA_1997">#REF!</definedName>
    <definedName name="EPEFIA_1998">#REF!</definedName>
    <definedName name="EPEFIA_1999">#REF!</definedName>
    <definedName name="EPEFIA_1Q00">#REF!</definedName>
    <definedName name="EPEFIA_1Q01">#REF!</definedName>
    <definedName name="EPEFIA_1Q02">#REF!</definedName>
    <definedName name="EPEFIA_1Q03">#REF!</definedName>
    <definedName name="EPEFIA_1Q04">#REF!</definedName>
    <definedName name="EPEFIA_1Q05">#REF!</definedName>
    <definedName name="EPEFIA_1Q06">#REF!</definedName>
    <definedName name="EPEFIA_1Q07">#REF!</definedName>
    <definedName name="EPEFIA_1Q08">#REF!</definedName>
    <definedName name="EPEFIA_1Q09">#REF!</definedName>
    <definedName name="EPEFIA_1Q10">#REF!</definedName>
    <definedName name="EPEFIA_1Q11">#REF!</definedName>
    <definedName name="EPEFIA_1Q12">#REF!</definedName>
    <definedName name="EPEFIA_1Q13">#REF!</definedName>
    <definedName name="EPEFIA_1Q14">#REF!</definedName>
    <definedName name="EPEFIA_1Q15">#REF!</definedName>
    <definedName name="EPEFIA_1Q16">#REF!</definedName>
    <definedName name="EPEFIA_1Q17">#REF!</definedName>
    <definedName name="EPEFIA_1Q18">#REF!</definedName>
    <definedName name="EPEFIA_1Q19">#REF!</definedName>
    <definedName name="EPEFIA_1Q20">#REF!</definedName>
    <definedName name="EPEFIA_1Q21">#REF!</definedName>
    <definedName name="EPEFIA_1Q22">#REF!</definedName>
    <definedName name="EPEFIA_1Q23">#REF!</definedName>
    <definedName name="EPEFIA_1Q24">#REF!</definedName>
    <definedName name="EPEFIA_2000">#REF!</definedName>
    <definedName name="EPEFIA_2001">#REF!</definedName>
    <definedName name="EPEFIA_2002">#REF!</definedName>
    <definedName name="EPEFIA_2003">#REF!</definedName>
    <definedName name="EPEFIA_2004">#REF!</definedName>
    <definedName name="EPEFIA_2005">#REF!</definedName>
    <definedName name="EPEFIA_2006">#REF!</definedName>
    <definedName name="EPEFIA_2007">#REF!</definedName>
    <definedName name="EPEFIA_2008">#REF!</definedName>
    <definedName name="EPEFIA_2009">#REF!</definedName>
    <definedName name="EPEFIA_2010">#REF!</definedName>
    <definedName name="EPEFIA_2011">#REF!</definedName>
    <definedName name="EPEFIA_2012">#REF!</definedName>
    <definedName name="EPEFIA_2013">#REF!</definedName>
    <definedName name="EPEFIA_2014">#REF!</definedName>
    <definedName name="EPEFIA_2015">#REF!</definedName>
    <definedName name="EPEFIA_2016">#REF!</definedName>
    <definedName name="EPEFIA_2017">#REF!</definedName>
    <definedName name="EPEFIA_2018">#REF!</definedName>
    <definedName name="EPEFIA_2019">#REF!</definedName>
    <definedName name="EPEFIA_2020">#REF!</definedName>
    <definedName name="EPEFIA_2021">#REF!</definedName>
    <definedName name="EPEFIA_2022">#REF!</definedName>
    <definedName name="EPEFIA_2023">#REF!</definedName>
    <definedName name="EPEFIA_2024">#REF!</definedName>
    <definedName name="EPEFIA_2Q00">#REF!</definedName>
    <definedName name="EPEFIA_2Q01">#REF!</definedName>
    <definedName name="EPEFIA_2Q02">#REF!</definedName>
    <definedName name="EPEFIA_2Q03">#REF!</definedName>
    <definedName name="EPEFIA_2Q04">#REF!</definedName>
    <definedName name="EPEFIA_2Q05">#REF!</definedName>
    <definedName name="EPEFIA_2Q06">#REF!</definedName>
    <definedName name="EPEFIA_2Q07">#REF!</definedName>
    <definedName name="EPEFIA_2Q08">#REF!</definedName>
    <definedName name="EPEFIA_2Q09">#REF!</definedName>
    <definedName name="EPEFIA_2Q10">#REF!</definedName>
    <definedName name="EPEFIA_2Q11">#REF!</definedName>
    <definedName name="EPEFIA_2Q12">#REF!</definedName>
    <definedName name="EPEFIA_2Q13">#REF!</definedName>
    <definedName name="EPEFIA_2Q14">#REF!</definedName>
    <definedName name="EPEFIA_2Q15">#REF!</definedName>
    <definedName name="EPEFIA_2Q16">#REF!</definedName>
    <definedName name="EPEFIA_2Q17">#REF!</definedName>
    <definedName name="EPEFIA_2Q18">#REF!</definedName>
    <definedName name="EPEFIA_2Q19">#REF!</definedName>
    <definedName name="EPEFIA_2Q20">#REF!</definedName>
    <definedName name="EPEFIA_2Q21">#REF!</definedName>
    <definedName name="EPEFIA_2Q22">#REF!</definedName>
    <definedName name="EPEFIA_2Q23">#REF!</definedName>
    <definedName name="EPEFIA_2Q24">#REF!</definedName>
    <definedName name="EPEFIA_3Q00">#REF!</definedName>
    <definedName name="EPEFIA_3Q01">#REF!</definedName>
    <definedName name="EPEFIA_3Q02">#REF!</definedName>
    <definedName name="EPEFIA_3Q03">#REF!</definedName>
    <definedName name="EPEFIA_3Q04">#REF!</definedName>
    <definedName name="EPEFIA_3Q05">#REF!</definedName>
    <definedName name="EPEFIA_3Q06">#REF!</definedName>
    <definedName name="EPEFIA_3Q07">#REF!</definedName>
    <definedName name="EPEFIA_3Q08">#REF!</definedName>
    <definedName name="EPEFIA_3Q09">#REF!</definedName>
    <definedName name="EPEFIA_3Q10">#REF!</definedName>
    <definedName name="EPEFIA_3Q11">#REF!</definedName>
    <definedName name="EPEFIA_3Q12">#REF!</definedName>
    <definedName name="EPEFIA_3Q13">#REF!</definedName>
    <definedName name="EPEFIA_3Q14">#REF!</definedName>
    <definedName name="EPEFIA_3Q15">#REF!</definedName>
    <definedName name="EPEFIA_3Q16">#REF!</definedName>
    <definedName name="EPEFIA_3Q17">#REF!</definedName>
    <definedName name="EPEFIA_3Q18">#REF!</definedName>
    <definedName name="EPEFIA_3Q19">#REF!</definedName>
    <definedName name="EPEFIA_3Q20">#REF!</definedName>
    <definedName name="EPEFIA_3Q21">#REF!</definedName>
    <definedName name="EPEFIA_3Q22">#REF!</definedName>
    <definedName name="EPEFIA_3Q23">#REF!</definedName>
    <definedName name="EPEFIA_3Q24">#REF!</definedName>
    <definedName name="EPEFIA_4Q00">#REF!</definedName>
    <definedName name="EPEFIA_4Q01">#REF!</definedName>
    <definedName name="EPEFIA_4Q02">#REF!</definedName>
    <definedName name="EPEFIA_4Q03">#REF!</definedName>
    <definedName name="EPEFIA_4Q04">#REF!</definedName>
    <definedName name="EPEFIA_4Q05">#REF!</definedName>
    <definedName name="EPEFIA_4Q06">#REF!</definedName>
    <definedName name="EPEFIA_4Q07">#REF!</definedName>
    <definedName name="EPEFIA_4Q08">#REF!</definedName>
    <definedName name="EPEFIA_4Q09">#REF!</definedName>
    <definedName name="EPEFIA_4Q10">#REF!</definedName>
    <definedName name="EPEFIA_4Q11">#REF!</definedName>
    <definedName name="EPEFIA_4Q12">#REF!</definedName>
    <definedName name="EPEFIA_4Q13">#REF!</definedName>
    <definedName name="EPEFIA_4Q14">#REF!</definedName>
    <definedName name="EPEFIA_4Q15">#REF!</definedName>
    <definedName name="EPEFIA_4Q16">#REF!</definedName>
    <definedName name="EPEFIA_4Q17">#REF!</definedName>
    <definedName name="EPEFIA_4Q18">#REF!</definedName>
    <definedName name="EPEFIA_4Q19">#REF!</definedName>
    <definedName name="EPEFIA_4Q20">#REF!</definedName>
    <definedName name="EPEFIA_4Q21">#REF!</definedName>
    <definedName name="EPEFIA_4Q22">#REF!</definedName>
    <definedName name="EPEFIA_4Q23">#REF!</definedName>
    <definedName name="EPEFIA_4Q24">#REF!</definedName>
    <definedName name="EQANAJ_1995">#REF!</definedName>
    <definedName name="EQANAJ_1996">#REF!</definedName>
    <definedName name="EQANAJ_1997">#REF!</definedName>
    <definedName name="EQANAJ_1998">#REF!</definedName>
    <definedName name="EQANAJ_1999">#REF!</definedName>
    <definedName name="EQANAJ_1Q00">#REF!</definedName>
    <definedName name="EQANAJ_1Q01">#REF!</definedName>
    <definedName name="EQANAJ_1Q02">#REF!</definedName>
    <definedName name="EQANAJ_1Q03">#REF!</definedName>
    <definedName name="EQANAJ_1Q04">#REF!</definedName>
    <definedName name="EQANAJ_1Q05">#REF!</definedName>
    <definedName name="EQANAJ_1Q06">#REF!</definedName>
    <definedName name="EQANAJ_1Q07">#REF!</definedName>
    <definedName name="EQANAJ_1Q08">#REF!</definedName>
    <definedName name="EQANAJ_1Q09">#REF!</definedName>
    <definedName name="EQANAJ_1Q10">#REF!</definedName>
    <definedName name="EQANAJ_1Q11">#REF!</definedName>
    <definedName name="EQANAJ_1Q12">#REF!</definedName>
    <definedName name="EQANAJ_1Q13">#REF!</definedName>
    <definedName name="EQANAJ_1Q14">#REF!</definedName>
    <definedName name="EQANAJ_1Q15">#REF!</definedName>
    <definedName name="EQANAJ_1Q16">#REF!</definedName>
    <definedName name="EQANAJ_1Q17">#REF!</definedName>
    <definedName name="EQANAJ_1Q18">#REF!</definedName>
    <definedName name="EQANAJ_1Q19">#REF!</definedName>
    <definedName name="EQANAJ_1Q20">#REF!</definedName>
    <definedName name="EQANAJ_1Q21">#REF!</definedName>
    <definedName name="EQANAJ_1Q22">#REF!</definedName>
    <definedName name="EQANAJ_1Q23">#REF!</definedName>
    <definedName name="EQANAJ_1Q24">#REF!</definedName>
    <definedName name="EQANAJ_2000">#REF!</definedName>
    <definedName name="EQANAJ_2001">#REF!</definedName>
    <definedName name="EQANAJ_2002">#REF!</definedName>
    <definedName name="EQANAJ_2003">#REF!</definedName>
    <definedName name="EQANAJ_2004">#REF!</definedName>
    <definedName name="EQANAJ_2005">#REF!</definedName>
    <definedName name="EQANAJ_2006">#REF!</definedName>
    <definedName name="EQANAJ_2007">#REF!</definedName>
    <definedName name="EQANAJ_2008">#REF!</definedName>
    <definedName name="EQANAJ_2009">#REF!</definedName>
    <definedName name="EQANAJ_2010">#REF!</definedName>
    <definedName name="EQANAJ_2011">#REF!</definedName>
    <definedName name="EQANAJ_2012">#REF!</definedName>
    <definedName name="EQANAJ_2013">#REF!</definedName>
    <definedName name="EQANAJ_2014">#REF!</definedName>
    <definedName name="EQANAJ_2015">#REF!</definedName>
    <definedName name="EQANAJ_2016">#REF!</definedName>
    <definedName name="EQANAJ_2017">#REF!</definedName>
    <definedName name="EQANAJ_2018">#REF!</definedName>
    <definedName name="EQANAJ_2019">#REF!</definedName>
    <definedName name="EQANAJ_2020">#REF!</definedName>
    <definedName name="EQANAJ_2021">#REF!</definedName>
    <definedName name="EQANAJ_2022">#REF!</definedName>
    <definedName name="EQANAJ_2023">#REF!</definedName>
    <definedName name="EQANAJ_2024">#REF!</definedName>
    <definedName name="EQANAJ_2Q00">#REF!</definedName>
    <definedName name="EQANAJ_2Q01">#REF!</definedName>
    <definedName name="EQANAJ_2Q02">#REF!</definedName>
    <definedName name="EQANAJ_2Q03">#REF!</definedName>
    <definedName name="EQANAJ_2Q04">#REF!</definedName>
    <definedName name="EQANAJ_2Q05">#REF!</definedName>
    <definedName name="EQANAJ_2Q06">#REF!</definedName>
    <definedName name="EQANAJ_2Q07">#REF!</definedName>
    <definedName name="EQANAJ_2Q08">#REF!</definedName>
    <definedName name="EQANAJ_2Q09">#REF!</definedName>
    <definedName name="EQANAJ_2Q10">#REF!</definedName>
    <definedName name="EQANAJ_2Q11">#REF!</definedName>
    <definedName name="EQANAJ_2Q12">#REF!</definedName>
    <definedName name="EQANAJ_2Q13">#REF!</definedName>
    <definedName name="EQANAJ_2Q14">#REF!</definedName>
    <definedName name="EQANAJ_2Q15">#REF!</definedName>
    <definedName name="EQANAJ_2Q16">#REF!</definedName>
    <definedName name="EQANAJ_2Q17">#REF!</definedName>
    <definedName name="EQANAJ_2Q18">#REF!</definedName>
    <definedName name="EQANAJ_2Q19">#REF!</definedName>
    <definedName name="EQANAJ_2Q20">#REF!</definedName>
    <definedName name="EQANAJ_2Q21">#REF!</definedName>
    <definedName name="EQANAJ_2Q22">#REF!</definedName>
    <definedName name="EQANAJ_2Q23">#REF!</definedName>
    <definedName name="EQANAJ_2Q24">#REF!</definedName>
    <definedName name="EQANAJ_3Q00">#REF!</definedName>
    <definedName name="EQANAJ_3Q01">#REF!</definedName>
    <definedName name="EQANAJ_3Q02">#REF!</definedName>
    <definedName name="EQANAJ_3Q03">#REF!</definedName>
    <definedName name="EQANAJ_3Q04">#REF!</definedName>
    <definedName name="EQANAJ_3Q05">#REF!</definedName>
    <definedName name="EQANAJ_3Q06">#REF!</definedName>
    <definedName name="EQANAJ_3Q07">#REF!</definedName>
    <definedName name="EQANAJ_3Q08">#REF!</definedName>
    <definedName name="EQANAJ_3Q09">#REF!</definedName>
    <definedName name="EQANAJ_3Q10">#REF!</definedName>
    <definedName name="EQANAJ_3Q11">#REF!</definedName>
    <definedName name="EQANAJ_3Q12">#REF!</definedName>
    <definedName name="EQANAJ_3Q13">#REF!</definedName>
    <definedName name="EQANAJ_3Q14">#REF!</definedName>
    <definedName name="EQANAJ_3Q15">#REF!</definedName>
    <definedName name="EQANAJ_3Q16">#REF!</definedName>
    <definedName name="EQANAJ_3Q17">#REF!</definedName>
    <definedName name="EQANAJ_3Q18">#REF!</definedName>
    <definedName name="EQANAJ_3Q19">#REF!</definedName>
    <definedName name="EQANAJ_3Q20">#REF!</definedName>
    <definedName name="EQANAJ_3Q21">#REF!</definedName>
    <definedName name="EQANAJ_3Q22">#REF!</definedName>
    <definedName name="EQANAJ_3Q23">#REF!</definedName>
    <definedName name="EQANAJ_3Q24">#REF!</definedName>
    <definedName name="EQANAJ_4Q00">#REF!</definedName>
    <definedName name="EQANAJ_4Q01">#REF!</definedName>
    <definedName name="EQANAJ_4Q02">#REF!</definedName>
    <definedName name="EQANAJ_4Q03">#REF!</definedName>
    <definedName name="EQANAJ_4Q04">#REF!</definedName>
    <definedName name="EQANAJ_4Q05">#REF!</definedName>
    <definedName name="EQANAJ_4Q06">#REF!</definedName>
    <definedName name="EQANAJ_4Q07">#REF!</definedName>
    <definedName name="EQANAJ_4Q08">#REF!</definedName>
    <definedName name="EQANAJ_4Q09">#REF!</definedName>
    <definedName name="EQANAJ_4Q10">#REF!</definedName>
    <definedName name="EQANAJ_4Q11">#REF!</definedName>
    <definedName name="EQANAJ_4Q12">#REF!</definedName>
    <definedName name="EQANAJ_4Q13">#REF!</definedName>
    <definedName name="EQANAJ_4Q14">#REF!</definedName>
    <definedName name="EQANAJ_4Q15">#REF!</definedName>
    <definedName name="EQANAJ_4Q16">#REF!</definedName>
    <definedName name="EQANAJ_4Q17">#REF!</definedName>
    <definedName name="EQANAJ_4Q18">#REF!</definedName>
    <definedName name="EQANAJ_4Q19">#REF!</definedName>
    <definedName name="EQANAJ_4Q20">#REF!</definedName>
    <definedName name="EQANAJ_4Q21">#REF!</definedName>
    <definedName name="EQANAJ_4Q22">#REF!</definedName>
    <definedName name="EQANAJ_4Q23">#REF!</definedName>
    <definedName name="EQANAJ_4Q24">#REF!</definedName>
    <definedName name="EVSBB_1995">#REF!</definedName>
    <definedName name="EVSBB_1996">#REF!</definedName>
    <definedName name="EVSBB_1997">#REF!</definedName>
    <definedName name="EVSBB_1998">#REF!</definedName>
    <definedName name="EVSBB_1999">#REF!</definedName>
    <definedName name="EVSBB_1Q00">#REF!</definedName>
    <definedName name="EVSBB_1Q01">#REF!</definedName>
    <definedName name="EVSBB_1Q02">#REF!</definedName>
    <definedName name="EVSBB_1Q03">#REF!</definedName>
    <definedName name="EVSBB_1Q04">#REF!</definedName>
    <definedName name="EVSBB_1Q05">#REF!</definedName>
    <definedName name="EVSBB_1Q06">#REF!</definedName>
    <definedName name="EVSBB_1Q07">#REF!</definedName>
    <definedName name="EVSBB_1Q08">#REF!</definedName>
    <definedName name="EVSBB_1Q09">#REF!</definedName>
    <definedName name="EVSBB_1Q10">#REF!</definedName>
    <definedName name="EVSBB_1Q11">#REF!</definedName>
    <definedName name="EVSBB_1Q12">#REF!</definedName>
    <definedName name="EVSBB_1Q13">#REF!</definedName>
    <definedName name="EVSBB_1Q14">#REF!</definedName>
    <definedName name="EVSBB_1Q15">#REF!</definedName>
    <definedName name="EVSBB_1Q16">#REF!</definedName>
    <definedName name="EVSBB_1Q17">#REF!</definedName>
    <definedName name="EVSBB_1Q18">#REF!</definedName>
    <definedName name="EVSBB_1Q19">#REF!</definedName>
    <definedName name="EVSBB_1Q20">#REF!</definedName>
    <definedName name="EVSBB_1Q21">#REF!</definedName>
    <definedName name="EVSBB_1Q22">#REF!</definedName>
    <definedName name="EVSBB_1Q23">#REF!</definedName>
    <definedName name="EVSBB_1Q24">#REF!</definedName>
    <definedName name="EVSBB_2000">#REF!</definedName>
    <definedName name="EVSBB_2001">#REF!</definedName>
    <definedName name="EVSBB_2002">#REF!</definedName>
    <definedName name="EVSBB_2003">#REF!</definedName>
    <definedName name="EVSBB_2004">#REF!</definedName>
    <definedName name="EVSBB_2005">#REF!</definedName>
    <definedName name="EVSBB_2006">#REF!</definedName>
    <definedName name="EVSBB_2007">#REF!</definedName>
    <definedName name="EVSBB_2008">#REF!</definedName>
    <definedName name="EVSBB_2009">#REF!</definedName>
    <definedName name="EVSBB_2010">#REF!</definedName>
    <definedName name="EVSBB_2011">#REF!</definedName>
    <definedName name="EVSBB_2012">#REF!</definedName>
    <definedName name="EVSBB_2013">#REF!</definedName>
    <definedName name="EVSBB_2014">#REF!</definedName>
    <definedName name="EVSBB_2015">#REF!</definedName>
    <definedName name="EVSBB_2016">#REF!</definedName>
    <definedName name="EVSBB_2017">#REF!</definedName>
    <definedName name="EVSBB_2018">#REF!</definedName>
    <definedName name="EVSBB_2019">#REF!</definedName>
    <definedName name="EVSBB_2020">#REF!</definedName>
    <definedName name="EVSBB_2021">#REF!</definedName>
    <definedName name="EVSBB_2022">#REF!</definedName>
    <definedName name="EVSBB_2023">#REF!</definedName>
    <definedName name="EVSBB_2024">#REF!</definedName>
    <definedName name="EVSBB_2Q00">#REF!</definedName>
    <definedName name="EVSBB_2Q01">#REF!</definedName>
    <definedName name="EVSBB_2Q02">#REF!</definedName>
    <definedName name="EVSBB_2Q03">#REF!</definedName>
    <definedName name="EVSBB_2Q04">#REF!</definedName>
    <definedName name="EVSBB_2Q05">#REF!</definedName>
    <definedName name="EVSBB_2Q06">#REF!</definedName>
    <definedName name="EVSBB_2Q07">#REF!</definedName>
    <definedName name="EVSBB_2Q08">#REF!</definedName>
    <definedName name="EVSBB_2Q09">#REF!</definedName>
    <definedName name="EVSBB_2Q10">#REF!</definedName>
    <definedName name="EVSBB_2Q11">#REF!</definedName>
    <definedName name="EVSBB_2Q12">#REF!</definedName>
    <definedName name="EVSBB_2Q13">#REF!</definedName>
    <definedName name="EVSBB_2Q14">#REF!</definedName>
    <definedName name="EVSBB_2Q15">#REF!</definedName>
    <definedName name="EVSBB_2Q16">#REF!</definedName>
    <definedName name="EVSBB_2Q17">#REF!</definedName>
    <definedName name="EVSBB_2Q18">#REF!</definedName>
    <definedName name="EVSBB_2Q19">#REF!</definedName>
    <definedName name="EVSBB_2Q20">#REF!</definedName>
    <definedName name="EVSBB_2Q21">#REF!</definedName>
    <definedName name="EVSBB_2Q22">#REF!</definedName>
    <definedName name="EVSBB_2Q23">#REF!</definedName>
    <definedName name="EVSBB_2Q24">#REF!</definedName>
    <definedName name="EVSBB_3Q00">#REF!</definedName>
    <definedName name="EVSBB_3Q01">#REF!</definedName>
    <definedName name="EVSBB_3Q02">#REF!</definedName>
    <definedName name="EVSBB_3Q03">#REF!</definedName>
    <definedName name="EVSBB_3Q04">#REF!</definedName>
    <definedName name="EVSBB_3Q05">#REF!</definedName>
    <definedName name="EVSBB_3Q06">#REF!</definedName>
    <definedName name="EVSBB_3Q07">#REF!</definedName>
    <definedName name="EVSBB_3Q08">#REF!</definedName>
    <definedName name="EVSBB_3Q09">#REF!</definedName>
    <definedName name="EVSBB_3Q10">#REF!</definedName>
    <definedName name="EVSBB_3Q11">#REF!</definedName>
    <definedName name="EVSBB_3Q12">#REF!</definedName>
    <definedName name="EVSBB_3Q13">#REF!</definedName>
    <definedName name="EVSBB_3Q14">#REF!</definedName>
    <definedName name="EVSBB_3Q15">#REF!</definedName>
    <definedName name="EVSBB_3Q16">#REF!</definedName>
    <definedName name="EVSBB_3Q17">#REF!</definedName>
    <definedName name="EVSBB_3Q18">#REF!</definedName>
    <definedName name="EVSBB_3Q19">#REF!</definedName>
    <definedName name="EVSBB_3Q20">#REF!</definedName>
    <definedName name="EVSBB_3Q21">#REF!</definedName>
    <definedName name="EVSBB_3Q22">#REF!</definedName>
    <definedName name="EVSBB_3Q23">#REF!</definedName>
    <definedName name="EVSBB_3Q24">#REF!</definedName>
    <definedName name="EVSBB_4Q00">#REF!</definedName>
    <definedName name="EVSBB_4Q01">#REF!</definedName>
    <definedName name="EVSBB_4Q02">#REF!</definedName>
    <definedName name="EVSBB_4Q03">#REF!</definedName>
    <definedName name="EVSBB_4Q04">#REF!</definedName>
    <definedName name="EVSBB_4Q05">#REF!</definedName>
    <definedName name="EVSBB_4Q06">#REF!</definedName>
    <definedName name="EVSBB_4Q07">#REF!</definedName>
    <definedName name="EVSBB_4Q08">#REF!</definedName>
    <definedName name="EVSBB_4Q09">#REF!</definedName>
    <definedName name="EVSBB_4Q10">#REF!</definedName>
    <definedName name="EVSBB_4Q11">#REF!</definedName>
    <definedName name="EVSBB_4Q12">#REF!</definedName>
    <definedName name="EVSBB_4Q13">#REF!</definedName>
    <definedName name="EVSBB_4Q14">#REF!</definedName>
    <definedName name="EVSBB_4Q15">#REF!</definedName>
    <definedName name="EVSBB_4Q16">#REF!</definedName>
    <definedName name="EVSBB_4Q17">#REF!</definedName>
    <definedName name="EVSBB_4Q18">#REF!</definedName>
    <definedName name="EVSBB_4Q19">#REF!</definedName>
    <definedName name="EVSBB_4Q20">#REF!</definedName>
    <definedName name="EVSBB_4Q21">#REF!</definedName>
    <definedName name="EVSBB_4Q22">#REF!</definedName>
    <definedName name="EVSBB_4Q23">#REF!</definedName>
    <definedName name="EVSBB_4Q24">#REF!</definedName>
    <definedName name="EXCPT_1995">#REF!</definedName>
    <definedName name="EXCPT_1996">#REF!</definedName>
    <definedName name="EXCPT_1997">#REF!</definedName>
    <definedName name="EXCPT_1998">#REF!</definedName>
    <definedName name="EXCPT_1999">#REF!</definedName>
    <definedName name="EXCPT_1Q00">#REF!</definedName>
    <definedName name="EXCPT_1Q01">#REF!</definedName>
    <definedName name="EXCPT_1Q02">#REF!</definedName>
    <definedName name="EXCPT_1Q03">#REF!</definedName>
    <definedName name="EXCPT_1Q04">#REF!</definedName>
    <definedName name="EXCPT_1Q05">#REF!</definedName>
    <definedName name="EXCPT_1Q06">#REF!</definedName>
    <definedName name="EXCPT_1Q07">#REF!</definedName>
    <definedName name="EXCPT_1Q08">#REF!</definedName>
    <definedName name="EXCPT_1Q09">#REF!</definedName>
    <definedName name="EXCPT_1Q10">#REF!</definedName>
    <definedName name="EXCPT_1Q11">#REF!</definedName>
    <definedName name="EXCPT_1Q12">#REF!</definedName>
    <definedName name="EXCPT_1Q13">#REF!</definedName>
    <definedName name="EXCPT_1Q14">#REF!</definedName>
    <definedName name="EXCPT_1Q15">#REF!</definedName>
    <definedName name="EXCPT_1Q16">#REF!</definedName>
    <definedName name="EXCPT_1Q17">#REF!</definedName>
    <definedName name="EXCPT_1Q18">#REF!</definedName>
    <definedName name="EXCPT_1Q19">#REF!</definedName>
    <definedName name="EXCPT_1Q20">#REF!</definedName>
    <definedName name="EXCPT_1Q21">#REF!</definedName>
    <definedName name="EXCPT_1Q22">#REF!</definedName>
    <definedName name="EXCPT_1Q23">#REF!</definedName>
    <definedName name="EXCPT_1Q24">#REF!</definedName>
    <definedName name="EXCPT_2000">#REF!</definedName>
    <definedName name="EXCPT_2001">#REF!</definedName>
    <definedName name="EXCPT_2002">#REF!</definedName>
    <definedName name="EXCPT_2003">#REF!</definedName>
    <definedName name="EXCPT_2004">#REF!</definedName>
    <definedName name="EXCPT_2005">#REF!</definedName>
    <definedName name="EXCPT_2006">#REF!</definedName>
    <definedName name="EXCPT_2007">#REF!</definedName>
    <definedName name="EXCPT_2008">#REF!</definedName>
    <definedName name="EXCPT_2009">#REF!</definedName>
    <definedName name="EXCPT_2010">#REF!</definedName>
    <definedName name="EXCPT_2011">#REF!</definedName>
    <definedName name="EXCPT_2012">#REF!</definedName>
    <definedName name="EXCPT_2013">#REF!</definedName>
    <definedName name="EXCPT_2014">#REF!</definedName>
    <definedName name="EXCPT_2015">#REF!</definedName>
    <definedName name="EXCPT_2016">#REF!</definedName>
    <definedName name="EXCPT_2017">#REF!</definedName>
    <definedName name="EXCPT_2018">#REF!</definedName>
    <definedName name="EXCPT_2019">#REF!</definedName>
    <definedName name="EXCPT_2020">#REF!</definedName>
    <definedName name="EXCPT_2021">#REF!</definedName>
    <definedName name="EXCPT_2022">#REF!</definedName>
    <definedName name="EXCPT_2023">#REF!</definedName>
    <definedName name="EXCPT_2024">#REF!</definedName>
    <definedName name="EXCPT_2Q00">#REF!</definedName>
    <definedName name="EXCPT_2Q01">#REF!</definedName>
    <definedName name="EXCPT_2Q02">#REF!</definedName>
    <definedName name="EXCPT_2Q03">#REF!</definedName>
    <definedName name="EXCPT_2Q04">#REF!</definedName>
    <definedName name="EXCPT_2Q05">#REF!</definedName>
    <definedName name="EXCPT_2Q06">#REF!</definedName>
    <definedName name="EXCPT_2Q07">#REF!</definedName>
    <definedName name="EXCPT_2Q08">#REF!</definedName>
    <definedName name="EXCPT_2Q09">#REF!</definedName>
    <definedName name="EXCPT_2Q10">#REF!</definedName>
    <definedName name="EXCPT_2Q11">#REF!</definedName>
    <definedName name="EXCPT_2Q12">#REF!</definedName>
    <definedName name="EXCPT_2Q13">#REF!</definedName>
    <definedName name="EXCPT_2Q14">#REF!</definedName>
    <definedName name="EXCPT_2Q15">#REF!</definedName>
    <definedName name="EXCPT_2Q16">#REF!</definedName>
    <definedName name="EXCPT_2Q17">#REF!</definedName>
    <definedName name="EXCPT_2Q18">#REF!</definedName>
    <definedName name="EXCPT_2Q19">#REF!</definedName>
    <definedName name="EXCPT_2Q20">#REF!</definedName>
    <definedName name="EXCPT_2Q21">#REF!</definedName>
    <definedName name="EXCPT_2Q22">#REF!</definedName>
    <definedName name="EXCPT_2Q23">#REF!</definedName>
    <definedName name="EXCPT_2Q24">#REF!</definedName>
    <definedName name="EXCPT_3Q00">#REF!</definedName>
    <definedName name="EXCPT_3Q01">#REF!</definedName>
    <definedName name="EXCPT_3Q02">#REF!</definedName>
    <definedName name="EXCPT_3Q03">#REF!</definedName>
    <definedName name="EXCPT_3Q04">#REF!</definedName>
    <definedName name="EXCPT_3Q05">#REF!</definedName>
    <definedName name="EXCPT_3Q06">#REF!</definedName>
    <definedName name="EXCPT_3Q07">#REF!</definedName>
    <definedName name="EXCPT_3Q08">#REF!</definedName>
    <definedName name="EXCPT_3Q09">#REF!</definedName>
    <definedName name="EXCPT_3Q10">#REF!</definedName>
    <definedName name="EXCPT_3Q11">#REF!</definedName>
    <definedName name="EXCPT_3Q12">#REF!</definedName>
    <definedName name="EXCPT_3Q13">#REF!</definedName>
    <definedName name="EXCPT_3Q14">#REF!</definedName>
    <definedName name="EXCPT_3Q15">#REF!</definedName>
    <definedName name="EXCPT_3Q16">#REF!</definedName>
    <definedName name="EXCPT_3Q17">#REF!</definedName>
    <definedName name="EXCPT_3Q18">#REF!</definedName>
    <definedName name="EXCPT_3Q19">#REF!</definedName>
    <definedName name="EXCPT_3Q20">#REF!</definedName>
    <definedName name="EXCPT_3Q21">#REF!</definedName>
    <definedName name="EXCPT_3Q22">#REF!</definedName>
    <definedName name="EXCPT_3Q23">#REF!</definedName>
    <definedName name="EXCPT_3Q24">#REF!</definedName>
    <definedName name="EXCPT_4Q00">#REF!</definedName>
    <definedName name="EXCPT_4Q01">#REF!</definedName>
    <definedName name="EXCPT_4Q02">#REF!</definedName>
    <definedName name="EXCPT_4Q03">#REF!</definedName>
    <definedName name="EXCPT_4Q04">#REF!</definedName>
    <definedName name="EXCPT_4Q05">#REF!</definedName>
    <definedName name="EXCPT_4Q06">#REF!</definedName>
    <definedName name="EXCPT_4Q07">#REF!</definedName>
    <definedName name="EXCPT_4Q08">#REF!</definedName>
    <definedName name="EXCPT_4Q09">#REF!</definedName>
    <definedName name="EXCPT_4Q10">#REF!</definedName>
    <definedName name="EXCPT_4Q11">#REF!</definedName>
    <definedName name="EXCPT_4Q12">#REF!</definedName>
    <definedName name="EXCPT_4Q13">#REF!</definedName>
    <definedName name="EXCPT_4Q14">#REF!</definedName>
    <definedName name="EXCPT_4Q15">#REF!</definedName>
    <definedName name="EXCPT_4Q16">#REF!</definedName>
    <definedName name="EXCPT_4Q17">#REF!</definedName>
    <definedName name="EXCPT_4Q18">#REF!</definedName>
    <definedName name="EXCPT_4Q19">#REF!</definedName>
    <definedName name="EXCPT_4Q20">#REF!</definedName>
    <definedName name="EXCPT_4Q21">#REF!</definedName>
    <definedName name="EXCPT_4Q22">#REF!</definedName>
    <definedName name="EXCPT_4Q23">#REF!</definedName>
    <definedName name="EXCPT_4Q24">#REF!</definedName>
    <definedName name="ExpandOutputs">[0]!ExpandOutputs</definedName>
    <definedName name="ExpandVPeriods">[0]!ExpandVPeriods</definedName>
    <definedName name="ExportFile">[0]!ExportFile</definedName>
    <definedName name="EXTRA_1995">#REF!</definedName>
    <definedName name="EXTRA_1996">#REF!</definedName>
    <definedName name="EXTRA_1997">#REF!</definedName>
    <definedName name="EXTRA_1998">#REF!</definedName>
    <definedName name="EXTRA_1999">#REF!</definedName>
    <definedName name="EXTRA_1Q00">#REF!</definedName>
    <definedName name="EXTRA_1Q01">#REF!</definedName>
    <definedName name="EXTRA_1Q02">#REF!</definedName>
    <definedName name="EXTRA_1Q03">#REF!</definedName>
    <definedName name="EXTRA_1Q04">#REF!</definedName>
    <definedName name="EXTRA_1Q05">#REF!</definedName>
    <definedName name="EXTRA_1Q06">#REF!</definedName>
    <definedName name="EXTRA_1Q07">#REF!</definedName>
    <definedName name="EXTRA_1Q08">#REF!</definedName>
    <definedName name="EXTRA_1Q09">#REF!</definedName>
    <definedName name="EXTRA_1Q10">#REF!</definedName>
    <definedName name="EXTRA_1Q11">#REF!</definedName>
    <definedName name="EXTRA_1Q12">#REF!</definedName>
    <definedName name="EXTRA_1Q13">#REF!</definedName>
    <definedName name="EXTRA_1Q14">#REF!</definedName>
    <definedName name="EXTRA_1Q15">#REF!</definedName>
    <definedName name="EXTRA_1Q16">#REF!</definedName>
    <definedName name="EXTRA_1Q17">#REF!</definedName>
    <definedName name="EXTRA_1Q18">#REF!</definedName>
    <definedName name="EXTRA_1Q19">#REF!</definedName>
    <definedName name="EXTRA_1Q20">#REF!</definedName>
    <definedName name="EXTRA_1Q21">#REF!</definedName>
    <definedName name="EXTRA_1Q22">#REF!</definedName>
    <definedName name="EXTRA_1Q23">#REF!</definedName>
    <definedName name="EXTRA_1Q24">#REF!</definedName>
    <definedName name="EXTRA_2000">#REF!</definedName>
    <definedName name="EXTRA_2001">#REF!</definedName>
    <definedName name="EXTRA_2002">#REF!</definedName>
    <definedName name="EXTRA_2003">#REF!</definedName>
    <definedName name="EXTRA_2004">#REF!</definedName>
    <definedName name="EXTRA_2005">#REF!</definedName>
    <definedName name="EXTRA_2006">#REF!</definedName>
    <definedName name="EXTRA_2007">#REF!</definedName>
    <definedName name="EXTRA_2008">#REF!</definedName>
    <definedName name="EXTRA_2009">#REF!</definedName>
    <definedName name="EXTRA_2010">#REF!</definedName>
    <definedName name="EXTRA_2011">#REF!</definedName>
    <definedName name="EXTRA_2012">#REF!</definedName>
    <definedName name="EXTRA_2013">#REF!</definedName>
    <definedName name="EXTRA_2014">#REF!</definedName>
    <definedName name="EXTRA_2015">#REF!</definedName>
    <definedName name="EXTRA_2016">#REF!</definedName>
    <definedName name="EXTRA_2017">#REF!</definedName>
    <definedName name="EXTRA_2018">#REF!</definedName>
    <definedName name="EXTRA_2019">#REF!</definedName>
    <definedName name="EXTRA_2020">#REF!</definedName>
    <definedName name="EXTRA_2021">#REF!</definedName>
    <definedName name="EXTRA_2022">#REF!</definedName>
    <definedName name="EXTRA_2023">#REF!</definedName>
    <definedName name="EXTRA_2024">#REF!</definedName>
    <definedName name="EXTRA_2Q00">#REF!</definedName>
    <definedName name="EXTRA_2Q01">#REF!</definedName>
    <definedName name="EXTRA_2Q02">#REF!</definedName>
    <definedName name="EXTRA_2Q03">#REF!</definedName>
    <definedName name="EXTRA_2Q04">#REF!</definedName>
    <definedName name="EXTRA_2Q05">#REF!</definedName>
    <definedName name="EXTRA_2Q06">#REF!</definedName>
    <definedName name="EXTRA_2Q07">#REF!</definedName>
    <definedName name="EXTRA_2Q08">#REF!</definedName>
    <definedName name="EXTRA_2Q09">#REF!</definedName>
    <definedName name="EXTRA_2Q10">#REF!</definedName>
    <definedName name="EXTRA_2Q11">#REF!</definedName>
    <definedName name="EXTRA_2Q12">#REF!</definedName>
    <definedName name="EXTRA_2Q13">#REF!</definedName>
    <definedName name="EXTRA_2Q14">#REF!</definedName>
    <definedName name="EXTRA_2Q15">#REF!</definedName>
    <definedName name="EXTRA_2Q16">#REF!</definedName>
    <definedName name="EXTRA_2Q17">#REF!</definedName>
    <definedName name="EXTRA_2Q18">#REF!</definedName>
    <definedName name="EXTRA_2Q19">#REF!</definedName>
    <definedName name="EXTRA_2Q20">#REF!</definedName>
    <definedName name="EXTRA_2Q21">#REF!</definedName>
    <definedName name="EXTRA_2Q22">#REF!</definedName>
    <definedName name="EXTRA_2Q23">#REF!</definedName>
    <definedName name="EXTRA_2Q24">#REF!</definedName>
    <definedName name="EXTRA_3Q00">#REF!</definedName>
    <definedName name="EXTRA_3Q01">#REF!</definedName>
    <definedName name="EXTRA_3Q02">#REF!</definedName>
    <definedName name="EXTRA_3Q03">#REF!</definedName>
    <definedName name="EXTRA_3Q04">#REF!</definedName>
    <definedName name="EXTRA_3Q05">#REF!</definedName>
    <definedName name="EXTRA_3Q06">#REF!</definedName>
    <definedName name="EXTRA_3Q07">#REF!</definedName>
    <definedName name="EXTRA_3Q08">#REF!</definedName>
    <definedName name="EXTRA_3Q09">#REF!</definedName>
    <definedName name="EXTRA_3Q10">#REF!</definedName>
    <definedName name="EXTRA_3Q11">#REF!</definedName>
    <definedName name="EXTRA_3Q12">#REF!</definedName>
    <definedName name="EXTRA_3Q13">#REF!</definedName>
    <definedName name="EXTRA_3Q14">#REF!</definedName>
    <definedName name="EXTRA_3Q15">#REF!</definedName>
    <definedName name="EXTRA_3Q16">#REF!</definedName>
    <definedName name="EXTRA_3Q17">#REF!</definedName>
    <definedName name="EXTRA_3Q18">#REF!</definedName>
    <definedName name="EXTRA_3Q19">#REF!</definedName>
    <definedName name="EXTRA_3Q20">#REF!</definedName>
    <definedName name="EXTRA_3Q21">#REF!</definedName>
    <definedName name="EXTRA_3Q22">#REF!</definedName>
    <definedName name="EXTRA_3Q23">#REF!</definedName>
    <definedName name="EXTRA_3Q24">#REF!</definedName>
    <definedName name="EXTRA_4Q00">#REF!</definedName>
    <definedName name="EXTRA_4Q01">#REF!</definedName>
    <definedName name="EXTRA_4Q02">#REF!</definedName>
    <definedName name="EXTRA_4Q03">#REF!</definedName>
    <definedName name="EXTRA_4Q04">#REF!</definedName>
    <definedName name="EXTRA_4Q05">#REF!</definedName>
    <definedName name="EXTRA_4Q06">#REF!</definedName>
    <definedName name="EXTRA_4Q07">#REF!</definedName>
    <definedName name="EXTRA_4Q08">#REF!</definedName>
    <definedName name="EXTRA_4Q09">#REF!</definedName>
    <definedName name="EXTRA_4Q10">#REF!</definedName>
    <definedName name="EXTRA_4Q11">#REF!</definedName>
    <definedName name="EXTRA_4Q12">#REF!</definedName>
    <definedName name="EXTRA_4Q13">#REF!</definedName>
    <definedName name="EXTRA_4Q14">#REF!</definedName>
    <definedName name="EXTRA_4Q15">#REF!</definedName>
    <definedName name="EXTRA_4Q16">#REF!</definedName>
    <definedName name="EXTRA_4Q17">#REF!</definedName>
    <definedName name="EXTRA_4Q18">#REF!</definedName>
    <definedName name="EXTRA_4Q19">#REF!</definedName>
    <definedName name="EXTRA_4Q20">#REF!</definedName>
    <definedName name="EXTRA_4Q21">#REF!</definedName>
    <definedName name="EXTRA_4Q22">#REF!</definedName>
    <definedName name="EXTRA_4Q23">#REF!</definedName>
    <definedName name="EXTRA_4Q24">#REF!</definedName>
    <definedName name="F.2008.12">#REF!</definedName>
    <definedName name="F.2009.12">#REF!</definedName>
    <definedName name="fad" localSheetId="4" hidden="1">{#N/A,"70% Success",FALSE,"Sales Forecast";#N/A,#N/A,FALSE,"Sheet2"}</definedName>
    <definedName name="fad" localSheetId="6" hidden="1">{#N/A,"70% Success",FALSE,"Sales Forecast";#N/A,#N/A,FALSE,"Sheet2"}</definedName>
    <definedName name="fad" localSheetId="0" hidden="1">{#N/A,"70% Success",FALSE,"Sales Forecast";#N/A,#N/A,FALSE,"Sheet2"}</definedName>
    <definedName name="fad" hidden="1">{#N/A,"70% Success",FALSE,"Sales Forecast";#N/A,#N/A,FALSE,"Sheet2"}</definedName>
    <definedName name="FCF_Inc_Dec_In_Equity_1995">#REF!</definedName>
    <definedName name="FCF_Inc_Dec_In_Equity_1996">#REF!</definedName>
    <definedName name="FCF_Inc_Dec_In_Equity_1997">#REF!</definedName>
    <definedName name="FCF_Inc_Dec_In_Equity_1998">#REF!</definedName>
    <definedName name="FCF_Inc_Dec_In_Equity_1999">#REF!</definedName>
    <definedName name="FCF_Inc_Dec_In_Equity_1Q00">#REF!</definedName>
    <definedName name="FCF_Inc_Dec_In_Equity_1Q01">#REF!</definedName>
    <definedName name="FCF_Inc_Dec_In_Equity_1Q02">#REF!</definedName>
    <definedName name="FCF_Inc_Dec_In_Equity_1Q03">#REF!</definedName>
    <definedName name="FCF_Inc_Dec_In_Equity_1Q04">#REF!</definedName>
    <definedName name="FCF_Inc_Dec_In_Equity_1Q05">#REF!</definedName>
    <definedName name="FCF_Inc_Dec_In_Equity_1Q06">#REF!</definedName>
    <definedName name="FCF_Inc_Dec_In_Equity_1Q07">#REF!</definedName>
    <definedName name="FCF_Inc_Dec_In_Equity_1Q08">#REF!</definedName>
    <definedName name="FCF_Inc_Dec_In_Equity_1Q09">#REF!</definedName>
    <definedName name="FCF_Inc_Dec_In_Equity_1Q10">#REF!</definedName>
    <definedName name="FCF_Inc_Dec_In_Equity_1Q11">#REF!</definedName>
    <definedName name="FCF_Inc_Dec_In_Equity_1Q12">#REF!</definedName>
    <definedName name="FCF_Inc_Dec_In_Equity_1Q13">#REF!</definedName>
    <definedName name="FCF_Inc_Dec_In_Equity_1Q14">#REF!</definedName>
    <definedName name="FCF_Inc_Dec_In_Equity_1Q15">#REF!</definedName>
    <definedName name="FCF_Inc_Dec_In_Equity_1Q16">#REF!</definedName>
    <definedName name="FCF_Inc_Dec_In_Equity_1Q17">#REF!</definedName>
    <definedName name="FCF_Inc_Dec_In_Equity_1Q18">#REF!</definedName>
    <definedName name="FCF_Inc_Dec_In_Equity_1Q19">#REF!</definedName>
    <definedName name="FCF_Inc_Dec_In_Equity_1Q20">#REF!</definedName>
    <definedName name="FCF_INC_DEC_IN_EQUITY_1Q21">#REF!</definedName>
    <definedName name="FCF_INC_DEC_IN_EQUITY_1Q22">#REF!</definedName>
    <definedName name="FCF_INC_DEC_IN_EQUITY_1Q23">#REF!</definedName>
    <definedName name="FCF_INC_DEC_IN_EQUITY_1Q24">#REF!</definedName>
    <definedName name="FCF_Inc_Dec_In_Equity_2000">#REF!</definedName>
    <definedName name="FCF_Inc_Dec_In_Equity_2001">#REF!</definedName>
    <definedName name="FCF_Inc_Dec_In_Equity_2002">#REF!</definedName>
    <definedName name="FCF_Inc_Dec_In_Equity_2003">#REF!</definedName>
    <definedName name="FCF_Inc_Dec_In_Equity_2004">#REF!</definedName>
    <definedName name="FCF_Inc_Dec_In_Equity_2005">#REF!</definedName>
    <definedName name="FCF_Inc_Dec_In_Equity_2006">#REF!</definedName>
    <definedName name="FCF_Inc_Dec_In_Equity_2007">#REF!</definedName>
    <definedName name="FCF_Inc_Dec_In_Equity_2008">#REF!</definedName>
    <definedName name="FCF_Inc_Dec_In_Equity_2009">#REF!</definedName>
    <definedName name="FCF_Inc_Dec_In_Equity_2010">#REF!</definedName>
    <definedName name="FCF_Inc_Dec_In_Equity_2011">#REF!</definedName>
    <definedName name="FCF_Inc_Dec_In_Equity_2012">#REF!</definedName>
    <definedName name="FCF_Inc_Dec_In_Equity_2013">#REF!</definedName>
    <definedName name="FCF_Inc_Dec_In_Equity_2014">#REF!</definedName>
    <definedName name="FCF_Inc_Dec_In_Equity_2015">#REF!</definedName>
    <definedName name="FCF_Inc_Dec_In_Equity_2016">#REF!</definedName>
    <definedName name="FCF_Inc_Dec_In_Equity_2017">#REF!</definedName>
    <definedName name="FCF_Inc_Dec_In_Equity_2018">#REF!</definedName>
    <definedName name="FCF_Inc_Dec_In_Equity_2019">#REF!</definedName>
    <definedName name="FCF_Inc_Dec_In_Equity_2020">#REF!</definedName>
    <definedName name="FCF_INC_DEC_IN_EQUITY_2021">#REF!</definedName>
    <definedName name="FCF_INC_DEC_IN_EQUITY_2022">#REF!</definedName>
    <definedName name="FCF_INC_DEC_IN_EQUITY_2023">#REF!</definedName>
    <definedName name="FCF_INC_DEC_IN_EQUITY_2024">#REF!</definedName>
    <definedName name="FCF_Inc_Dec_In_Equity_2Q00">#REF!</definedName>
    <definedName name="FCF_Inc_Dec_In_Equity_2Q01">#REF!</definedName>
    <definedName name="FCF_Inc_Dec_In_Equity_2Q02">#REF!</definedName>
    <definedName name="FCF_Inc_Dec_In_Equity_2Q03">#REF!</definedName>
    <definedName name="FCF_Inc_Dec_In_Equity_2Q04">#REF!</definedName>
    <definedName name="FCF_Inc_Dec_In_Equity_2Q05">#REF!</definedName>
    <definedName name="FCF_Inc_Dec_In_Equity_2Q06">#REF!</definedName>
    <definedName name="FCF_Inc_Dec_In_Equity_2Q07">#REF!</definedName>
    <definedName name="FCF_Inc_Dec_In_Equity_2Q08">#REF!</definedName>
    <definedName name="FCF_Inc_Dec_In_Equity_2Q09">#REF!</definedName>
    <definedName name="FCF_Inc_Dec_In_Equity_2Q10">#REF!</definedName>
    <definedName name="FCF_Inc_Dec_In_Equity_2Q11">#REF!</definedName>
    <definedName name="FCF_Inc_Dec_In_Equity_2Q12">#REF!</definedName>
    <definedName name="FCF_Inc_Dec_In_Equity_2Q13">#REF!</definedName>
    <definedName name="FCF_Inc_Dec_In_Equity_2Q14">#REF!</definedName>
    <definedName name="FCF_Inc_Dec_In_Equity_2Q15">#REF!</definedName>
    <definedName name="FCF_Inc_Dec_In_Equity_2Q16">#REF!</definedName>
    <definedName name="FCF_Inc_Dec_In_Equity_2Q17">#REF!</definedName>
    <definedName name="FCF_Inc_Dec_In_Equity_2Q18">#REF!</definedName>
    <definedName name="FCF_Inc_Dec_In_Equity_2Q19">#REF!</definedName>
    <definedName name="FCF_Inc_Dec_In_Equity_2Q20">#REF!</definedName>
    <definedName name="FCF_INC_DEC_IN_EQUITY_2Q21">#REF!</definedName>
    <definedName name="FCF_INC_DEC_IN_EQUITY_2Q22">#REF!</definedName>
    <definedName name="FCF_INC_DEC_IN_EQUITY_2Q23">#REF!</definedName>
    <definedName name="FCF_INC_DEC_IN_EQUITY_2Q24">#REF!</definedName>
    <definedName name="FCF_Inc_Dec_In_Equity_3Q00">#REF!</definedName>
    <definedName name="FCF_Inc_Dec_In_Equity_3Q01">#REF!</definedName>
    <definedName name="FCF_Inc_Dec_In_Equity_3Q02">#REF!</definedName>
    <definedName name="FCF_Inc_Dec_In_Equity_3Q03">#REF!</definedName>
    <definedName name="FCF_Inc_Dec_In_Equity_3Q04">#REF!</definedName>
    <definedName name="FCF_Inc_Dec_In_Equity_3Q05">#REF!</definedName>
    <definedName name="FCF_Inc_Dec_In_Equity_3Q06">#REF!</definedName>
    <definedName name="FCF_Inc_Dec_In_Equity_3Q07">#REF!</definedName>
    <definedName name="FCF_Inc_Dec_In_Equity_3Q08">#REF!</definedName>
    <definedName name="FCF_Inc_Dec_In_Equity_3Q09">#REF!</definedName>
    <definedName name="FCF_Inc_Dec_In_Equity_3Q10">#REF!</definedName>
    <definedName name="FCF_Inc_Dec_In_Equity_3Q11">#REF!</definedName>
    <definedName name="FCF_Inc_Dec_In_Equity_3Q12">#REF!</definedName>
    <definedName name="FCF_Inc_Dec_In_Equity_3Q13">#REF!</definedName>
    <definedName name="FCF_Inc_Dec_In_Equity_3Q14">#REF!</definedName>
    <definedName name="FCF_Inc_Dec_In_Equity_3Q15">#REF!</definedName>
    <definedName name="FCF_Inc_Dec_In_Equity_3Q16">#REF!</definedName>
    <definedName name="FCF_Inc_Dec_In_Equity_3Q17">#REF!</definedName>
    <definedName name="FCF_Inc_Dec_In_Equity_3Q18">#REF!</definedName>
    <definedName name="FCF_Inc_Dec_In_Equity_3Q19">#REF!</definedName>
    <definedName name="FCF_Inc_Dec_In_Equity_3Q20">#REF!</definedName>
    <definedName name="FCF_INC_DEC_IN_EQUITY_3Q21">#REF!</definedName>
    <definedName name="FCF_INC_DEC_IN_EQUITY_3Q22">#REF!</definedName>
    <definedName name="FCF_INC_DEC_IN_EQUITY_3Q23">#REF!</definedName>
    <definedName name="FCF_INC_DEC_IN_EQUITY_3Q24">#REF!</definedName>
    <definedName name="FCF_Inc_Dec_In_Equity_4Q00">#REF!</definedName>
    <definedName name="FCF_Inc_Dec_In_Equity_4Q01">#REF!</definedName>
    <definedName name="FCF_Inc_Dec_In_Equity_4Q02">#REF!</definedName>
    <definedName name="FCF_Inc_Dec_In_Equity_4Q03">#REF!</definedName>
    <definedName name="FCF_Inc_Dec_In_Equity_4Q04">#REF!</definedName>
    <definedName name="FCF_Inc_Dec_In_Equity_4Q05">#REF!</definedName>
    <definedName name="FCF_Inc_Dec_In_Equity_4Q06">#REF!</definedName>
    <definedName name="FCF_Inc_Dec_In_Equity_4Q07">#REF!</definedName>
    <definedName name="FCF_Inc_Dec_In_Equity_4Q08">#REF!</definedName>
    <definedName name="FCF_Inc_Dec_In_Equity_4Q09">#REF!</definedName>
    <definedName name="FCF_Inc_Dec_In_Equity_4Q10">#REF!</definedName>
    <definedName name="FCF_Inc_Dec_In_Equity_4Q11">#REF!</definedName>
    <definedName name="FCF_Inc_Dec_In_Equity_4Q12">#REF!</definedName>
    <definedName name="FCF_Inc_Dec_In_Equity_4Q13">#REF!</definedName>
    <definedName name="FCF_Inc_Dec_In_Equity_4Q14">#REF!</definedName>
    <definedName name="FCF_Inc_Dec_In_Equity_4Q15">#REF!</definedName>
    <definedName name="FCF_Inc_Dec_In_Equity_4Q16">#REF!</definedName>
    <definedName name="FCF_Inc_Dec_In_Equity_4Q17">#REF!</definedName>
    <definedName name="FCF_Inc_Dec_In_Equity_4Q18">#REF!</definedName>
    <definedName name="FCF_Inc_Dec_In_Equity_4Q19">#REF!</definedName>
    <definedName name="FCF_Inc_Dec_In_Equity_4Q20">#REF!</definedName>
    <definedName name="FCF_INC_DEC_IN_EQUITY_4Q21">#REF!</definedName>
    <definedName name="FCF_INC_DEC_IN_EQUITY_4Q22">#REF!</definedName>
    <definedName name="FCF_INC_DEC_IN_EQUITY_4Q23">#REF!</definedName>
    <definedName name="FCF_INC_DEC_IN_EQUITY_4Q24">#REF!</definedName>
    <definedName name="finali">Word</definedName>
    <definedName name="FirstDate">#REF!</definedName>
    <definedName name="Footnote1">#REF!</definedName>
    <definedName name="Footnote2">#REF!</definedName>
    <definedName name="Footnote3">#REF!</definedName>
    <definedName name="FreezeCell">#REF!</definedName>
    <definedName name="FreqName">#REF!</definedName>
    <definedName name="Frequency">#REF!</definedName>
    <definedName name="FXAVERAGE_1995">#REF!</definedName>
    <definedName name="FXAVERAGE_1996">#REF!</definedName>
    <definedName name="FXAVERAGE_1997">#REF!</definedName>
    <definedName name="FXAVERAGE_1998">#REF!</definedName>
    <definedName name="FXAVERAGE_1999">#REF!</definedName>
    <definedName name="FXAVERAGE_1Q00">#REF!</definedName>
    <definedName name="FXAVERAGE_1Q01">#REF!</definedName>
    <definedName name="FXAVERAGE_1Q02">#REF!</definedName>
    <definedName name="FXAVERAGE_1Q03">#REF!</definedName>
    <definedName name="FXAVERAGE_1Q04">#REF!</definedName>
    <definedName name="FXAVERAGE_1Q05">#REF!</definedName>
    <definedName name="FXAVERAGE_1Q06">#REF!</definedName>
    <definedName name="FXAVERAGE_1Q07">#REF!</definedName>
    <definedName name="FXAVERAGE_1Q08">#REF!</definedName>
    <definedName name="FXAVERAGE_1Q09">#REF!</definedName>
    <definedName name="FXAVERAGE_1Q10">#REF!</definedName>
    <definedName name="FXAVERAGE_1Q11">#REF!</definedName>
    <definedName name="FXAVERAGE_1Q12">#REF!</definedName>
    <definedName name="FXAVERAGE_1Q13">#REF!</definedName>
    <definedName name="FXAVERAGE_1Q14">#REF!</definedName>
    <definedName name="FXAVERAGE_1Q15">#REF!</definedName>
    <definedName name="FXAVERAGE_1Q16">#REF!</definedName>
    <definedName name="FXAVERAGE_1Q17">#REF!</definedName>
    <definedName name="FXAVERAGE_1Q18">#REF!</definedName>
    <definedName name="FXAVERAGE_1Q19">#REF!</definedName>
    <definedName name="FXAVERAGE_1Q20">#REF!</definedName>
    <definedName name="FXAVERAGE_1Q21">#REF!</definedName>
    <definedName name="FXAVERAGE_1Q22">#REF!</definedName>
    <definedName name="FXAVERAGE_1Q23">#REF!</definedName>
    <definedName name="FXAVERAGE_1Q24">#REF!</definedName>
    <definedName name="FXAVERAGE_2000">#REF!</definedName>
    <definedName name="FXAVERAGE_2001">#REF!</definedName>
    <definedName name="FXAVERAGE_2002">#REF!</definedName>
    <definedName name="FXAVERAGE_2003">#REF!</definedName>
    <definedName name="FXAVERAGE_2004">#REF!</definedName>
    <definedName name="FXAVERAGE_2005">#REF!</definedName>
    <definedName name="FXAVERAGE_2006">#REF!</definedName>
    <definedName name="FXAVERAGE_2007">#REF!</definedName>
    <definedName name="FXAVERAGE_2008">#REF!</definedName>
    <definedName name="FXAVERAGE_2009">#REF!</definedName>
    <definedName name="FXAVERAGE_2010">#REF!</definedName>
    <definedName name="FXAVERAGE_2011">#REF!</definedName>
    <definedName name="FXAVERAGE_2012">#REF!</definedName>
    <definedName name="FXAVERAGE_2013">#REF!</definedName>
    <definedName name="FXAVERAGE_2014">#REF!</definedName>
    <definedName name="FXAVERAGE_2015">#REF!</definedName>
    <definedName name="FXAVERAGE_2016">#REF!</definedName>
    <definedName name="FXAVERAGE_2017">#REF!</definedName>
    <definedName name="FXAVERAGE_2018">#REF!</definedName>
    <definedName name="FXAVERAGE_2019">#REF!</definedName>
    <definedName name="FXAVERAGE_2020">#REF!</definedName>
    <definedName name="FXAVERAGE_2021">#REF!</definedName>
    <definedName name="FXAVERAGE_2022">#REF!</definedName>
    <definedName name="FXAVERAGE_2023">#REF!</definedName>
    <definedName name="FXAVERAGE_2024">#REF!</definedName>
    <definedName name="FXAVERAGE_2Q00">#REF!</definedName>
    <definedName name="FXAVERAGE_2Q01">#REF!</definedName>
    <definedName name="FXAVERAGE_2Q02">#REF!</definedName>
    <definedName name="FXAVERAGE_2Q03">#REF!</definedName>
    <definedName name="FXAVERAGE_2Q04">#REF!</definedName>
    <definedName name="FXAVERAGE_2Q05">#REF!</definedName>
    <definedName name="FXAVERAGE_2Q06">#REF!</definedName>
    <definedName name="FXAVERAGE_2Q07">#REF!</definedName>
    <definedName name="FXAVERAGE_2Q08">#REF!</definedName>
    <definedName name="FXAVERAGE_2Q09">#REF!</definedName>
    <definedName name="FXAVERAGE_2Q10">#REF!</definedName>
    <definedName name="FXAVERAGE_2Q11">#REF!</definedName>
    <definedName name="FXAVERAGE_2Q12">#REF!</definedName>
    <definedName name="FXAVERAGE_2Q13">#REF!</definedName>
    <definedName name="FXAVERAGE_2Q14">#REF!</definedName>
    <definedName name="FXAVERAGE_2Q15">#REF!</definedName>
    <definedName name="FXAVERAGE_2Q16">#REF!</definedName>
    <definedName name="FXAVERAGE_2Q17">#REF!</definedName>
    <definedName name="FXAVERAGE_2Q18">#REF!</definedName>
    <definedName name="FXAVERAGE_2Q19">#REF!</definedName>
    <definedName name="FXAVERAGE_2Q20">#REF!</definedName>
    <definedName name="FXAVERAGE_2Q21">#REF!</definedName>
    <definedName name="FXAVERAGE_2Q22">#REF!</definedName>
    <definedName name="FXAVERAGE_2Q23">#REF!</definedName>
    <definedName name="FXAVERAGE_2Q24">#REF!</definedName>
    <definedName name="FXAVERAGE_3Q00">#REF!</definedName>
    <definedName name="FXAVERAGE_3Q01">#REF!</definedName>
    <definedName name="FXAVERAGE_3Q02">#REF!</definedName>
    <definedName name="FXAVERAGE_3Q03">#REF!</definedName>
    <definedName name="FXAVERAGE_3Q04">#REF!</definedName>
    <definedName name="FXAVERAGE_3Q05">#REF!</definedName>
    <definedName name="FXAVERAGE_3Q06">#REF!</definedName>
    <definedName name="FXAVERAGE_3Q07">#REF!</definedName>
    <definedName name="FXAVERAGE_3Q08">#REF!</definedName>
    <definedName name="FXAVERAGE_3Q09">#REF!</definedName>
    <definedName name="FXAVERAGE_3Q10">#REF!</definedName>
    <definedName name="FXAVERAGE_3Q11">#REF!</definedName>
    <definedName name="FXAVERAGE_3Q12">#REF!</definedName>
    <definedName name="FXAVERAGE_3Q13">#REF!</definedName>
    <definedName name="FXAVERAGE_3Q14">#REF!</definedName>
    <definedName name="FXAVERAGE_3Q15">#REF!</definedName>
    <definedName name="FXAVERAGE_3Q16">#REF!</definedName>
    <definedName name="FXAVERAGE_3Q17">#REF!</definedName>
    <definedName name="FXAVERAGE_3Q18">#REF!</definedName>
    <definedName name="FXAVERAGE_3Q19">#REF!</definedName>
    <definedName name="FXAVERAGE_3Q20">#REF!</definedName>
    <definedName name="FXAVERAGE_3Q21">#REF!</definedName>
    <definedName name="FXAVERAGE_3Q22">#REF!</definedName>
    <definedName name="FXAVERAGE_3Q23">#REF!</definedName>
    <definedName name="FXAVERAGE_3Q24">#REF!</definedName>
    <definedName name="FXAVERAGE_4Q00">#REF!</definedName>
    <definedName name="FXAVERAGE_4Q01">#REF!</definedName>
    <definedName name="FXAVERAGE_4Q02">#REF!</definedName>
    <definedName name="FXAVERAGE_4Q03">#REF!</definedName>
    <definedName name="FXAVERAGE_4Q04">#REF!</definedName>
    <definedName name="FXAVERAGE_4Q05">#REF!</definedName>
    <definedName name="FXAVERAGE_4Q06">#REF!</definedName>
    <definedName name="FXAVERAGE_4Q07">#REF!</definedName>
    <definedName name="FXAVERAGE_4Q08">#REF!</definedName>
    <definedName name="FXAVERAGE_4Q09">#REF!</definedName>
    <definedName name="FXAVERAGE_4Q10">#REF!</definedName>
    <definedName name="FXAVERAGE_4Q11">#REF!</definedName>
    <definedName name="FXAVERAGE_4Q12">#REF!</definedName>
    <definedName name="FXAVERAGE_4Q13">#REF!</definedName>
    <definedName name="FXAVERAGE_4Q14">#REF!</definedName>
    <definedName name="FXAVERAGE_4Q15">#REF!</definedName>
    <definedName name="FXAVERAGE_4Q16">#REF!</definedName>
    <definedName name="FXAVERAGE_4Q17">#REF!</definedName>
    <definedName name="FXAVERAGE_4Q18">#REF!</definedName>
    <definedName name="FXAVERAGE_4Q19">#REF!</definedName>
    <definedName name="FXAVERAGE_4Q20">#REF!</definedName>
    <definedName name="FXAVERAGE_4Q21">#REF!</definedName>
    <definedName name="FXAVERAGE_4Q22">#REF!</definedName>
    <definedName name="FXAVERAGE_4Q23">#REF!</definedName>
    <definedName name="FXAVERAGE_4Q24">#REF!</definedName>
    <definedName name="FXBEST_1995">#REF!</definedName>
    <definedName name="FXBEST_1996">#REF!</definedName>
    <definedName name="FXBEST_1997">#REF!</definedName>
    <definedName name="FXBEST_1998">#REF!</definedName>
    <definedName name="FXBEST_1999">#REF!</definedName>
    <definedName name="FXBEST_1Q00">#REF!</definedName>
    <definedName name="FXBEST_1Q01">#REF!</definedName>
    <definedName name="FXBEST_1Q02">#REF!</definedName>
    <definedName name="FXBEST_1Q03">#REF!</definedName>
    <definedName name="FXBEST_1Q04">#REF!</definedName>
    <definedName name="FXBEST_1Q05">#REF!</definedName>
    <definedName name="FXBEST_1Q06">#REF!</definedName>
    <definedName name="FXBEST_1Q07">#REF!</definedName>
    <definedName name="FXBEST_1Q08">#REF!</definedName>
    <definedName name="FXBEST_1Q09">#REF!</definedName>
    <definedName name="FXBEST_1Q10">#REF!</definedName>
    <definedName name="FXBEST_1Q11">#REF!</definedName>
    <definedName name="FXBEST_1Q12">#REF!</definedName>
    <definedName name="FXBEST_1Q13">#REF!</definedName>
    <definedName name="FXBEST_1Q14">#REF!</definedName>
    <definedName name="FXBEST_1Q15">#REF!</definedName>
    <definedName name="FXBEST_1Q16">#REF!</definedName>
    <definedName name="FXBEST_1Q17">#REF!</definedName>
    <definedName name="FXBEST_1Q18">#REF!</definedName>
    <definedName name="FXBEST_1Q19">#REF!</definedName>
    <definedName name="FXBEST_1Q20">#REF!</definedName>
    <definedName name="FXBEST_1Q21">#REF!</definedName>
    <definedName name="FXBEST_1Q22">#REF!</definedName>
    <definedName name="FXBEST_1Q23">#REF!</definedName>
    <definedName name="FXBEST_1Q24">#REF!</definedName>
    <definedName name="FXBEST_2000">#REF!</definedName>
    <definedName name="FXBEST_2001">#REF!</definedName>
    <definedName name="FXBEST_2002">#REF!</definedName>
    <definedName name="FXBEST_2003">#REF!</definedName>
    <definedName name="FXBEST_2004">#REF!</definedName>
    <definedName name="FXBEST_2005">#REF!</definedName>
    <definedName name="FXBEST_2006">#REF!</definedName>
    <definedName name="FXBEST_2007">#REF!</definedName>
    <definedName name="FXBEST_2008">#REF!</definedName>
    <definedName name="FXBEST_2009">#REF!</definedName>
    <definedName name="FXBEST_2010">#REF!</definedName>
    <definedName name="FXBEST_2011">#REF!</definedName>
    <definedName name="FXBEST_2012">#REF!</definedName>
    <definedName name="FXBEST_2013">#REF!</definedName>
    <definedName name="FXBEST_2014">#REF!</definedName>
    <definedName name="FXBEST_2015">#REF!</definedName>
    <definedName name="FXBEST_2016">#REF!</definedName>
    <definedName name="FXBEST_2017">#REF!</definedName>
    <definedName name="FXBEST_2018">#REF!</definedName>
    <definedName name="FXBEST_2019">#REF!</definedName>
    <definedName name="FXBEST_2020">#REF!</definedName>
    <definedName name="FXBEST_2021">#REF!</definedName>
    <definedName name="FXBEST_2022">#REF!</definedName>
    <definedName name="FXBEST_2023">#REF!</definedName>
    <definedName name="FXBEST_2024">#REF!</definedName>
    <definedName name="FXBEST_2Q00">#REF!</definedName>
    <definedName name="FXBEST_2Q01">#REF!</definedName>
    <definedName name="FXBEST_2Q02">#REF!</definedName>
    <definedName name="FXBEST_2Q03">#REF!</definedName>
    <definedName name="FXBEST_2Q04">#REF!</definedName>
    <definedName name="FXBEST_2Q05">#REF!</definedName>
    <definedName name="FXBEST_2Q06">#REF!</definedName>
    <definedName name="FXBEST_2Q07">#REF!</definedName>
    <definedName name="FXBEST_2Q08">#REF!</definedName>
    <definedName name="FXBEST_2Q09">#REF!</definedName>
    <definedName name="FXBEST_2Q10">#REF!</definedName>
    <definedName name="FXBEST_2Q11">#REF!</definedName>
    <definedName name="FXBEST_2Q12">#REF!</definedName>
    <definedName name="FXBEST_2Q13">#REF!</definedName>
    <definedName name="FXBEST_2Q14">#REF!</definedName>
    <definedName name="FXBEST_2Q15">#REF!</definedName>
    <definedName name="FXBEST_2Q16">#REF!</definedName>
    <definedName name="FXBEST_2Q17">#REF!</definedName>
    <definedName name="FXBEST_2Q18">#REF!</definedName>
    <definedName name="FXBEST_2Q19">#REF!</definedName>
    <definedName name="FXBEST_2Q20">#REF!</definedName>
    <definedName name="FXBEST_2Q21">#REF!</definedName>
    <definedName name="FXBEST_2Q22">#REF!</definedName>
    <definedName name="FXBEST_2Q23">#REF!</definedName>
    <definedName name="FXBEST_2Q24">#REF!</definedName>
    <definedName name="FXBEST_3Q00">#REF!</definedName>
    <definedName name="FXBEST_3Q01">#REF!</definedName>
    <definedName name="FXBEST_3Q02">#REF!</definedName>
    <definedName name="FXBEST_3Q03">#REF!</definedName>
    <definedName name="FXBEST_3Q04">#REF!</definedName>
    <definedName name="FXBEST_3Q05">#REF!</definedName>
    <definedName name="FXBEST_3Q06">#REF!</definedName>
    <definedName name="FXBEST_3Q07">#REF!</definedName>
    <definedName name="FXBEST_3Q08">#REF!</definedName>
    <definedName name="FXBEST_3Q09">#REF!</definedName>
    <definedName name="FXBEST_3Q10">#REF!</definedName>
    <definedName name="FXBEST_3Q11">#REF!</definedName>
    <definedName name="FXBEST_3Q12">#REF!</definedName>
    <definedName name="FXBEST_3Q13">#REF!</definedName>
    <definedName name="FXBEST_3Q14">#REF!</definedName>
    <definedName name="FXBEST_3Q15">#REF!</definedName>
    <definedName name="FXBEST_3Q16">#REF!</definedName>
    <definedName name="FXBEST_3Q17">#REF!</definedName>
    <definedName name="FXBEST_3Q18">#REF!</definedName>
    <definedName name="FXBEST_3Q19">#REF!</definedName>
    <definedName name="FXBEST_3Q20">#REF!</definedName>
    <definedName name="FXBEST_3Q21">#REF!</definedName>
    <definedName name="FXBEST_3Q22">#REF!</definedName>
    <definedName name="FXBEST_3Q23">#REF!</definedName>
    <definedName name="FXBEST_3Q24">#REF!</definedName>
    <definedName name="FXBEST_4Q00">#REF!</definedName>
    <definedName name="FXBEST_4Q01">#REF!</definedName>
    <definedName name="FXBEST_4Q02">#REF!</definedName>
    <definedName name="FXBEST_4Q03">#REF!</definedName>
    <definedName name="FXBEST_4Q04">#REF!</definedName>
    <definedName name="FXBEST_4Q05">#REF!</definedName>
    <definedName name="FXBEST_4Q06">#REF!</definedName>
    <definedName name="FXBEST_4Q07">#REF!</definedName>
    <definedName name="FXBEST_4Q08">#REF!</definedName>
    <definedName name="FXBEST_4Q09">#REF!</definedName>
    <definedName name="FXBEST_4Q10">#REF!</definedName>
    <definedName name="FXBEST_4Q11">#REF!</definedName>
    <definedName name="FXBEST_4Q12">#REF!</definedName>
    <definedName name="FXBEST_4Q13">#REF!</definedName>
    <definedName name="FXBEST_4Q14">#REF!</definedName>
    <definedName name="FXBEST_4Q15">#REF!</definedName>
    <definedName name="FXBEST_4Q16">#REF!</definedName>
    <definedName name="FXBEST_4Q17">#REF!</definedName>
    <definedName name="FXBEST_4Q18">#REF!</definedName>
    <definedName name="FXBEST_4Q19">#REF!</definedName>
    <definedName name="FXBEST_4Q20">#REF!</definedName>
    <definedName name="FXBEST_4Q21">#REF!</definedName>
    <definedName name="FXBEST_4Q22">#REF!</definedName>
    <definedName name="FXBEST_4Q23">#REF!</definedName>
    <definedName name="FXBEST_4Q24">#REF!</definedName>
    <definedName name="FXFINAL_1995">#REF!</definedName>
    <definedName name="FXFINAL_1996">#REF!</definedName>
    <definedName name="FXFINAL_1997">#REF!</definedName>
    <definedName name="FXFINAL_1998">#REF!</definedName>
    <definedName name="FXFINAL_1999">#REF!</definedName>
    <definedName name="FXFINAL_1Q00">#REF!</definedName>
    <definedName name="FXFINAL_1Q01">#REF!</definedName>
    <definedName name="FXFINAL_1Q02">#REF!</definedName>
    <definedName name="FXFINAL_1Q03">#REF!</definedName>
    <definedName name="FXFINAL_1Q04">#REF!</definedName>
    <definedName name="FXFINAL_1Q05">#REF!</definedName>
    <definedName name="FXFINAL_1Q06">#REF!</definedName>
    <definedName name="FXFINAL_1Q07">#REF!</definedName>
    <definedName name="FXFINAL_1Q08">#REF!</definedName>
    <definedName name="FXFINAL_1Q09">#REF!</definedName>
    <definedName name="FXFINAL_1Q10">#REF!</definedName>
    <definedName name="FXFINAL_1Q11">#REF!</definedName>
    <definedName name="FXFINAL_1Q12">#REF!</definedName>
    <definedName name="FXFINAL_1Q13">#REF!</definedName>
    <definedName name="FXFINAL_1Q14">#REF!</definedName>
    <definedName name="FXFINAL_1Q15">#REF!</definedName>
    <definedName name="FXFINAL_1Q16">#REF!</definedName>
    <definedName name="FXFINAL_1Q17">#REF!</definedName>
    <definedName name="FXFINAL_1Q18">#REF!</definedName>
    <definedName name="FXFINAL_1Q19">#REF!</definedName>
    <definedName name="FXFINAL_1Q20">#REF!</definedName>
    <definedName name="FXFINAL_1Q21">#REF!</definedName>
    <definedName name="FXFINAL_1Q22">#REF!</definedName>
    <definedName name="FXFINAL_1Q23">#REF!</definedName>
    <definedName name="FXFINAL_1Q24">#REF!</definedName>
    <definedName name="FXFINAL_2000">#REF!</definedName>
    <definedName name="FXFINAL_2001">#REF!</definedName>
    <definedName name="FXFINAL_2002">#REF!</definedName>
    <definedName name="FXFINAL_2003">#REF!</definedName>
    <definedName name="FXFINAL_2004">#REF!</definedName>
    <definedName name="FXFINAL_2005">#REF!</definedName>
    <definedName name="FXFINAL_2006">#REF!</definedName>
    <definedName name="FXFINAL_2007">#REF!</definedName>
    <definedName name="FXFINAL_2008">#REF!</definedName>
    <definedName name="FXFINAL_2009">#REF!</definedName>
    <definedName name="FXFINAL_2010">#REF!</definedName>
    <definedName name="FXFINAL_2011">#REF!</definedName>
    <definedName name="FXFINAL_2012">#REF!</definedName>
    <definedName name="FXFINAL_2013">#REF!</definedName>
    <definedName name="FXFINAL_2014">#REF!</definedName>
    <definedName name="FXFINAL_2015">#REF!</definedName>
    <definedName name="FXFINAL_2016">#REF!</definedName>
    <definedName name="FXFINAL_2017">#REF!</definedName>
    <definedName name="FXFINAL_2018">#REF!</definedName>
    <definedName name="FXFINAL_2019">#REF!</definedName>
    <definedName name="FXFINAL_2020">#REF!</definedName>
    <definedName name="FXFINAL_2021">#REF!</definedName>
    <definedName name="FXFINAL_2022">#REF!</definedName>
    <definedName name="FXFINAL_2023">#REF!</definedName>
    <definedName name="FXFINAL_2024">#REF!</definedName>
    <definedName name="FXFINAL_2Q00">#REF!</definedName>
    <definedName name="FXFINAL_2Q01">#REF!</definedName>
    <definedName name="FXFINAL_2Q02">#REF!</definedName>
    <definedName name="FXFINAL_2Q03">#REF!</definedName>
    <definedName name="FXFINAL_2Q04">#REF!</definedName>
    <definedName name="FXFINAL_2Q05">#REF!</definedName>
    <definedName name="FXFINAL_2Q06">#REF!</definedName>
    <definedName name="FXFINAL_2Q07">#REF!</definedName>
    <definedName name="FXFINAL_2Q08">#REF!</definedName>
    <definedName name="FXFINAL_2Q09">#REF!</definedName>
    <definedName name="FXFINAL_2Q10">#REF!</definedName>
    <definedName name="FXFINAL_2Q11">#REF!</definedName>
    <definedName name="FXFINAL_2Q12">#REF!</definedName>
    <definedName name="FXFINAL_2Q13">#REF!</definedName>
    <definedName name="FXFINAL_2Q14">#REF!</definedName>
    <definedName name="FXFINAL_2Q15">#REF!</definedName>
    <definedName name="FXFINAL_2Q16">#REF!</definedName>
    <definedName name="FXFINAL_2Q17">#REF!</definedName>
    <definedName name="FXFINAL_2Q18">#REF!</definedName>
    <definedName name="FXFINAL_2Q19">#REF!</definedName>
    <definedName name="FXFINAL_2Q20">#REF!</definedName>
    <definedName name="FXFINAL_2Q21">#REF!</definedName>
    <definedName name="FXFINAL_2Q22">#REF!</definedName>
    <definedName name="FXFINAL_2Q23">#REF!</definedName>
    <definedName name="FXFINAL_2Q24">#REF!</definedName>
    <definedName name="FXFINAL_3Q00">#REF!</definedName>
    <definedName name="FXFINAL_3Q01">#REF!</definedName>
    <definedName name="FXFINAL_3Q02">#REF!</definedName>
    <definedName name="FXFINAL_3Q03">#REF!</definedName>
    <definedName name="FXFINAL_3Q04">#REF!</definedName>
    <definedName name="FXFINAL_3Q05">#REF!</definedName>
    <definedName name="FXFINAL_3Q06">#REF!</definedName>
    <definedName name="FXFINAL_3Q07">#REF!</definedName>
    <definedName name="FXFINAL_3Q08">#REF!</definedName>
    <definedName name="FXFINAL_3Q09">#REF!</definedName>
    <definedName name="FXFINAL_3Q10">#REF!</definedName>
    <definedName name="FXFINAL_3Q11">#REF!</definedName>
    <definedName name="FXFINAL_3Q12">#REF!</definedName>
    <definedName name="FXFINAL_3Q13">#REF!</definedName>
    <definedName name="FXFINAL_3Q14">#REF!</definedName>
    <definedName name="FXFINAL_3Q15">#REF!</definedName>
    <definedName name="FXFINAL_3Q16">#REF!</definedName>
    <definedName name="FXFINAL_3Q17">#REF!</definedName>
    <definedName name="FXFINAL_3Q18">#REF!</definedName>
    <definedName name="FXFINAL_3Q19">#REF!</definedName>
    <definedName name="FXFINAL_3Q20">#REF!</definedName>
    <definedName name="FXFINAL_3Q21">#REF!</definedName>
    <definedName name="FXFINAL_3Q22">#REF!</definedName>
    <definedName name="FXFINAL_3Q23">#REF!</definedName>
    <definedName name="FXFINAL_3Q24">#REF!</definedName>
    <definedName name="FXFINAL_4Q00">#REF!</definedName>
    <definedName name="FXFINAL_4Q01">#REF!</definedName>
    <definedName name="FXFINAL_4Q02">#REF!</definedName>
    <definedName name="FXFINAL_4Q03">#REF!</definedName>
    <definedName name="FXFINAL_4Q04">#REF!</definedName>
    <definedName name="FXFINAL_4Q05">#REF!</definedName>
    <definedName name="FXFINAL_4Q06">#REF!</definedName>
    <definedName name="FXFINAL_4Q07">#REF!</definedName>
    <definedName name="FXFINAL_4Q08">#REF!</definedName>
    <definedName name="FXFINAL_4Q09">#REF!</definedName>
    <definedName name="FXFINAL_4Q10">#REF!</definedName>
    <definedName name="FXFINAL_4Q11">#REF!</definedName>
    <definedName name="FXFINAL_4Q12">#REF!</definedName>
    <definedName name="FXFINAL_4Q13">#REF!</definedName>
    <definedName name="FXFINAL_4Q14">#REF!</definedName>
    <definedName name="FXFINAL_4Q15">#REF!</definedName>
    <definedName name="FXFINAL_4Q16">#REF!</definedName>
    <definedName name="FXFINAL_4Q17">#REF!</definedName>
    <definedName name="FXFINAL_4Q18">#REF!</definedName>
    <definedName name="FXFINAL_4Q19">#REF!</definedName>
    <definedName name="FXFINAL_4Q20">#REF!</definedName>
    <definedName name="FXFINAL_4Q21">#REF!</definedName>
    <definedName name="FXFINAL_4Q22">#REF!</definedName>
    <definedName name="FXFINAL_4Q23">#REF!</definedName>
    <definedName name="FXFINAL_4Q24">#REF!</definedName>
    <definedName name="general_exp." localSheetId="4" hidden="1">{#N/A,"100% Success",TRUE,"Sales Forecast";#N/A,#N/A,TRUE,"Sheet2"}</definedName>
    <definedName name="general_exp." localSheetId="6" hidden="1">{#N/A,"100% Success",TRUE,"Sales Forecast";#N/A,#N/A,TRUE,"Sheet2"}</definedName>
    <definedName name="general_exp." localSheetId="0" hidden="1">{#N/A,"100% Success",TRUE,"Sales Forecast";#N/A,#N/A,TRUE,"Sheet2"}</definedName>
    <definedName name="general_exp." hidden="1">{#N/A,"100% Success",TRUE,"Sales Forecast";#N/A,#N/A,TRUE,"Sheet2"}</definedName>
    <definedName name="GOODBS_1995">#REF!</definedName>
    <definedName name="GOODBS_1996">#REF!</definedName>
    <definedName name="GOODBS_1997">#REF!</definedName>
    <definedName name="GOODBS_1998">#REF!</definedName>
    <definedName name="GOODBS_1999">#REF!</definedName>
    <definedName name="GOODBS_1Q00">#REF!</definedName>
    <definedName name="GOODBS_1Q01">#REF!</definedName>
    <definedName name="GOODBS_1Q02">#REF!</definedName>
    <definedName name="GOODBS_1Q03">#REF!</definedName>
    <definedName name="GOODBS_1Q04">#REF!</definedName>
    <definedName name="GOODBS_1Q05">#REF!</definedName>
    <definedName name="GOODBS_1Q06">#REF!</definedName>
    <definedName name="GOODBS_1Q07">#REF!</definedName>
    <definedName name="GOODBS_1Q08">#REF!</definedName>
    <definedName name="GOODBS_1Q09">#REF!</definedName>
    <definedName name="GOODBS_1Q10">#REF!</definedName>
    <definedName name="GOODBS_1Q11">#REF!</definedName>
    <definedName name="GOODBS_1Q12">#REF!</definedName>
    <definedName name="GOODBS_1Q13">#REF!</definedName>
    <definedName name="GOODBS_1Q14">#REF!</definedName>
    <definedName name="GOODBS_1Q15">#REF!</definedName>
    <definedName name="GOODBS_1Q16">#REF!</definedName>
    <definedName name="GOODBS_1Q17">#REF!</definedName>
    <definedName name="GOODBS_1Q18">#REF!</definedName>
    <definedName name="GOODBS_1Q19">#REF!</definedName>
    <definedName name="GOODBS_1Q20">#REF!</definedName>
    <definedName name="GOODBS_1Q21">#REF!</definedName>
    <definedName name="GOODBS_1Q22">#REF!</definedName>
    <definedName name="GOODBS_1Q23">#REF!</definedName>
    <definedName name="GOODBS_1Q24">#REF!</definedName>
    <definedName name="GOODBS_2000">#REF!</definedName>
    <definedName name="GOODBS_2001">#REF!</definedName>
    <definedName name="GOODBS_2002">#REF!</definedName>
    <definedName name="GOODBS_2003">#REF!</definedName>
    <definedName name="GOODBS_2004">#REF!</definedName>
    <definedName name="GOODBS_2005">#REF!</definedName>
    <definedName name="GOODBS_2006">#REF!</definedName>
    <definedName name="GOODBS_2007">#REF!</definedName>
    <definedName name="GOODBS_2008">#REF!</definedName>
    <definedName name="GOODBS_2009">#REF!</definedName>
    <definedName name="GOODBS_2010">#REF!</definedName>
    <definedName name="GOODBS_2011">#REF!</definedName>
    <definedName name="GOODBS_2012">#REF!</definedName>
    <definedName name="GOODBS_2013">#REF!</definedName>
    <definedName name="GOODBS_2014">#REF!</definedName>
    <definedName name="GOODBS_2015">#REF!</definedName>
    <definedName name="GOODBS_2016">#REF!</definedName>
    <definedName name="GOODBS_2017">#REF!</definedName>
    <definedName name="GOODBS_2018">#REF!</definedName>
    <definedName name="GOODBS_2019">#REF!</definedName>
    <definedName name="GOODBS_2020">#REF!</definedName>
    <definedName name="GOODBS_2021">#REF!</definedName>
    <definedName name="GOODBS_2022">#REF!</definedName>
    <definedName name="GOODBS_2023">#REF!</definedName>
    <definedName name="GOODBS_2024">#REF!</definedName>
    <definedName name="GOODBS_2Q00">#REF!</definedName>
    <definedName name="GOODBS_2Q01">#REF!</definedName>
    <definedName name="GOODBS_2Q02">#REF!</definedName>
    <definedName name="GOODBS_2Q03">#REF!</definedName>
    <definedName name="GOODBS_2Q04">#REF!</definedName>
    <definedName name="GOODBS_2Q05">#REF!</definedName>
    <definedName name="GOODBS_2Q06">#REF!</definedName>
    <definedName name="GOODBS_2Q07">#REF!</definedName>
    <definedName name="GOODBS_2Q08">#REF!</definedName>
    <definedName name="GOODBS_2Q09">#REF!</definedName>
    <definedName name="GOODBS_2Q10">#REF!</definedName>
    <definedName name="GOODBS_2Q11">#REF!</definedName>
    <definedName name="GOODBS_2Q12">#REF!</definedName>
    <definedName name="GOODBS_2Q13">#REF!</definedName>
    <definedName name="GOODBS_2Q14">#REF!</definedName>
    <definedName name="GOODBS_2Q15">#REF!</definedName>
    <definedName name="GOODBS_2Q16">#REF!</definedName>
    <definedName name="GOODBS_2Q17">#REF!</definedName>
    <definedName name="GOODBS_2Q18">#REF!</definedName>
    <definedName name="GOODBS_2Q19">#REF!</definedName>
    <definedName name="GOODBS_2Q20">#REF!</definedName>
    <definedName name="GOODBS_2Q21">#REF!</definedName>
    <definedName name="GOODBS_2Q22">#REF!</definedName>
    <definedName name="GOODBS_2Q23">#REF!</definedName>
    <definedName name="GOODBS_2Q24">#REF!</definedName>
    <definedName name="GOODBS_3Q00">#REF!</definedName>
    <definedName name="GOODBS_3Q01">#REF!</definedName>
    <definedName name="GOODBS_3Q02">#REF!</definedName>
    <definedName name="GOODBS_3Q03">#REF!</definedName>
    <definedName name="GOODBS_3Q04">#REF!</definedName>
    <definedName name="GOODBS_3Q05">#REF!</definedName>
    <definedName name="GOODBS_3Q06">#REF!</definedName>
    <definedName name="GOODBS_3Q07">#REF!</definedName>
    <definedName name="GOODBS_3Q08">#REF!</definedName>
    <definedName name="GOODBS_3Q09">#REF!</definedName>
    <definedName name="GOODBS_3Q10">#REF!</definedName>
    <definedName name="GOODBS_3Q11">#REF!</definedName>
    <definedName name="GOODBS_3Q12">#REF!</definedName>
    <definedName name="GOODBS_3Q13">#REF!</definedName>
    <definedName name="GOODBS_3Q14">#REF!</definedName>
    <definedName name="GOODBS_3Q15">#REF!</definedName>
    <definedName name="GOODBS_3Q16">#REF!</definedName>
    <definedName name="GOODBS_3Q17">#REF!</definedName>
    <definedName name="GOODBS_3Q18">#REF!</definedName>
    <definedName name="GOODBS_3Q19">#REF!</definedName>
    <definedName name="GOODBS_3Q20">#REF!</definedName>
    <definedName name="GOODBS_3Q21">#REF!</definedName>
    <definedName name="GOODBS_3Q22">#REF!</definedName>
    <definedName name="GOODBS_3Q23">#REF!</definedName>
    <definedName name="GOODBS_3Q24">#REF!</definedName>
    <definedName name="GOODBS_4Q00">#REF!</definedName>
    <definedName name="GOODBS_4Q01">#REF!</definedName>
    <definedName name="GOODBS_4Q02">#REF!</definedName>
    <definedName name="GOODBS_4Q03">#REF!</definedName>
    <definedName name="GOODBS_4Q04">#REF!</definedName>
    <definedName name="GOODBS_4Q05">#REF!</definedName>
    <definedName name="GOODBS_4Q06">#REF!</definedName>
    <definedName name="GOODBS_4Q07">#REF!</definedName>
    <definedName name="GOODBS_4Q08">#REF!</definedName>
    <definedName name="GOODBS_4Q09">#REF!</definedName>
    <definedName name="GOODBS_4Q10">#REF!</definedName>
    <definedName name="GOODBS_4Q11">#REF!</definedName>
    <definedName name="GOODBS_4Q12">#REF!</definedName>
    <definedName name="GOODBS_4Q13">#REF!</definedName>
    <definedName name="GOODBS_4Q14">#REF!</definedName>
    <definedName name="GOODBS_4Q15">#REF!</definedName>
    <definedName name="GOODBS_4Q16">#REF!</definedName>
    <definedName name="GOODBS_4Q17">#REF!</definedName>
    <definedName name="GOODBS_4Q18">#REF!</definedName>
    <definedName name="GOODBS_4Q19">#REF!</definedName>
    <definedName name="GOODBS_4Q20">#REF!</definedName>
    <definedName name="GOODBS_4Q21">#REF!</definedName>
    <definedName name="GOODBS_4Q22">#REF!</definedName>
    <definedName name="GOODBS_4Q23">#REF!</definedName>
    <definedName name="GOODBS_4Q24">#REF!</definedName>
    <definedName name="GPERP_1995">#REF!</definedName>
    <definedName name="GPERP_1996">#REF!</definedName>
    <definedName name="GPERP_1997">#REF!</definedName>
    <definedName name="GPERP_1998">#REF!</definedName>
    <definedName name="GPERP_1999">#REF!</definedName>
    <definedName name="GPERP_1Q00">#REF!</definedName>
    <definedName name="GPERP_1Q01">#REF!</definedName>
    <definedName name="GPERP_1Q02">#REF!</definedName>
    <definedName name="GPERP_1Q03">#REF!</definedName>
    <definedName name="GPERP_1Q04">#REF!</definedName>
    <definedName name="GPERP_1Q05">#REF!</definedName>
    <definedName name="GPERP_1Q06">#REF!</definedName>
    <definedName name="GPERP_1Q07">#REF!</definedName>
    <definedName name="GPERP_1Q08">#REF!</definedName>
    <definedName name="GPERP_1Q09">#REF!</definedName>
    <definedName name="GPERP_1Q10">#REF!</definedName>
    <definedName name="GPERP_1Q11">#REF!</definedName>
    <definedName name="GPERP_1Q12">#REF!</definedName>
    <definedName name="GPERP_1Q13">#REF!</definedName>
    <definedName name="GPERP_1Q14">#REF!</definedName>
    <definedName name="GPERP_1Q15">#REF!</definedName>
    <definedName name="GPERP_1Q16">#REF!</definedName>
    <definedName name="GPERP_1Q17">#REF!</definedName>
    <definedName name="GPERP_1Q18">#REF!</definedName>
    <definedName name="GPERP_1Q19">#REF!</definedName>
    <definedName name="GPERP_1Q20">#REF!</definedName>
    <definedName name="GPERP_1Q21">#REF!</definedName>
    <definedName name="GPERP_1Q22">#REF!</definedName>
    <definedName name="GPERP_1Q23">#REF!</definedName>
    <definedName name="GPERP_1Q24">#REF!</definedName>
    <definedName name="GPERP_2000">#REF!</definedName>
    <definedName name="GPERP_2001">#REF!</definedName>
    <definedName name="GPERP_2002">#REF!</definedName>
    <definedName name="GPERP_2003">#REF!</definedName>
    <definedName name="GPERP_2004">#REF!</definedName>
    <definedName name="GPERP_2005">#REF!</definedName>
    <definedName name="GPERP_2006">#REF!</definedName>
    <definedName name="GPERP_2007">#REF!</definedName>
    <definedName name="GPERP_2008">#REF!</definedName>
    <definedName name="GPERP_2009">#REF!</definedName>
    <definedName name="GPERP_2010">#REF!</definedName>
    <definedName name="GPERP_2011">#REF!</definedName>
    <definedName name="GPERP_2012">#REF!</definedName>
    <definedName name="GPERP_2013">#REF!</definedName>
    <definedName name="GPERP_2014">#REF!</definedName>
    <definedName name="GPERP_2015">#REF!</definedName>
    <definedName name="GPERP_2016">#REF!</definedName>
    <definedName name="GPERP_2017">#REF!</definedName>
    <definedName name="GPERP_2018">#REF!</definedName>
    <definedName name="GPERP_2019">#REF!</definedName>
    <definedName name="GPERP_2020">#REF!</definedName>
    <definedName name="GPERP_2021">#REF!</definedName>
    <definedName name="GPERP_2022">#REF!</definedName>
    <definedName name="GPERP_2023">#REF!</definedName>
    <definedName name="GPERP_2024">#REF!</definedName>
    <definedName name="GPERP_2Q00">#REF!</definedName>
    <definedName name="GPERP_2Q01">#REF!</definedName>
    <definedName name="GPERP_2Q02">#REF!</definedName>
    <definedName name="GPERP_2Q03">#REF!</definedName>
    <definedName name="GPERP_2Q04">#REF!</definedName>
    <definedName name="GPERP_2Q05">#REF!</definedName>
    <definedName name="GPERP_2Q06">#REF!</definedName>
    <definedName name="GPERP_2Q07">#REF!</definedName>
    <definedName name="GPERP_2Q08">#REF!</definedName>
    <definedName name="GPERP_2Q09">#REF!</definedName>
    <definedName name="GPERP_2Q10">#REF!</definedName>
    <definedName name="GPERP_2Q11">#REF!</definedName>
    <definedName name="GPERP_2Q12">#REF!</definedName>
    <definedName name="GPERP_2Q13">#REF!</definedName>
    <definedName name="GPERP_2Q14">#REF!</definedName>
    <definedName name="GPERP_2Q15">#REF!</definedName>
    <definedName name="GPERP_2Q16">#REF!</definedName>
    <definedName name="GPERP_2Q17">#REF!</definedName>
    <definedName name="GPERP_2Q18">#REF!</definedName>
    <definedName name="GPERP_2Q19">#REF!</definedName>
    <definedName name="GPERP_2Q20">#REF!</definedName>
    <definedName name="GPERP_2Q21">#REF!</definedName>
    <definedName name="GPERP_2Q22">#REF!</definedName>
    <definedName name="GPERP_2Q23">#REF!</definedName>
    <definedName name="GPERP_2Q24">#REF!</definedName>
    <definedName name="GPERP_3Q00">#REF!</definedName>
    <definedName name="GPERP_3Q01">#REF!</definedName>
    <definedName name="GPERP_3Q02">#REF!</definedName>
    <definedName name="GPERP_3Q03">#REF!</definedName>
    <definedName name="GPERP_3Q04">#REF!</definedName>
    <definedName name="GPERP_3Q05">#REF!</definedName>
    <definedName name="GPERP_3Q06">#REF!</definedName>
    <definedName name="GPERP_3Q07">#REF!</definedName>
    <definedName name="GPERP_3Q08">#REF!</definedName>
    <definedName name="GPERP_3Q09">#REF!</definedName>
    <definedName name="GPERP_3Q10">#REF!</definedName>
    <definedName name="GPERP_3Q11">#REF!</definedName>
    <definedName name="GPERP_3Q12">#REF!</definedName>
    <definedName name="GPERP_3Q13">#REF!</definedName>
    <definedName name="GPERP_3Q14">#REF!</definedName>
    <definedName name="GPERP_3Q15">#REF!</definedName>
    <definedName name="GPERP_3Q16">#REF!</definedName>
    <definedName name="GPERP_3Q17">#REF!</definedName>
    <definedName name="GPERP_3Q18">#REF!</definedName>
    <definedName name="GPERP_3Q19">#REF!</definedName>
    <definedName name="GPERP_3Q20">#REF!</definedName>
    <definedName name="GPERP_3Q21">#REF!</definedName>
    <definedName name="GPERP_3Q22">#REF!</definedName>
    <definedName name="GPERP_3Q23">#REF!</definedName>
    <definedName name="GPERP_3Q24">#REF!</definedName>
    <definedName name="GPERP_4Q00">#REF!</definedName>
    <definedName name="GPERP_4Q01">#REF!</definedName>
    <definedName name="GPERP_4Q02">#REF!</definedName>
    <definedName name="GPERP_4Q03">#REF!</definedName>
    <definedName name="GPERP_4Q04">#REF!</definedName>
    <definedName name="GPERP_4Q05">#REF!</definedName>
    <definedName name="GPERP_4Q06">#REF!</definedName>
    <definedName name="GPERP_4Q07">#REF!</definedName>
    <definedName name="GPERP_4Q08">#REF!</definedName>
    <definedName name="GPERP_4Q09">#REF!</definedName>
    <definedName name="GPERP_4Q10">#REF!</definedName>
    <definedName name="GPERP_4Q11">#REF!</definedName>
    <definedName name="GPERP_4Q12">#REF!</definedName>
    <definedName name="GPERP_4Q13">#REF!</definedName>
    <definedName name="GPERP_4Q14">#REF!</definedName>
    <definedName name="GPERP_4Q15">#REF!</definedName>
    <definedName name="GPERP_4Q16">#REF!</definedName>
    <definedName name="GPERP_4Q17">#REF!</definedName>
    <definedName name="GPERP_4Q18">#REF!</definedName>
    <definedName name="GPERP_4Q19">#REF!</definedName>
    <definedName name="GPERP_4Q20">#REF!</definedName>
    <definedName name="GPERP_4Q21">#REF!</definedName>
    <definedName name="GPERP_4Q22">#REF!</definedName>
    <definedName name="GPERP_4Q23">#REF!</definedName>
    <definedName name="GPERP_4Q24">#REF!</definedName>
    <definedName name="GTFA_1995">#REF!</definedName>
    <definedName name="GTFA_1996">#REF!</definedName>
    <definedName name="GTFA_1997">#REF!</definedName>
    <definedName name="GTFA_1998">#REF!</definedName>
    <definedName name="GTFA_1999">#REF!</definedName>
    <definedName name="GTFA_1Q00">#REF!</definedName>
    <definedName name="GTFA_1Q01">#REF!</definedName>
    <definedName name="GTFA_1Q02">#REF!</definedName>
    <definedName name="GTFA_1Q03">#REF!</definedName>
    <definedName name="GTFA_1Q04">#REF!</definedName>
    <definedName name="GTFA_1Q05">#REF!</definedName>
    <definedName name="GTFA_1Q06">#REF!</definedName>
    <definedName name="GTFA_1Q07">#REF!</definedName>
    <definedName name="GTFA_1Q08">#REF!</definedName>
    <definedName name="GTFA_1Q09">#REF!</definedName>
    <definedName name="GTFA_1Q10">#REF!</definedName>
    <definedName name="GTFA_1Q11">#REF!</definedName>
    <definedName name="GTFA_1Q12">#REF!</definedName>
    <definedName name="GTFA_1Q13">#REF!</definedName>
    <definedName name="GTFA_1Q14">#REF!</definedName>
    <definedName name="GTFA_1Q15">#REF!</definedName>
    <definedName name="GTFA_1Q16">#REF!</definedName>
    <definedName name="GTFA_1Q17">#REF!</definedName>
    <definedName name="GTFA_1Q18">#REF!</definedName>
    <definedName name="GTFA_1Q19">#REF!</definedName>
    <definedName name="GTFA_1Q20">#REF!</definedName>
    <definedName name="GTFA_1Q21">#REF!</definedName>
    <definedName name="GTFA_1Q22">#REF!</definedName>
    <definedName name="GTFA_1Q23">#REF!</definedName>
    <definedName name="GTFA_1Q24">#REF!</definedName>
    <definedName name="GTFA_2000">#REF!</definedName>
    <definedName name="GTFA_2001">#REF!</definedName>
    <definedName name="GTFA_2002">#REF!</definedName>
    <definedName name="GTFA_2003">#REF!</definedName>
    <definedName name="GTFA_2004">#REF!</definedName>
    <definedName name="GTFA_2005">#REF!</definedName>
    <definedName name="GTFA_2006">#REF!</definedName>
    <definedName name="GTFA_2007">#REF!</definedName>
    <definedName name="GTFA_2008">#REF!</definedName>
    <definedName name="GTFA_2009">#REF!</definedName>
    <definedName name="GTFA_2010">#REF!</definedName>
    <definedName name="GTFA_2011">#REF!</definedName>
    <definedName name="GTFA_2012">#REF!</definedName>
    <definedName name="GTFA_2013">#REF!</definedName>
    <definedName name="GTFA_2014">#REF!</definedName>
    <definedName name="GTFA_2015">#REF!</definedName>
    <definedName name="GTFA_2016">#REF!</definedName>
    <definedName name="GTFA_2017">#REF!</definedName>
    <definedName name="GTFA_2018">#REF!</definedName>
    <definedName name="GTFA_2019">#REF!</definedName>
    <definedName name="GTFA_2020">#REF!</definedName>
    <definedName name="GTFA_2021">#REF!</definedName>
    <definedName name="GTFA_2022">#REF!</definedName>
    <definedName name="GTFA_2023">#REF!</definedName>
    <definedName name="GTFA_2024">#REF!</definedName>
    <definedName name="GTFA_2Q00">#REF!</definedName>
    <definedName name="GTFA_2Q01">#REF!</definedName>
    <definedName name="GTFA_2Q02">#REF!</definedName>
    <definedName name="GTFA_2Q03">#REF!</definedName>
    <definedName name="GTFA_2Q04">#REF!</definedName>
    <definedName name="GTFA_2Q05">#REF!</definedName>
    <definedName name="GTFA_2Q06">#REF!</definedName>
    <definedName name="GTFA_2Q07">#REF!</definedName>
    <definedName name="GTFA_2Q08">#REF!</definedName>
    <definedName name="GTFA_2Q09">#REF!</definedName>
    <definedName name="GTFA_2Q10">#REF!</definedName>
    <definedName name="GTFA_2Q11">#REF!</definedName>
    <definedName name="GTFA_2Q12">#REF!</definedName>
    <definedName name="GTFA_2Q13">#REF!</definedName>
    <definedName name="GTFA_2Q14">#REF!</definedName>
    <definedName name="GTFA_2Q15">#REF!</definedName>
    <definedName name="GTFA_2Q16">#REF!</definedName>
    <definedName name="GTFA_2Q17">#REF!</definedName>
    <definedName name="GTFA_2Q18">#REF!</definedName>
    <definedName name="GTFA_2Q19">#REF!</definedName>
    <definedName name="GTFA_2Q20">#REF!</definedName>
    <definedName name="GTFA_2Q21">#REF!</definedName>
    <definedName name="GTFA_2Q22">#REF!</definedName>
    <definedName name="GTFA_2Q23">#REF!</definedName>
    <definedName name="GTFA_2Q24">#REF!</definedName>
    <definedName name="GTFA_3Q00">#REF!</definedName>
    <definedName name="GTFA_3Q01">#REF!</definedName>
    <definedName name="GTFA_3Q02">#REF!</definedName>
    <definedName name="GTFA_3Q03">#REF!</definedName>
    <definedName name="GTFA_3Q04">#REF!</definedName>
    <definedName name="GTFA_3Q05">#REF!</definedName>
    <definedName name="GTFA_3Q06">#REF!</definedName>
    <definedName name="GTFA_3Q07">#REF!</definedName>
    <definedName name="GTFA_3Q08">#REF!</definedName>
    <definedName name="GTFA_3Q09">#REF!</definedName>
    <definedName name="GTFA_3Q10">#REF!</definedName>
    <definedName name="GTFA_3Q11">#REF!</definedName>
    <definedName name="GTFA_3Q12">#REF!</definedName>
    <definedName name="GTFA_3Q13">#REF!</definedName>
    <definedName name="GTFA_3Q14">#REF!</definedName>
    <definedName name="GTFA_3Q15">#REF!</definedName>
    <definedName name="GTFA_3Q16">#REF!</definedName>
    <definedName name="GTFA_3Q17">#REF!</definedName>
    <definedName name="GTFA_3Q18">#REF!</definedName>
    <definedName name="GTFA_3Q19">#REF!</definedName>
    <definedName name="GTFA_3Q20">#REF!</definedName>
    <definedName name="GTFA_3Q21">#REF!</definedName>
    <definedName name="GTFA_3Q22">#REF!</definedName>
    <definedName name="GTFA_3Q23">#REF!</definedName>
    <definedName name="GTFA_3Q24">#REF!</definedName>
    <definedName name="GTFA_4Q00">#REF!</definedName>
    <definedName name="GTFA_4Q01">#REF!</definedName>
    <definedName name="GTFA_4Q02">#REF!</definedName>
    <definedName name="GTFA_4Q03">#REF!</definedName>
    <definedName name="GTFA_4Q04">#REF!</definedName>
    <definedName name="GTFA_4Q05">#REF!</definedName>
    <definedName name="GTFA_4Q06">#REF!</definedName>
    <definedName name="GTFA_4Q07">#REF!</definedName>
    <definedName name="GTFA_4Q08">#REF!</definedName>
    <definedName name="GTFA_4Q09">#REF!</definedName>
    <definedName name="GTFA_4Q10">#REF!</definedName>
    <definedName name="GTFA_4Q11">#REF!</definedName>
    <definedName name="GTFA_4Q12">#REF!</definedName>
    <definedName name="GTFA_4Q13">#REF!</definedName>
    <definedName name="GTFA_4Q14">#REF!</definedName>
    <definedName name="GTFA_4Q15">#REF!</definedName>
    <definedName name="GTFA_4Q16">#REF!</definedName>
    <definedName name="GTFA_4Q17">#REF!</definedName>
    <definedName name="GTFA_4Q18">#REF!</definedName>
    <definedName name="GTFA_4Q19">#REF!</definedName>
    <definedName name="GTFA_4Q20">#REF!</definedName>
    <definedName name="GTFA_4Q21">#REF!</definedName>
    <definedName name="GTFA_4Q22">#REF!</definedName>
    <definedName name="GTFA_4Q23">#REF!</definedName>
    <definedName name="GTFA_4Q24">#REF!</definedName>
    <definedName name="HeaderSpot">#REF!</definedName>
    <definedName name="hgjg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ighPrice">#REF!</definedName>
    <definedName name="HistoCell">#REF!</definedName>
    <definedName name="HistoComplement">#REF!</definedName>
    <definedName name="HistoType">#REF!</definedName>
    <definedName name="home">#REF!</definedName>
    <definedName name="IEXP_1995">#REF!</definedName>
    <definedName name="IEXP_1996">#REF!</definedName>
    <definedName name="IEXP_1997">#REF!</definedName>
    <definedName name="IEXP_1998">#REF!</definedName>
    <definedName name="IEXP_1999">#REF!</definedName>
    <definedName name="IEXP_1Q00">#REF!</definedName>
    <definedName name="IEXP_1Q01">#REF!</definedName>
    <definedName name="IEXP_1Q02">#REF!</definedName>
    <definedName name="IEXP_1Q03">#REF!</definedName>
    <definedName name="IEXP_1Q04">#REF!</definedName>
    <definedName name="IEXP_1Q05">#REF!</definedName>
    <definedName name="IEXP_1Q06">#REF!</definedName>
    <definedName name="IEXP_1Q07">#REF!</definedName>
    <definedName name="IEXP_1Q08">#REF!</definedName>
    <definedName name="IEXP_1Q09">#REF!</definedName>
    <definedName name="IEXP_1Q10">#REF!</definedName>
    <definedName name="IEXP_1Q11">#REF!</definedName>
    <definedName name="IEXP_1Q12">#REF!</definedName>
    <definedName name="IEXP_1Q13">#REF!</definedName>
    <definedName name="IEXP_1Q14">#REF!</definedName>
    <definedName name="IEXP_1Q15">#REF!</definedName>
    <definedName name="IEXP_1Q16">#REF!</definedName>
    <definedName name="IEXP_1Q17">#REF!</definedName>
    <definedName name="IEXP_1Q18">#REF!</definedName>
    <definedName name="IEXP_1Q19">#REF!</definedName>
    <definedName name="IEXP_1Q20">#REF!</definedName>
    <definedName name="IEXP_1Q21">#REF!</definedName>
    <definedName name="IEXP_1Q22">#REF!</definedName>
    <definedName name="IEXP_1Q23">#REF!</definedName>
    <definedName name="IEXP_1Q24">#REF!</definedName>
    <definedName name="IEXP_2000">#REF!</definedName>
    <definedName name="IEXP_2001">#REF!</definedName>
    <definedName name="IEXP_2002">#REF!</definedName>
    <definedName name="IEXP_2003">#REF!</definedName>
    <definedName name="IEXP_2004">#REF!</definedName>
    <definedName name="IEXP_2005">#REF!</definedName>
    <definedName name="IEXP_2006">#REF!</definedName>
    <definedName name="IEXP_2007">#REF!</definedName>
    <definedName name="IEXP_2008">#REF!</definedName>
    <definedName name="IEXP_2009">#REF!</definedName>
    <definedName name="IEXP_2010">#REF!</definedName>
    <definedName name="IEXP_2011">#REF!</definedName>
    <definedName name="IEXP_2012">#REF!</definedName>
    <definedName name="IEXP_2013">#REF!</definedName>
    <definedName name="IEXP_2014">#REF!</definedName>
    <definedName name="IEXP_2015">#REF!</definedName>
    <definedName name="IEXP_2016">#REF!</definedName>
    <definedName name="IEXP_2017">#REF!</definedName>
    <definedName name="IEXP_2018">#REF!</definedName>
    <definedName name="IEXP_2019">#REF!</definedName>
    <definedName name="IEXP_2020">#REF!</definedName>
    <definedName name="IEXP_2021">#REF!</definedName>
    <definedName name="IEXP_2022">#REF!</definedName>
    <definedName name="IEXP_2023">#REF!</definedName>
    <definedName name="IEXP_2024">#REF!</definedName>
    <definedName name="IEXP_2Q00">#REF!</definedName>
    <definedName name="IEXP_2Q01">#REF!</definedName>
    <definedName name="IEXP_2Q02">#REF!</definedName>
    <definedName name="IEXP_2Q03">#REF!</definedName>
    <definedName name="IEXP_2Q04">#REF!</definedName>
    <definedName name="IEXP_2Q05">#REF!</definedName>
    <definedName name="IEXP_2Q06">#REF!</definedName>
    <definedName name="IEXP_2Q07">#REF!</definedName>
    <definedName name="IEXP_2Q08">#REF!</definedName>
    <definedName name="IEXP_2Q09">#REF!</definedName>
    <definedName name="IEXP_2Q10">#REF!</definedName>
    <definedName name="IEXP_2Q11">#REF!</definedName>
    <definedName name="IEXP_2Q12">#REF!</definedName>
    <definedName name="IEXP_2Q13">#REF!</definedName>
    <definedName name="IEXP_2Q14">#REF!</definedName>
    <definedName name="IEXP_2Q15">#REF!</definedName>
    <definedName name="IEXP_2Q16">#REF!</definedName>
    <definedName name="IEXP_2Q17">#REF!</definedName>
    <definedName name="IEXP_2Q18">#REF!</definedName>
    <definedName name="IEXP_2Q19">#REF!</definedName>
    <definedName name="IEXP_2Q20">#REF!</definedName>
    <definedName name="IEXP_2Q21">#REF!</definedName>
    <definedName name="IEXP_2Q22">#REF!</definedName>
    <definedName name="IEXP_2Q23">#REF!</definedName>
    <definedName name="IEXP_2Q24">#REF!</definedName>
    <definedName name="IEXP_3Q00">#REF!</definedName>
    <definedName name="IEXP_3Q01">#REF!</definedName>
    <definedName name="IEXP_3Q02">#REF!</definedName>
    <definedName name="IEXP_3Q03">#REF!</definedName>
    <definedName name="IEXP_3Q04">#REF!</definedName>
    <definedName name="IEXP_3Q05">#REF!</definedName>
    <definedName name="IEXP_3Q06">#REF!</definedName>
    <definedName name="IEXP_3Q07">#REF!</definedName>
    <definedName name="IEXP_3Q08">#REF!</definedName>
    <definedName name="IEXP_3Q09">#REF!</definedName>
    <definedName name="IEXP_3Q10">#REF!</definedName>
    <definedName name="IEXP_3Q11">#REF!</definedName>
    <definedName name="IEXP_3Q12">#REF!</definedName>
    <definedName name="IEXP_3Q13">#REF!</definedName>
    <definedName name="IEXP_3Q14">#REF!</definedName>
    <definedName name="IEXP_3Q15">#REF!</definedName>
    <definedName name="IEXP_3Q16">#REF!</definedName>
    <definedName name="IEXP_3Q17">#REF!</definedName>
    <definedName name="IEXP_3Q18">#REF!</definedName>
    <definedName name="IEXP_3Q19">#REF!</definedName>
    <definedName name="IEXP_3Q20">#REF!</definedName>
    <definedName name="IEXP_3Q21">#REF!</definedName>
    <definedName name="IEXP_3Q22">#REF!</definedName>
    <definedName name="IEXP_3Q23">#REF!</definedName>
    <definedName name="IEXP_3Q24">#REF!</definedName>
    <definedName name="IEXP_4Q00">#REF!</definedName>
    <definedName name="IEXP_4Q01">#REF!</definedName>
    <definedName name="IEXP_4Q02">#REF!</definedName>
    <definedName name="IEXP_4Q03">#REF!</definedName>
    <definedName name="IEXP_4Q04">#REF!</definedName>
    <definedName name="IEXP_4Q05">#REF!</definedName>
    <definedName name="IEXP_4Q06">#REF!</definedName>
    <definedName name="IEXP_4Q07">#REF!</definedName>
    <definedName name="IEXP_4Q08">#REF!</definedName>
    <definedName name="IEXP_4Q09">#REF!</definedName>
    <definedName name="IEXP_4Q10">#REF!</definedName>
    <definedName name="IEXP_4Q11">#REF!</definedName>
    <definedName name="IEXP_4Q12">#REF!</definedName>
    <definedName name="IEXP_4Q13">#REF!</definedName>
    <definedName name="IEXP_4Q14">#REF!</definedName>
    <definedName name="IEXP_4Q15">#REF!</definedName>
    <definedName name="IEXP_4Q16">#REF!</definedName>
    <definedName name="IEXP_4Q17">#REF!</definedName>
    <definedName name="IEXP_4Q18">#REF!</definedName>
    <definedName name="IEXP_4Q19">#REF!</definedName>
    <definedName name="IEXP_4Q20">#REF!</definedName>
    <definedName name="IEXP_4Q21">#REF!</definedName>
    <definedName name="IEXP_4Q22">#REF!</definedName>
    <definedName name="IEXP_4Q23">#REF!</definedName>
    <definedName name="IEXP_4Q24">#REF!</definedName>
    <definedName name="IIA_1995">#REF!</definedName>
    <definedName name="IIA_1996">#REF!</definedName>
    <definedName name="IIA_1997">#REF!</definedName>
    <definedName name="IIA_1998">#REF!</definedName>
    <definedName name="IIA_1999">#REF!</definedName>
    <definedName name="IIA_1Q00">#REF!</definedName>
    <definedName name="IIA_1Q01">#REF!</definedName>
    <definedName name="IIA_1Q02">#REF!</definedName>
    <definedName name="IIA_1Q03">#REF!</definedName>
    <definedName name="IIA_1Q04">#REF!</definedName>
    <definedName name="IIA_1Q05">#REF!</definedName>
    <definedName name="IIA_1Q06">#REF!</definedName>
    <definedName name="IIA_1Q07">#REF!</definedName>
    <definedName name="IIA_1Q08">#REF!</definedName>
    <definedName name="IIA_1Q09">#REF!</definedName>
    <definedName name="IIA_1Q10">#REF!</definedName>
    <definedName name="IIA_1Q11">#REF!</definedName>
    <definedName name="IIA_1Q12">#REF!</definedName>
    <definedName name="IIA_1Q13">#REF!</definedName>
    <definedName name="IIA_1Q14">#REF!</definedName>
    <definedName name="IIA_1Q15">#REF!</definedName>
    <definedName name="IIA_1Q16">#REF!</definedName>
    <definedName name="IIA_1Q17">#REF!</definedName>
    <definedName name="IIA_1Q18">#REF!</definedName>
    <definedName name="IIA_1Q19">#REF!</definedName>
    <definedName name="IIA_1Q20">#REF!</definedName>
    <definedName name="IIA_1Q21">#REF!</definedName>
    <definedName name="IIA_1Q22">#REF!</definedName>
    <definedName name="IIA_1Q23">#REF!</definedName>
    <definedName name="IIA_1Q24">#REF!</definedName>
    <definedName name="IIA_2000">#REF!</definedName>
    <definedName name="IIA_2001">#REF!</definedName>
    <definedName name="IIA_2002">#REF!</definedName>
    <definedName name="IIA_2003">#REF!</definedName>
    <definedName name="IIA_2004">#REF!</definedName>
    <definedName name="IIA_2005">#REF!</definedName>
    <definedName name="IIA_2006">#REF!</definedName>
    <definedName name="IIA_2007">#REF!</definedName>
    <definedName name="IIA_2008">#REF!</definedName>
    <definedName name="IIA_2009">#REF!</definedName>
    <definedName name="IIA_2010">#REF!</definedName>
    <definedName name="IIA_2011">#REF!</definedName>
    <definedName name="IIA_2012">#REF!</definedName>
    <definedName name="IIA_2013">#REF!</definedName>
    <definedName name="IIA_2014">#REF!</definedName>
    <definedName name="IIA_2015">#REF!</definedName>
    <definedName name="IIA_2016">#REF!</definedName>
    <definedName name="IIA_2017">#REF!</definedName>
    <definedName name="IIA_2018">#REF!</definedName>
    <definedName name="IIA_2019">#REF!</definedName>
    <definedName name="IIA_2020">#REF!</definedName>
    <definedName name="IIA_2021">#REF!</definedName>
    <definedName name="IIA_2022">#REF!</definedName>
    <definedName name="IIA_2023">#REF!</definedName>
    <definedName name="IIA_2024">#REF!</definedName>
    <definedName name="IIA_2Q00">#REF!</definedName>
    <definedName name="IIA_2Q01">#REF!</definedName>
    <definedName name="IIA_2Q02">#REF!</definedName>
    <definedName name="IIA_2Q03">#REF!</definedName>
    <definedName name="IIA_2Q04">#REF!</definedName>
    <definedName name="IIA_2Q05">#REF!</definedName>
    <definedName name="IIA_2Q06">#REF!</definedName>
    <definedName name="IIA_2Q07">#REF!</definedName>
    <definedName name="IIA_2Q08">#REF!</definedName>
    <definedName name="IIA_2Q09">#REF!</definedName>
    <definedName name="IIA_2Q10">#REF!</definedName>
    <definedName name="IIA_2Q11">#REF!</definedName>
    <definedName name="IIA_2Q12">#REF!</definedName>
    <definedName name="IIA_2Q13">#REF!</definedName>
    <definedName name="IIA_2Q14">#REF!</definedName>
    <definedName name="IIA_2Q15">#REF!</definedName>
    <definedName name="IIA_2Q16">#REF!</definedName>
    <definedName name="IIA_2Q17">#REF!</definedName>
    <definedName name="IIA_2Q18">#REF!</definedName>
    <definedName name="IIA_2Q19">#REF!</definedName>
    <definedName name="IIA_2Q20">#REF!</definedName>
    <definedName name="IIA_2Q21">#REF!</definedName>
    <definedName name="IIA_2Q22">#REF!</definedName>
    <definedName name="IIA_2Q23">#REF!</definedName>
    <definedName name="IIA_2Q24">#REF!</definedName>
    <definedName name="IIA_3Q00">#REF!</definedName>
    <definedName name="IIA_3Q01">#REF!</definedName>
    <definedName name="IIA_3Q02">#REF!</definedName>
    <definedName name="IIA_3Q03">#REF!</definedName>
    <definedName name="IIA_3Q04">#REF!</definedName>
    <definedName name="IIA_3Q05">#REF!</definedName>
    <definedName name="IIA_3Q06">#REF!</definedName>
    <definedName name="IIA_3Q07">#REF!</definedName>
    <definedName name="IIA_3Q08">#REF!</definedName>
    <definedName name="IIA_3Q09">#REF!</definedName>
    <definedName name="IIA_3Q10">#REF!</definedName>
    <definedName name="IIA_3Q11">#REF!</definedName>
    <definedName name="IIA_3Q12">#REF!</definedName>
    <definedName name="IIA_3Q13">#REF!</definedName>
    <definedName name="IIA_3Q14">#REF!</definedName>
    <definedName name="IIA_3Q15">#REF!</definedName>
    <definedName name="IIA_3Q16">#REF!</definedName>
    <definedName name="IIA_3Q17">#REF!</definedName>
    <definedName name="IIA_3Q18">#REF!</definedName>
    <definedName name="IIA_3Q19">#REF!</definedName>
    <definedName name="IIA_3Q20">#REF!</definedName>
    <definedName name="IIA_3Q21">#REF!</definedName>
    <definedName name="IIA_3Q22">#REF!</definedName>
    <definedName name="IIA_3Q23">#REF!</definedName>
    <definedName name="IIA_3Q24">#REF!</definedName>
    <definedName name="IIA_4Q00">#REF!</definedName>
    <definedName name="IIA_4Q01">#REF!</definedName>
    <definedName name="IIA_4Q02">#REF!</definedName>
    <definedName name="IIA_4Q03">#REF!</definedName>
    <definedName name="IIA_4Q04">#REF!</definedName>
    <definedName name="IIA_4Q05">#REF!</definedName>
    <definedName name="IIA_4Q06">#REF!</definedName>
    <definedName name="IIA_4Q07">#REF!</definedName>
    <definedName name="IIA_4Q08">#REF!</definedName>
    <definedName name="IIA_4Q09">#REF!</definedName>
    <definedName name="IIA_4Q10">#REF!</definedName>
    <definedName name="IIA_4Q11">#REF!</definedName>
    <definedName name="IIA_4Q12">#REF!</definedName>
    <definedName name="IIA_4Q13">#REF!</definedName>
    <definedName name="IIA_4Q14">#REF!</definedName>
    <definedName name="IIA_4Q15">#REF!</definedName>
    <definedName name="IIA_4Q16">#REF!</definedName>
    <definedName name="IIA_4Q17">#REF!</definedName>
    <definedName name="IIA_4Q18">#REF!</definedName>
    <definedName name="IIA_4Q19">#REF!</definedName>
    <definedName name="IIA_4Q20">#REF!</definedName>
    <definedName name="IIA_4Q21">#REF!</definedName>
    <definedName name="IIA_4Q22">#REF!</definedName>
    <definedName name="IIA_4Q23">#REF!</definedName>
    <definedName name="IIA_4Q24">#REF!</definedName>
    <definedName name="IINC_1995">#REF!</definedName>
    <definedName name="IINC_1996">#REF!</definedName>
    <definedName name="IINC_1997">#REF!</definedName>
    <definedName name="IINC_1998">#REF!</definedName>
    <definedName name="IINC_1999">#REF!</definedName>
    <definedName name="IINC_1Q00">#REF!</definedName>
    <definedName name="IINC_1Q01">#REF!</definedName>
    <definedName name="IINC_1Q02">#REF!</definedName>
    <definedName name="IINC_1Q03">#REF!</definedName>
    <definedName name="IINC_1Q04">#REF!</definedName>
    <definedName name="IINC_1Q05">#REF!</definedName>
    <definedName name="IINC_1Q06">#REF!</definedName>
    <definedName name="IINC_1Q07">#REF!</definedName>
    <definedName name="IINC_1Q08">#REF!</definedName>
    <definedName name="IINC_1Q09">#REF!</definedName>
    <definedName name="IINC_1Q10">#REF!</definedName>
    <definedName name="IINC_1Q11">#REF!</definedName>
    <definedName name="IINC_1Q12">#REF!</definedName>
    <definedName name="IINC_1Q13">#REF!</definedName>
    <definedName name="IINC_1Q14">#REF!</definedName>
    <definedName name="IINC_1Q15">#REF!</definedName>
    <definedName name="IINC_1Q16">#REF!</definedName>
    <definedName name="IINC_1Q17">#REF!</definedName>
    <definedName name="IINC_1Q18">#REF!</definedName>
    <definedName name="IINC_1Q19">#REF!</definedName>
    <definedName name="IINC_1Q20">#REF!</definedName>
    <definedName name="IINC_1Q21">#REF!</definedName>
    <definedName name="IINC_1Q22">#REF!</definedName>
    <definedName name="IINC_1Q23">#REF!</definedName>
    <definedName name="IINC_1Q24">#REF!</definedName>
    <definedName name="IINC_2000">#REF!</definedName>
    <definedName name="IINC_2001">#REF!</definedName>
    <definedName name="IINC_2002">#REF!</definedName>
    <definedName name="IINC_2003">#REF!</definedName>
    <definedName name="IINC_2004">#REF!</definedName>
    <definedName name="IINC_2005">#REF!</definedName>
    <definedName name="IINC_2006">#REF!</definedName>
    <definedName name="IINC_2007">#REF!</definedName>
    <definedName name="IINC_2008">#REF!</definedName>
    <definedName name="IINC_2009">#REF!</definedName>
    <definedName name="IINC_2010">#REF!</definedName>
    <definedName name="IINC_2011">#REF!</definedName>
    <definedName name="IINC_2012">#REF!</definedName>
    <definedName name="IINC_2013">#REF!</definedName>
    <definedName name="IINC_2014">#REF!</definedName>
    <definedName name="IINC_2015">#REF!</definedName>
    <definedName name="IINC_2016">#REF!</definedName>
    <definedName name="IINC_2017">#REF!</definedName>
    <definedName name="IINC_2018">#REF!</definedName>
    <definedName name="IINC_2019">#REF!</definedName>
    <definedName name="IINC_2020">#REF!</definedName>
    <definedName name="IINC_2021">#REF!</definedName>
    <definedName name="IINC_2022">#REF!</definedName>
    <definedName name="IINC_2023">#REF!</definedName>
    <definedName name="IINC_2024">#REF!</definedName>
    <definedName name="IINC_2Q00">#REF!</definedName>
    <definedName name="IINC_2Q01">#REF!</definedName>
    <definedName name="IINC_2Q02">#REF!</definedName>
    <definedName name="IINC_2Q03">#REF!</definedName>
    <definedName name="IINC_2Q04">#REF!</definedName>
    <definedName name="IINC_2Q05">#REF!</definedName>
    <definedName name="IINC_2Q06">#REF!</definedName>
    <definedName name="IINC_2Q07">#REF!</definedName>
    <definedName name="IINC_2Q08">#REF!</definedName>
    <definedName name="IINC_2Q09">#REF!</definedName>
    <definedName name="IINC_2Q10">#REF!</definedName>
    <definedName name="IINC_2Q11">#REF!</definedName>
    <definedName name="IINC_2Q12">#REF!</definedName>
    <definedName name="IINC_2Q13">#REF!</definedName>
    <definedName name="IINC_2Q14">#REF!</definedName>
    <definedName name="IINC_2Q15">#REF!</definedName>
    <definedName name="IINC_2Q16">#REF!</definedName>
    <definedName name="IINC_2Q17">#REF!</definedName>
    <definedName name="IINC_2Q18">#REF!</definedName>
    <definedName name="IINC_2Q19">#REF!</definedName>
    <definedName name="IINC_2Q20">#REF!</definedName>
    <definedName name="IINC_2Q21">#REF!</definedName>
    <definedName name="IINC_2Q22">#REF!</definedName>
    <definedName name="IINC_2Q23">#REF!</definedName>
    <definedName name="IINC_2Q24">#REF!</definedName>
    <definedName name="IINC_3Q00">#REF!</definedName>
    <definedName name="IINC_3Q01">#REF!</definedName>
    <definedName name="IINC_3Q02">#REF!</definedName>
    <definedName name="IINC_3Q03">#REF!</definedName>
    <definedName name="IINC_3Q04">#REF!</definedName>
    <definedName name="IINC_3Q05">#REF!</definedName>
    <definedName name="IINC_3Q06">#REF!</definedName>
    <definedName name="IINC_3Q07">#REF!</definedName>
    <definedName name="IINC_3Q08">#REF!</definedName>
    <definedName name="IINC_3Q09">#REF!</definedName>
    <definedName name="IINC_3Q10">#REF!</definedName>
    <definedName name="IINC_3Q11">#REF!</definedName>
    <definedName name="IINC_3Q12">#REF!</definedName>
    <definedName name="IINC_3Q13">#REF!</definedName>
    <definedName name="IINC_3Q14">#REF!</definedName>
    <definedName name="IINC_3Q15">#REF!</definedName>
    <definedName name="IINC_3Q16">#REF!</definedName>
    <definedName name="IINC_3Q17">#REF!</definedName>
    <definedName name="IINC_3Q18">#REF!</definedName>
    <definedName name="IINC_3Q19">#REF!</definedName>
    <definedName name="IINC_3Q20">#REF!</definedName>
    <definedName name="IINC_3Q21">#REF!</definedName>
    <definedName name="IINC_3Q22">#REF!</definedName>
    <definedName name="IINC_3Q23">#REF!</definedName>
    <definedName name="IINC_3Q24">#REF!</definedName>
    <definedName name="IINC_4Q00">#REF!</definedName>
    <definedName name="IINC_4Q01">#REF!</definedName>
    <definedName name="IINC_4Q02">#REF!</definedName>
    <definedName name="IINC_4Q03">#REF!</definedName>
    <definedName name="IINC_4Q04">#REF!</definedName>
    <definedName name="IINC_4Q05">#REF!</definedName>
    <definedName name="IINC_4Q06">#REF!</definedName>
    <definedName name="IINC_4Q07">#REF!</definedName>
    <definedName name="IINC_4Q08">#REF!</definedName>
    <definedName name="IINC_4Q09">#REF!</definedName>
    <definedName name="IINC_4Q10">#REF!</definedName>
    <definedName name="IINC_4Q11">#REF!</definedName>
    <definedName name="IINC_4Q12">#REF!</definedName>
    <definedName name="IINC_4Q13">#REF!</definedName>
    <definedName name="IINC_4Q14">#REF!</definedName>
    <definedName name="IINC_4Q15">#REF!</definedName>
    <definedName name="IINC_4Q16">#REF!</definedName>
    <definedName name="IINC_4Q17">#REF!</definedName>
    <definedName name="IINC_4Q18">#REF!</definedName>
    <definedName name="IINC_4Q19">#REF!</definedName>
    <definedName name="IINC_4Q20">#REF!</definedName>
    <definedName name="IINC_4Q21">#REF!</definedName>
    <definedName name="IINC_4Q22">#REF!</definedName>
    <definedName name="IINC_4Q23">#REF!</definedName>
    <definedName name="IINC_4Q24">#REF!</definedName>
    <definedName name="ImportFile">[0]!ImportFile</definedName>
    <definedName name="IncrementCell">#REF!</definedName>
    <definedName name="InLineRng">#REF!</definedName>
    <definedName name="INSAD_1995">#REF!</definedName>
    <definedName name="INSAD_1996">#REF!</definedName>
    <definedName name="INSAD_1997">#REF!</definedName>
    <definedName name="INSAD_1998">#REF!</definedName>
    <definedName name="INSAD_1999">#REF!</definedName>
    <definedName name="INSAD_1Q00">#REF!</definedName>
    <definedName name="INSAD_1Q01">#REF!</definedName>
    <definedName name="INSAD_1Q02">#REF!</definedName>
    <definedName name="INSAD_1Q03">#REF!</definedName>
    <definedName name="INSAD_1Q04">#REF!</definedName>
    <definedName name="INSAD_1Q05">#REF!</definedName>
    <definedName name="INSAD_1Q06">#REF!</definedName>
    <definedName name="INSAD_1Q07">#REF!</definedName>
    <definedName name="INSAD_1Q08">#REF!</definedName>
    <definedName name="INSAD_1Q09">#REF!</definedName>
    <definedName name="INSAD_1Q10">#REF!</definedName>
    <definedName name="INSAD_1Q11">#REF!</definedName>
    <definedName name="INSAD_1Q12">#REF!</definedName>
    <definedName name="INSAD_1Q13">#REF!</definedName>
    <definedName name="INSAD_1Q14">#REF!</definedName>
    <definedName name="INSAD_1Q15">#REF!</definedName>
    <definedName name="INSAD_1Q16">#REF!</definedName>
    <definedName name="INSAD_1Q17">#REF!</definedName>
    <definedName name="INSAD_1Q18">#REF!</definedName>
    <definedName name="INSAD_1Q19">#REF!</definedName>
    <definedName name="INSAD_1Q20">#REF!</definedName>
    <definedName name="INSAD_1Q21">#REF!</definedName>
    <definedName name="INSAD_1Q22">#REF!</definedName>
    <definedName name="INSAD_1Q23">#REF!</definedName>
    <definedName name="INSAD_1Q24">#REF!</definedName>
    <definedName name="INSAD_2000">#REF!</definedName>
    <definedName name="INSAD_2001">#REF!</definedName>
    <definedName name="INSAD_2002">#REF!</definedName>
    <definedName name="INSAD_2003">#REF!</definedName>
    <definedName name="INSAD_2004">#REF!</definedName>
    <definedName name="INSAD_2005">#REF!</definedName>
    <definedName name="INSAD_2006">#REF!</definedName>
    <definedName name="INSAD_2007">#REF!</definedName>
    <definedName name="INSAD_2008">#REF!</definedName>
    <definedName name="INSAD_2009">#REF!</definedName>
    <definedName name="INSAD_2010">#REF!</definedName>
    <definedName name="INSAD_2011">#REF!</definedName>
    <definedName name="INSAD_2012">#REF!</definedName>
    <definedName name="INSAD_2013">#REF!</definedName>
    <definedName name="INSAD_2014">#REF!</definedName>
    <definedName name="INSAD_2015">#REF!</definedName>
    <definedName name="INSAD_2016">#REF!</definedName>
    <definedName name="INSAD_2017">#REF!</definedName>
    <definedName name="INSAD_2018">#REF!</definedName>
    <definedName name="INSAD_2019">#REF!</definedName>
    <definedName name="INSAD_2020">#REF!</definedName>
    <definedName name="INSAD_2021">#REF!</definedName>
    <definedName name="INSAD_2022">#REF!</definedName>
    <definedName name="INSAD_2023">#REF!</definedName>
    <definedName name="INSAD_2024">#REF!</definedName>
    <definedName name="INSAD_2Q00">#REF!</definedName>
    <definedName name="INSAD_2Q01">#REF!</definedName>
    <definedName name="INSAD_2Q02">#REF!</definedName>
    <definedName name="INSAD_2Q03">#REF!</definedName>
    <definedName name="INSAD_2Q04">#REF!</definedName>
    <definedName name="INSAD_2Q05">#REF!</definedName>
    <definedName name="INSAD_2Q06">#REF!</definedName>
    <definedName name="INSAD_2Q07">#REF!</definedName>
    <definedName name="INSAD_2Q08">#REF!</definedName>
    <definedName name="INSAD_2Q09">#REF!</definedName>
    <definedName name="INSAD_2Q10">#REF!</definedName>
    <definedName name="INSAD_2Q11">#REF!</definedName>
    <definedName name="INSAD_2Q12">#REF!</definedName>
    <definedName name="INSAD_2Q13">#REF!</definedName>
    <definedName name="INSAD_2Q14">#REF!</definedName>
    <definedName name="INSAD_2Q15">#REF!</definedName>
    <definedName name="INSAD_2Q16">#REF!</definedName>
    <definedName name="INSAD_2Q17">#REF!</definedName>
    <definedName name="INSAD_2Q18">#REF!</definedName>
    <definedName name="INSAD_2Q19">#REF!</definedName>
    <definedName name="INSAD_2Q20">#REF!</definedName>
    <definedName name="INSAD_2Q21">#REF!</definedName>
    <definedName name="INSAD_2Q22">#REF!</definedName>
    <definedName name="INSAD_2Q23">#REF!</definedName>
    <definedName name="INSAD_2Q24">#REF!</definedName>
    <definedName name="INSAD_3Q00">#REF!</definedName>
    <definedName name="INSAD_3Q01">#REF!</definedName>
    <definedName name="INSAD_3Q02">#REF!</definedName>
    <definedName name="INSAD_3Q03">#REF!</definedName>
    <definedName name="INSAD_3Q04">#REF!</definedName>
    <definedName name="INSAD_3Q05">#REF!</definedName>
    <definedName name="INSAD_3Q06">#REF!</definedName>
    <definedName name="INSAD_3Q07">#REF!</definedName>
    <definedName name="INSAD_3Q08">#REF!</definedName>
    <definedName name="INSAD_3Q09">#REF!</definedName>
    <definedName name="INSAD_3Q10">#REF!</definedName>
    <definedName name="INSAD_3Q11">#REF!</definedName>
    <definedName name="INSAD_3Q12">#REF!</definedName>
    <definedName name="INSAD_3Q13">#REF!</definedName>
    <definedName name="INSAD_3Q14">#REF!</definedName>
    <definedName name="INSAD_3Q15">#REF!</definedName>
    <definedName name="INSAD_3Q16">#REF!</definedName>
    <definedName name="INSAD_3Q17">#REF!</definedName>
    <definedName name="INSAD_3Q18">#REF!</definedName>
    <definedName name="INSAD_3Q19">#REF!</definedName>
    <definedName name="INSAD_3Q20">#REF!</definedName>
    <definedName name="INSAD_3Q21">#REF!</definedName>
    <definedName name="INSAD_3Q22">#REF!</definedName>
    <definedName name="INSAD_3Q23">#REF!</definedName>
    <definedName name="INSAD_3Q24">#REF!</definedName>
    <definedName name="INSAD_4Q00">#REF!</definedName>
    <definedName name="INSAD_4Q01">#REF!</definedName>
    <definedName name="INSAD_4Q02">#REF!</definedName>
    <definedName name="INSAD_4Q03">#REF!</definedName>
    <definedName name="INSAD_4Q04">#REF!</definedName>
    <definedName name="INSAD_4Q05">#REF!</definedName>
    <definedName name="INSAD_4Q06">#REF!</definedName>
    <definedName name="INSAD_4Q07">#REF!</definedName>
    <definedName name="INSAD_4Q08">#REF!</definedName>
    <definedName name="INSAD_4Q09">#REF!</definedName>
    <definedName name="INSAD_4Q10">#REF!</definedName>
    <definedName name="INSAD_4Q11">#REF!</definedName>
    <definedName name="INSAD_4Q12">#REF!</definedName>
    <definedName name="INSAD_4Q13">#REF!</definedName>
    <definedName name="INSAD_4Q14">#REF!</definedName>
    <definedName name="INSAD_4Q15">#REF!</definedName>
    <definedName name="INSAD_4Q16">#REF!</definedName>
    <definedName name="INSAD_4Q17">#REF!</definedName>
    <definedName name="INSAD_4Q18">#REF!</definedName>
    <definedName name="INSAD_4Q19">#REF!</definedName>
    <definedName name="INSAD_4Q20">#REF!</definedName>
    <definedName name="INSAD_4Q21">#REF!</definedName>
    <definedName name="INSAD_4Q22">#REF!</definedName>
    <definedName name="INSAD_4Q23">#REF!</definedName>
    <definedName name="INSAD_4Q24">#REF!</definedName>
    <definedName name="INVAFF_1995">#REF!</definedName>
    <definedName name="INVAFF_1996">#REF!</definedName>
    <definedName name="INVAFF_1997">#REF!</definedName>
    <definedName name="INVAFF_1998">#REF!</definedName>
    <definedName name="INVAFF_1999">#REF!</definedName>
    <definedName name="INVAFF_1Q00">#REF!</definedName>
    <definedName name="INVAFF_1Q01">#REF!</definedName>
    <definedName name="INVAFF_1Q02">#REF!</definedName>
    <definedName name="INVAFF_1Q03">#REF!</definedName>
    <definedName name="INVAFF_1Q04">#REF!</definedName>
    <definedName name="INVAFF_1Q05">#REF!</definedName>
    <definedName name="INVAFF_1Q06">#REF!</definedName>
    <definedName name="INVAFF_1Q07">#REF!</definedName>
    <definedName name="INVAFF_1Q08">#REF!</definedName>
    <definedName name="INVAFF_1Q09">#REF!</definedName>
    <definedName name="INVAFF_1Q10">#REF!</definedName>
    <definedName name="INVAFF_1Q11">#REF!</definedName>
    <definedName name="INVAFF_1Q12">#REF!</definedName>
    <definedName name="INVAFF_1Q13">#REF!</definedName>
    <definedName name="INVAFF_1Q14">#REF!</definedName>
    <definedName name="INVAFF_1Q15">#REF!</definedName>
    <definedName name="INVAFF_1Q16">#REF!</definedName>
    <definedName name="INVAFF_1Q17">#REF!</definedName>
    <definedName name="INVAFF_1Q18">#REF!</definedName>
    <definedName name="INVAFF_1Q19">#REF!</definedName>
    <definedName name="INVAFF_1Q20">#REF!</definedName>
    <definedName name="INVAFF_1Q21">#REF!</definedName>
    <definedName name="INVAFF_1Q22">#REF!</definedName>
    <definedName name="INVAFF_1Q23">#REF!</definedName>
    <definedName name="INVAFF_1Q24">#REF!</definedName>
    <definedName name="INVAFF_2000">#REF!</definedName>
    <definedName name="INVAFF_2001">#REF!</definedName>
    <definedName name="INVAFF_2002">#REF!</definedName>
    <definedName name="INVAFF_2003">#REF!</definedName>
    <definedName name="INVAFF_2004">#REF!</definedName>
    <definedName name="INVAFF_2005">#REF!</definedName>
    <definedName name="INVAFF_2006">#REF!</definedName>
    <definedName name="INVAFF_2007">#REF!</definedName>
    <definedName name="INVAFF_2008">#REF!</definedName>
    <definedName name="INVAFF_2009">#REF!</definedName>
    <definedName name="INVAFF_2010">#REF!</definedName>
    <definedName name="INVAFF_2011">#REF!</definedName>
    <definedName name="INVAFF_2012">#REF!</definedName>
    <definedName name="INVAFF_2013">#REF!</definedName>
    <definedName name="INVAFF_2014">#REF!</definedName>
    <definedName name="INVAFF_2015">#REF!</definedName>
    <definedName name="INVAFF_2016">#REF!</definedName>
    <definedName name="INVAFF_2017">#REF!</definedName>
    <definedName name="INVAFF_2018">#REF!</definedName>
    <definedName name="INVAFF_2019">#REF!</definedName>
    <definedName name="INVAFF_2020">#REF!</definedName>
    <definedName name="INVAFF_2021">#REF!</definedName>
    <definedName name="INVAFF_2022">#REF!</definedName>
    <definedName name="INVAFF_2023">#REF!</definedName>
    <definedName name="INVAFF_2024">#REF!</definedName>
    <definedName name="INVAFF_2Q00">#REF!</definedName>
    <definedName name="INVAFF_2Q01">#REF!</definedName>
    <definedName name="INVAFF_2Q02">#REF!</definedName>
    <definedName name="INVAFF_2Q03">#REF!</definedName>
    <definedName name="INVAFF_2Q04">#REF!</definedName>
    <definedName name="INVAFF_2Q05">#REF!</definedName>
    <definedName name="INVAFF_2Q06">#REF!</definedName>
    <definedName name="INVAFF_2Q07">#REF!</definedName>
    <definedName name="INVAFF_2Q08">#REF!</definedName>
    <definedName name="INVAFF_2Q09">#REF!</definedName>
    <definedName name="INVAFF_2Q10">#REF!</definedName>
    <definedName name="INVAFF_2Q11">#REF!</definedName>
    <definedName name="INVAFF_2Q12">#REF!</definedName>
    <definedName name="INVAFF_2Q13">#REF!</definedName>
    <definedName name="INVAFF_2Q14">#REF!</definedName>
    <definedName name="INVAFF_2Q15">#REF!</definedName>
    <definedName name="INVAFF_2Q16">#REF!</definedName>
    <definedName name="INVAFF_2Q17">#REF!</definedName>
    <definedName name="INVAFF_2Q18">#REF!</definedName>
    <definedName name="INVAFF_2Q19">#REF!</definedName>
    <definedName name="INVAFF_2Q20">#REF!</definedName>
    <definedName name="INVAFF_2Q21">#REF!</definedName>
    <definedName name="INVAFF_2Q22">#REF!</definedName>
    <definedName name="INVAFF_2Q23">#REF!</definedName>
    <definedName name="INVAFF_2Q24">#REF!</definedName>
    <definedName name="INVAFF_3Q00">#REF!</definedName>
    <definedName name="INVAFF_3Q01">#REF!</definedName>
    <definedName name="INVAFF_3Q02">#REF!</definedName>
    <definedName name="INVAFF_3Q03">#REF!</definedName>
    <definedName name="INVAFF_3Q04">#REF!</definedName>
    <definedName name="INVAFF_3Q05">#REF!</definedName>
    <definedName name="INVAFF_3Q06">#REF!</definedName>
    <definedName name="INVAFF_3Q07">#REF!</definedName>
    <definedName name="INVAFF_3Q08">#REF!</definedName>
    <definedName name="INVAFF_3Q09">#REF!</definedName>
    <definedName name="INVAFF_3Q10">#REF!</definedName>
    <definedName name="INVAFF_3Q11">#REF!</definedName>
    <definedName name="INVAFF_3Q12">#REF!</definedName>
    <definedName name="INVAFF_3Q13">#REF!</definedName>
    <definedName name="INVAFF_3Q14">#REF!</definedName>
    <definedName name="INVAFF_3Q15">#REF!</definedName>
    <definedName name="INVAFF_3Q16">#REF!</definedName>
    <definedName name="INVAFF_3Q17">#REF!</definedName>
    <definedName name="INVAFF_3Q18">#REF!</definedName>
    <definedName name="INVAFF_3Q19">#REF!</definedName>
    <definedName name="INVAFF_3Q20">#REF!</definedName>
    <definedName name="INVAFF_3Q21">#REF!</definedName>
    <definedName name="INVAFF_3Q22">#REF!</definedName>
    <definedName name="INVAFF_3Q23">#REF!</definedName>
    <definedName name="INVAFF_3Q24">#REF!</definedName>
    <definedName name="INVAFF_4Q00">#REF!</definedName>
    <definedName name="INVAFF_4Q01">#REF!</definedName>
    <definedName name="INVAFF_4Q02">#REF!</definedName>
    <definedName name="INVAFF_4Q03">#REF!</definedName>
    <definedName name="INVAFF_4Q04">#REF!</definedName>
    <definedName name="INVAFF_4Q05">#REF!</definedName>
    <definedName name="INVAFF_4Q06">#REF!</definedName>
    <definedName name="INVAFF_4Q07">#REF!</definedName>
    <definedName name="INVAFF_4Q08">#REF!</definedName>
    <definedName name="INVAFF_4Q09">#REF!</definedName>
    <definedName name="INVAFF_4Q10">#REF!</definedName>
    <definedName name="INVAFF_4Q11">#REF!</definedName>
    <definedName name="INVAFF_4Q12">#REF!</definedName>
    <definedName name="INVAFF_4Q13">#REF!</definedName>
    <definedName name="INVAFF_4Q14">#REF!</definedName>
    <definedName name="INVAFF_4Q15">#REF!</definedName>
    <definedName name="INVAFF_4Q16">#REF!</definedName>
    <definedName name="INVAFF_4Q17">#REF!</definedName>
    <definedName name="INVAFF_4Q18">#REF!</definedName>
    <definedName name="INVAFF_4Q19">#REF!</definedName>
    <definedName name="INVAFF_4Q20">#REF!</definedName>
    <definedName name="INVAFF_4Q21">#REF!</definedName>
    <definedName name="INVAFF_4Q22">#REF!</definedName>
    <definedName name="INVAFF_4Q23">#REF!</definedName>
    <definedName name="INVAFF_4Q24">#REF!</definedName>
    <definedName name="INVENT_1995">#REF!</definedName>
    <definedName name="INVENT_1996">#REF!</definedName>
    <definedName name="INVENT_1997">#REF!</definedName>
    <definedName name="INVENT_1998">#REF!</definedName>
    <definedName name="INVENT_1999">#REF!</definedName>
    <definedName name="INVENT_1Q00">#REF!</definedName>
    <definedName name="INVENT_1Q01">#REF!</definedName>
    <definedName name="INVENT_1Q02">#REF!</definedName>
    <definedName name="INVENT_1Q03">#REF!</definedName>
    <definedName name="INVENT_1Q04">#REF!</definedName>
    <definedName name="INVENT_1Q05">#REF!</definedName>
    <definedName name="INVENT_1Q06">#REF!</definedName>
    <definedName name="INVENT_1Q07">#REF!</definedName>
    <definedName name="INVENT_1Q08">#REF!</definedName>
    <definedName name="INVENT_1Q09">#REF!</definedName>
    <definedName name="INVENT_1Q10">#REF!</definedName>
    <definedName name="INVENT_1Q11">#REF!</definedName>
    <definedName name="INVENT_1Q12">#REF!</definedName>
    <definedName name="INVENT_1Q13">#REF!</definedName>
    <definedName name="INVENT_1Q14">#REF!</definedName>
    <definedName name="INVENT_1Q15">#REF!</definedName>
    <definedName name="INVENT_1Q16">#REF!</definedName>
    <definedName name="INVENT_1Q17">#REF!</definedName>
    <definedName name="INVENT_1Q18">#REF!</definedName>
    <definedName name="INVENT_1Q19">#REF!</definedName>
    <definedName name="INVENT_1Q20">#REF!</definedName>
    <definedName name="INVENT_1Q21">#REF!</definedName>
    <definedName name="INVENT_1Q22">#REF!</definedName>
    <definedName name="INVENT_1Q23">#REF!</definedName>
    <definedName name="INVENT_1Q24">#REF!</definedName>
    <definedName name="INVENT_2000">#REF!</definedName>
    <definedName name="INVENT_2001">#REF!</definedName>
    <definedName name="INVENT_2002">#REF!</definedName>
    <definedName name="INVENT_2003">#REF!</definedName>
    <definedName name="INVENT_2004">#REF!</definedName>
    <definedName name="INVENT_2005">#REF!</definedName>
    <definedName name="INVENT_2006">#REF!</definedName>
    <definedName name="INVENT_2007">#REF!</definedName>
    <definedName name="INVENT_2008">#REF!</definedName>
    <definedName name="INVENT_2009">#REF!</definedName>
    <definedName name="INVENT_2010">#REF!</definedName>
    <definedName name="INVENT_2011">#REF!</definedName>
    <definedName name="INVENT_2012">#REF!</definedName>
    <definedName name="INVENT_2013">#REF!</definedName>
    <definedName name="INVENT_2014">#REF!</definedName>
    <definedName name="INVENT_2015">#REF!</definedName>
    <definedName name="INVENT_2016">#REF!</definedName>
    <definedName name="INVENT_2017">#REF!</definedName>
    <definedName name="INVENT_2018">#REF!</definedName>
    <definedName name="INVENT_2019">#REF!</definedName>
    <definedName name="INVENT_2020">#REF!</definedName>
    <definedName name="INVENT_2021">#REF!</definedName>
    <definedName name="INVENT_2022">#REF!</definedName>
    <definedName name="INVENT_2023">#REF!</definedName>
    <definedName name="INVENT_2024">#REF!</definedName>
    <definedName name="INVENT_2Q00">#REF!</definedName>
    <definedName name="INVENT_2Q01">#REF!</definedName>
    <definedName name="INVENT_2Q02">#REF!</definedName>
    <definedName name="INVENT_2Q03">#REF!</definedName>
    <definedName name="INVENT_2Q04">#REF!</definedName>
    <definedName name="INVENT_2Q05">#REF!</definedName>
    <definedName name="INVENT_2Q06">#REF!</definedName>
    <definedName name="INVENT_2Q07">#REF!</definedName>
    <definedName name="INVENT_2Q08">#REF!</definedName>
    <definedName name="INVENT_2Q09">#REF!</definedName>
    <definedName name="INVENT_2Q10">#REF!</definedName>
    <definedName name="INVENT_2Q11">#REF!</definedName>
    <definedName name="INVENT_2Q12">#REF!</definedName>
    <definedName name="INVENT_2Q13">#REF!</definedName>
    <definedName name="INVENT_2Q14">#REF!</definedName>
    <definedName name="INVENT_2Q15">#REF!</definedName>
    <definedName name="INVENT_2Q16">#REF!</definedName>
    <definedName name="INVENT_2Q17">#REF!</definedName>
    <definedName name="INVENT_2Q18">#REF!</definedName>
    <definedName name="INVENT_2Q19">#REF!</definedName>
    <definedName name="INVENT_2Q20">#REF!</definedName>
    <definedName name="INVENT_2Q21">#REF!</definedName>
    <definedName name="INVENT_2Q22">#REF!</definedName>
    <definedName name="INVENT_2Q23">#REF!</definedName>
    <definedName name="INVENT_2Q24">#REF!</definedName>
    <definedName name="INVENT_3Q00">#REF!</definedName>
    <definedName name="INVENT_3Q01">#REF!</definedName>
    <definedName name="INVENT_3Q02">#REF!</definedName>
    <definedName name="INVENT_3Q03">#REF!</definedName>
    <definedName name="INVENT_3Q04">#REF!</definedName>
    <definedName name="INVENT_3Q05">#REF!</definedName>
    <definedName name="INVENT_3Q06">#REF!</definedName>
    <definedName name="INVENT_3Q07">#REF!</definedName>
    <definedName name="INVENT_3Q08">#REF!</definedName>
    <definedName name="INVENT_3Q09">#REF!</definedName>
    <definedName name="INVENT_3Q10">#REF!</definedName>
    <definedName name="INVENT_3Q11">#REF!</definedName>
    <definedName name="INVENT_3Q12">#REF!</definedName>
    <definedName name="INVENT_3Q13">#REF!</definedName>
    <definedName name="INVENT_3Q14">#REF!</definedName>
    <definedName name="INVENT_3Q15">#REF!</definedName>
    <definedName name="INVENT_3Q16">#REF!</definedName>
    <definedName name="INVENT_3Q17">#REF!</definedName>
    <definedName name="INVENT_3Q18">#REF!</definedName>
    <definedName name="INVENT_3Q19">#REF!</definedName>
    <definedName name="INVENT_3Q20">#REF!</definedName>
    <definedName name="INVENT_3Q21">#REF!</definedName>
    <definedName name="INVENT_3Q22">#REF!</definedName>
    <definedName name="INVENT_3Q23">#REF!</definedName>
    <definedName name="INVENT_3Q24">#REF!</definedName>
    <definedName name="INVENT_4Q00">#REF!</definedName>
    <definedName name="INVENT_4Q01">#REF!</definedName>
    <definedName name="INVENT_4Q02">#REF!</definedName>
    <definedName name="INVENT_4Q03">#REF!</definedName>
    <definedName name="INVENT_4Q04">#REF!</definedName>
    <definedName name="INVENT_4Q05">#REF!</definedName>
    <definedName name="INVENT_4Q06">#REF!</definedName>
    <definedName name="INVENT_4Q07">#REF!</definedName>
    <definedName name="INVENT_4Q08">#REF!</definedName>
    <definedName name="INVENT_4Q09">#REF!</definedName>
    <definedName name="INVENT_4Q10">#REF!</definedName>
    <definedName name="INVENT_4Q11">#REF!</definedName>
    <definedName name="INVENT_4Q12">#REF!</definedName>
    <definedName name="INVENT_4Q13">#REF!</definedName>
    <definedName name="INVENT_4Q14">#REF!</definedName>
    <definedName name="INVENT_4Q15">#REF!</definedName>
    <definedName name="INVENT_4Q16">#REF!</definedName>
    <definedName name="INVENT_4Q17">#REF!</definedName>
    <definedName name="INVENT_4Q18">#REF!</definedName>
    <definedName name="INVENT_4Q19">#REF!</definedName>
    <definedName name="INVENT_4Q20">#REF!</definedName>
    <definedName name="INVENT_4Q21">#REF!</definedName>
    <definedName name="INVENT_4Q22">#REF!</definedName>
    <definedName name="INVENT_4Q23">#REF!</definedName>
    <definedName name="INVENT_4Q24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TAXRP_1995">#REF!</definedName>
    <definedName name="ITAXRP_1996">#REF!</definedName>
    <definedName name="ITAXRP_1997">#REF!</definedName>
    <definedName name="ITAXRP_1998">#REF!</definedName>
    <definedName name="ITAXRP_1999">#REF!</definedName>
    <definedName name="ITAXRP_1Q00">#REF!</definedName>
    <definedName name="ITAXRP_1Q01">#REF!</definedName>
    <definedName name="ITAXRP_1Q02">#REF!</definedName>
    <definedName name="ITAXRP_1Q03">#REF!</definedName>
    <definedName name="ITAXRP_1Q04">#REF!</definedName>
    <definedName name="ITAXRP_1Q05">#REF!</definedName>
    <definedName name="ITAXRP_1Q06">#REF!</definedName>
    <definedName name="ITAXRP_1Q07">#REF!</definedName>
    <definedName name="ITAXRP_1Q08">#REF!</definedName>
    <definedName name="ITAXRP_1Q09">#REF!</definedName>
    <definedName name="ITAXRP_1Q10">#REF!</definedName>
    <definedName name="ITAXRP_1Q11">#REF!</definedName>
    <definedName name="ITAXRP_1Q12">#REF!</definedName>
    <definedName name="ITAXRP_1Q13">#REF!</definedName>
    <definedName name="ITAXRP_1Q14">#REF!</definedName>
    <definedName name="ITAXRP_1Q15">#REF!</definedName>
    <definedName name="ITAXRP_1Q16">#REF!</definedName>
    <definedName name="ITAXRP_1Q17">#REF!</definedName>
    <definedName name="ITAXRP_1Q18">#REF!</definedName>
    <definedName name="ITAXRP_1Q19">#REF!</definedName>
    <definedName name="ITAXRP_1Q20">#REF!</definedName>
    <definedName name="ITAXRP_1Q21">#REF!</definedName>
    <definedName name="ITAXRP_1Q22">#REF!</definedName>
    <definedName name="ITAXRP_1Q23">#REF!</definedName>
    <definedName name="ITAXRP_1Q24">#REF!</definedName>
    <definedName name="ITAXRP_2000">#REF!</definedName>
    <definedName name="ITAXRP_2001">#REF!</definedName>
    <definedName name="ITAXRP_2002">#REF!</definedName>
    <definedName name="ITAXRP_2003">#REF!</definedName>
    <definedName name="ITAXRP_2004">#REF!</definedName>
    <definedName name="ITAXRP_2005">#REF!</definedName>
    <definedName name="ITAXRP_2006">#REF!</definedName>
    <definedName name="ITAXRP_2007">#REF!</definedName>
    <definedName name="ITAXRP_2008">#REF!</definedName>
    <definedName name="ITAXRP_2009">#REF!</definedName>
    <definedName name="ITAXRP_2010">#REF!</definedName>
    <definedName name="ITAXRP_2011">#REF!</definedName>
    <definedName name="ITAXRP_2012">#REF!</definedName>
    <definedName name="ITAXRP_2013">#REF!</definedName>
    <definedName name="ITAXRP_2014">#REF!</definedName>
    <definedName name="ITAXRP_2015">#REF!</definedName>
    <definedName name="ITAXRP_2016">#REF!</definedName>
    <definedName name="ITAXRP_2017">#REF!</definedName>
    <definedName name="ITAXRP_2018">#REF!</definedName>
    <definedName name="ITAXRP_2019">#REF!</definedName>
    <definedName name="ITAXRP_2020">#REF!</definedName>
    <definedName name="ITAXRP_2021">#REF!</definedName>
    <definedName name="ITAXRP_2022">#REF!</definedName>
    <definedName name="ITAXRP_2023">#REF!</definedName>
    <definedName name="ITAXRP_2024">#REF!</definedName>
    <definedName name="ITAXRP_2Q00">#REF!</definedName>
    <definedName name="ITAXRP_2Q01">#REF!</definedName>
    <definedName name="ITAXRP_2Q02">#REF!</definedName>
    <definedName name="ITAXRP_2Q03">#REF!</definedName>
    <definedName name="ITAXRP_2Q04">#REF!</definedName>
    <definedName name="ITAXRP_2Q05">#REF!</definedName>
    <definedName name="ITAXRP_2Q06">#REF!</definedName>
    <definedName name="ITAXRP_2Q07">#REF!</definedName>
    <definedName name="ITAXRP_2Q08">#REF!</definedName>
    <definedName name="ITAXRP_2Q09">#REF!</definedName>
    <definedName name="ITAXRP_2Q10">#REF!</definedName>
    <definedName name="ITAXRP_2Q11">#REF!</definedName>
    <definedName name="ITAXRP_2Q12">#REF!</definedName>
    <definedName name="ITAXRP_2Q13">#REF!</definedName>
    <definedName name="ITAXRP_2Q14">#REF!</definedName>
    <definedName name="ITAXRP_2Q15">#REF!</definedName>
    <definedName name="ITAXRP_2Q16">#REF!</definedName>
    <definedName name="ITAXRP_2Q17">#REF!</definedName>
    <definedName name="ITAXRP_2Q18">#REF!</definedName>
    <definedName name="ITAXRP_2Q19">#REF!</definedName>
    <definedName name="ITAXRP_2Q20">#REF!</definedName>
    <definedName name="ITAXRP_2Q21">#REF!</definedName>
    <definedName name="ITAXRP_2Q22">#REF!</definedName>
    <definedName name="ITAXRP_2Q23">#REF!</definedName>
    <definedName name="ITAXRP_2Q24">#REF!</definedName>
    <definedName name="ITAXRP_3Q00">#REF!</definedName>
    <definedName name="ITAXRP_3Q01">#REF!</definedName>
    <definedName name="ITAXRP_3Q02">#REF!</definedName>
    <definedName name="ITAXRP_3Q03">#REF!</definedName>
    <definedName name="ITAXRP_3Q04">#REF!</definedName>
    <definedName name="ITAXRP_3Q05">#REF!</definedName>
    <definedName name="ITAXRP_3Q06">#REF!</definedName>
    <definedName name="ITAXRP_3Q07">#REF!</definedName>
    <definedName name="ITAXRP_3Q08">#REF!</definedName>
    <definedName name="ITAXRP_3Q09">#REF!</definedName>
    <definedName name="ITAXRP_3Q10">#REF!</definedName>
    <definedName name="ITAXRP_3Q11">#REF!</definedName>
    <definedName name="ITAXRP_3Q12">#REF!</definedName>
    <definedName name="ITAXRP_3Q13">#REF!</definedName>
    <definedName name="ITAXRP_3Q14">#REF!</definedName>
    <definedName name="ITAXRP_3Q15">#REF!</definedName>
    <definedName name="ITAXRP_3Q16">#REF!</definedName>
    <definedName name="ITAXRP_3Q17">#REF!</definedName>
    <definedName name="ITAXRP_3Q18">#REF!</definedName>
    <definedName name="ITAXRP_3Q19">#REF!</definedName>
    <definedName name="ITAXRP_3Q20">#REF!</definedName>
    <definedName name="ITAXRP_3Q21">#REF!</definedName>
    <definedName name="ITAXRP_3Q22">#REF!</definedName>
    <definedName name="ITAXRP_3Q23">#REF!</definedName>
    <definedName name="ITAXRP_3Q24">#REF!</definedName>
    <definedName name="ITAXRP_4Q00">#REF!</definedName>
    <definedName name="ITAXRP_4Q01">#REF!</definedName>
    <definedName name="ITAXRP_4Q02">#REF!</definedName>
    <definedName name="ITAXRP_4Q03">#REF!</definedName>
    <definedName name="ITAXRP_4Q04">#REF!</definedName>
    <definedName name="ITAXRP_4Q05">#REF!</definedName>
    <definedName name="ITAXRP_4Q06">#REF!</definedName>
    <definedName name="ITAXRP_4Q07">#REF!</definedName>
    <definedName name="ITAXRP_4Q08">#REF!</definedName>
    <definedName name="ITAXRP_4Q09">#REF!</definedName>
    <definedName name="ITAXRP_4Q10">#REF!</definedName>
    <definedName name="ITAXRP_4Q11">#REF!</definedName>
    <definedName name="ITAXRP_4Q12">#REF!</definedName>
    <definedName name="ITAXRP_4Q13">#REF!</definedName>
    <definedName name="ITAXRP_4Q14">#REF!</definedName>
    <definedName name="ITAXRP_4Q15">#REF!</definedName>
    <definedName name="ITAXRP_4Q16">#REF!</definedName>
    <definedName name="ITAXRP_4Q17">#REF!</definedName>
    <definedName name="ITAXRP_4Q18">#REF!</definedName>
    <definedName name="ITAXRP_4Q19">#REF!</definedName>
    <definedName name="ITAXRP_4Q20">#REF!</definedName>
    <definedName name="ITAXRP_4Q21">#REF!</definedName>
    <definedName name="ITAXRP_4Q22">#REF!</definedName>
    <definedName name="ITAXRP_4Q23">#REF!</definedName>
    <definedName name="ITAXRP_4Q24">#REF!</definedName>
    <definedName name="Item">#REF!</definedName>
    <definedName name="ITEM1_1995">#REF!</definedName>
    <definedName name="ITEM1_1996">#REF!</definedName>
    <definedName name="ITEM1_1997">#REF!</definedName>
    <definedName name="ITEM1_1998">#REF!</definedName>
    <definedName name="ITEM1_1999">#REF!</definedName>
    <definedName name="ITEM1_1Q00">#REF!</definedName>
    <definedName name="ITEM1_1Q01">#REF!</definedName>
    <definedName name="ITEM1_1Q02">#REF!</definedName>
    <definedName name="ITEM1_1Q03">#REF!</definedName>
    <definedName name="ITEM1_1Q04">#REF!</definedName>
    <definedName name="ITEM1_1Q05">#REF!</definedName>
    <definedName name="ITEM1_1Q06">#REF!</definedName>
    <definedName name="ITEM1_1Q07">#REF!</definedName>
    <definedName name="ITEM1_1Q08">#REF!</definedName>
    <definedName name="ITEM1_1Q09">#REF!</definedName>
    <definedName name="ITEM1_1Q10">#REF!</definedName>
    <definedName name="ITEM1_1Q11">#REF!</definedName>
    <definedName name="ITEM1_1Q12">#REF!</definedName>
    <definedName name="ITEM1_1Q13">#REF!</definedName>
    <definedName name="ITEM1_1Q14">#REF!</definedName>
    <definedName name="ITEM1_1Q15">#REF!</definedName>
    <definedName name="ITEM1_1Q16">#REF!</definedName>
    <definedName name="ITEM1_1Q17">#REF!</definedName>
    <definedName name="ITEM1_1Q18">#REF!</definedName>
    <definedName name="ITEM1_1Q19">#REF!</definedName>
    <definedName name="ITEM1_1Q20">#REF!</definedName>
    <definedName name="ITEM1_1Q21">#REF!</definedName>
    <definedName name="ITEM1_1Q22">#REF!</definedName>
    <definedName name="ITEM1_1Q23">#REF!</definedName>
    <definedName name="ITEM1_1Q24">#REF!</definedName>
    <definedName name="ITEM1_2000">#REF!</definedName>
    <definedName name="ITEM1_2001">#REF!</definedName>
    <definedName name="ITEM1_2002">#REF!</definedName>
    <definedName name="ITEM1_2003">#REF!</definedName>
    <definedName name="ITEM1_2004">#REF!</definedName>
    <definedName name="ITEM1_2005">#REF!</definedName>
    <definedName name="ITEM1_2006">#REF!</definedName>
    <definedName name="ITEM1_2007">#REF!</definedName>
    <definedName name="ITEM1_2008">#REF!</definedName>
    <definedName name="ITEM1_2009">#REF!</definedName>
    <definedName name="ITEM1_2010">#REF!</definedName>
    <definedName name="ITEM1_2011">#REF!</definedName>
    <definedName name="ITEM1_2012">#REF!</definedName>
    <definedName name="ITEM1_2013">#REF!</definedName>
    <definedName name="ITEM1_2014">#REF!</definedName>
    <definedName name="ITEM1_2015">#REF!</definedName>
    <definedName name="ITEM1_2016">#REF!</definedName>
    <definedName name="ITEM1_2017">#REF!</definedName>
    <definedName name="ITEM1_2018">#REF!</definedName>
    <definedName name="ITEM1_2019">#REF!</definedName>
    <definedName name="ITEM1_2020">#REF!</definedName>
    <definedName name="ITEM1_2021">#REF!</definedName>
    <definedName name="ITEM1_2022">#REF!</definedName>
    <definedName name="ITEM1_2023">#REF!</definedName>
    <definedName name="ITEM1_2024">#REF!</definedName>
    <definedName name="ITEM1_2Q00">#REF!</definedName>
    <definedName name="ITEM1_2Q01">#REF!</definedName>
    <definedName name="ITEM1_2Q02">#REF!</definedName>
    <definedName name="ITEM1_2Q03">#REF!</definedName>
    <definedName name="ITEM1_2Q04">#REF!</definedName>
    <definedName name="ITEM1_2Q05">#REF!</definedName>
    <definedName name="ITEM1_2Q06">#REF!</definedName>
    <definedName name="ITEM1_2Q07">#REF!</definedName>
    <definedName name="ITEM1_2Q08">#REF!</definedName>
    <definedName name="ITEM1_2Q09">#REF!</definedName>
    <definedName name="ITEM1_2Q10">#REF!</definedName>
    <definedName name="ITEM1_2Q11">#REF!</definedName>
    <definedName name="ITEM1_2Q12">#REF!</definedName>
    <definedName name="ITEM1_2Q13">#REF!</definedName>
    <definedName name="ITEM1_2Q14">#REF!</definedName>
    <definedName name="ITEM1_2Q15">#REF!</definedName>
    <definedName name="ITEM1_2Q16">#REF!</definedName>
    <definedName name="ITEM1_2Q17">#REF!</definedName>
    <definedName name="ITEM1_2Q18">#REF!</definedName>
    <definedName name="ITEM1_2Q19">#REF!</definedName>
    <definedName name="ITEM1_2Q20">#REF!</definedName>
    <definedName name="ITEM1_2Q21">#REF!</definedName>
    <definedName name="ITEM1_2Q22">#REF!</definedName>
    <definedName name="ITEM1_2Q23">#REF!</definedName>
    <definedName name="ITEM1_2Q24">#REF!</definedName>
    <definedName name="ITEM1_3Q00">#REF!</definedName>
    <definedName name="ITEM1_3Q01">#REF!</definedName>
    <definedName name="ITEM1_3Q02">#REF!</definedName>
    <definedName name="ITEM1_3Q03">#REF!</definedName>
    <definedName name="ITEM1_3Q04">#REF!</definedName>
    <definedName name="ITEM1_3Q05">#REF!</definedName>
    <definedName name="ITEM1_3Q06">#REF!</definedName>
    <definedName name="ITEM1_3Q07">#REF!</definedName>
    <definedName name="ITEM1_3Q08">#REF!</definedName>
    <definedName name="ITEM1_3Q09">#REF!</definedName>
    <definedName name="ITEM1_3Q10">#REF!</definedName>
    <definedName name="ITEM1_3Q11">#REF!</definedName>
    <definedName name="ITEM1_3Q12">#REF!</definedName>
    <definedName name="ITEM1_3Q13">#REF!</definedName>
    <definedName name="ITEM1_3Q14">#REF!</definedName>
    <definedName name="ITEM1_3Q15">#REF!</definedName>
    <definedName name="ITEM1_3Q16">#REF!</definedName>
    <definedName name="ITEM1_3Q17">#REF!</definedName>
    <definedName name="ITEM1_3Q18">#REF!</definedName>
    <definedName name="ITEM1_3Q19">#REF!</definedName>
    <definedName name="ITEM1_3Q20">#REF!</definedName>
    <definedName name="ITEM1_3Q21">#REF!</definedName>
    <definedName name="ITEM1_3Q22">#REF!</definedName>
    <definedName name="ITEM1_3Q23">#REF!</definedName>
    <definedName name="ITEM1_3Q24">#REF!</definedName>
    <definedName name="ITEM1_4Q00">#REF!</definedName>
    <definedName name="ITEM1_4Q01">#REF!</definedName>
    <definedName name="ITEM1_4Q02">#REF!</definedName>
    <definedName name="ITEM1_4Q03">#REF!</definedName>
    <definedName name="ITEM1_4Q04">#REF!</definedName>
    <definedName name="ITEM1_4Q05">#REF!</definedName>
    <definedName name="ITEM1_4Q06">#REF!</definedName>
    <definedName name="ITEM1_4Q07">#REF!</definedName>
    <definedName name="ITEM1_4Q08">#REF!</definedName>
    <definedName name="ITEM1_4Q09">#REF!</definedName>
    <definedName name="ITEM1_4Q10">#REF!</definedName>
    <definedName name="ITEM1_4Q11">#REF!</definedName>
    <definedName name="ITEM1_4Q12">#REF!</definedName>
    <definedName name="ITEM1_4Q13">#REF!</definedName>
    <definedName name="ITEM1_4Q14">#REF!</definedName>
    <definedName name="ITEM1_4Q15">#REF!</definedName>
    <definedName name="ITEM1_4Q16">#REF!</definedName>
    <definedName name="ITEM1_4Q17">#REF!</definedName>
    <definedName name="ITEM1_4Q18">#REF!</definedName>
    <definedName name="ITEM1_4Q19">#REF!</definedName>
    <definedName name="ITEM1_4Q20">#REF!</definedName>
    <definedName name="ITEM1_4Q21">#REF!</definedName>
    <definedName name="ITEM1_4Q22">#REF!</definedName>
    <definedName name="ITEM1_4Q23">#REF!</definedName>
    <definedName name="ITEM1_4Q24">#REF!</definedName>
    <definedName name="ITEM10_1995">#REF!</definedName>
    <definedName name="ITEM10_1996">#REF!</definedName>
    <definedName name="ITEM10_1997">#REF!</definedName>
    <definedName name="ITEM10_1998">#REF!</definedName>
    <definedName name="ITEM10_1999">#REF!</definedName>
    <definedName name="ITEM10_1Q00">#REF!</definedName>
    <definedName name="ITEM10_1Q01">#REF!</definedName>
    <definedName name="ITEM10_1Q02">#REF!</definedName>
    <definedName name="ITEM10_1Q03">#REF!</definedName>
    <definedName name="ITEM10_1Q04">#REF!</definedName>
    <definedName name="ITEM10_1Q05">#REF!</definedName>
    <definedName name="ITEM10_1Q06">#REF!</definedName>
    <definedName name="ITEM10_1Q07">#REF!</definedName>
    <definedName name="ITEM10_1Q08">#REF!</definedName>
    <definedName name="ITEM10_1Q09">#REF!</definedName>
    <definedName name="ITEM10_1Q10">#REF!</definedName>
    <definedName name="ITEM10_1Q11">#REF!</definedName>
    <definedName name="ITEM10_1Q12">#REF!</definedName>
    <definedName name="ITEM10_1Q13">#REF!</definedName>
    <definedName name="ITEM10_1Q14">#REF!</definedName>
    <definedName name="ITEM10_1Q15">#REF!</definedName>
    <definedName name="ITEM10_1Q16">#REF!</definedName>
    <definedName name="ITEM10_1Q17">#REF!</definedName>
    <definedName name="ITEM10_1Q18">#REF!</definedName>
    <definedName name="ITEM10_1Q19">#REF!</definedName>
    <definedName name="ITEM10_1Q20">#REF!</definedName>
    <definedName name="ITEM10_1Q21">#REF!</definedName>
    <definedName name="ITEM10_1Q22">#REF!</definedName>
    <definedName name="ITEM10_1Q23">#REF!</definedName>
    <definedName name="ITEM10_1Q24">#REF!</definedName>
    <definedName name="ITEM10_2000">#REF!</definedName>
    <definedName name="ITEM10_2001">#REF!</definedName>
    <definedName name="ITEM10_2002">#REF!</definedName>
    <definedName name="ITEM10_2003">#REF!</definedName>
    <definedName name="ITEM10_2004">#REF!</definedName>
    <definedName name="ITEM10_2005">#REF!</definedName>
    <definedName name="ITEM10_2006">#REF!</definedName>
    <definedName name="ITEM10_2007">#REF!</definedName>
    <definedName name="ITEM10_2008">#REF!</definedName>
    <definedName name="ITEM10_2009">#REF!</definedName>
    <definedName name="ITEM10_2010">#REF!</definedName>
    <definedName name="ITEM10_2011">#REF!</definedName>
    <definedName name="ITEM10_2012">#REF!</definedName>
    <definedName name="ITEM10_2013">#REF!</definedName>
    <definedName name="ITEM10_2014">#REF!</definedName>
    <definedName name="ITEM10_2015">#REF!</definedName>
    <definedName name="ITEM10_2016">#REF!</definedName>
    <definedName name="ITEM10_2017">#REF!</definedName>
    <definedName name="ITEM10_2018">#REF!</definedName>
    <definedName name="ITEM10_2019">#REF!</definedName>
    <definedName name="ITEM10_2020">#REF!</definedName>
    <definedName name="ITEM10_2021">#REF!</definedName>
    <definedName name="ITEM10_2022">#REF!</definedName>
    <definedName name="ITEM10_2023">#REF!</definedName>
    <definedName name="ITEM10_2024">#REF!</definedName>
    <definedName name="ITEM10_2Q00">#REF!</definedName>
    <definedName name="ITEM10_2Q01">#REF!</definedName>
    <definedName name="ITEM10_2Q02">#REF!</definedName>
    <definedName name="ITEM10_2Q03">#REF!</definedName>
    <definedName name="ITEM10_2Q04">#REF!</definedName>
    <definedName name="ITEM10_2Q05">#REF!</definedName>
    <definedName name="ITEM10_2Q06">#REF!</definedName>
    <definedName name="ITEM10_2Q07">#REF!</definedName>
    <definedName name="ITEM10_2Q08">#REF!</definedName>
    <definedName name="ITEM10_2Q09">#REF!</definedName>
    <definedName name="ITEM10_2Q10">#REF!</definedName>
    <definedName name="ITEM10_2Q11">#REF!</definedName>
    <definedName name="ITEM10_2Q12">#REF!</definedName>
    <definedName name="ITEM10_2Q13">#REF!</definedName>
    <definedName name="ITEM10_2Q14">#REF!</definedName>
    <definedName name="ITEM10_2Q15">#REF!</definedName>
    <definedName name="ITEM10_2Q16">#REF!</definedName>
    <definedName name="ITEM10_2Q17">#REF!</definedName>
    <definedName name="ITEM10_2Q18">#REF!</definedName>
    <definedName name="ITEM10_2Q19">#REF!</definedName>
    <definedName name="ITEM10_2Q20">#REF!</definedName>
    <definedName name="ITEM10_2Q21">#REF!</definedName>
    <definedName name="ITEM10_2Q22">#REF!</definedName>
    <definedName name="ITEM10_2Q23">#REF!</definedName>
    <definedName name="ITEM10_2Q24">#REF!</definedName>
    <definedName name="ITEM10_3Q00">#REF!</definedName>
    <definedName name="ITEM10_3Q01">#REF!</definedName>
    <definedName name="ITEM10_3Q02">#REF!</definedName>
    <definedName name="ITEM10_3Q03">#REF!</definedName>
    <definedName name="ITEM10_3Q04">#REF!</definedName>
    <definedName name="ITEM10_3Q05">#REF!</definedName>
    <definedName name="ITEM10_3Q06">#REF!</definedName>
    <definedName name="ITEM10_3Q07">#REF!</definedName>
    <definedName name="ITEM10_3Q08">#REF!</definedName>
    <definedName name="ITEM10_3Q09">#REF!</definedName>
    <definedName name="ITEM10_3Q10">#REF!</definedName>
    <definedName name="ITEM10_3Q11">#REF!</definedName>
    <definedName name="ITEM10_3Q12">#REF!</definedName>
    <definedName name="ITEM10_3Q13">#REF!</definedName>
    <definedName name="ITEM10_3Q14">#REF!</definedName>
    <definedName name="ITEM10_3Q15">#REF!</definedName>
    <definedName name="ITEM10_3Q16">#REF!</definedName>
    <definedName name="ITEM10_3Q17">#REF!</definedName>
    <definedName name="ITEM10_3Q18">#REF!</definedName>
    <definedName name="ITEM10_3Q19">#REF!</definedName>
    <definedName name="ITEM10_3Q20">#REF!</definedName>
    <definedName name="ITEM10_3Q21">#REF!</definedName>
    <definedName name="ITEM10_3Q22">#REF!</definedName>
    <definedName name="ITEM10_3Q23">#REF!</definedName>
    <definedName name="ITEM10_3Q24">#REF!</definedName>
    <definedName name="ITEM10_4Q00">#REF!</definedName>
    <definedName name="ITEM10_4Q01">#REF!</definedName>
    <definedName name="ITEM10_4Q02">#REF!</definedName>
    <definedName name="ITEM10_4Q03">#REF!</definedName>
    <definedName name="ITEM10_4Q04">#REF!</definedName>
    <definedName name="ITEM10_4Q05">#REF!</definedName>
    <definedName name="ITEM10_4Q06">#REF!</definedName>
    <definedName name="ITEM10_4Q07">#REF!</definedName>
    <definedName name="ITEM10_4Q08">#REF!</definedName>
    <definedName name="ITEM10_4Q09">#REF!</definedName>
    <definedName name="ITEM10_4Q10">#REF!</definedName>
    <definedName name="ITEM10_4Q11">#REF!</definedName>
    <definedName name="ITEM10_4Q12">#REF!</definedName>
    <definedName name="ITEM10_4Q13">#REF!</definedName>
    <definedName name="ITEM10_4Q14">#REF!</definedName>
    <definedName name="ITEM10_4Q15">#REF!</definedName>
    <definedName name="ITEM10_4Q16">#REF!</definedName>
    <definedName name="ITEM10_4Q17">#REF!</definedName>
    <definedName name="ITEM10_4Q18">#REF!</definedName>
    <definedName name="ITEM10_4Q19">#REF!</definedName>
    <definedName name="ITEM10_4Q20">#REF!</definedName>
    <definedName name="ITEM10_4Q21">#REF!</definedName>
    <definedName name="ITEM10_4Q22">#REF!</definedName>
    <definedName name="ITEM10_4Q23">#REF!</definedName>
    <definedName name="ITEM10_4Q24">#REF!</definedName>
    <definedName name="ITEM11_1995">#REF!</definedName>
    <definedName name="ITEM11_1996">#REF!</definedName>
    <definedName name="ITEM11_1997">#REF!</definedName>
    <definedName name="ITEM11_1998">#REF!</definedName>
    <definedName name="ITEM11_1999">#REF!</definedName>
    <definedName name="ITEM11_1Q00">#REF!</definedName>
    <definedName name="ITEM11_1Q01">#REF!</definedName>
    <definedName name="ITEM11_1Q02">#REF!</definedName>
    <definedName name="ITEM11_1Q03">#REF!</definedName>
    <definedName name="ITEM11_1Q04">#REF!</definedName>
    <definedName name="ITEM11_1Q05">#REF!</definedName>
    <definedName name="ITEM11_1Q06">#REF!</definedName>
    <definedName name="ITEM11_1Q07">#REF!</definedName>
    <definedName name="ITEM11_1Q08">#REF!</definedName>
    <definedName name="ITEM11_1Q09">#REF!</definedName>
    <definedName name="ITEM11_1Q10">#REF!</definedName>
    <definedName name="ITEM11_1Q11">#REF!</definedName>
    <definedName name="ITEM11_1Q12">#REF!</definedName>
    <definedName name="ITEM11_1Q13">#REF!</definedName>
    <definedName name="ITEM11_1Q14">#REF!</definedName>
    <definedName name="ITEM11_1Q15">#REF!</definedName>
    <definedName name="ITEM11_1Q16">#REF!</definedName>
    <definedName name="ITEM11_1Q17">#REF!</definedName>
    <definedName name="ITEM11_1Q18">#REF!</definedName>
    <definedName name="ITEM11_1Q19">#REF!</definedName>
    <definedName name="ITEM11_1Q20">#REF!</definedName>
    <definedName name="ITEM11_1Q21">#REF!</definedName>
    <definedName name="ITEM11_1Q22">#REF!</definedName>
    <definedName name="ITEM11_1Q23">#REF!</definedName>
    <definedName name="ITEM11_1Q24">#REF!</definedName>
    <definedName name="ITEM11_2000">#REF!</definedName>
    <definedName name="ITEM11_2001">#REF!</definedName>
    <definedName name="ITEM11_2002">#REF!</definedName>
    <definedName name="ITEM11_2003">#REF!</definedName>
    <definedName name="ITEM11_2004">#REF!</definedName>
    <definedName name="ITEM11_2005">#REF!</definedName>
    <definedName name="ITEM11_2006">#REF!</definedName>
    <definedName name="ITEM11_2007">#REF!</definedName>
    <definedName name="ITEM11_2008">#REF!</definedName>
    <definedName name="ITEM11_2009">#REF!</definedName>
    <definedName name="ITEM11_2010">#REF!</definedName>
    <definedName name="ITEM11_2011">#REF!</definedName>
    <definedName name="ITEM11_2012">#REF!</definedName>
    <definedName name="ITEM11_2013">#REF!</definedName>
    <definedName name="ITEM11_2014">#REF!</definedName>
    <definedName name="ITEM11_2015">#REF!</definedName>
    <definedName name="ITEM11_2016">#REF!</definedName>
    <definedName name="ITEM11_2017">#REF!</definedName>
    <definedName name="ITEM11_2018">#REF!</definedName>
    <definedName name="ITEM11_2019">#REF!</definedName>
    <definedName name="ITEM11_2020">#REF!</definedName>
    <definedName name="ITEM11_2021">#REF!</definedName>
    <definedName name="ITEM11_2022">#REF!</definedName>
    <definedName name="ITEM11_2023">#REF!</definedName>
    <definedName name="ITEM11_2024">#REF!</definedName>
    <definedName name="ITEM11_2Q00">#REF!</definedName>
    <definedName name="ITEM11_2Q01">#REF!</definedName>
    <definedName name="ITEM11_2Q02">#REF!</definedName>
    <definedName name="ITEM11_2Q03">#REF!</definedName>
    <definedName name="ITEM11_2Q04">#REF!</definedName>
    <definedName name="ITEM11_2Q05">#REF!</definedName>
    <definedName name="ITEM11_2Q06">#REF!</definedName>
    <definedName name="ITEM11_2Q07">#REF!</definedName>
    <definedName name="ITEM11_2Q08">#REF!</definedName>
    <definedName name="ITEM11_2Q09">#REF!</definedName>
    <definedName name="ITEM11_2Q10">#REF!</definedName>
    <definedName name="ITEM11_2Q11">#REF!</definedName>
    <definedName name="ITEM11_2Q12">#REF!</definedName>
    <definedName name="ITEM11_2Q13">#REF!</definedName>
    <definedName name="ITEM11_2Q14">#REF!</definedName>
    <definedName name="ITEM11_2Q15">#REF!</definedName>
    <definedName name="ITEM11_2Q16">#REF!</definedName>
    <definedName name="ITEM11_2Q17">#REF!</definedName>
    <definedName name="ITEM11_2Q18">#REF!</definedName>
    <definedName name="ITEM11_2Q19">#REF!</definedName>
    <definedName name="ITEM11_2Q20">#REF!</definedName>
    <definedName name="ITEM11_2Q21">#REF!</definedName>
    <definedName name="ITEM11_2Q22">#REF!</definedName>
    <definedName name="ITEM11_2Q23">#REF!</definedName>
    <definedName name="ITEM11_2Q24">#REF!</definedName>
    <definedName name="ITEM11_3Q00">#REF!</definedName>
    <definedName name="ITEM11_3Q01">#REF!</definedName>
    <definedName name="ITEM11_3Q02">#REF!</definedName>
    <definedName name="ITEM11_3Q03">#REF!</definedName>
    <definedName name="ITEM11_3Q04">#REF!</definedName>
    <definedName name="ITEM11_3Q05">#REF!</definedName>
    <definedName name="ITEM11_3Q06">#REF!</definedName>
    <definedName name="ITEM11_3Q07">#REF!</definedName>
    <definedName name="ITEM11_3Q08">#REF!</definedName>
    <definedName name="ITEM11_3Q09">#REF!</definedName>
    <definedName name="ITEM11_3Q10">#REF!</definedName>
    <definedName name="ITEM11_3Q11">#REF!</definedName>
    <definedName name="ITEM11_3Q12">#REF!</definedName>
    <definedName name="ITEM11_3Q13">#REF!</definedName>
    <definedName name="ITEM11_3Q14">#REF!</definedName>
    <definedName name="ITEM11_3Q15">#REF!</definedName>
    <definedName name="ITEM11_3Q16">#REF!</definedName>
    <definedName name="ITEM11_3Q17">#REF!</definedName>
    <definedName name="ITEM11_3Q18">#REF!</definedName>
    <definedName name="ITEM11_3Q19">#REF!</definedName>
    <definedName name="ITEM11_3Q20">#REF!</definedName>
    <definedName name="ITEM11_3Q21">#REF!</definedName>
    <definedName name="ITEM11_3Q22">#REF!</definedName>
    <definedName name="ITEM11_3Q23">#REF!</definedName>
    <definedName name="ITEM11_3Q24">#REF!</definedName>
    <definedName name="ITEM11_4Q00">#REF!</definedName>
    <definedName name="ITEM11_4Q01">#REF!</definedName>
    <definedName name="ITEM11_4Q02">#REF!</definedName>
    <definedName name="ITEM11_4Q03">#REF!</definedName>
    <definedName name="ITEM11_4Q04">#REF!</definedName>
    <definedName name="ITEM11_4Q05">#REF!</definedName>
    <definedName name="ITEM11_4Q06">#REF!</definedName>
    <definedName name="ITEM11_4Q07">#REF!</definedName>
    <definedName name="ITEM11_4Q08">#REF!</definedName>
    <definedName name="ITEM11_4Q09">#REF!</definedName>
    <definedName name="ITEM11_4Q10">#REF!</definedName>
    <definedName name="ITEM11_4Q11">#REF!</definedName>
    <definedName name="ITEM11_4Q12">#REF!</definedName>
    <definedName name="ITEM11_4Q13">#REF!</definedName>
    <definedName name="ITEM11_4Q14">#REF!</definedName>
    <definedName name="ITEM11_4Q15">#REF!</definedName>
    <definedName name="ITEM11_4Q16">#REF!</definedName>
    <definedName name="ITEM11_4Q17">#REF!</definedName>
    <definedName name="ITEM11_4Q18">#REF!</definedName>
    <definedName name="ITEM11_4Q19">#REF!</definedName>
    <definedName name="ITEM11_4Q20">#REF!</definedName>
    <definedName name="ITEM11_4Q21">#REF!</definedName>
    <definedName name="ITEM11_4Q22">#REF!</definedName>
    <definedName name="ITEM11_4Q23">#REF!</definedName>
    <definedName name="ITEM11_4Q24">#REF!</definedName>
    <definedName name="ITEM12_1995">#REF!</definedName>
    <definedName name="ITEM12_1996">#REF!</definedName>
    <definedName name="ITEM12_1997">#REF!</definedName>
    <definedName name="ITEM12_1998">#REF!</definedName>
    <definedName name="ITEM12_1999">#REF!</definedName>
    <definedName name="ITEM12_1Q00">#REF!</definedName>
    <definedName name="ITEM12_1Q01">#REF!</definedName>
    <definedName name="ITEM12_1Q02">#REF!</definedName>
    <definedName name="ITEM12_1Q03">#REF!</definedName>
    <definedName name="ITEM12_1Q04">#REF!</definedName>
    <definedName name="ITEM12_1Q05">#REF!</definedName>
    <definedName name="ITEM12_1Q06">#REF!</definedName>
    <definedName name="ITEM12_1Q07">#REF!</definedName>
    <definedName name="ITEM12_1Q08">#REF!</definedName>
    <definedName name="ITEM12_1Q09">#REF!</definedName>
    <definedName name="ITEM12_1Q10">#REF!</definedName>
    <definedName name="ITEM12_1Q11">#REF!</definedName>
    <definedName name="ITEM12_1Q12">#REF!</definedName>
    <definedName name="ITEM12_1Q13">#REF!</definedName>
    <definedName name="ITEM12_1Q14">#REF!</definedName>
    <definedName name="ITEM12_1Q15">#REF!</definedName>
    <definedName name="ITEM12_1Q16">#REF!</definedName>
    <definedName name="ITEM12_1Q17">#REF!</definedName>
    <definedName name="ITEM12_1Q18">#REF!</definedName>
    <definedName name="ITEM12_1Q19">#REF!</definedName>
    <definedName name="ITEM12_1Q20">#REF!</definedName>
    <definedName name="ITEM12_1Q21">#REF!</definedName>
    <definedName name="ITEM12_1Q22">#REF!</definedName>
    <definedName name="ITEM12_1Q23">#REF!</definedName>
    <definedName name="ITEM12_1Q24">#REF!</definedName>
    <definedName name="ITEM12_2000">#REF!</definedName>
    <definedName name="ITEM12_2001">#REF!</definedName>
    <definedName name="ITEM12_2002">#REF!</definedName>
    <definedName name="ITEM12_2003">#REF!</definedName>
    <definedName name="ITEM12_2004">#REF!</definedName>
    <definedName name="ITEM12_2005">#REF!</definedName>
    <definedName name="ITEM12_2006">#REF!</definedName>
    <definedName name="ITEM12_2007">#REF!</definedName>
    <definedName name="ITEM12_2008">#REF!</definedName>
    <definedName name="ITEM12_2009">#REF!</definedName>
    <definedName name="ITEM12_2010">#REF!</definedName>
    <definedName name="ITEM12_2011">#REF!</definedName>
    <definedName name="ITEM12_2012">#REF!</definedName>
    <definedName name="ITEM12_2013">#REF!</definedName>
    <definedName name="ITEM12_2014">#REF!</definedName>
    <definedName name="ITEM12_2015">#REF!</definedName>
    <definedName name="ITEM12_2016">#REF!</definedName>
    <definedName name="ITEM12_2017">#REF!</definedName>
    <definedName name="ITEM12_2018">#REF!</definedName>
    <definedName name="ITEM12_2019">#REF!</definedName>
    <definedName name="ITEM12_2020">#REF!</definedName>
    <definedName name="ITEM12_2021">#REF!</definedName>
    <definedName name="ITEM12_2022">#REF!</definedName>
    <definedName name="ITEM12_2023">#REF!</definedName>
    <definedName name="ITEM12_2024">#REF!</definedName>
    <definedName name="ITEM12_2Q00">#REF!</definedName>
    <definedName name="ITEM12_2Q01">#REF!</definedName>
    <definedName name="ITEM12_2Q02">#REF!</definedName>
    <definedName name="ITEM12_2Q03">#REF!</definedName>
    <definedName name="ITEM12_2Q04">#REF!</definedName>
    <definedName name="ITEM12_2Q05">#REF!</definedName>
    <definedName name="ITEM12_2Q06">#REF!</definedName>
    <definedName name="ITEM12_2Q07">#REF!</definedName>
    <definedName name="ITEM12_2Q08">#REF!</definedName>
    <definedName name="ITEM12_2Q09">#REF!</definedName>
    <definedName name="ITEM12_2Q10">#REF!</definedName>
    <definedName name="ITEM12_2Q11">#REF!</definedName>
    <definedName name="ITEM12_2Q12">#REF!</definedName>
    <definedName name="ITEM12_2Q13">#REF!</definedName>
    <definedName name="ITEM12_2Q14">#REF!</definedName>
    <definedName name="ITEM12_2Q15">#REF!</definedName>
    <definedName name="ITEM12_2Q16">#REF!</definedName>
    <definedName name="ITEM12_2Q17">#REF!</definedName>
    <definedName name="ITEM12_2Q18">#REF!</definedName>
    <definedName name="ITEM12_2Q19">#REF!</definedName>
    <definedName name="ITEM12_2Q20">#REF!</definedName>
    <definedName name="ITEM12_2Q21">#REF!</definedName>
    <definedName name="ITEM12_2Q22">#REF!</definedName>
    <definedName name="ITEM12_2Q23">#REF!</definedName>
    <definedName name="ITEM12_2Q24">#REF!</definedName>
    <definedName name="ITEM12_3Q00">#REF!</definedName>
    <definedName name="ITEM12_3Q01">#REF!</definedName>
    <definedName name="ITEM12_3Q02">#REF!</definedName>
    <definedName name="ITEM12_3Q03">#REF!</definedName>
    <definedName name="ITEM12_3Q04">#REF!</definedName>
    <definedName name="ITEM12_3Q05">#REF!</definedName>
    <definedName name="ITEM12_3Q06">#REF!</definedName>
    <definedName name="ITEM12_3Q07">#REF!</definedName>
    <definedName name="ITEM12_3Q08">#REF!</definedName>
    <definedName name="ITEM12_3Q09">#REF!</definedName>
    <definedName name="ITEM12_3Q10">#REF!</definedName>
    <definedName name="ITEM12_3Q11">#REF!</definedName>
    <definedName name="ITEM12_3Q12">#REF!</definedName>
    <definedName name="ITEM12_3Q13">#REF!</definedName>
    <definedName name="ITEM12_3Q14">#REF!</definedName>
    <definedName name="ITEM12_3Q15">#REF!</definedName>
    <definedName name="ITEM12_3Q16">#REF!</definedName>
    <definedName name="ITEM12_3Q17">#REF!</definedName>
    <definedName name="ITEM12_3Q18">#REF!</definedName>
    <definedName name="ITEM12_3Q19">#REF!</definedName>
    <definedName name="ITEM12_3Q20">#REF!</definedName>
    <definedName name="ITEM12_3Q21">#REF!</definedName>
    <definedName name="ITEM12_3Q22">#REF!</definedName>
    <definedName name="ITEM12_3Q23">#REF!</definedName>
    <definedName name="ITEM12_3Q24">#REF!</definedName>
    <definedName name="ITEM12_4Q00">#REF!</definedName>
    <definedName name="ITEM12_4Q01">#REF!</definedName>
    <definedName name="ITEM12_4Q02">#REF!</definedName>
    <definedName name="ITEM12_4Q03">#REF!</definedName>
    <definedName name="ITEM12_4Q04">#REF!</definedName>
    <definedName name="ITEM12_4Q05">#REF!</definedName>
    <definedName name="ITEM12_4Q06">#REF!</definedName>
    <definedName name="ITEM12_4Q07">#REF!</definedName>
    <definedName name="ITEM12_4Q08">#REF!</definedName>
    <definedName name="ITEM12_4Q09">#REF!</definedName>
    <definedName name="ITEM12_4Q10">#REF!</definedName>
    <definedName name="ITEM12_4Q11">#REF!</definedName>
    <definedName name="ITEM12_4Q12">#REF!</definedName>
    <definedName name="ITEM12_4Q13">#REF!</definedName>
    <definedName name="ITEM12_4Q14">#REF!</definedName>
    <definedName name="ITEM12_4Q15">#REF!</definedName>
    <definedName name="ITEM12_4Q16">#REF!</definedName>
    <definedName name="ITEM12_4Q17">#REF!</definedName>
    <definedName name="ITEM12_4Q18">#REF!</definedName>
    <definedName name="ITEM12_4Q19">#REF!</definedName>
    <definedName name="ITEM12_4Q20">#REF!</definedName>
    <definedName name="ITEM12_4Q21">#REF!</definedName>
    <definedName name="ITEM12_4Q22">#REF!</definedName>
    <definedName name="ITEM12_4Q23">#REF!</definedName>
    <definedName name="ITEM12_4Q24">#REF!</definedName>
    <definedName name="ITEM13_1995">#REF!</definedName>
    <definedName name="ITEM13_1996">#REF!</definedName>
    <definedName name="ITEM13_1997">#REF!</definedName>
    <definedName name="ITEM13_1998">#REF!</definedName>
    <definedName name="ITEM13_1999">#REF!</definedName>
    <definedName name="ITEM13_1Q00">#REF!</definedName>
    <definedName name="ITEM13_1Q01">#REF!</definedName>
    <definedName name="ITEM13_1Q02">#REF!</definedName>
    <definedName name="ITEM13_1Q03">#REF!</definedName>
    <definedName name="ITEM13_1Q04">#REF!</definedName>
    <definedName name="ITEM13_1Q05">#REF!</definedName>
    <definedName name="ITEM13_1Q06">#REF!</definedName>
    <definedName name="ITEM13_1Q07">#REF!</definedName>
    <definedName name="ITEM13_1Q08">#REF!</definedName>
    <definedName name="ITEM13_1Q09">#REF!</definedName>
    <definedName name="ITEM13_1Q10">#REF!</definedName>
    <definedName name="ITEM13_1Q11">#REF!</definedName>
    <definedName name="ITEM13_1Q12">#REF!</definedName>
    <definedName name="ITEM13_1Q13">#REF!</definedName>
    <definedName name="ITEM13_1Q14">#REF!</definedName>
    <definedName name="ITEM13_1Q15">#REF!</definedName>
    <definedName name="ITEM13_1Q16">#REF!</definedName>
    <definedName name="ITEM13_1Q17">#REF!</definedName>
    <definedName name="ITEM13_1Q18">#REF!</definedName>
    <definedName name="ITEM13_1Q19">#REF!</definedName>
    <definedName name="ITEM13_1Q20">#REF!</definedName>
    <definedName name="ITEM13_1Q21">#REF!</definedName>
    <definedName name="ITEM13_1Q22">#REF!</definedName>
    <definedName name="ITEM13_1Q23">#REF!</definedName>
    <definedName name="ITEM13_1Q24">#REF!</definedName>
    <definedName name="ITEM13_2000">#REF!</definedName>
    <definedName name="ITEM13_2001">#REF!</definedName>
    <definedName name="ITEM13_2002">#REF!</definedName>
    <definedName name="ITEM13_2003">#REF!</definedName>
    <definedName name="ITEM13_2004">#REF!</definedName>
    <definedName name="ITEM13_2005">#REF!</definedName>
    <definedName name="ITEM13_2006">#REF!</definedName>
    <definedName name="ITEM13_2007">#REF!</definedName>
    <definedName name="ITEM13_2008">#REF!</definedName>
    <definedName name="ITEM13_2009">#REF!</definedName>
    <definedName name="ITEM13_2010">#REF!</definedName>
    <definedName name="ITEM13_2011">#REF!</definedName>
    <definedName name="ITEM13_2012">#REF!</definedName>
    <definedName name="ITEM13_2013">#REF!</definedName>
    <definedName name="ITEM13_2014">#REF!</definedName>
    <definedName name="ITEM13_2015">#REF!</definedName>
    <definedName name="ITEM13_2016">#REF!</definedName>
    <definedName name="ITEM13_2017">#REF!</definedName>
    <definedName name="ITEM13_2018">#REF!</definedName>
    <definedName name="ITEM13_2019">#REF!</definedName>
    <definedName name="ITEM13_2020">#REF!</definedName>
    <definedName name="ITEM13_2021">#REF!</definedName>
    <definedName name="ITEM13_2022">#REF!</definedName>
    <definedName name="ITEM13_2023">#REF!</definedName>
    <definedName name="ITEM13_2024">#REF!</definedName>
    <definedName name="ITEM13_2Q00">#REF!</definedName>
    <definedName name="ITEM13_2Q01">#REF!</definedName>
    <definedName name="ITEM13_2Q02">#REF!</definedName>
    <definedName name="ITEM13_2Q03">#REF!</definedName>
    <definedName name="ITEM13_2Q04">#REF!</definedName>
    <definedName name="ITEM13_2Q05">#REF!</definedName>
    <definedName name="ITEM13_2Q06">#REF!</definedName>
    <definedName name="ITEM13_2Q07">#REF!</definedName>
    <definedName name="ITEM13_2Q08">#REF!</definedName>
    <definedName name="ITEM13_2Q09">#REF!</definedName>
    <definedName name="ITEM13_2Q10">#REF!</definedName>
    <definedName name="ITEM13_2Q11">#REF!</definedName>
    <definedName name="ITEM13_2Q12">#REF!</definedName>
    <definedName name="ITEM13_2Q13">#REF!</definedName>
    <definedName name="ITEM13_2Q14">#REF!</definedName>
    <definedName name="ITEM13_2Q15">#REF!</definedName>
    <definedName name="ITEM13_2Q16">#REF!</definedName>
    <definedName name="ITEM13_2Q17">#REF!</definedName>
    <definedName name="ITEM13_2Q18">#REF!</definedName>
    <definedName name="ITEM13_2Q19">#REF!</definedName>
    <definedName name="ITEM13_2Q20">#REF!</definedName>
    <definedName name="ITEM13_2Q21">#REF!</definedName>
    <definedName name="ITEM13_2Q22">#REF!</definedName>
    <definedName name="ITEM13_2Q23">#REF!</definedName>
    <definedName name="ITEM13_2Q24">#REF!</definedName>
    <definedName name="ITEM13_3Q00">#REF!</definedName>
    <definedName name="ITEM13_3Q01">#REF!</definedName>
    <definedName name="ITEM13_3Q02">#REF!</definedName>
    <definedName name="ITEM13_3Q03">#REF!</definedName>
    <definedName name="ITEM13_3Q04">#REF!</definedName>
    <definedName name="ITEM13_3Q05">#REF!</definedName>
    <definedName name="ITEM13_3Q06">#REF!</definedName>
    <definedName name="ITEM13_3Q07">#REF!</definedName>
    <definedName name="ITEM13_3Q08">#REF!</definedName>
    <definedName name="ITEM13_3Q09">#REF!</definedName>
    <definedName name="ITEM13_3Q10">#REF!</definedName>
    <definedName name="ITEM13_3Q11">#REF!</definedName>
    <definedName name="ITEM13_3Q12">#REF!</definedName>
    <definedName name="ITEM13_3Q13">#REF!</definedName>
    <definedName name="ITEM13_3Q14">#REF!</definedName>
    <definedName name="ITEM13_3Q15">#REF!</definedName>
    <definedName name="ITEM13_3Q16">#REF!</definedName>
    <definedName name="ITEM13_3Q17">#REF!</definedName>
    <definedName name="ITEM13_3Q18">#REF!</definedName>
    <definedName name="ITEM13_3Q19">#REF!</definedName>
    <definedName name="ITEM13_3Q20">#REF!</definedName>
    <definedName name="ITEM13_3Q21">#REF!</definedName>
    <definedName name="ITEM13_3Q22">#REF!</definedName>
    <definedName name="ITEM13_3Q23">#REF!</definedName>
    <definedName name="ITEM13_3Q24">#REF!</definedName>
    <definedName name="ITEM13_4Q00">#REF!</definedName>
    <definedName name="ITEM13_4Q01">#REF!</definedName>
    <definedName name="ITEM13_4Q02">#REF!</definedName>
    <definedName name="ITEM13_4Q03">#REF!</definedName>
    <definedName name="ITEM13_4Q04">#REF!</definedName>
    <definedName name="ITEM13_4Q05">#REF!</definedName>
    <definedName name="ITEM13_4Q06">#REF!</definedName>
    <definedName name="ITEM13_4Q07">#REF!</definedName>
    <definedName name="ITEM13_4Q08">#REF!</definedName>
    <definedName name="ITEM13_4Q09">#REF!</definedName>
    <definedName name="ITEM13_4Q10">#REF!</definedName>
    <definedName name="ITEM13_4Q11">#REF!</definedName>
    <definedName name="ITEM13_4Q12">#REF!</definedName>
    <definedName name="ITEM13_4Q13">#REF!</definedName>
    <definedName name="ITEM13_4Q14">#REF!</definedName>
    <definedName name="ITEM13_4Q15">#REF!</definedName>
    <definedName name="ITEM13_4Q16">#REF!</definedName>
    <definedName name="ITEM13_4Q17">#REF!</definedName>
    <definedName name="ITEM13_4Q18">#REF!</definedName>
    <definedName name="ITEM13_4Q19">#REF!</definedName>
    <definedName name="ITEM13_4Q20">#REF!</definedName>
    <definedName name="ITEM13_4Q21">#REF!</definedName>
    <definedName name="ITEM13_4Q22">#REF!</definedName>
    <definedName name="ITEM13_4Q23">#REF!</definedName>
    <definedName name="ITEM13_4Q24">#REF!</definedName>
    <definedName name="ITEM14_1995">#REF!</definedName>
    <definedName name="ITEM14_1996">#REF!</definedName>
    <definedName name="ITEM14_1997">#REF!</definedName>
    <definedName name="ITEM14_1998">#REF!</definedName>
    <definedName name="ITEM14_1999">#REF!</definedName>
    <definedName name="ITEM14_1Q00">#REF!</definedName>
    <definedName name="ITEM14_1Q01">#REF!</definedName>
    <definedName name="ITEM14_1Q02">#REF!</definedName>
    <definedName name="ITEM14_1Q03">#REF!</definedName>
    <definedName name="ITEM14_1Q04">#REF!</definedName>
    <definedName name="ITEM14_1Q05">#REF!</definedName>
    <definedName name="ITEM14_1Q06">#REF!</definedName>
    <definedName name="ITEM14_1Q07">#REF!</definedName>
    <definedName name="ITEM14_1Q08">#REF!</definedName>
    <definedName name="ITEM14_1Q09">#REF!</definedName>
    <definedName name="ITEM14_1Q10">#REF!</definedName>
    <definedName name="ITEM14_1Q11">#REF!</definedName>
    <definedName name="ITEM14_1Q12">#REF!</definedName>
    <definedName name="ITEM14_1Q13">#REF!</definedName>
    <definedName name="ITEM14_1Q14">#REF!</definedName>
    <definedName name="ITEM14_1Q15">#REF!</definedName>
    <definedName name="ITEM14_1Q16">#REF!</definedName>
    <definedName name="ITEM14_1Q17">#REF!</definedName>
    <definedName name="ITEM14_1Q18">#REF!</definedName>
    <definedName name="ITEM14_1Q19">#REF!</definedName>
    <definedName name="ITEM14_1Q20">#REF!</definedName>
    <definedName name="ITEM14_1Q21">#REF!</definedName>
    <definedName name="ITEM14_1Q22">#REF!</definedName>
    <definedName name="ITEM14_1Q23">#REF!</definedName>
    <definedName name="ITEM14_1Q24">#REF!</definedName>
    <definedName name="ITEM14_2000">#REF!</definedName>
    <definedName name="ITEM14_2001">#REF!</definedName>
    <definedName name="ITEM14_2002">#REF!</definedName>
    <definedName name="ITEM14_2003">#REF!</definedName>
    <definedName name="ITEM14_2004">#REF!</definedName>
    <definedName name="ITEM14_2005">#REF!</definedName>
    <definedName name="ITEM14_2006">#REF!</definedName>
    <definedName name="ITEM14_2007">#REF!</definedName>
    <definedName name="ITEM14_2008">#REF!</definedName>
    <definedName name="ITEM14_2009">#REF!</definedName>
    <definedName name="ITEM14_2010">#REF!</definedName>
    <definedName name="ITEM14_2011">#REF!</definedName>
    <definedName name="ITEM14_2012">#REF!</definedName>
    <definedName name="ITEM14_2013">#REF!</definedName>
    <definedName name="ITEM14_2014">#REF!</definedName>
    <definedName name="ITEM14_2015">#REF!</definedName>
    <definedName name="ITEM14_2016">#REF!</definedName>
    <definedName name="ITEM14_2017">#REF!</definedName>
    <definedName name="ITEM14_2018">#REF!</definedName>
    <definedName name="ITEM14_2019">#REF!</definedName>
    <definedName name="ITEM14_2020">#REF!</definedName>
    <definedName name="ITEM14_2021">#REF!</definedName>
    <definedName name="ITEM14_2022">#REF!</definedName>
    <definedName name="ITEM14_2023">#REF!</definedName>
    <definedName name="ITEM14_2024">#REF!</definedName>
    <definedName name="ITEM14_2Q00">#REF!</definedName>
    <definedName name="ITEM14_2Q01">#REF!</definedName>
    <definedName name="ITEM14_2Q02">#REF!</definedName>
    <definedName name="ITEM14_2Q03">#REF!</definedName>
    <definedName name="ITEM14_2Q04">#REF!</definedName>
    <definedName name="ITEM14_2Q05">#REF!</definedName>
    <definedName name="ITEM14_2Q06">#REF!</definedName>
    <definedName name="ITEM14_2Q07">#REF!</definedName>
    <definedName name="ITEM14_2Q08">#REF!</definedName>
    <definedName name="ITEM14_2Q09">#REF!</definedName>
    <definedName name="ITEM14_2Q10">#REF!</definedName>
    <definedName name="ITEM14_2Q11">#REF!</definedName>
    <definedName name="ITEM14_2Q12">#REF!</definedName>
    <definedName name="ITEM14_2Q13">#REF!</definedName>
    <definedName name="ITEM14_2Q14">#REF!</definedName>
    <definedName name="ITEM14_2Q15">#REF!</definedName>
    <definedName name="ITEM14_2Q16">#REF!</definedName>
    <definedName name="ITEM14_2Q17">#REF!</definedName>
    <definedName name="ITEM14_2Q18">#REF!</definedName>
    <definedName name="ITEM14_2Q19">#REF!</definedName>
    <definedName name="ITEM14_2Q20">#REF!</definedName>
    <definedName name="ITEM14_2Q21">#REF!</definedName>
    <definedName name="ITEM14_2Q22">#REF!</definedName>
    <definedName name="ITEM14_2Q23">#REF!</definedName>
    <definedName name="ITEM14_2Q24">#REF!</definedName>
    <definedName name="ITEM14_3Q00">#REF!</definedName>
    <definedName name="ITEM14_3Q01">#REF!</definedName>
    <definedName name="ITEM14_3Q02">#REF!</definedName>
    <definedName name="ITEM14_3Q03">#REF!</definedName>
    <definedName name="ITEM14_3Q04">#REF!</definedName>
    <definedName name="ITEM14_3Q05">#REF!</definedName>
    <definedName name="ITEM14_3Q06">#REF!</definedName>
    <definedName name="ITEM14_3Q07">#REF!</definedName>
    <definedName name="ITEM14_3Q08">#REF!</definedName>
    <definedName name="ITEM14_3Q09">#REF!</definedName>
    <definedName name="ITEM14_3Q10">#REF!</definedName>
    <definedName name="ITEM14_3Q11">#REF!</definedName>
    <definedName name="ITEM14_3Q12">#REF!</definedName>
    <definedName name="ITEM14_3Q13">#REF!</definedName>
    <definedName name="ITEM14_3Q14">#REF!</definedName>
    <definedName name="ITEM14_3Q15">#REF!</definedName>
    <definedName name="ITEM14_3Q16">#REF!</definedName>
    <definedName name="ITEM14_3Q17">#REF!</definedName>
    <definedName name="ITEM14_3Q18">#REF!</definedName>
    <definedName name="ITEM14_3Q19">#REF!</definedName>
    <definedName name="ITEM14_3Q20">#REF!</definedName>
    <definedName name="ITEM14_3Q21">#REF!</definedName>
    <definedName name="ITEM14_3Q22">#REF!</definedName>
    <definedName name="ITEM14_3Q23">#REF!</definedName>
    <definedName name="ITEM14_3Q24">#REF!</definedName>
    <definedName name="ITEM14_4Q00">#REF!</definedName>
    <definedName name="ITEM14_4Q01">#REF!</definedName>
    <definedName name="ITEM14_4Q02">#REF!</definedName>
    <definedName name="ITEM14_4Q03">#REF!</definedName>
    <definedName name="ITEM14_4Q04">#REF!</definedName>
    <definedName name="ITEM14_4Q05">#REF!</definedName>
    <definedName name="ITEM14_4Q06">#REF!</definedName>
    <definedName name="ITEM14_4Q07">#REF!</definedName>
    <definedName name="ITEM14_4Q08">#REF!</definedName>
    <definedName name="ITEM14_4Q09">#REF!</definedName>
    <definedName name="ITEM14_4Q10">#REF!</definedName>
    <definedName name="ITEM14_4Q11">#REF!</definedName>
    <definedName name="ITEM14_4Q12">#REF!</definedName>
    <definedName name="ITEM14_4Q13">#REF!</definedName>
    <definedName name="ITEM14_4Q14">#REF!</definedName>
    <definedName name="ITEM14_4Q15">#REF!</definedName>
    <definedName name="ITEM14_4Q16">#REF!</definedName>
    <definedName name="ITEM14_4Q17">#REF!</definedName>
    <definedName name="ITEM14_4Q18">#REF!</definedName>
    <definedName name="ITEM14_4Q19">#REF!</definedName>
    <definedName name="ITEM14_4Q20">#REF!</definedName>
    <definedName name="ITEM14_4Q21">#REF!</definedName>
    <definedName name="ITEM14_4Q22">#REF!</definedName>
    <definedName name="ITEM14_4Q23">#REF!</definedName>
    <definedName name="ITEM14_4Q24">#REF!</definedName>
    <definedName name="ITEM15_1995">#REF!</definedName>
    <definedName name="ITEM15_1996">#REF!</definedName>
    <definedName name="ITEM15_1997">#REF!</definedName>
    <definedName name="ITEM15_1998">#REF!</definedName>
    <definedName name="ITEM15_1999">#REF!</definedName>
    <definedName name="ITEM15_1Q00">#REF!</definedName>
    <definedName name="ITEM15_1Q01">#REF!</definedName>
    <definedName name="ITEM15_1Q02">#REF!</definedName>
    <definedName name="ITEM15_1Q03">#REF!</definedName>
    <definedName name="ITEM15_1Q04">#REF!</definedName>
    <definedName name="ITEM15_1Q05">#REF!</definedName>
    <definedName name="ITEM15_1Q06">#REF!</definedName>
    <definedName name="ITEM15_1Q07">#REF!</definedName>
    <definedName name="ITEM15_1Q08">#REF!</definedName>
    <definedName name="ITEM15_1Q09">#REF!</definedName>
    <definedName name="ITEM15_1Q10">#REF!</definedName>
    <definedName name="ITEM15_1Q11">#REF!</definedName>
    <definedName name="ITEM15_1Q12">#REF!</definedName>
    <definedName name="ITEM15_1Q13">#REF!</definedName>
    <definedName name="ITEM15_1Q14">#REF!</definedName>
    <definedName name="ITEM15_1Q15">#REF!</definedName>
    <definedName name="ITEM15_1Q16">#REF!</definedName>
    <definedName name="ITEM15_1Q17">#REF!</definedName>
    <definedName name="ITEM15_1Q18">#REF!</definedName>
    <definedName name="ITEM15_1Q19">#REF!</definedName>
    <definedName name="ITEM15_1Q20">#REF!</definedName>
    <definedName name="ITEM15_1Q21">#REF!</definedName>
    <definedName name="ITEM15_1Q22">#REF!</definedName>
    <definedName name="ITEM15_1Q23">#REF!</definedName>
    <definedName name="ITEM15_1Q24">#REF!</definedName>
    <definedName name="ITEM15_2000">#REF!</definedName>
    <definedName name="ITEM15_2001">#REF!</definedName>
    <definedName name="ITEM15_2002">#REF!</definedName>
    <definedName name="ITEM15_2003">#REF!</definedName>
    <definedName name="ITEM15_2004">#REF!</definedName>
    <definedName name="ITEM15_2005">#REF!</definedName>
    <definedName name="ITEM15_2006">#REF!</definedName>
    <definedName name="ITEM15_2007">#REF!</definedName>
    <definedName name="ITEM15_2008">#REF!</definedName>
    <definedName name="ITEM15_2009">#REF!</definedName>
    <definedName name="ITEM15_2010">#REF!</definedName>
    <definedName name="ITEM15_2011">#REF!</definedName>
    <definedName name="ITEM15_2012">#REF!</definedName>
    <definedName name="ITEM15_2013">#REF!</definedName>
    <definedName name="ITEM15_2014">#REF!</definedName>
    <definedName name="ITEM15_2015">#REF!</definedName>
    <definedName name="ITEM15_2016">#REF!</definedName>
    <definedName name="ITEM15_2017">#REF!</definedName>
    <definedName name="ITEM15_2018">#REF!</definedName>
    <definedName name="ITEM15_2019">#REF!</definedName>
    <definedName name="ITEM15_2020">#REF!</definedName>
    <definedName name="ITEM15_2021">#REF!</definedName>
    <definedName name="ITEM15_2022">#REF!</definedName>
    <definedName name="ITEM15_2023">#REF!</definedName>
    <definedName name="ITEM15_2024">#REF!</definedName>
    <definedName name="ITEM15_2Q00">#REF!</definedName>
    <definedName name="ITEM15_2Q01">#REF!</definedName>
    <definedName name="ITEM15_2Q02">#REF!</definedName>
    <definedName name="ITEM15_2Q03">#REF!</definedName>
    <definedName name="ITEM15_2Q04">#REF!</definedName>
    <definedName name="ITEM15_2Q05">#REF!</definedName>
    <definedName name="ITEM15_2Q06">#REF!</definedName>
    <definedName name="ITEM15_2Q07">#REF!</definedName>
    <definedName name="ITEM15_2Q08">#REF!</definedName>
    <definedName name="ITEM15_2Q09">#REF!</definedName>
    <definedName name="ITEM15_2Q10">#REF!</definedName>
    <definedName name="ITEM15_2Q11">#REF!</definedName>
    <definedName name="ITEM15_2Q12">#REF!</definedName>
    <definedName name="ITEM15_2Q13">#REF!</definedName>
    <definedName name="ITEM15_2Q14">#REF!</definedName>
    <definedName name="ITEM15_2Q15">#REF!</definedName>
    <definedName name="ITEM15_2Q16">#REF!</definedName>
    <definedName name="ITEM15_2Q17">#REF!</definedName>
    <definedName name="ITEM15_2Q18">#REF!</definedName>
    <definedName name="ITEM15_2Q19">#REF!</definedName>
    <definedName name="ITEM15_2Q20">#REF!</definedName>
    <definedName name="ITEM15_2Q21">#REF!</definedName>
    <definedName name="ITEM15_2Q22">#REF!</definedName>
    <definedName name="ITEM15_2Q23">#REF!</definedName>
    <definedName name="ITEM15_2Q24">#REF!</definedName>
    <definedName name="ITEM15_3Q00">#REF!</definedName>
    <definedName name="ITEM15_3Q01">#REF!</definedName>
    <definedName name="ITEM15_3Q02">#REF!</definedName>
    <definedName name="ITEM15_3Q03">#REF!</definedName>
    <definedName name="ITEM15_3Q04">#REF!</definedName>
    <definedName name="ITEM15_3Q05">#REF!</definedName>
    <definedName name="ITEM15_3Q06">#REF!</definedName>
    <definedName name="ITEM15_3Q07">#REF!</definedName>
    <definedName name="ITEM15_3Q08">#REF!</definedName>
    <definedName name="ITEM15_3Q09">#REF!</definedName>
    <definedName name="ITEM15_3Q10">#REF!</definedName>
    <definedName name="ITEM15_3Q11">#REF!</definedName>
    <definedName name="ITEM15_3Q12">#REF!</definedName>
    <definedName name="ITEM15_3Q13">#REF!</definedName>
    <definedName name="ITEM15_3Q14">#REF!</definedName>
    <definedName name="ITEM15_3Q15">#REF!</definedName>
    <definedName name="ITEM15_3Q16">#REF!</definedName>
    <definedName name="ITEM15_3Q17">#REF!</definedName>
    <definedName name="ITEM15_3Q18">#REF!</definedName>
    <definedName name="ITEM15_3Q19">#REF!</definedName>
    <definedName name="ITEM15_3Q20">#REF!</definedName>
    <definedName name="ITEM15_3Q21">#REF!</definedName>
    <definedName name="ITEM15_3Q22">#REF!</definedName>
    <definedName name="ITEM15_3Q23">#REF!</definedName>
    <definedName name="ITEM15_3Q24">#REF!</definedName>
    <definedName name="ITEM15_4Q00">#REF!</definedName>
    <definedName name="ITEM15_4Q01">#REF!</definedName>
    <definedName name="ITEM15_4Q02">#REF!</definedName>
    <definedName name="ITEM15_4Q03">#REF!</definedName>
    <definedName name="ITEM15_4Q04">#REF!</definedName>
    <definedName name="ITEM15_4Q05">#REF!</definedName>
    <definedName name="ITEM15_4Q06">#REF!</definedName>
    <definedName name="ITEM15_4Q07">#REF!</definedName>
    <definedName name="ITEM15_4Q08">#REF!</definedName>
    <definedName name="ITEM15_4Q09">#REF!</definedName>
    <definedName name="ITEM15_4Q10">#REF!</definedName>
    <definedName name="ITEM15_4Q11">#REF!</definedName>
    <definedName name="ITEM15_4Q12">#REF!</definedName>
    <definedName name="ITEM15_4Q13">#REF!</definedName>
    <definedName name="ITEM15_4Q14">#REF!</definedName>
    <definedName name="ITEM15_4Q15">#REF!</definedName>
    <definedName name="ITEM15_4Q16">#REF!</definedName>
    <definedName name="ITEM15_4Q17">#REF!</definedName>
    <definedName name="ITEM15_4Q18">#REF!</definedName>
    <definedName name="ITEM15_4Q19">#REF!</definedName>
    <definedName name="ITEM15_4Q20">#REF!</definedName>
    <definedName name="ITEM15_4Q21">#REF!</definedName>
    <definedName name="ITEM15_4Q22">#REF!</definedName>
    <definedName name="ITEM15_4Q23">#REF!</definedName>
    <definedName name="ITEM15_4Q24">#REF!</definedName>
    <definedName name="ITEM16_1995">#REF!</definedName>
    <definedName name="ITEM16_1996">#REF!</definedName>
    <definedName name="ITEM16_1997">#REF!</definedName>
    <definedName name="ITEM16_1998">#REF!</definedName>
    <definedName name="ITEM16_1999">#REF!</definedName>
    <definedName name="ITEM16_1Q00">#REF!</definedName>
    <definedName name="ITEM16_1Q01">#REF!</definedName>
    <definedName name="ITEM16_1Q02">#REF!</definedName>
    <definedName name="ITEM16_1Q03">#REF!</definedName>
    <definedName name="ITEM16_1Q04">#REF!</definedName>
    <definedName name="ITEM16_1Q05">#REF!</definedName>
    <definedName name="ITEM16_1Q06">#REF!</definedName>
    <definedName name="ITEM16_1Q07">#REF!</definedName>
    <definedName name="ITEM16_1Q08">#REF!</definedName>
    <definedName name="ITEM16_1Q09">#REF!</definedName>
    <definedName name="ITEM16_1Q10">#REF!</definedName>
    <definedName name="ITEM16_1Q11">#REF!</definedName>
    <definedName name="ITEM16_1Q12">#REF!</definedName>
    <definedName name="ITEM16_1Q13">#REF!</definedName>
    <definedName name="ITEM16_1Q14">#REF!</definedName>
    <definedName name="ITEM16_1Q15">#REF!</definedName>
    <definedName name="ITEM16_1Q16">#REF!</definedName>
    <definedName name="ITEM16_1Q17">#REF!</definedName>
    <definedName name="ITEM16_1Q18">#REF!</definedName>
    <definedName name="ITEM16_1Q19">#REF!</definedName>
    <definedName name="ITEM16_1Q20">#REF!</definedName>
    <definedName name="ITEM16_1Q21">#REF!</definedName>
    <definedName name="ITEM16_1Q22">#REF!</definedName>
    <definedName name="ITEM16_1Q23">#REF!</definedName>
    <definedName name="ITEM16_1Q24">#REF!</definedName>
    <definedName name="ITEM16_2000">#REF!</definedName>
    <definedName name="ITEM16_2001">#REF!</definedName>
    <definedName name="ITEM16_2002">#REF!</definedName>
    <definedName name="ITEM16_2003">#REF!</definedName>
    <definedName name="ITEM16_2004">#REF!</definedName>
    <definedName name="ITEM16_2005">#REF!</definedName>
    <definedName name="ITEM16_2006">#REF!</definedName>
    <definedName name="ITEM16_2007">#REF!</definedName>
    <definedName name="ITEM16_2008">#REF!</definedName>
    <definedName name="ITEM16_2009">#REF!</definedName>
    <definedName name="ITEM16_2010">#REF!</definedName>
    <definedName name="ITEM16_2011">#REF!</definedName>
    <definedName name="ITEM16_2012">#REF!</definedName>
    <definedName name="ITEM16_2013">#REF!</definedName>
    <definedName name="ITEM16_2014">#REF!</definedName>
    <definedName name="ITEM16_2015">#REF!</definedName>
    <definedName name="ITEM16_2016">#REF!</definedName>
    <definedName name="ITEM16_2017">#REF!</definedName>
    <definedName name="ITEM16_2018">#REF!</definedName>
    <definedName name="ITEM16_2019">#REF!</definedName>
    <definedName name="ITEM16_2020">#REF!</definedName>
    <definedName name="ITEM16_2021">#REF!</definedName>
    <definedName name="ITEM16_2022">#REF!</definedName>
    <definedName name="ITEM16_2023">#REF!</definedName>
    <definedName name="ITEM16_2024">#REF!</definedName>
    <definedName name="ITEM16_2Q00">#REF!</definedName>
    <definedName name="ITEM16_2Q01">#REF!</definedName>
    <definedName name="ITEM16_2Q02">#REF!</definedName>
    <definedName name="ITEM16_2Q03">#REF!</definedName>
    <definedName name="ITEM16_2Q04">#REF!</definedName>
    <definedName name="ITEM16_2Q05">#REF!</definedName>
    <definedName name="ITEM16_2Q06">#REF!</definedName>
    <definedName name="ITEM16_2Q07">#REF!</definedName>
    <definedName name="ITEM16_2Q08">#REF!</definedName>
    <definedName name="ITEM16_2Q09">#REF!</definedName>
    <definedName name="ITEM16_2Q10">#REF!</definedName>
    <definedName name="ITEM16_2Q11">#REF!</definedName>
    <definedName name="ITEM16_2Q12">#REF!</definedName>
    <definedName name="ITEM16_2Q13">#REF!</definedName>
    <definedName name="ITEM16_2Q14">#REF!</definedName>
    <definedName name="ITEM16_2Q15">#REF!</definedName>
    <definedName name="ITEM16_2Q16">#REF!</definedName>
    <definedName name="ITEM16_2Q17">#REF!</definedName>
    <definedName name="ITEM16_2Q18">#REF!</definedName>
    <definedName name="ITEM16_2Q19">#REF!</definedName>
    <definedName name="ITEM16_2Q20">#REF!</definedName>
    <definedName name="ITEM16_2Q21">#REF!</definedName>
    <definedName name="ITEM16_2Q22">#REF!</definedName>
    <definedName name="ITEM16_2Q23">#REF!</definedName>
    <definedName name="ITEM16_2Q24">#REF!</definedName>
    <definedName name="ITEM16_3Q00">#REF!</definedName>
    <definedName name="ITEM16_3Q01">#REF!</definedName>
    <definedName name="ITEM16_3Q02">#REF!</definedName>
    <definedName name="ITEM16_3Q03">#REF!</definedName>
    <definedName name="ITEM16_3Q04">#REF!</definedName>
    <definedName name="ITEM16_3Q05">#REF!</definedName>
    <definedName name="ITEM16_3Q06">#REF!</definedName>
    <definedName name="ITEM16_3Q07">#REF!</definedName>
    <definedName name="ITEM16_3Q08">#REF!</definedName>
    <definedName name="ITEM16_3Q09">#REF!</definedName>
    <definedName name="ITEM16_3Q10">#REF!</definedName>
    <definedName name="ITEM16_3Q11">#REF!</definedName>
    <definedName name="ITEM16_3Q12">#REF!</definedName>
    <definedName name="ITEM16_3Q13">#REF!</definedName>
    <definedName name="ITEM16_3Q14">#REF!</definedName>
    <definedName name="ITEM16_3Q15">#REF!</definedName>
    <definedName name="ITEM16_3Q16">#REF!</definedName>
    <definedName name="ITEM16_3Q17">#REF!</definedName>
    <definedName name="ITEM16_3Q18">#REF!</definedName>
    <definedName name="ITEM16_3Q19">#REF!</definedName>
    <definedName name="ITEM16_3Q20">#REF!</definedName>
    <definedName name="ITEM16_3Q21">#REF!</definedName>
    <definedName name="ITEM16_3Q22">#REF!</definedName>
    <definedName name="ITEM16_3Q23">#REF!</definedName>
    <definedName name="ITEM16_3Q24">#REF!</definedName>
    <definedName name="ITEM16_4Q00">#REF!</definedName>
    <definedName name="ITEM16_4Q01">#REF!</definedName>
    <definedName name="ITEM16_4Q02">#REF!</definedName>
    <definedName name="ITEM16_4Q03">#REF!</definedName>
    <definedName name="ITEM16_4Q04">#REF!</definedName>
    <definedName name="ITEM16_4Q05">#REF!</definedName>
    <definedName name="ITEM16_4Q06">#REF!</definedName>
    <definedName name="ITEM16_4Q07">#REF!</definedName>
    <definedName name="ITEM16_4Q08">#REF!</definedName>
    <definedName name="ITEM16_4Q09">#REF!</definedName>
    <definedName name="ITEM16_4Q10">#REF!</definedName>
    <definedName name="ITEM16_4Q11">#REF!</definedName>
    <definedName name="ITEM16_4Q12">#REF!</definedName>
    <definedName name="ITEM16_4Q13">#REF!</definedName>
    <definedName name="ITEM16_4Q14">#REF!</definedName>
    <definedName name="ITEM16_4Q15">#REF!</definedName>
    <definedName name="ITEM16_4Q16">#REF!</definedName>
    <definedName name="ITEM16_4Q17">#REF!</definedName>
    <definedName name="ITEM16_4Q18">#REF!</definedName>
    <definedName name="ITEM16_4Q19">#REF!</definedName>
    <definedName name="ITEM16_4Q20">#REF!</definedName>
    <definedName name="ITEM16_4Q21">#REF!</definedName>
    <definedName name="ITEM16_4Q22">#REF!</definedName>
    <definedName name="ITEM16_4Q23">#REF!</definedName>
    <definedName name="ITEM16_4Q24">#REF!</definedName>
    <definedName name="ITEM17_1995">#REF!</definedName>
    <definedName name="ITEM17_1996">#REF!</definedName>
    <definedName name="ITEM17_1997">#REF!</definedName>
    <definedName name="ITEM17_1998">#REF!</definedName>
    <definedName name="ITEM17_1999">#REF!</definedName>
    <definedName name="ITEM17_1Q00">#REF!</definedName>
    <definedName name="ITEM17_1Q01">#REF!</definedName>
    <definedName name="ITEM17_1Q02">#REF!</definedName>
    <definedName name="ITEM17_1Q03">#REF!</definedName>
    <definedName name="ITEM17_1Q04">#REF!</definedName>
    <definedName name="ITEM17_1Q05">#REF!</definedName>
    <definedName name="ITEM17_1Q06">#REF!</definedName>
    <definedName name="ITEM17_1Q07">#REF!</definedName>
    <definedName name="ITEM17_1Q08">#REF!</definedName>
    <definedName name="ITEM17_1Q09">#REF!</definedName>
    <definedName name="ITEM17_1Q10">#REF!</definedName>
    <definedName name="ITEM17_1Q11">#REF!</definedName>
    <definedName name="ITEM17_1Q12">#REF!</definedName>
    <definedName name="ITEM17_1Q13">#REF!</definedName>
    <definedName name="ITEM17_1Q14">#REF!</definedName>
    <definedName name="ITEM17_1Q15">#REF!</definedName>
    <definedName name="ITEM17_1Q16">#REF!</definedName>
    <definedName name="ITEM17_1Q17">#REF!</definedName>
    <definedName name="ITEM17_1Q18">#REF!</definedName>
    <definedName name="ITEM17_1Q19">#REF!</definedName>
    <definedName name="ITEM17_1Q20">#REF!</definedName>
    <definedName name="ITEM17_1Q21">#REF!</definedName>
    <definedName name="ITEM17_1Q22">#REF!</definedName>
    <definedName name="ITEM17_1Q23">#REF!</definedName>
    <definedName name="ITEM17_1Q24">#REF!</definedName>
    <definedName name="ITEM17_2000">#REF!</definedName>
    <definedName name="ITEM17_2001">#REF!</definedName>
    <definedName name="ITEM17_2002">#REF!</definedName>
    <definedName name="ITEM17_2003">#REF!</definedName>
    <definedName name="ITEM17_2004">#REF!</definedName>
    <definedName name="ITEM17_2005">#REF!</definedName>
    <definedName name="ITEM17_2006">#REF!</definedName>
    <definedName name="ITEM17_2007">#REF!</definedName>
    <definedName name="ITEM17_2008">#REF!</definedName>
    <definedName name="ITEM17_2009">#REF!</definedName>
    <definedName name="ITEM17_2010">#REF!</definedName>
    <definedName name="ITEM17_2011">#REF!</definedName>
    <definedName name="ITEM17_2012">#REF!</definedName>
    <definedName name="ITEM17_2013">#REF!</definedName>
    <definedName name="ITEM17_2014">#REF!</definedName>
    <definedName name="ITEM17_2015">#REF!</definedName>
    <definedName name="ITEM17_2016">#REF!</definedName>
    <definedName name="ITEM17_2017">#REF!</definedName>
    <definedName name="ITEM17_2018">#REF!</definedName>
    <definedName name="ITEM17_2019">#REF!</definedName>
    <definedName name="ITEM17_2020">#REF!</definedName>
    <definedName name="ITEM17_2021">#REF!</definedName>
    <definedName name="ITEM17_2022">#REF!</definedName>
    <definedName name="ITEM17_2023">#REF!</definedName>
    <definedName name="ITEM17_2024">#REF!</definedName>
    <definedName name="ITEM17_2Q00">#REF!</definedName>
    <definedName name="ITEM17_2Q01">#REF!</definedName>
    <definedName name="ITEM17_2Q02">#REF!</definedName>
    <definedName name="ITEM17_2Q03">#REF!</definedName>
    <definedName name="ITEM17_2Q04">#REF!</definedName>
    <definedName name="ITEM17_2Q05">#REF!</definedName>
    <definedName name="ITEM17_2Q06">#REF!</definedName>
    <definedName name="ITEM17_2Q07">#REF!</definedName>
    <definedName name="ITEM17_2Q08">#REF!</definedName>
    <definedName name="ITEM17_2Q09">#REF!</definedName>
    <definedName name="ITEM17_2Q10">#REF!</definedName>
    <definedName name="ITEM17_2Q11">#REF!</definedName>
    <definedName name="ITEM17_2Q12">#REF!</definedName>
    <definedName name="ITEM17_2Q13">#REF!</definedName>
    <definedName name="ITEM17_2Q14">#REF!</definedName>
    <definedName name="ITEM17_2Q15">#REF!</definedName>
    <definedName name="ITEM17_2Q16">#REF!</definedName>
    <definedName name="ITEM17_2Q17">#REF!</definedName>
    <definedName name="ITEM17_2Q18">#REF!</definedName>
    <definedName name="ITEM17_2Q19">#REF!</definedName>
    <definedName name="ITEM17_2Q20">#REF!</definedName>
    <definedName name="ITEM17_2Q21">#REF!</definedName>
    <definedName name="ITEM17_2Q22">#REF!</definedName>
    <definedName name="ITEM17_2Q23">#REF!</definedName>
    <definedName name="ITEM17_2Q24">#REF!</definedName>
    <definedName name="ITEM17_3Q00">#REF!</definedName>
    <definedName name="ITEM17_3Q01">#REF!</definedName>
    <definedName name="ITEM17_3Q02">#REF!</definedName>
    <definedName name="ITEM17_3Q03">#REF!</definedName>
    <definedName name="ITEM17_3Q04">#REF!</definedName>
    <definedName name="ITEM17_3Q05">#REF!</definedName>
    <definedName name="ITEM17_3Q06">#REF!</definedName>
    <definedName name="ITEM17_3Q07">#REF!</definedName>
    <definedName name="ITEM17_3Q08">#REF!</definedName>
    <definedName name="ITEM17_3Q09">#REF!</definedName>
    <definedName name="ITEM17_3Q10">#REF!</definedName>
    <definedName name="ITEM17_3Q11">#REF!</definedName>
    <definedName name="ITEM17_3Q12">#REF!</definedName>
    <definedName name="ITEM17_3Q13">#REF!</definedName>
    <definedName name="ITEM17_3Q14">#REF!</definedName>
    <definedName name="ITEM17_3Q15">#REF!</definedName>
    <definedName name="ITEM17_3Q16">#REF!</definedName>
    <definedName name="ITEM17_3Q17">#REF!</definedName>
    <definedName name="ITEM17_3Q18">#REF!</definedName>
    <definedName name="ITEM17_3Q19">#REF!</definedName>
    <definedName name="ITEM17_3Q20">#REF!</definedName>
    <definedName name="ITEM17_3Q21">#REF!</definedName>
    <definedName name="ITEM17_3Q22">#REF!</definedName>
    <definedName name="ITEM17_3Q23">#REF!</definedName>
    <definedName name="ITEM17_3Q24">#REF!</definedName>
    <definedName name="ITEM17_4Q00">#REF!</definedName>
    <definedName name="ITEM17_4Q01">#REF!</definedName>
    <definedName name="ITEM17_4Q02">#REF!</definedName>
    <definedName name="ITEM17_4Q03">#REF!</definedName>
    <definedName name="ITEM17_4Q04">#REF!</definedName>
    <definedName name="ITEM17_4Q05">#REF!</definedName>
    <definedName name="ITEM17_4Q06">#REF!</definedName>
    <definedName name="ITEM17_4Q07">#REF!</definedName>
    <definedName name="ITEM17_4Q08">#REF!</definedName>
    <definedName name="ITEM17_4Q09">#REF!</definedName>
    <definedName name="ITEM17_4Q10">#REF!</definedName>
    <definedName name="ITEM17_4Q11">#REF!</definedName>
    <definedName name="ITEM17_4Q12">#REF!</definedName>
    <definedName name="ITEM17_4Q13">#REF!</definedName>
    <definedName name="ITEM17_4Q14">#REF!</definedName>
    <definedName name="ITEM17_4Q15">#REF!</definedName>
    <definedName name="ITEM17_4Q16">#REF!</definedName>
    <definedName name="ITEM17_4Q17">#REF!</definedName>
    <definedName name="ITEM17_4Q18">#REF!</definedName>
    <definedName name="ITEM17_4Q19">#REF!</definedName>
    <definedName name="ITEM17_4Q20">#REF!</definedName>
    <definedName name="ITEM17_4Q21">#REF!</definedName>
    <definedName name="ITEM17_4Q22">#REF!</definedName>
    <definedName name="ITEM17_4Q23">#REF!</definedName>
    <definedName name="ITEM17_4Q24">#REF!</definedName>
    <definedName name="ITEM18_1995">#REF!</definedName>
    <definedName name="ITEM18_1996">#REF!</definedName>
    <definedName name="ITEM18_1997">#REF!</definedName>
    <definedName name="ITEM18_1998">#REF!</definedName>
    <definedName name="ITEM18_1999">#REF!</definedName>
    <definedName name="ITEM18_1Q00">#REF!</definedName>
    <definedName name="ITEM18_1Q01">#REF!</definedName>
    <definedName name="ITEM18_1Q02">#REF!</definedName>
    <definedName name="ITEM18_1Q03">#REF!</definedName>
    <definedName name="ITEM18_1Q04">#REF!</definedName>
    <definedName name="ITEM18_1Q05">#REF!</definedName>
    <definedName name="ITEM18_1Q06">#REF!</definedName>
    <definedName name="ITEM18_1Q07">#REF!</definedName>
    <definedName name="ITEM18_1Q08">#REF!</definedName>
    <definedName name="ITEM18_1Q09">#REF!</definedName>
    <definedName name="ITEM18_1Q10">#REF!</definedName>
    <definedName name="ITEM18_1Q11">#REF!</definedName>
    <definedName name="ITEM18_1Q12">#REF!</definedName>
    <definedName name="ITEM18_1Q13">#REF!</definedName>
    <definedName name="ITEM18_1Q14">#REF!</definedName>
    <definedName name="ITEM18_1Q15">#REF!</definedName>
    <definedName name="ITEM18_1Q16">#REF!</definedName>
    <definedName name="ITEM18_1Q17">#REF!</definedName>
    <definedName name="ITEM18_1Q18">#REF!</definedName>
    <definedName name="ITEM18_1Q19">#REF!</definedName>
    <definedName name="ITEM18_1Q20">#REF!</definedName>
    <definedName name="ITEM18_1Q21">#REF!</definedName>
    <definedName name="ITEM18_1Q22">#REF!</definedName>
    <definedName name="ITEM18_1Q23">#REF!</definedName>
    <definedName name="ITEM18_1Q24">#REF!</definedName>
    <definedName name="ITEM18_2000">#REF!</definedName>
    <definedName name="ITEM18_2001">#REF!</definedName>
    <definedName name="ITEM18_2002">#REF!</definedName>
    <definedName name="ITEM18_2003">#REF!</definedName>
    <definedName name="ITEM18_2004">#REF!</definedName>
    <definedName name="ITEM18_2005">#REF!</definedName>
    <definedName name="ITEM18_2006">#REF!</definedName>
    <definedName name="ITEM18_2007">#REF!</definedName>
    <definedName name="ITEM18_2008">#REF!</definedName>
    <definedName name="ITEM18_2009">#REF!</definedName>
    <definedName name="ITEM18_2010">#REF!</definedName>
    <definedName name="ITEM18_2011">#REF!</definedName>
    <definedName name="ITEM18_2012">#REF!</definedName>
    <definedName name="ITEM18_2013">#REF!</definedName>
    <definedName name="ITEM18_2014">#REF!</definedName>
    <definedName name="ITEM18_2015">#REF!</definedName>
    <definedName name="ITEM18_2016">#REF!</definedName>
    <definedName name="ITEM18_2017">#REF!</definedName>
    <definedName name="ITEM18_2018">#REF!</definedName>
    <definedName name="ITEM18_2019">#REF!</definedName>
    <definedName name="ITEM18_2020">#REF!</definedName>
    <definedName name="ITEM18_2021">#REF!</definedName>
    <definedName name="ITEM18_2022">#REF!</definedName>
    <definedName name="ITEM18_2023">#REF!</definedName>
    <definedName name="ITEM18_2024">#REF!</definedName>
    <definedName name="ITEM18_2Q00">#REF!</definedName>
    <definedName name="ITEM18_2Q01">#REF!</definedName>
    <definedName name="ITEM18_2Q02">#REF!</definedName>
    <definedName name="ITEM18_2Q03">#REF!</definedName>
    <definedName name="ITEM18_2Q04">#REF!</definedName>
    <definedName name="ITEM18_2Q05">#REF!</definedName>
    <definedName name="ITEM18_2Q06">#REF!</definedName>
    <definedName name="ITEM18_2Q07">#REF!</definedName>
    <definedName name="ITEM18_2Q08">#REF!</definedName>
    <definedName name="ITEM18_2Q09">#REF!</definedName>
    <definedName name="ITEM18_2Q10">#REF!</definedName>
    <definedName name="ITEM18_2Q11">#REF!</definedName>
    <definedName name="ITEM18_2Q12">#REF!</definedName>
    <definedName name="ITEM18_2Q13">#REF!</definedName>
    <definedName name="ITEM18_2Q14">#REF!</definedName>
    <definedName name="ITEM18_2Q15">#REF!</definedName>
    <definedName name="ITEM18_2Q16">#REF!</definedName>
    <definedName name="ITEM18_2Q17">#REF!</definedName>
    <definedName name="ITEM18_2Q18">#REF!</definedName>
    <definedName name="ITEM18_2Q19">#REF!</definedName>
    <definedName name="ITEM18_2Q20">#REF!</definedName>
    <definedName name="ITEM18_2Q21">#REF!</definedName>
    <definedName name="ITEM18_2Q22">#REF!</definedName>
    <definedName name="ITEM18_2Q23">#REF!</definedName>
    <definedName name="ITEM18_2Q24">#REF!</definedName>
    <definedName name="ITEM18_3Q00">#REF!</definedName>
    <definedName name="ITEM18_3Q01">#REF!</definedName>
    <definedName name="ITEM18_3Q02">#REF!</definedName>
    <definedName name="ITEM18_3Q03">#REF!</definedName>
    <definedName name="ITEM18_3Q04">#REF!</definedName>
    <definedName name="ITEM18_3Q05">#REF!</definedName>
    <definedName name="ITEM18_3Q06">#REF!</definedName>
    <definedName name="ITEM18_3Q07">#REF!</definedName>
    <definedName name="ITEM18_3Q08">#REF!</definedName>
    <definedName name="ITEM18_3Q09">#REF!</definedName>
    <definedName name="ITEM18_3Q10">#REF!</definedName>
    <definedName name="ITEM18_3Q11">#REF!</definedName>
    <definedName name="ITEM18_3Q12">#REF!</definedName>
    <definedName name="ITEM18_3Q13">#REF!</definedName>
    <definedName name="ITEM18_3Q14">#REF!</definedName>
    <definedName name="ITEM18_3Q15">#REF!</definedName>
    <definedName name="ITEM18_3Q16">#REF!</definedName>
    <definedName name="ITEM18_3Q17">#REF!</definedName>
    <definedName name="ITEM18_3Q18">#REF!</definedName>
    <definedName name="ITEM18_3Q19">#REF!</definedName>
    <definedName name="ITEM18_3Q20">#REF!</definedName>
    <definedName name="ITEM18_3Q21">#REF!</definedName>
    <definedName name="ITEM18_3Q22">#REF!</definedName>
    <definedName name="ITEM18_3Q23">#REF!</definedName>
    <definedName name="ITEM18_3Q24">#REF!</definedName>
    <definedName name="ITEM18_4Q00">#REF!</definedName>
    <definedName name="ITEM18_4Q01">#REF!</definedName>
    <definedName name="ITEM18_4Q02">#REF!</definedName>
    <definedName name="ITEM18_4Q03">#REF!</definedName>
    <definedName name="ITEM18_4Q04">#REF!</definedName>
    <definedName name="ITEM18_4Q05">#REF!</definedName>
    <definedName name="ITEM18_4Q06">#REF!</definedName>
    <definedName name="ITEM18_4Q07">#REF!</definedName>
    <definedName name="ITEM18_4Q08">#REF!</definedName>
    <definedName name="ITEM18_4Q09">#REF!</definedName>
    <definedName name="ITEM18_4Q10">#REF!</definedName>
    <definedName name="ITEM18_4Q11">#REF!</definedName>
    <definedName name="ITEM18_4Q12">#REF!</definedName>
    <definedName name="ITEM18_4Q13">#REF!</definedName>
    <definedName name="ITEM18_4Q14">#REF!</definedName>
    <definedName name="ITEM18_4Q15">#REF!</definedName>
    <definedName name="ITEM18_4Q16">#REF!</definedName>
    <definedName name="ITEM18_4Q17">#REF!</definedName>
    <definedName name="ITEM18_4Q18">#REF!</definedName>
    <definedName name="ITEM18_4Q19">#REF!</definedName>
    <definedName name="ITEM18_4Q20">#REF!</definedName>
    <definedName name="ITEM18_4Q21">#REF!</definedName>
    <definedName name="ITEM18_4Q22">#REF!</definedName>
    <definedName name="ITEM18_4Q23">#REF!</definedName>
    <definedName name="ITEM18_4Q24">#REF!</definedName>
    <definedName name="ITEM19_1995">#REF!</definedName>
    <definedName name="ITEM19_1996">#REF!</definedName>
    <definedName name="ITEM19_1997">#REF!</definedName>
    <definedName name="ITEM19_1998">#REF!</definedName>
    <definedName name="ITEM19_1999">#REF!</definedName>
    <definedName name="ITEM19_1Q00">#REF!</definedName>
    <definedName name="ITEM19_1Q01">#REF!</definedName>
    <definedName name="ITEM19_1Q02">#REF!</definedName>
    <definedName name="ITEM19_1Q03">#REF!</definedName>
    <definedName name="ITEM19_1Q04">#REF!</definedName>
    <definedName name="ITEM19_1Q05">#REF!</definedName>
    <definedName name="ITEM19_1Q06">#REF!</definedName>
    <definedName name="ITEM19_1Q07">#REF!</definedName>
    <definedName name="ITEM19_1Q08">#REF!</definedName>
    <definedName name="ITEM19_1Q09">#REF!</definedName>
    <definedName name="ITEM19_1Q10">#REF!</definedName>
    <definedName name="ITEM19_1Q11">#REF!</definedName>
    <definedName name="ITEM19_1Q12">#REF!</definedName>
    <definedName name="ITEM19_1Q13">#REF!</definedName>
    <definedName name="ITEM19_1Q14">#REF!</definedName>
    <definedName name="ITEM19_1Q15">#REF!</definedName>
    <definedName name="ITEM19_1Q16">#REF!</definedName>
    <definedName name="ITEM19_1Q17">#REF!</definedName>
    <definedName name="ITEM19_1Q18">#REF!</definedName>
    <definedName name="ITEM19_1Q19">#REF!</definedName>
    <definedName name="ITEM19_1Q20">#REF!</definedName>
    <definedName name="ITEM19_1Q21">#REF!</definedName>
    <definedName name="ITEM19_1Q22">#REF!</definedName>
    <definedName name="ITEM19_1Q23">#REF!</definedName>
    <definedName name="ITEM19_1Q24">#REF!</definedName>
    <definedName name="ITEM19_2000">#REF!</definedName>
    <definedName name="ITEM19_2001">#REF!</definedName>
    <definedName name="ITEM19_2002">#REF!</definedName>
    <definedName name="ITEM19_2003">#REF!</definedName>
    <definedName name="ITEM19_2004">#REF!</definedName>
    <definedName name="ITEM19_2005">#REF!</definedName>
    <definedName name="ITEM19_2006">#REF!</definedName>
    <definedName name="ITEM19_2007">#REF!</definedName>
    <definedName name="ITEM19_2008">#REF!</definedName>
    <definedName name="ITEM19_2009">#REF!</definedName>
    <definedName name="ITEM19_2010">#REF!</definedName>
    <definedName name="ITEM19_2011">#REF!</definedName>
    <definedName name="ITEM19_2012">#REF!</definedName>
    <definedName name="ITEM19_2013">#REF!</definedName>
    <definedName name="ITEM19_2014">#REF!</definedName>
    <definedName name="ITEM19_2015">#REF!</definedName>
    <definedName name="ITEM19_2016">#REF!</definedName>
    <definedName name="ITEM19_2017">#REF!</definedName>
    <definedName name="ITEM19_2018">#REF!</definedName>
    <definedName name="ITEM19_2019">#REF!</definedName>
    <definedName name="ITEM19_2020">#REF!</definedName>
    <definedName name="ITEM19_2021">#REF!</definedName>
    <definedName name="ITEM19_2022">#REF!</definedName>
    <definedName name="ITEM19_2023">#REF!</definedName>
    <definedName name="ITEM19_2024">#REF!</definedName>
    <definedName name="ITEM19_2Q00">#REF!</definedName>
    <definedName name="ITEM19_2Q01">#REF!</definedName>
    <definedName name="ITEM19_2Q02">#REF!</definedName>
    <definedName name="ITEM19_2Q03">#REF!</definedName>
    <definedName name="ITEM19_2Q04">#REF!</definedName>
    <definedName name="ITEM19_2Q05">#REF!</definedName>
    <definedName name="ITEM19_2Q06">#REF!</definedName>
    <definedName name="ITEM19_2Q07">#REF!</definedName>
    <definedName name="ITEM19_2Q08">#REF!</definedName>
    <definedName name="ITEM19_2Q09">#REF!</definedName>
    <definedName name="ITEM19_2Q10">#REF!</definedName>
    <definedName name="ITEM19_2Q11">#REF!</definedName>
    <definedName name="ITEM19_2Q12">#REF!</definedName>
    <definedName name="ITEM19_2Q13">#REF!</definedName>
    <definedName name="ITEM19_2Q14">#REF!</definedName>
    <definedName name="ITEM19_2Q15">#REF!</definedName>
    <definedName name="ITEM19_2Q16">#REF!</definedName>
    <definedName name="ITEM19_2Q17">#REF!</definedName>
    <definedName name="ITEM19_2Q18">#REF!</definedName>
    <definedName name="ITEM19_2Q19">#REF!</definedName>
    <definedName name="ITEM19_2Q20">#REF!</definedName>
    <definedName name="ITEM19_2Q21">#REF!</definedName>
    <definedName name="ITEM19_2Q22">#REF!</definedName>
    <definedName name="ITEM19_2Q23">#REF!</definedName>
    <definedName name="ITEM19_2Q24">#REF!</definedName>
    <definedName name="ITEM19_3Q00">#REF!</definedName>
    <definedName name="ITEM19_3Q01">#REF!</definedName>
    <definedName name="ITEM19_3Q02">#REF!</definedName>
    <definedName name="ITEM19_3Q03">#REF!</definedName>
    <definedName name="ITEM19_3Q04">#REF!</definedName>
    <definedName name="ITEM19_3Q05">#REF!</definedName>
    <definedName name="ITEM19_3Q06">#REF!</definedName>
    <definedName name="ITEM19_3Q07">#REF!</definedName>
    <definedName name="ITEM19_3Q08">#REF!</definedName>
    <definedName name="ITEM19_3Q09">#REF!</definedName>
    <definedName name="ITEM19_3Q10">#REF!</definedName>
    <definedName name="ITEM19_3Q11">#REF!</definedName>
    <definedName name="ITEM19_3Q12">#REF!</definedName>
    <definedName name="ITEM19_3Q13">#REF!</definedName>
    <definedName name="ITEM19_3Q14">#REF!</definedName>
    <definedName name="ITEM19_3Q15">#REF!</definedName>
    <definedName name="ITEM19_3Q16">#REF!</definedName>
    <definedName name="ITEM19_3Q17">#REF!</definedName>
    <definedName name="ITEM19_3Q18">#REF!</definedName>
    <definedName name="ITEM19_3Q19">#REF!</definedName>
    <definedName name="ITEM19_3Q20">#REF!</definedName>
    <definedName name="ITEM19_3Q21">#REF!</definedName>
    <definedName name="ITEM19_3Q22">#REF!</definedName>
    <definedName name="ITEM19_3Q23">#REF!</definedName>
    <definedName name="ITEM19_3Q24">#REF!</definedName>
    <definedName name="ITEM19_4Q00">#REF!</definedName>
    <definedName name="ITEM19_4Q01">#REF!</definedName>
    <definedName name="ITEM19_4Q02">#REF!</definedName>
    <definedName name="ITEM19_4Q03">#REF!</definedName>
    <definedName name="ITEM19_4Q04">#REF!</definedName>
    <definedName name="ITEM19_4Q05">#REF!</definedName>
    <definedName name="ITEM19_4Q06">#REF!</definedName>
    <definedName name="ITEM19_4Q07">#REF!</definedName>
    <definedName name="ITEM19_4Q08">#REF!</definedName>
    <definedName name="ITEM19_4Q09">#REF!</definedName>
    <definedName name="ITEM19_4Q10">#REF!</definedName>
    <definedName name="ITEM19_4Q11">#REF!</definedName>
    <definedName name="ITEM19_4Q12">#REF!</definedName>
    <definedName name="ITEM19_4Q13">#REF!</definedName>
    <definedName name="ITEM19_4Q14">#REF!</definedName>
    <definedName name="ITEM19_4Q15">#REF!</definedName>
    <definedName name="ITEM19_4Q16">#REF!</definedName>
    <definedName name="ITEM19_4Q17">#REF!</definedName>
    <definedName name="ITEM19_4Q18">#REF!</definedName>
    <definedName name="ITEM19_4Q19">#REF!</definedName>
    <definedName name="ITEM19_4Q20">#REF!</definedName>
    <definedName name="ITEM19_4Q21">#REF!</definedName>
    <definedName name="ITEM19_4Q22">#REF!</definedName>
    <definedName name="ITEM19_4Q23">#REF!</definedName>
    <definedName name="ITEM19_4Q24">#REF!</definedName>
    <definedName name="Item2">#REF!</definedName>
    <definedName name="ITEM2_1995">#REF!</definedName>
    <definedName name="ITEM2_1996">#REF!</definedName>
    <definedName name="ITEM2_1997">#REF!</definedName>
    <definedName name="ITEM2_1998">#REF!</definedName>
    <definedName name="ITEM2_1999">#REF!</definedName>
    <definedName name="ITEM2_1Q00">#REF!</definedName>
    <definedName name="ITEM2_1Q01">#REF!</definedName>
    <definedName name="ITEM2_1Q02">#REF!</definedName>
    <definedName name="ITEM2_1Q03">#REF!</definedName>
    <definedName name="ITEM2_1Q04">#REF!</definedName>
    <definedName name="ITEM2_1Q05">#REF!</definedName>
    <definedName name="ITEM2_1Q06">#REF!</definedName>
    <definedName name="ITEM2_1Q07">#REF!</definedName>
    <definedName name="ITEM2_1Q08">#REF!</definedName>
    <definedName name="ITEM2_1Q09">#REF!</definedName>
    <definedName name="ITEM2_1Q10">#REF!</definedName>
    <definedName name="ITEM2_1Q11">#REF!</definedName>
    <definedName name="ITEM2_1Q12">#REF!</definedName>
    <definedName name="ITEM2_1Q13">#REF!</definedName>
    <definedName name="ITEM2_1Q14">#REF!</definedName>
    <definedName name="ITEM2_1Q15">#REF!</definedName>
    <definedName name="ITEM2_1Q16">#REF!</definedName>
    <definedName name="ITEM2_1Q17">#REF!</definedName>
    <definedName name="ITEM2_1Q18">#REF!</definedName>
    <definedName name="ITEM2_1Q19">#REF!</definedName>
    <definedName name="ITEM2_1Q20">#REF!</definedName>
    <definedName name="ITEM2_1Q21">#REF!</definedName>
    <definedName name="ITEM2_1Q22">#REF!</definedName>
    <definedName name="ITEM2_1Q23">#REF!</definedName>
    <definedName name="ITEM2_1Q24">#REF!</definedName>
    <definedName name="ITEM2_2000">#REF!</definedName>
    <definedName name="ITEM2_2001">#REF!</definedName>
    <definedName name="ITEM2_2002">#REF!</definedName>
    <definedName name="ITEM2_2003">#REF!</definedName>
    <definedName name="ITEM2_2004">#REF!</definedName>
    <definedName name="ITEM2_2005">#REF!</definedName>
    <definedName name="ITEM2_2006">#REF!</definedName>
    <definedName name="ITEM2_2007">#REF!</definedName>
    <definedName name="ITEM2_2008">#REF!</definedName>
    <definedName name="ITEM2_2009">#REF!</definedName>
    <definedName name="ITEM2_2010">#REF!</definedName>
    <definedName name="ITEM2_2011">#REF!</definedName>
    <definedName name="ITEM2_2012">#REF!</definedName>
    <definedName name="ITEM2_2013">#REF!</definedName>
    <definedName name="ITEM2_2014">#REF!</definedName>
    <definedName name="ITEM2_2015">#REF!</definedName>
    <definedName name="ITEM2_2016">#REF!</definedName>
    <definedName name="ITEM2_2017">#REF!</definedName>
    <definedName name="ITEM2_2018">#REF!</definedName>
    <definedName name="ITEM2_2019">#REF!</definedName>
    <definedName name="ITEM2_2020">#REF!</definedName>
    <definedName name="ITEM2_2021">#REF!</definedName>
    <definedName name="ITEM2_2022">#REF!</definedName>
    <definedName name="ITEM2_2023">#REF!</definedName>
    <definedName name="ITEM2_2024">#REF!</definedName>
    <definedName name="ITEM2_2Q00">#REF!</definedName>
    <definedName name="ITEM2_2Q01">#REF!</definedName>
    <definedName name="ITEM2_2Q02">#REF!</definedName>
    <definedName name="ITEM2_2Q03">#REF!</definedName>
    <definedName name="ITEM2_2Q04">#REF!</definedName>
    <definedName name="ITEM2_2Q05">#REF!</definedName>
    <definedName name="ITEM2_2Q06">#REF!</definedName>
    <definedName name="ITEM2_2Q07">#REF!</definedName>
    <definedName name="ITEM2_2Q08">#REF!</definedName>
    <definedName name="ITEM2_2Q09">#REF!</definedName>
    <definedName name="ITEM2_2Q10">#REF!</definedName>
    <definedName name="ITEM2_2Q11">#REF!</definedName>
    <definedName name="ITEM2_2Q12">#REF!</definedName>
    <definedName name="ITEM2_2Q13">#REF!</definedName>
    <definedName name="ITEM2_2Q14">#REF!</definedName>
    <definedName name="ITEM2_2Q15">#REF!</definedName>
    <definedName name="ITEM2_2Q16">#REF!</definedName>
    <definedName name="ITEM2_2Q17">#REF!</definedName>
    <definedName name="ITEM2_2Q18">#REF!</definedName>
    <definedName name="ITEM2_2Q19">#REF!</definedName>
    <definedName name="ITEM2_2Q20">#REF!</definedName>
    <definedName name="ITEM2_2Q21">#REF!</definedName>
    <definedName name="ITEM2_2Q22">#REF!</definedName>
    <definedName name="ITEM2_2Q23">#REF!</definedName>
    <definedName name="ITEM2_2Q24">#REF!</definedName>
    <definedName name="ITEM2_3Q00">#REF!</definedName>
    <definedName name="ITEM2_3Q01">#REF!</definedName>
    <definedName name="ITEM2_3Q02">#REF!</definedName>
    <definedName name="ITEM2_3Q03">#REF!</definedName>
    <definedName name="ITEM2_3Q04">#REF!</definedName>
    <definedName name="ITEM2_3Q05">#REF!</definedName>
    <definedName name="ITEM2_3Q06">#REF!</definedName>
    <definedName name="ITEM2_3Q07">#REF!</definedName>
    <definedName name="ITEM2_3Q08">#REF!</definedName>
    <definedName name="ITEM2_3Q09">#REF!</definedName>
    <definedName name="ITEM2_3Q10">#REF!</definedName>
    <definedName name="ITEM2_3Q11">#REF!</definedName>
    <definedName name="ITEM2_3Q12">#REF!</definedName>
    <definedName name="ITEM2_3Q13">#REF!</definedName>
    <definedName name="ITEM2_3Q14">#REF!</definedName>
    <definedName name="ITEM2_3Q15">#REF!</definedName>
    <definedName name="ITEM2_3Q16">#REF!</definedName>
    <definedName name="ITEM2_3Q17">#REF!</definedName>
    <definedName name="ITEM2_3Q18">#REF!</definedName>
    <definedName name="ITEM2_3Q19">#REF!</definedName>
    <definedName name="ITEM2_3Q20">#REF!</definedName>
    <definedName name="ITEM2_3Q21">#REF!</definedName>
    <definedName name="ITEM2_3Q22">#REF!</definedName>
    <definedName name="ITEM2_3Q23">#REF!</definedName>
    <definedName name="ITEM2_3Q24">#REF!</definedName>
    <definedName name="ITEM2_4Q00">#REF!</definedName>
    <definedName name="ITEM2_4Q01">#REF!</definedName>
    <definedName name="ITEM2_4Q02">#REF!</definedName>
    <definedName name="ITEM2_4Q03">#REF!</definedName>
    <definedName name="ITEM2_4Q04">#REF!</definedName>
    <definedName name="ITEM2_4Q05">#REF!</definedName>
    <definedName name="ITEM2_4Q06">#REF!</definedName>
    <definedName name="ITEM2_4Q07">#REF!</definedName>
    <definedName name="ITEM2_4Q08">#REF!</definedName>
    <definedName name="ITEM2_4Q09">#REF!</definedName>
    <definedName name="ITEM2_4Q10">#REF!</definedName>
    <definedName name="ITEM2_4Q11">#REF!</definedName>
    <definedName name="ITEM2_4Q12">#REF!</definedName>
    <definedName name="ITEM2_4Q13">#REF!</definedName>
    <definedName name="ITEM2_4Q14">#REF!</definedName>
    <definedName name="ITEM2_4Q15">#REF!</definedName>
    <definedName name="ITEM2_4Q16">#REF!</definedName>
    <definedName name="ITEM2_4Q17">#REF!</definedName>
    <definedName name="ITEM2_4Q18">#REF!</definedName>
    <definedName name="ITEM2_4Q19">#REF!</definedName>
    <definedName name="ITEM2_4Q20">#REF!</definedName>
    <definedName name="ITEM2_4Q21">#REF!</definedName>
    <definedName name="ITEM2_4Q22">#REF!</definedName>
    <definedName name="ITEM2_4Q23">#REF!</definedName>
    <definedName name="ITEM2_4Q24">#REF!</definedName>
    <definedName name="ITEM20_1995">#REF!</definedName>
    <definedName name="ITEM20_1996">#REF!</definedName>
    <definedName name="ITEM20_1997">#REF!</definedName>
    <definedName name="ITEM20_1998">#REF!</definedName>
    <definedName name="ITEM20_1999">#REF!</definedName>
    <definedName name="ITEM20_1Q00">#REF!</definedName>
    <definedName name="ITEM20_1Q01">#REF!</definedName>
    <definedName name="ITEM20_1Q02">#REF!</definedName>
    <definedName name="ITEM20_1Q03">#REF!</definedName>
    <definedName name="ITEM20_1Q04">#REF!</definedName>
    <definedName name="ITEM20_1Q05">#REF!</definedName>
    <definedName name="ITEM20_1Q06">#REF!</definedName>
    <definedName name="ITEM20_1Q07">#REF!</definedName>
    <definedName name="ITEM20_1Q08">#REF!</definedName>
    <definedName name="ITEM20_1Q09">#REF!</definedName>
    <definedName name="ITEM20_1Q10">#REF!</definedName>
    <definedName name="ITEM20_1Q11">#REF!</definedName>
    <definedName name="ITEM20_1Q12">#REF!</definedName>
    <definedName name="ITEM20_1Q13">#REF!</definedName>
    <definedName name="ITEM20_1Q14">#REF!</definedName>
    <definedName name="ITEM20_1Q15">#REF!</definedName>
    <definedName name="ITEM20_1Q16">#REF!</definedName>
    <definedName name="ITEM20_1Q17">#REF!</definedName>
    <definedName name="ITEM20_1Q18">#REF!</definedName>
    <definedName name="ITEM20_1Q19">#REF!</definedName>
    <definedName name="ITEM20_1Q20">#REF!</definedName>
    <definedName name="ITEM20_1Q21">#REF!</definedName>
    <definedName name="ITEM20_1Q22">#REF!</definedName>
    <definedName name="ITEM20_1Q23">#REF!</definedName>
    <definedName name="ITEM20_1Q24">#REF!</definedName>
    <definedName name="ITEM20_2000">#REF!</definedName>
    <definedName name="ITEM20_2001">#REF!</definedName>
    <definedName name="ITEM20_2002">#REF!</definedName>
    <definedName name="ITEM20_2003">#REF!</definedName>
    <definedName name="ITEM20_2004">#REF!</definedName>
    <definedName name="ITEM20_2005">#REF!</definedName>
    <definedName name="ITEM20_2006">#REF!</definedName>
    <definedName name="ITEM20_2007">#REF!</definedName>
    <definedName name="ITEM20_2008">#REF!</definedName>
    <definedName name="ITEM20_2009">#REF!</definedName>
    <definedName name="ITEM20_2010">#REF!</definedName>
    <definedName name="ITEM20_2011">#REF!</definedName>
    <definedName name="ITEM20_2012">#REF!</definedName>
    <definedName name="ITEM20_2013">#REF!</definedName>
    <definedName name="ITEM20_2014">#REF!</definedName>
    <definedName name="ITEM20_2015">#REF!</definedName>
    <definedName name="ITEM20_2016">#REF!</definedName>
    <definedName name="ITEM20_2017">#REF!</definedName>
    <definedName name="ITEM20_2018">#REF!</definedName>
    <definedName name="ITEM20_2019">#REF!</definedName>
    <definedName name="ITEM20_2020">#REF!</definedName>
    <definedName name="ITEM20_2021">#REF!</definedName>
    <definedName name="ITEM20_2022">#REF!</definedName>
    <definedName name="ITEM20_2023">#REF!</definedName>
    <definedName name="ITEM20_2024">#REF!</definedName>
    <definedName name="ITEM20_2Q00">#REF!</definedName>
    <definedName name="ITEM20_2Q01">#REF!</definedName>
    <definedName name="ITEM20_2Q02">#REF!</definedName>
    <definedName name="ITEM20_2Q03">#REF!</definedName>
    <definedName name="ITEM20_2Q04">#REF!</definedName>
    <definedName name="ITEM20_2Q05">#REF!</definedName>
    <definedName name="ITEM20_2Q06">#REF!</definedName>
    <definedName name="ITEM20_2Q07">#REF!</definedName>
    <definedName name="ITEM20_2Q08">#REF!</definedName>
    <definedName name="ITEM20_2Q09">#REF!</definedName>
    <definedName name="ITEM20_2Q10">#REF!</definedName>
    <definedName name="ITEM20_2Q11">#REF!</definedName>
    <definedName name="ITEM20_2Q12">#REF!</definedName>
    <definedName name="ITEM20_2Q13">#REF!</definedName>
    <definedName name="ITEM20_2Q14">#REF!</definedName>
    <definedName name="ITEM20_2Q15">#REF!</definedName>
    <definedName name="ITEM20_2Q16">#REF!</definedName>
    <definedName name="ITEM20_2Q17">#REF!</definedName>
    <definedName name="ITEM20_2Q18">#REF!</definedName>
    <definedName name="ITEM20_2Q19">#REF!</definedName>
    <definedName name="ITEM20_2Q20">#REF!</definedName>
    <definedName name="ITEM20_2Q21">#REF!</definedName>
    <definedName name="ITEM20_2Q22">#REF!</definedName>
    <definedName name="ITEM20_2Q23">#REF!</definedName>
    <definedName name="ITEM20_2Q24">#REF!</definedName>
    <definedName name="ITEM20_3Q00">#REF!</definedName>
    <definedName name="ITEM20_3Q01">#REF!</definedName>
    <definedName name="ITEM20_3Q02">#REF!</definedName>
    <definedName name="ITEM20_3Q03">#REF!</definedName>
    <definedName name="ITEM20_3Q04">#REF!</definedName>
    <definedName name="ITEM20_3Q05">#REF!</definedName>
    <definedName name="ITEM20_3Q06">#REF!</definedName>
    <definedName name="ITEM20_3Q07">#REF!</definedName>
    <definedName name="ITEM20_3Q08">#REF!</definedName>
    <definedName name="ITEM20_3Q09">#REF!</definedName>
    <definedName name="ITEM20_3Q10">#REF!</definedName>
    <definedName name="ITEM20_3Q11">#REF!</definedName>
    <definedName name="ITEM20_3Q12">#REF!</definedName>
    <definedName name="ITEM20_3Q13">#REF!</definedName>
    <definedName name="ITEM20_3Q14">#REF!</definedName>
    <definedName name="ITEM20_3Q15">#REF!</definedName>
    <definedName name="ITEM20_3Q16">#REF!</definedName>
    <definedName name="ITEM20_3Q17">#REF!</definedName>
    <definedName name="ITEM20_3Q18">#REF!</definedName>
    <definedName name="ITEM20_3Q19">#REF!</definedName>
    <definedName name="ITEM20_3Q20">#REF!</definedName>
    <definedName name="ITEM20_3Q21">#REF!</definedName>
    <definedName name="ITEM20_3Q22">#REF!</definedName>
    <definedName name="ITEM20_3Q23">#REF!</definedName>
    <definedName name="ITEM20_3Q24">#REF!</definedName>
    <definedName name="ITEM20_4Q00">#REF!</definedName>
    <definedName name="ITEM20_4Q01">#REF!</definedName>
    <definedName name="ITEM20_4Q02">#REF!</definedName>
    <definedName name="ITEM20_4Q03">#REF!</definedName>
    <definedName name="ITEM20_4Q04">#REF!</definedName>
    <definedName name="ITEM20_4Q05">#REF!</definedName>
    <definedName name="ITEM20_4Q06">#REF!</definedName>
    <definedName name="ITEM20_4Q07">#REF!</definedName>
    <definedName name="ITEM20_4Q08">#REF!</definedName>
    <definedName name="ITEM20_4Q09">#REF!</definedName>
    <definedName name="ITEM20_4Q10">#REF!</definedName>
    <definedName name="ITEM20_4Q11">#REF!</definedName>
    <definedName name="ITEM20_4Q12">#REF!</definedName>
    <definedName name="ITEM20_4Q13">#REF!</definedName>
    <definedName name="ITEM20_4Q14">#REF!</definedName>
    <definedName name="ITEM20_4Q15">#REF!</definedName>
    <definedName name="ITEM20_4Q16">#REF!</definedName>
    <definedName name="ITEM20_4Q17">#REF!</definedName>
    <definedName name="ITEM20_4Q18">#REF!</definedName>
    <definedName name="ITEM20_4Q19">#REF!</definedName>
    <definedName name="ITEM20_4Q20">#REF!</definedName>
    <definedName name="ITEM20_4Q21">#REF!</definedName>
    <definedName name="ITEM20_4Q22">#REF!</definedName>
    <definedName name="ITEM20_4Q23">#REF!</definedName>
    <definedName name="ITEM20_4Q24">#REF!</definedName>
    <definedName name="ITEM21_1995">#REF!</definedName>
    <definedName name="ITEM21_1996">#REF!</definedName>
    <definedName name="ITEM21_1997">#REF!</definedName>
    <definedName name="ITEM21_1998">#REF!</definedName>
    <definedName name="ITEM21_1999">#REF!</definedName>
    <definedName name="ITEM21_1Q00">#REF!</definedName>
    <definedName name="ITEM21_1Q01">#REF!</definedName>
    <definedName name="ITEM21_1Q02">#REF!</definedName>
    <definedName name="ITEM21_1Q03">#REF!</definedName>
    <definedName name="ITEM21_1Q04">#REF!</definedName>
    <definedName name="ITEM21_1Q05">#REF!</definedName>
    <definedName name="ITEM21_1Q06">#REF!</definedName>
    <definedName name="ITEM21_1Q07">#REF!</definedName>
    <definedName name="ITEM21_1Q08">#REF!</definedName>
    <definedName name="ITEM21_1Q09">#REF!</definedName>
    <definedName name="ITEM21_1Q10">#REF!</definedName>
    <definedName name="ITEM21_1Q11">#REF!</definedName>
    <definedName name="ITEM21_1Q12">#REF!</definedName>
    <definedName name="ITEM21_1Q13">#REF!</definedName>
    <definedName name="ITEM21_1Q14">#REF!</definedName>
    <definedName name="ITEM21_1Q15">#REF!</definedName>
    <definedName name="ITEM21_1Q16">#REF!</definedName>
    <definedName name="ITEM21_1Q17">#REF!</definedName>
    <definedName name="ITEM21_1Q18">#REF!</definedName>
    <definedName name="ITEM21_1Q19">#REF!</definedName>
    <definedName name="ITEM21_1Q20">#REF!</definedName>
    <definedName name="ITEM21_1Q21">#REF!</definedName>
    <definedName name="ITEM21_1Q22">#REF!</definedName>
    <definedName name="ITEM21_1Q23">#REF!</definedName>
    <definedName name="ITEM21_1Q24">#REF!</definedName>
    <definedName name="ITEM21_2000">#REF!</definedName>
    <definedName name="ITEM21_2001">#REF!</definedName>
    <definedName name="ITEM21_2002">#REF!</definedName>
    <definedName name="ITEM21_2003">#REF!</definedName>
    <definedName name="ITEM21_2004">#REF!</definedName>
    <definedName name="ITEM21_2005">#REF!</definedName>
    <definedName name="ITEM21_2006">#REF!</definedName>
    <definedName name="ITEM21_2007">#REF!</definedName>
    <definedName name="ITEM21_2008">#REF!</definedName>
    <definedName name="ITEM21_2009">#REF!</definedName>
    <definedName name="ITEM21_2010">#REF!</definedName>
    <definedName name="ITEM21_2011">#REF!</definedName>
    <definedName name="ITEM21_2012">#REF!</definedName>
    <definedName name="ITEM21_2013">#REF!</definedName>
    <definedName name="ITEM21_2014">#REF!</definedName>
    <definedName name="ITEM21_2015">#REF!</definedName>
    <definedName name="ITEM21_2016">#REF!</definedName>
    <definedName name="ITEM21_2017">#REF!</definedName>
    <definedName name="ITEM21_2018">#REF!</definedName>
    <definedName name="ITEM21_2019">#REF!</definedName>
    <definedName name="ITEM21_2020">#REF!</definedName>
    <definedName name="ITEM21_2021">#REF!</definedName>
    <definedName name="ITEM21_2022">#REF!</definedName>
    <definedName name="ITEM21_2023">#REF!</definedName>
    <definedName name="ITEM21_2024">#REF!</definedName>
    <definedName name="ITEM21_2Q00">#REF!</definedName>
    <definedName name="ITEM21_2Q01">#REF!</definedName>
    <definedName name="ITEM21_2Q02">#REF!</definedName>
    <definedName name="ITEM21_2Q03">#REF!</definedName>
    <definedName name="ITEM21_2Q04">#REF!</definedName>
    <definedName name="ITEM21_2Q05">#REF!</definedName>
    <definedName name="ITEM21_2Q06">#REF!</definedName>
    <definedName name="ITEM21_2Q07">#REF!</definedName>
    <definedName name="ITEM21_2Q08">#REF!</definedName>
    <definedName name="ITEM21_2Q09">#REF!</definedName>
    <definedName name="ITEM21_2Q10">#REF!</definedName>
    <definedName name="ITEM21_2Q11">#REF!</definedName>
    <definedName name="ITEM21_2Q12">#REF!</definedName>
    <definedName name="ITEM21_2Q13">#REF!</definedName>
    <definedName name="ITEM21_2Q14">#REF!</definedName>
    <definedName name="ITEM21_2Q15">#REF!</definedName>
    <definedName name="ITEM21_2Q16">#REF!</definedName>
    <definedName name="ITEM21_2Q17">#REF!</definedName>
    <definedName name="ITEM21_2Q18">#REF!</definedName>
    <definedName name="ITEM21_2Q19">#REF!</definedName>
    <definedName name="ITEM21_2Q20">#REF!</definedName>
    <definedName name="ITEM21_2Q21">#REF!</definedName>
    <definedName name="ITEM21_2Q22">#REF!</definedName>
    <definedName name="ITEM21_2Q23">#REF!</definedName>
    <definedName name="ITEM21_2Q24">#REF!</definedName>
    <definedName name="ITEM21_3Q00">#REF!</definedName>
    <definedName name="ITEM21_3Q01">#REF!</definedName>
    <definedName name="ITEM21_3Q02">#REF!</definedName>
    <definedName name="ITEM21_3Q03">#REF!</definedName>
    <definedName name="ITEM21_3Q04">#REF!</definedName>
    <definedName name="ITEM21_3Q05">#REF!</definedName>
    <definedName name="ITEM21_3Q06">#REF!</definedName>
    <definedName name="ITEM21_3Q07">#REF!</definedName>
    <definedName name="ITEM21_3Q08">#REF!</definedName>
    <definedName name="ITEM21_3Q09">#REF!</definedName>
    <definedName name="ITEM21_3Q10">#REF!</definedName>
    <definedName name="ITEM21_3Q11">#REF!</definedName>
    <definedName name="ITEM21_3Q12">#REF!</definedName>
    <definedName name="ITEM21_3Q13">#REF!</definedName>
    <definedName name="ITEM21_3Q14">#REF!</definedName>
    <definedName name="ITEM21_3Q15">#REF!</definedName>
    <definedName name="ITEM21_3Q16">#REF!</definedName>
    <definedName name="ITEM21_3Q17">#REF!</definedName>
    <definedName name="ITEM21_3Q18">#REF!</definedName>
    <definedName name="ITEM21_3Q19">#REF!</definedName>
    <definedName name="ITEM21_3Q20">#REF!</definedName>
    <definedName name="ITEM21_3Q21">#REF!</definedName>
    <definedName name="ITEM21_3Q22">#REF!</definedName>
    <definedName name="ITEM21_3Q23">#REF!</definedName>
    <definedName name="ITEM21_3Q24">#REF!</definedName>
    <definedName name="ITEM21_4Q00">#REF!</definedName>
    <definedName name="ITEM21_4Q01">#REF!</definedName>
    <definedName name="ITEM21_4Q02">#REF!</definedName>
    <definedName name="ITEM21_4Q03">#REF!</definedName>
    <definedName name="ITEM21_4Q04">#REF!</definedName>
    <definedName name="ITEM21_4Q05">#REF!</definedName>
    <definedName name="ITEM21_4Q06">#REF!</definedName>
    <definedName name="ITEM21_4Q07">#REF!</definedName>
    <definedName name="ITEM21_4Q08">#REF!</definedName>
    <definedName name="ITEM21_4Q09">#REF!</definedName>
    <definedName name="ITEM21_4Q10">#REF!</definedName>
    <definedName name="ITEM21_4Q11">#REF!</definedName>
    <definedName name="ITEM21_4Q12">#REF!</definedName>
    <definedName name="ITEM21_4Q13">#REF!</definedName>
    <definedName name="ITEM21_4Q14">#REF!</definedName>
    <definedName name="ITEM21_4Q15">#REF!</definedName>
    <definedName name="ITEM21_4Q16">#REF!</definedName>
    <definedName name="ITEM21_4Q17">#REF!</definedName>
    <definedName name="ITEM21_4Q18">#REF!</definedName>
    <definedName name="ITEM21_4Q19">#REF!</definedName>
    <definedName name="ITEM21_4Q20">#REF!</definedName>
    <definedName name="ITEM21_4Q21">#REF!</definedName>
    <definedName name="ITEM21_4Q22">#REF!</definedName>
    <definedName name="ITEM21_4Q23">#REF!</definedName>
    <definedName name="ITEM21_4Q24">#REF!</definedName>
    <definedName name="ITEM22_1995">#REF!</definedName>
    <definedName name="ITEM22_1996">#REF!</definedName>
    <definedName name="ITEM22_1997">#REF!</definedName>
    <definedName name="ITEM22_1998">#REF!</definedName>
    <definedName name="ITEM22_1999">#REF!</definedName>
    <definedName name="ITEM22_1Q00">#REF!</definedName>
    <definedName name="ITEM22_1Q01">#REF!</definedName>
    <definedName name="ITEM22_1Q02">#REF!</definedName>
    <definedName name="ITEM22_1Q03">#REF!</definedName>
    <definedName name="ITEM22_1Q04">#REF!</definedName>
    <definedName name="ITEM22_1Q05">#REF!</definedName>
    <definedName name="ITEM22_1Q06">#REF!</definedName>
    <definedName name="ITEM22_1Q07">#REF!</definedName>
    <definedName name="ITEM22_1Q08">#REF!</definedName>
    <definedName name="ITEM22_1Q09">#REF!</definedName>
    <definedName name="ITEM22_1Q10">#REF!</definedName>
    <definedName name="ITEM22_1Q11">#REF!</definedName>
    <definedName name="ITEM22_1Q12">#REF!</definedName>
    <definedName name="ITEM22_1Q13">#REF!</definedName>
    <definedName name="ITEM22_1Q14">#REF!</definedName>
    <definedName name="ITEM22_1Q15">#REF!</definedName>
    <definedName name="ITEM22_1Q16">#REF!</definedName>
    <definedName name="ITEM22_1Q17">#REF!</definedName>
    <definedName name="ITEM22_1Q18">#REF!</definedName>
    <definedName name="ITEM22_1Q19">#REF!</definedName>
    <definedName name="ITEM22_1Q20">#REF!</definedName>
    <definedName name="ITEM22_1Q21">#REF!</definedName>
    <definedName name="ITEM22_1Q22">#REF!</definedName>
    <definedName name="ITEM22_1Q23">#REF!</definedName>
    <definedName name="ITEM22_1Q24">#REF!</definedName>
    <definedName name="ITEM22_2000">#REF!</definedName>
    <definedName name="ITEM22_2001">#REF!</definedName>
    <definedName name="ITEM22_2002">#REF!</definedName>
    <definedName name="ITEM22_2003">#REF!</definedName>
    <definedName name="ITEM22_2004">#REF!</definedName>
    <definedName name="ITEM22_2005">#REF!</definedName>
    <definedName name="ITEM22_2006">#REF!</definedName>
    <definedName name="ITEM22_2007">#REF!</definedName>
    <definedName name="ITEM22_2008">#REF!</definedName>
    <definedName name="ITEM22_2009">#REF!</definedName>
    <definedName name="ITEM22_2010">#REF!</definedName>
    <definedName name="ITEM22_2011">#REF!</definedName>
    <definedName name="ITEM22_2012">#REF!</definedName>
    <definedName name="ITEM22_2013">#REF!</definedName>
    <definedName name="ITEM22_2014">#REF!</definedName>
    <definedName name="ITEM22_2015">#REF!</definedName>
    <definedName name="ITEM22_2016">#REF!</definedName>
    <definedName name="ITEM22_2017">#REF!</definedName>
    <definedName name="ITEM22_2018">#REF!</definedName>
    <definedName name="ITEM22_2019">#REF!</definedName>
    <definedName name="ITEM22_2020">#REF!</definedName>
    <definedName name="ITEM22_2021">#REF!</definedName>
    <definedName name="ITEM22_2022">#REF!</definedName>
    <definedName name="ITEM22_2023">#REF!</definedName>
    <definedName name="ITEM22_2024">#REF!</definedName>
    <definedName name="ITEM22_2Q00">#REF!</definedName>
    <definedName name="ITEM22_2Q01">#REF!</definedName>
    <definedName name="ITEM22_2Q02">#REF!</definedName>
    <definedName name="ITEM22_2Q03">#REF!</definedName>
    <definedName name="ITEM22_2Q04">#REF!</definedName>
    <definedName name="ITEM22_2Q05">#REF!</definedName>
    <definedName name="ITEM22_2Q06">#REF!</definedName>
    <definedName name="ITEM22_2Q07">#REF!</definedName>
    <definedName name="ITEM22_2Q08">#REF!</definedName>
    <definedName name="ITEM22_2Q09">#REF!</definedName>
    <definedName name="ITEM22_2Q10">#REF!</definedName>
    <definedName name="ITEM22_2Q11">#REF!</definedName>
    <definedName name="ITEM22_2Q12">#REF!</definedName>
    <definedName name="ITEM22_2Q13">#REF!</definedName>
    <definedName name="ITEM22_2Q14">#REF!</definedName>
    <definedName name="ITEM22_2Q15">#REF!</definedName>
    <definedName name="ITEM22_2Q16">#REF!</definedName>
    <definedName name="ITEM22_2Q17">#REF!</definedName>
    <definedName name="ITEM22_2Q18">#REF!</definedName>
    <definedName name="ITEM22_2Q19">#REF!</definedName>
    <definedName name="ITEM22_2Q20">#REF!</definedName>
    <definedName name="ITEM22_2Q21">#REF!</definedName>
    <definedName name="ITEM22_2Q22">#REF!</definedName>
    <definedName name="ITEM22_2Q23">#REF!</definedName>
    <definedName name="ITEM22_2Q24">#REF!</definedName>
    <definedName name="ITEM22_3Q00">#REF!</definedName>
    <definedName name="ITEM22_3Q01">#REF!</definedName>
    <definedName name="ITEM22_3Q02">#REF!</definedName>
    <definedName name="ITEM22_3Q03">#REF!</definedName>
    <definedName name="ITEM22_3Q04">#REF!</definedName>
    <definedName name="ITEM22_3Q05">#REF!</definedName>
    <definedName name="ITEM22_3Q06">#REF!</definedName>
    <definedName name="ITEM22_3Q07">#REF!</definedName>
    <definedName name="ITEM22_3Q08">#REF!</definedName>
    <definedName name="ITEM22_3Q09">#REF!</definedName>
    <definedName name="ITEM22_3Q10">#REF!</definedName>
    <definedName name="ITEM22_3Q11">#REF!</definedName>
    <definedName name="ITEM22_3Q12">#REF!</definedName>
    <definedName name="ITEM22_3Q13">#REF!</definedName>
    <definedName name="ITEM22_3Q14">#REF!</definedName>
    <definedName name="ITEM22_3Q15">#REF!</definedName>
    <definedName name="ITEM22_3Q16">#REF!</definedName>
    <definedName name="ITEM22_3Q17">#REF!</definedName>
    <definedName name="ITEM22_3Q18">#REF!</definedName>
    <definedName name="ITEM22_3Q19">#REF!</definedName>
    <definedName name="ITEM22_3Q20">#REF!</definedName>
    <definedName name="ITEM22_3Q21">#REF!</definedName>
    <definedName name="ITEM22_3Q22">#REF!</definedName>
    <definedName name="ITEM22_3Q23">#REF!</definedName>
    <definedName name="ITEM22_3Q24">#REF!</definedName>
    <definedName name="ITEM22_4Q00">#REF!</definedName>
    <definedName name="ITEM22_4Q01">#REF!</definedName>
    <definedName name="ITEM22_4Q02">#REF!</definedName>
    <definedName name="ITEM22_4Q03">#REF!</definedName>
    <definedName name="ITEM22_4Q04">#REF!</definedName>
    <definedName name="ITEM22_4Q05">#REF!</definedName>
    <definedName name="ITEM22_4Q06">#REF!</definedName>
    <definedName name="ITEM22_4Q07">#REF!</definedName>
    <definedName name="ITEM22_4Q08">#REF!</definedName>
    <definedName name="ITEM22_4Q09">#REF!</definedName>
    <definedName name="ITEM22_4Q10">#REF!</definedName>
    <definedName name="ITEM22_4Q11">#REF!</definedName>
    <definedName name="ITEM22_4Q12">#REF!</definedName>
    <definedName name="ITEM22_4Q13">#REF!</definedName>
    <definedName name="ITEM22_4Q14">#REF!</definedName>
    <definedName name="ITEM22_4Q15">#REF!</definedName>
    <definedName name="ITEM22_4Q16">#REF!</definedName>
    <definedName name="ITEM22_4Q17">#REF!</definedName>
    <definedName name="ITEM22_4Q18">#REF!</definedName>
    <definedName name="ITEM22_4Q19">#REF!</definedName>
    <definedName name="ITEM22_4Q20">#REF!</definedName>
    <definedName name="ITEM22_4Q21">#REF!</definedName>
    <definedName name="ITEM22_4Q22">#REF!</definedName>
    <definedName name="ITEM22_4Q23">#REF!</definedName>
    <definedName name="ITEM22_4Q24">#REF!</definedName>
    <definedName name="ITEM23_1995">#REF!</definedName>
    <definedName name="ITEM23_1996">#REF!</definedName>
    <definedName name="ITEM23_1997">#REF!</definedName>
    <definedName name="ITEM23_1998">#REF!</definedName>
    <definedName name="ITEM23_1999">#REF!</definedName>
    <definedName name="ITEM23_1Q00">#REF!</definedName>
    <definedName name="ITEM23_1Q01">#REF!</definedName>
    <definedName name="ITEM23_1Q02">#REF!</definedName>
    <definedName name="ITEM23_1Q03">#REF!</definedName>
    <definedName name="ITEM23_1Q04">#REF!</definedName>
    <definedName name="ITEM23_1Q05">#REF!</definedName>
    <definedName name="ITEM23_1Q06">#REF!</definedName>
    <definedName name="ITEM23_1Q07">#REF!</definedName>
    <definedName name="ITEM23_1Q08">#REF!</definedName>
    <definedName name="ITEM23_1Q09">#REF!</definedName>
    <definedName name="ITEM23_1Q10">#REF!</definedName>
    <definedName name="ITEM23_1Q11">#REF!</definedName>
    <definedName name="ITEM23_1Q12">#REF!</definedName>
    <definedName name="ITEM23_1Q13">#REF!</definedName>
    <definedName name="ITEM23_1Q14">#REF!</definedName>
    <definedName name="ITEM23_1Q15">#REF!</definedName>
    <definedName name="ITEM23_1Q16">#REF!</definedName>
    <definedName name="ITEM23_1Q17">#REF!</definedName>
    <definedName name="ITEM23_1Q18">#REF!</definedName>
    <definedName name="ITEM23_1Q19">#REF!</definedName>
    <definedName name="ITEM23_1Q20">#REF!</definedName>
    <definedName name="ITEM23_1Q21">#REF!</definedName>
    <definedName name="ITEM23_1Q22">#REF!</definedName>
    <definedName name="ITEM23_1Q23">#REF!</definedName>
    <definedName name="ITEM23_1Q24">#REF!</definedName>
    <definedName name="ITEM23_2000">#REF!</definedName>
    <definedName name="ITEM23_2001">#REF!</definedName>
    <definedName name="ITEM23_2002">#REF!</definedName>
    <definedName name="ITEM23_2003">#REF!</definedName>
    <definedName name="ITEM23_2004">#REF!</definedName>
    <definedName name="ITEM23_2005">#REF!</definedName>
    <definedName name="ITEM23_2006">#REF!</definedName>
    <definedName name="ITEM23_2007">#REF!</definedName>
    <definedName name="ITEM23_2008">#REF!</definedName>
    <definedName name="ITEM23_2009">#REF!</definedName>
    <definedName name="ITEM23_2010">#REF!</definedName>
    <definedName name="ITEM23_2011">#REF!</definedName>
    <definedName name="ITEM23_2012">#REF!</definedName>
    <definedName name="ITEM23_2013">#REF!</definedName>
    <definedName name="ITEM23_2014">#REF!</definedName>
    <definedName name="ITEM23_2015">#REF!</definedName>
    <definedName name="ITEM23_2016">#REF!</definedName>
    <definedName name="ITEM23_2017">#REF!</definedName>
    <definedName name="ITEM23_2018">#REF!</definedName>
    <definedName name="ITEM23_2019">#REF!</definedName>
    <definedName name="ITEM23_2020">#REF!</definedName>
    <definedName name="ITEM23_2021">#REF!</definedName>
    <definedName name="ITEM23_2022">#REF!</definedName>
    <definedName name="ITEM23_2023">#REF!</definedName>
    <definedName name="ITEM23_2024">#REF!</definedName>
    <definedName name="ITEM23_2Q00">#REF!</definedName>
    <definedName name="ITEM23_2Q01">#REF!</definedName>
    <definedName name="ITEM23_2Q02">#REF!</definedName>
    <definedName name="ITEM23_2Q03">#REF!</definedName>
    <definedName name="ITEM23_2Q04">#REF!</definedName>
    <definedName name="ITEM23_2Q05">#REF!</definedName>
    <definedName name="ITEM23_2Q06">#REF!</definedName>
    <definedName name="ITEM23_2Q07">#REF!</definedName>
    <definedName name="ITEM23_2Q08">#REF!</definedName>
    <definedName name="ITEM23_2Q09">#REF!</definedName>
    <definedName name="ITEM23_2Q10">#REF!</definedName>
    <definedName name="ITEM23_2Q11">#REF!</definedName>
    <definedName name="ITEM23_2Q12">#REF!</definedName>
    <definedName name="ITEM23_2Q13">#REF!</definedName>
    <definedName name="ITEM23_2Q14">#REF!</definedName>
    <definedName name="ITEM23_2Q15">#REF!</definedName>
    <definedName name="ITEM23_2Q16">#REF!</definedName>
    <definedName name="ITEM23_2Q17">#REF!</definedName>
    <definedName name="ITEM23_2Q18">#REF!</definedName>
    <definedName name="ITEM23_2Q19">#REF!</definedName>
    <definedName name="ITEM23_2Q20">#REF!</definedName>
    <definedName name="ITEM23_2Q21">#REF!</definedName>
    <definedName name="ITEM23_2Q22">#REF!</definedName>
    <definedName name="ITEM23_2Q23">#REF!</definedName>
    <definedName name="ITEM23_2Q24">#REF!</definedName>
    <definedName name="ITEM23_3Q00">#REF!</definedName>
    <definedName name="ITEM23_3Q01">#REF!</definedName>
    <definedName name="ITEM23_3Q02">#REF!</definedName>
    <definedName name="ITEM23_3Q03">#REF!</definedName>
    <definedName name="ITEM23_3Q04">#REF!</definedName>
    <definedName name="ITEM23_3Q05">#REF!</definedName>
    <definedName name="ITEM23_3Q06">#REF!</definedName>
    <definedName name="ITEM23_3Q07">#REF!</definedName>
    <definedName name="ITEM23_3Q08">#REF!</definedName>
    <definedName name="ITEM23_3Q09">#REF!</definedName>
    <definedName name="ITEM23_3Q10">#REF!</definedName>
    <definedName name="ITEM23_3Q11">#REF!</definedName>
    <definedName name="ITEM23_3Q12">#REF!</definedName>
    <definedName name="ITEM23_3Q13">#REF!</definedName>
    <definedName name="ITEM23_3Q14">#REF!</definedName>
    <definedName name="ITEM23_3Q15">#REF!</definedName>
    <definedName name="ITEM23_3Q16">#REF!</definedName>
    <definedName name="ITEM23_3Q17">#REF!</definedName>
    <definedName name="ITEM23_3Q18">#REF!</definedName>
    <definedName name="ITEM23_3Q19">#REF!</definedName>
    <definedName name="ITEM23_3Q20">#REF!</definedName>
    <definedName name="ITEM23_3Q21">#REF!</definedName>
    <definedName name="ITEM23_3Q22">#REF!</definedName>
    <definedName name="ITEM23_3Q23">#REF!</definedName>
    <definedName name="ITEM23_3Q24">#REF!</definedName>
    <definedName name="ITEM23_4Q00">#REF!</definedName>
    <definedName name="ITEM23_4Q01">#REF!</definedName>
    <definedName name="ITEM23_4Q02">#REF!</definedName>
    <definedName name="ITEM23_4Q03">#REF!</definedName>
    <definedName name="ITEM23_4Q04">#REF!</definedName>
    <definedName name="ITEM23_4Q05">#REF!</definedName>
    <definedName name="ITEM23_4Q06">#REF!</definedName>
    <definedName name="ITEM23_4Q07">#REF!</definedName>
    <definedName name="ITEM23_4Q08">#REF!</definedName>
    <definedName name="ITEM23_4Q09">#REF!</definedName>
    <definedName name="ITEM23_4Q10">#REF!</definedName>
    <definedName name="ITEM23_4Q11">#REF!</definedName>
    <definedName name="ITEM23_4Q12">#REF!</definedName>
    <definedName name="ITEM23_4Q13">#REF!</definedName>
    <definedName name="ITEM23_4Q14">#REF!</definedName>
    <definedName name="ITEM23_4Q15">#REF!</definedName>
    <definedName name="ITEM23_4Q16">#REF!</definedName>
    <definedName name="ITEM23_4Q17">#REF!</definedName>
    <definedName name="ITEM23_4Q18">#REF!</definedName>
    <definedName name="ITEM23_4Q19">#REF!</definedName>
    <definedName name="ITEM23_4Q20">#REF!</definedName>
    <definedName name="ITEM23_4Q21">#REF!</definedName>
    <definedName name="ITEM23_4Q22">#REF!</definedName>
    <definedName name="ITEM23_4Q23">#REF!</definedName>
    <definedName name="ITEM23_4Q24">#REF!</definedName>
    <definedName name="ITEM24_1995">#REF!</definedName>
    <definedName name="ITEM24_1996">#REF!</definedName>
    <definedName name="ITEM24_1997">#REF!</definedName>
    <definedName name="ITEM24_1998">#REF!</definedName>
    <definedName name="ITEM24_1999">#REF!</definedName>
    <definedName name="ITEM24_1Q00">#REF!</definedName>
    <definedName name="ITEM24_1Q01">#REF!</definedName>
    <definedName name="ITEM24_1Q02">#REF!</definedName>
    <definedName name="ITEM24_1Q03">#REF!</definedName>
    <definedName name="ITEM24_1Q04">#REF!</definedName>
    <definedName name="ITEM24_1Q05">#REF!</definedName>
    <definedName name="ITEM24_1Q06">#REF!</definedName>
    <definedName name="ITEM24_1Q07">#REF!</definedName>
    <definedName name="ITEM24_1Q08">#REF!</definedName>
    <definedName name="ITEM24_1Q09">#REF!</definedName>
    <definedName name="ITEM24_1Q10">#REF!</definedName>
    <definedName name="ITEM24_1Q11">#REF!</definedName>
    <definedName name="ITEM24_1Q12">#REF!</definedName>
    <definedName name="ITEM24_1Q13">#REF!</definedName>
    <definedName name="ITEM24_1Q14">#REF!</definedName>
    <definedName name="ITEM24_1Q15">#REF!</definedName>
    <definedName name="ITEM24_1Q16">#REF!</definedName>
    <definedName name="ITEM24_1Q17">#REF!</definedName>
    <definedName name="ITEM24_1Q18">#REF!</definedName>
    <definedName name="ITEM24_1Q19">#REF!</definedName>
    <definedName name="ITEM24_1Q20">#REF!</definedName>
    <definedName name="ITEM24_1Q21">#REF!</definedName>
    <definedName name="ITEM24_1Q22">#REF!</definedName>
    <definedName name="ITEM24_1Q23">#REF!</definedName>
    <definedName name="ITEM24_1Q24">#REF!</definedName>
    <definedName name="ITEM24_2000">#REF!</definedName>
    <definedName name="ITEM24_2001">#REF!</definedName>
    <definedName name="ITEM24_2002">#REF!</definedName>
    <definedName name="ITEM24_2003">#REF!</definedName>
    <definedName name="ITEM24_2004">#REF!</definedName>
    <definedName name="ITEM24_2005">#REF!</definedName>
    <definedName name="ITEM24_2006">#REF!</definedName>
    <definedName name="ITEM24_2007">#REF!</definedName>
    <definedName name="ITEM24_2008">#REF!</definedName>
    <definedName name="ITEM24_2009">#REF!</definedName>
    <definedName name="ITEM24_2010">#REF!</definedName>
    <definedName name="ITEM24_2011">#REF!</definedName>
    <definedName name="ITEM24_2012">#REF!</definedName>
    <definedName name="ITEM24_2013">#REF!</definedName>
    <definedName name="ITEM24_2014">#REF!</definedName>
    <definedName name="ITEM24_2015">#REF!</definedName>
    <definedName name="ITEM24_2016">#REF!</definedName>
    <definedName name="ITEM24_2017">#REF!</definedName>
    <definedName name="ITEM24_2018">#REF!</definedName>
    <definedName name="ITEM24_2019">#REF!</definedName>
    <definedName name="ITEM24_2020">#REF!</definedName>
    <definedName name="ITEM24_2021">#REF!</definedName>
    <definedName name="ITEM24_2022">#REF!</definedName>
    <definedName name="ITEM24_2023">#REF!</definedName>
    <definedName name="ITEM24_2024">#REF!</definedName>
    <definedName name="ITEM24_2Q00">#REF!</definedName>
    <definedName name="ITEM24_2Q01">#REF!</definedName>
    <definedName name="ITEM24_2Q02">#REF!</definedName>
    <definedName name="ITEM24_2Q03">#REF!</definedName>
    <definedName name="ITEM24_2Q04">#REF!</definedName>
    <definedName name="ITEM24_2Q05">#REF!</definedName>
    <definedName name="ITEM24_2Q06">#REF!</definedName>
    <definedName name="ITEM24_2Q07">#REF!</definedName>
    <definedName name="ITEM24_2Q08">#REF!</definedName>
    <definedName name="ITEM24_2Q09">#REF!</definedName>
    <definedName name="ITEM24_2Q10">#REF!</definedName>
    <definedName name="ITEM24_2Q11">#REF!</definedName>
    <definedName name="ITEM24_2Q12">#REF!</definedName>
    <definedName name="ITEM24_2Q13">#REF!</definedName>
    <definedName name="ITEM24_2Q14">#REF!</definedName>
    <definedName name="ITEM24_2Q15">#REF!</definedName>
    <definedName name="ITEM24_2Q16">#REF!</definedName>
    <definedName name="ITEM24_2Q17">#REF!</definedName>
    <definedName name="ITEM24_2Q18">#REF!</definedName>
    <definedName name="ITEM24_2Q19">#REF!</definedName>
    <definedName name="ITEM24_2Q20">#REF!</definedName>
    <definedName name="ITEM24_2Q21">#REF!</definedName>
    <definedName name="ITEM24_2Q22">#REF!</definedName>
    <definedName name="ITEM24_2Q23">#REF!</definedName>
    <definedName name="ITEM24_2Q24">#REF!</definedName>
    <definedName name="ITEM24_3Q00">#REF!</definedName>
    <definedName name="ITEM24_3Q01">#REF!</definedName>
    <definedName name="ITEM24_3Q02">#REF!</definedName>
    <definedName name="ITEM24_3Q03">#REF!</definedName>
    <definedName name="ITEM24_3Q04">#REF!</definedName>
    <definedName name="ITEM24_3Q05">#REF!</definedName>
    <definedName name="ITEM24_3Q06">#REF!</definedName>
    <definedName name="ITEM24_3Q07">#REF!</definedName>
    <definedName name="ITEM24_3Q08">#REF!</definedName>
    <definedName name="ITEM24_3Q09">#REF!</definedName>
    <definedName name="ITEM24_3Q10">#REF!</definedName>
    <definedName name="ITEM24_3Q11">#REF!</definedName>
    <definedName name="ITEM24_3Q12">#REF!</definedName>
    <definedName name="ITEM24_3Q13">#REF!</definedName>
    <definedName name="ITEM24_3Q14">#REF!</definedName>
    <definedName name="ITEM24_3Q15">#REF!</definedName>
    <definedName name="ITEM24_3Q16">#REF!</definedName>
    <definedName name="ITEM24_3Q17">#REF!</definedName>
    <definedName name="ITEM24_3Q18">#REF!</definedName>
    <definedName name="ITEM24_3Q19">#REF!</definedName>
    <definedName name="ITEM24_3Q20">#REF!</definedName>
    <definedName name="ITEM24_3Q21">#REF!</definedName>
    <definedName name="ITEM24_3Q22">#REF!</definedName>
    <definedName name="ITEM24_3Q23">#REF!</definedName>
    <definedName name="ITEM24_3Q24">#REF!</definedName>
    <definedName name="ITEM24_4Q00">#REF!</definedName>
    <definedName name="ITEM24_4Q01">#REF!</definedName>
    <definedName name="ITEM24_4Q02">#REF!</definedName>
    <definedName name="ITEM24_4Q03">#REF!</definedName>
    <definedName name="ITEM24_4Q04">#REF!</definedName>
    <definedName name="ITEM24_4Q05">#REF!</definedName>
    <definedName name="ITEM24_4Q06">#REF!</definedName>
    <definedName name="ITEM24_4Q07">#REF!</definedName>
    <definedName name="ITEM24_4Q08">#REF!</definedName>
    <definedName name="ITEM24_4Q09">#REF!</definedName>
    <definedName name="ITEM24_4Q10">#REF!</definedName>
    <definedName name="ITEM24_4Q11">#REF!</definedName>
    <definedName name="ITEM24_4Q12">#REF!</definedName>
    <definedName name="ITEM24_4Q13">#REF!</definedName>
    <definedName name="ITEM24_4Q14">#REF!</definedName>
    <definedName name="ITEM24_4Q15">#REF!</definedName>
    <definedName name="ITEM24_4Q16">#REF!</definedName>
    <definedName name="ITEM24_4Q17">#REF!</definedName>
    <definedName name="ITEM24_4Q18">#REF!</definedName>
    <definedName name="ITEM24_4Q19">#REF!</definedName>
    <definedName name="ITEM24_4Q20">#REF!</definedName>
    <definedName name="ITEM24_4Q21">#REF!</definedName>
    <definedName name="ITEM24_4Q22">#REF!</definedName>
    <definedName name="ITEM24_4Q23">#REF!</definedName>
    <definedName name="ITEM24_4Q24">#REF!</definedName>
    <definedName name="ITEM25_1995">#REF!</definedName>
    <definedName name="ITEM25_1996">#REF!</definedName>
    <definedName name="ITEM25_1997">#REF!</definedName>
    <definedName name="ITEM25_1998">#REF!</definedName>
    <definedName name="ITEM25_1999">#REF!</definedName>
    <definedName name="ITEM25_1Q00">#REF!</definedName>
    <definedName name="ITEM25_1Q01">#REF!</definedName>
    <definedName name="ITEM25_1Q02">#REF!</definedName>
    <definedName name="ITEM25_1Q03">#REF!</definedName>
    <definedName name="ITEM25_1Q04">#REF!</definedName>
    <definedName name="ITEM25_1Q05">#REF!</definedName>
    <definedName name="ITEM25_1Q06">#REF!</definedName>
    <definedName name="ITEM25_1Q07">#REF!</definedName>
    <definedName name="ITEM25_1Q08">#REF!</definedName>
    <definedName name="ITEM25_1Q09">#REF!</definedName>
    <definedName name="ITEM25_1Q10">#REF!</definedName>
    <definedName name="ITEM25_1Q11">#REF!</definedName>
    <definedName name="ITEM25_1Q12">#REF!</definedName>
    <definedName name="ITEM25_1Q13">#REF!</definedName>
    <definedName name="ITEM25_1Q14">#REF!</definedName>
    <definedName name="ITEM25_1Q15">#REF!</definedName>
    <definedName name="ITEM25_1Q16">#REF!</definedName>
    <definedName name="ITEM25_1Q17">#REF!</definedName>
    <definedName name="ITEM25_1Q18">#REF!</definedName>
    <definedName name="ITEM25_1Q19">#REF!</definedName>
    <definedName name="ITEM25_1Q20">#REF!</definedName>
    <definedName name="ITEM25_1Q21">#REF!</definedName>
    <definedName name="ITEM25_1Q22">#REF!</definedName>
    <definedName name="ITEM25_1Q23">#REF!</definedName>
    <definedName name="ITEM25_1Q24">#REF!</definedName>
    <definedName name="ITEM25_2000">#REF!</definedName>
    <definedName name="ITEM25_2001">#REF!</definedName>
    <definedName name="ITEM25_2002">#REF!</definedName>
    <definedName name="ITEM25_2003">#REF!</definedName>
    <definedName name="ITEM25_2004">#REF!</definedName>
    <definedName name="ITEM25_2005">#REF!</definedName>
    <definedName name="ITEM25_2006">#REF!</definedName>
    <definedName name="ITEM25_2007">#REF!</definedName>
    <definedName name="ITEM25_2008">#REF!</definedName>
    <definedName name="ITEM25_2009">#REF!</definedName>
    <definedName name="ITEM25_2010">#REF!</definedName>
    <definedName name="ITEM25_2011">#REF!</definedName>
    <definedName name="ITEM25_2012">#REF!</definedName>
    <definedName name="ITEM25_2013">#REF!</definedName>
    <definedName name="ITEM25_2014">#REF!</definedName>
    <definedName name="ITEM25_2015">#REF!</definedName>
    <definedName name="ITEM25_2016">#REF!</definedName>
    <definedName name="ITEM25_2017">#REF!</definedName>
    <definedName name="ITEM25_2018">#REF!</definedName>
    <definedName name="ITEM25_2019">#REF!</definedName>
    <definedName name="ITEM25_2020">#REF!</definedName>
    <definedName name="ITEM25_2021">#REF!</definedName>
    <definedName name="ITEM25_2022">#REF!</definedName>
    <definedName name="ITEM25_2023">#REF!</definedName>
    <definedName name="ITEM25_2024">#REF!</definedName>
    <definedName name="ITEM25_2Q00">#REF!</definedName>
    <definedName name="ITEM25_2Q01">#REF!</definedName>
    <definedName name="ITEM25_2Q02">#REF!</definedName>
    <definedName name="ITEM25_2Q03">#REF!</definedName>
    <definedName name="ITEM25_2Q04">#REF!</definedName>
    <definedName name="ITEM25_2Q05">#REF!</definedName>
    <definedName name="ITEM25_2Q06">#REF!</definedName>
    <definedName name="ITEM25_2Q07">#REF!</definedName>
    <definedName name="ITEM25_2Q08">#REF!</definedName>
    <definedName name="ITEM25_2Q09">#REF!</definedName>
    <definedName name="ITEM25_2Q10">#REF!</definedName>
    <definedName name="ITEM25_2Q11">#REF!</definedName>
    <definedName name="ITEM25_2Q12">#REF!</definedName>
    <definedName name="ITEM25_2Q13">#REF!</definedName>
    <definedName name="ITEM25_2Q14">#REF!</definedName>
    <definedName name="ITEM25_2Q15">#REF!</definedName>
    <definedName name="ITEM25_2Q16">#REF!</definedName>
    <definedName name="ITEM25_2Q17">#REF!</definedName>
    <definedName name="ITEM25_2Q18">#REF!</definedName>
    <definedName name="ITEM25_2Q19">#REF!</definedName>
    <definedName name="ITEM25_2Q20">#REF!</definedName>
    <definedName name="ITEM25_2Q21">#REF!</definedName>
    <definedName name="ITEM25_2Q22">#REF!</definedName>
    <definedName name="ITEM25_2Q23">#REF!</definedName>
    <definedName name="ITEM25_2Q24">#REF!</definedName>
    <definedName name="ITEM25_3Q00">#REF!</definedName>
    <definedName name="ITEM25_3Q01">#REF!</definedName>
    <definedName name="ITEM25_3Q02">#REF!</definedName>
    <definedName name="ITEM25_3Q03">#REF!</definedName>
    <definedName name="ITEM25_3Q04">#REF!</definedName>
    <definedName name="ITEM25_3Q05">#REF!</definedName>
    <definedName name="ITEM25_3Q06">#REF!</definedName>
    <definedName name="ITEM25_3Q07">#REF!</definedName>
    <definedName name="ITEM25_3Q08">#REF!</definedName>
    <definedName name="ITEM25_3Q09">#REF!</definedName>
    <definedName name="ITEM25_3Q10">#REF!</definedName>
    <definedName name="ITEM25_3Q11">#REF!</definedName>
    <definedName name="ITEM25_3Q12">#REF!</definedName>
    <definedName name="ITEM25_3Q13">#REF!</definedName>
    <definedName name="ITEM25_3Q14">#REF!</definedName>
    <definedName name="ITEM25_3Q15">#REF!</definedName>
    <definedName name="ITEM25_3Q16">#REF!</definedName>
    <definedName name="ITEM25_3Q17">#REF!</definedName>
    <definedName name="ITEM25_3Q18">#REF!</definedName>
    <definedName name="ITEM25_3Q19">#REF!</definedName>
    <definedName name="ITEM25_3Q20">#REF!</definedName>
    <definedName name="ITEM25_3Q21">#REF!</definedName>
    <definedName name="ITEM25_3Q22">#REF!</definedName>
    <definedName name="ITEM25_3Q23">#REF!</definedName>
    <definedName name="ITEM25_3Q24">#REF!</definedName>
    <definedName name="ITEM25_4Q00">#REF!</definedName>
    <definedName name="ITEM25_4Q01">#REF!</definedName>
    <definedName name="ITEM25_4Q02">#REF!</definedName>
    <definedName name="ITEM25_4Q03">#REF!</definedName>
    <definedName name="ITEM25_4Q04">#REF!</definedName>
    <definedName name="ITEM25_4Q05">#REF!</definedName>
    <definedName name="ITEM25_4Q06">#REF!</definedName>
    <definedName name="ITEM25_4Q07">#REF!</definedName>
    <definedName name="ITEM25_4Q08">#REF!</definedName>
    <definedName name="ITEM25_4Q09">#REF!</definedName>
    <definedName name="ITEM25_4Q10">#REF!</definedName>
    <definedName name="ITEM25_4Q11">#REF!</definedName>
    <definedName name="ITEM25_4Q12">#REF!</definedName>
    <definedName name="ITEM25_4Q13">#REF!</definedName>
    <definedName name="ITEM25_4Q14">#REF!</definedName>
    <definedName name="ITEM25_4Q15">#REF!</definedName>
    <definedName name="ITEM25_4Q16">#REF!</definedName>
    <definedName name="ITEM25_4Q17">#REF!</definedName>
    <definedName name="ITEM25_4Q18">#REF!</definedName>
    <definedName name="ITEM25_4Q19">#REF!</definedName>
    <definedName name="ITEM25_4Q20">#REF!</definedName>
    <definedName name="ITEM25_4Q21">#REF!</definedName>
    <definedName name="ITEM25_4Q22">#REF!</definedName>
    <definedName name="ITEM25_4Q23">#REF!</definedName>
    <definedName name="ITEM25_4Q24">#REF!</definedName>
    <definedName name="ITEM26_1995">#REF!</definedName>
    <definedName name="ITEM26_1996">#REF!</definedName>
    <definedName name="ITEM26_1997">#REF!</definedName>
    <definedName name="ITEM26_1998">#REF!</definedName>
    <definedName name="ITEM26_1999">#REF!</definedName>
    <definedName name="ITEM26_1Q00">#REF!</definedName>
    <definedName name="ITEM26_1Q01">#REF!</definedName>
    <definedName name="ITEM26_1Q02">#REF!</definedName>
    <definedName name="ITEM26_1Q03">#REF!</definedName>
    <definedName name="ITEM26_1Q04">#REF!</definedName>
    <definedName name="ITEM26_1Q05">#REF!</definedName>
    <definedName name="ITEM26_1Q06">#REF!</definedName>
    <definedName name="ITEM26_1Q07">#REF!</definedName>
    <definedName name="ITEM26_1Q08">#REF!</definedName>
    <definedName name="ITEM26_1Q09">#REF!</definedName>
    <definedName name="ITEM26_1Q10">#REF!</definedName>
    <definedName name="ITEM26_1Q11">#REF!</definedName>
    <definedName name="ITEM26_1Q12">#REF!</definedName>
    <definedName name="ITEM26_1Q13">#REF!</definedName>
    <definedName name="ITEM26_1Q14">#REF!</definedName>
    <definedName name="ITEM26_1Q15">#REF!</definedName>
    <definedName name="ITEM26_1Q16">#REF!</definedName>
    <definedName name="ITEM26_1Q17">#REF!</definedName>
    <definedName name="ITEM26_1Q18">#REF!</definedName>
    <definedName name="ITEM26_1Q19">#REF!</definedName>
    <definedName name="ITEM26_1Q20">#REF!</definedName>
    <definedName name="ITEM26_1Q21">#REF!</definedName>
    <definedName name="ITEM26_1Q22">#REF!</definedName>
    <definedName name="ITEM26_1Q23">#REF!</definedName>
    <definedName name="ITEM26_1Q24">#REF!</definedName>
    <definedName name="ITEM26_2000">#REF!</definedName>
    <definedName name="ITEM26_2001">#REF!</definedName>
    <definedName name="ITEM26_2002">#REF!</definedName>
    <definedName name="ITEM26_2003">#REF!</definedName>
    <definedName name="ITEM26_2004">#REF!</definedName>
    <definedName name="ITEM26_2005">#REF!</definedName>
    <definedName name="ITEM26_2006">#REF!</definedName>
    <definedName name="ITEM26_2007">#REF!</definedName>
    <definedName name="ITEM26_2008">#REF!</definedName>
    <definedName name="ITEM26_2009">#REF!</definedName>
    <definedName name="ITEM26_2010">#REF!</definedName>
    <definedName name="ITEM26_2011">#REF!</definedName>
    <definedName name="ITEM26_2012">#REF!</definedName>
    <definedName name="ITEM26_2013">#REF!</definedName>
    <definedName name="ITEM26_2014">#REF!</definedName>
    <definedName name="ITEM26_2015">#REF!</definedName>
    <definedName name="ITEM26_2016">#REF!</definedName>
    <definedName name="ITEM26_2017">#REF!</definedName>
    <definedName name="ITEM26_2018">#REF!</definedName>
    <definedName name="ITEM26_2019">#REF!</definedName>
    <definedName name="ITEM26_2020">#REF!</definedName>
    <definedName name="ITEM26_2021">#REF!</definedName>
    <definedName name="ITEM26_2022">#REF!</definedName>
    <definedName name="ITEM26_2023">#REF!</definedName>
    <definedName name="ITEM26_2024">#REF!</definedName>
    <definedName name="ITEM26_2Q00">#REF!</definedName>
    <definedName name="ITEM26_2Q01">#REF!</definedName>
    <definedName name="ITEM26_2Q02">#REF!</definedName>
    <definedName name="ITEM26_2Q03">#REF!</definedName>
    <definedName name="ITEM26_2Q04">#REF!</definedName>
    <definedName name="ITEM26_2Q05">#REF!</definedName>
    <definedName name="ITEM26_2Q06">#REF!</definedName>
    <definedName name="ITEM26_2Q07">#REF!</definedName>
    <definedName name="ITEM26_2Q08">#REF!</definedName>
    <definedName name="ITEM26_2Q09">#REF!</definedName>
    <definedName name="ITEM26_2Q10">#REF!</definedName>
    <definedName name="ITEM26_2Q11">#REF!</definedName>
    <definedName name="ITEM26_2Q12">#REF!</definedName>
    <definedName name="ITEM26_2Q13">#REF!</definedName>
    <definedName name="ITEM26_2Q14">#REF!</definedName>
    <definedName name="ITEM26_2Q15">#REF!</definedName>
    <definedName name="ITEM26_2Q16">#REF!</definedName>
    <definedName name="ITEM26_2Q17">#REF!</definedName>
    <definedName name="ITEM26_2Q18">#REF!</definedName>
    <definedName name="ITEM26_2Q19">#REF!</definedName>
    <definedName name="ITEM26_2Q20">#REF!</definedName>
    <definedName name="ITEM26_2Q21">#REF!</definedName>
    <definedName name="ITEM26_2Q22">#REF!</definedName>
    <definedName name="ITEM26_2Q23">#REF!</definedName>
    <definedName name="ITEM26_2Q24">#REF!</definedName>
    <definedName name="ITEM26_3Q00">#REF!</definedName>
    <definedName name="ITEM26_3Q01">#REF!</definedName>
    <definedName name="ITEM26_3Q02">#REF!</definedName>
    <definedName name="ITEM26_3Q03">#REF!</definedName>
    <definedName name="ITEM26_3Q04">#REF!</definedName>
    <definedName name="ITEM26_3Q05">#REF!</definedName>
    <definedName name="ITEM26_3Q06">#REF!</definedName>
    <definedName name="ITEM26_3Q07">#REF!</definedName>
    <definedName name="ITEM26_3Q08">#REF!</definedName>
    <definedName name="ITEM26_3Q09">#REF!</definedName>
    <definedName name="ITEM26_3Q10">#REF!</definedName>
    <definedName name="ITEM26_3Q11">#REF!</definedName>
    <definedName name="ITEM26_3Q12">#REF!</definedName>
    <definedName name="ITEM26_3Q13">#REF!</definedName>
    <definedName name="ITEM26_3Q14">#REF!</definedName>
    <definedName name="ITEM26_3Q15">#REF!</definedName>
    <definedName name="ITEM26_3Q16">#REF!</definedName>
    <definedName name="ITEM26_3Q17">#REF!</definedName>
    <definedName name="ITEM26_3Q18">#REF!</definedName>
    <definedName name="ITEM26_3Q19">#REF!</definedName>
    <definedName name="ITEM26_3Q20">#REF!</definedName>
    <definedName name="ITEM26_3Q21">#REF!</definedName>
    <definedName name="ITEM26_3Q22">#REF!</definedName>
    <definedName name="ITEM26_3Q23">#REF!</definedName>
    <definedName name="ITEM26_3Q24">#REF!</definedName>
    <definedName name="ITEM26_4Q00">#REF!</definedName>
    <definedName name="ITEM26_4Q01">#REF!</definedName>
    <definedName name="ITEM26_4Q02">#REF!</definedName>
    <definedName name="ITEM26_4Q03">#REF!</definedName>
    <definedName name="ITEM26_4Q04">#REF!</definedName>
    <definedName name="ITEM26_4Q05">#REF!</definedName>
    <definedName name="ITEM26_4Q06">#REF!</definedName>
    <definedName name="ITEM26_4Q07">#REF!</definedName>
    <definedName name="ITEM26_4Q08">#REF!</definedName>
    <definedName name="ITEM26_4Q09">#REF!</definedName>
    <definedName name="ITEM26_4Q10">#REF!</definedName>
    <definedName name="ITEM26_4Q11">#REF!</definedName>
    <definedName name="ITEM26_4Q12">#REF!</definedName>
    <definedName name="ITEM26_4Q13">#REF!</definedName>
    <definedName name="ITEM26_4Q14">#REF!</definedName>
    <definedName name="ITEM26_4Q15">#REF!</definedName>
    <definedName name="ITEM26_4Q16">#REF!</definedName>
    <definedName name="ITEM26_4Q17">#REF!</definedName>
    <definedName name="ITEM26_4Q18">#REF!</definedName>
    <definedName name="ITEM26_4Q19">#REF!</definedName>
    <definedName name="ITEM26_4Q20">#REF!</definedName>
    <definedName name="ITEM26_4Q21">#REF!</definedName>
    <definedName name="ITEM26_4Q22">#REF!</definedName>
    <definedName name="ITEM26_4Q23">#REF!</definedName>
    <definedName name="ITEM26_4Q24">#REF!</definedName>
    <definedName name="ITEM27_1995">#REF!</definedName>
    <definedName name="ITEM27_1996">#REF!</definedName>
    <definedName name="ITEM27_1997">#REF!</definedName>
    <definedName name="ITEM27_1998">#REF!</definedName>
    <definedName name="ITEM27_1999">#REF!</definedName>
    <definedName name="ITEM27_1Q00">#REF!</definedName>
    <definedName name="ITEM27_1Q01">#REF!</definedName>
    <definedName name="ITEM27_1Q02">#REF!</definedName>
    <definedName name="ITEM27_1Q03">#REF!</definedName>
    <definedName name="ITEM27_1Q04">#REF!</definedName>
    <definedName name="ITEM27_1Q05">#REF!</definedName>
    <definedName name="ITEM27_1Q06">#REF!</definedName>
    <definedName name="ITEM27_1Q07">#REF!</definedName>
    <definedName name="ITEM27_1Q08">#REF!</definedName>
    <definedName name="ITEM27_1Q09">#REF!</definedName>
    <definedName name="ITEM27_1Q10">#REF!</definedName>
    <definedName name="ITEM27_1Q11">#REF!</definedName>
    <definedName name="ITEM27_1Q12">#REF!</definedName>
    <definedName name="ITEM27_1Q13">#REF!</definedName>
    <definedName name="ITEM27_1Q14">#REF!</definedName>
    <definedName name="ITEM27_1Q15">#REF!</definedName>
    <definedName name="ITEM27_1Q16">#REF!</definedName>
    <definedName name="ITEM27_1Q17">#REF!</definedName>
    <definedName name="ITEM27_1Q18">#REF!</definedName>
    <definedName name="ITEM27_1Q19">#REF!</definedName>
    <definedName name="ITEM27_1Q20">#REF!</definedName>
    <definedName name="ITEM27_1Q21">#REF!</definedName>
    <definedName name="ITEM27_1Q22">#REF!</definedName>
    <definedName name="ITEM27_1Q23">#REF!</definedName>
    <definedName name="ITEM27_1Q24">#REF!</definedName>
    <definedName name="ITEM27_2000">#REF!</definedName>
    <definedName name="ITEM27_2001">#REF!</definedName>
    <definedName name="ITEM27_2002">#REF!</definedName>
    <definedName name="ITEM27_2003">#REF!</definedName>
    <definedName name="ITEM27_2004">#REF!</definedName>
    <definedName name="ITEM27_2005">#REF!</definedName>
    <definedName name="ITEM27_2006">#REF!</definedName>
    <definedName name="ITEM27_2007">#REF!</definedName>
    <definedName name="ITEM27_2008">#REF!</definedName>
    <definedName name="ITEM27_2009">#REF!</definedName>
    <definedName name="ITEM27_2010">#REF!</definedName>
    <definedName name="ITEM27_2011">#REF!</definedName>
    <definedName name="ITEM27_2012">#REF!</definedName>
    <definedName name="ITEM27_2013">#REF!</definedName>
    <definedName name="ITEM27_2014">#REF!</definedName>
    <definedName name="ITEM27_2015">#REF!</definedName>
    <definedName name="ITEM27_2016">#REF!</definedName>
    <definedName name="ITEM27_2017">#REF!</definedName>
    <definedName name="ITEM27_2018">#REF!</definedName>
    <definedName name="ITEM27_2019">#REF!</definedName>
    <definedName name="ITEM27_2020">#REF!</definedName>
    <definedName name="ITEM27_2021">#REF!</definedName>
    <definedName name="ITEM27_2022">#REF!</definedName>
    <definedName name="ITEM27_2023">#REF!</definedName>
    <definedName name="ITEM27_2024">#REF!</definedName>
    <definedName name="ITEM27_2Q00">#REF!</definedName>
    <definedName name="ITEM27_2Q01">#REF!</definedName>
    <definedName name="ITEM27_2Q02">#REF!</definedName>
    <definedName name="ITEM27_2Q03">#REF!</definedName>
    <definedName name="ITEM27_2Q04">#REF!</definedName>
    <definedName name="ITEM27_2Q05">#REF!</definedName>
    <definedName name="ITEM27_2Q06">#REF!</definedName>
    <definedName name="ITEM27_2Q07">#REF!</definedName>
    <definedName name="ITEM27_2Q08">#REF!</definedName>
    <definedName name="ITEM27_2Q09">#REF!</definedName>
    <definedName name="ITEM27_2Q10">#REF!</definedName>
    <definedName name="ITEM27_2Q11">#REF!</definedName>
    <definedName name="ITEM27_2Q12">#REF!</definedName>
    <definedName name="ITEM27_2Q13">#REF!</definedName>
    <definedName name="ITEM27_2Q14">#REF!</definedName>
    <definedName name="ITEM27_2Q15">#REF!</definedName>
    <definedName name="ITEM27_2Q16">#REF!</definedName>
    <definedName name="ITEM27_2Q17">#REF!</definedName>
    <definedName name="ITEM27_2Q18">#REF!</definedName>
    <definedName name="ITEM27_2Q19">#REF!</definedName>
    <definedName name="ITEM27_2Q20">#REF!</definedName>
    <definedName name="ITEM27_2Q21">#REF!</definedName>
    <definedName name="ITEM27_2Q22">#REF!</definedName>
    <definedName name="ITEM27_2Q23">#REF!</definedName>
    <definedName name="ITEM27_2Q24">#REF!</definedName>
    <definedName name="ITEM27_3Q00">#REF!</definedName>
    <definedName name="ITEM27_3Q01">#REF!</definedName>
    <definedName name="ITEM27_3Q02">#REF!</definedName>
    <definedName name="ITEM27_3Q03">#REF!</definedName>
    <definedName name="ITEM27_3Q04">#REF!</definedName>
    <definedName name="ITEM27_3Q05">#REF!</definedName>
    <definedName name="ITEM27_3Q06">#REF!</definedName>
    <definedName name="ITEM27_3Q07">#REF!</definedName>
    <definedName name="ITEM27_3Q08">#REF!</definedName>
    <definedName name="ITEM27_3Q09">#REF!</definedName>
    <definedName name="ITEM27_3Q10">#REF!</definedName>
    <definedName name="ITEM27_3Q11">#REF!</definedName>
    <definedName name="ITEM27_3Q12">#REF!</definedName>
    <definedName name="ITEM27_3Q13">#REF!</definedName>
    <definedName name="ITEM27_3Q14">#REF!</definedName>
    <definedName name="ITEM27_3Q15">#REF!</definedName>
    <definedName name="ITEM27_3Q16">#REF!</definedName>
    <definedName name="ITEM27_3Q17">#REF!</definedName>
    <definedName name="ITEM27_3Q18">#REF!</definedName>
    <definedName name="ITEM27_3Q19">#REF!</definedName>
    <definedName name="ITEM27_3Q20">#REF!</definedName>
    <definedName name="ITEM27_3Q21">#REF!</definedName>
    <definedName name="ITEM27_3Q22">#REF!</definedName>
    <definedName name="ITEM27_3Q23">#REF!</definedName>
    <definedName name="ITEM27_3Q24">#REF!</definedName>
    <definedName name="ITEM27_4Q00">#REF!</definedName>
    <definedName name="ITEM27_4Q01">#REF!</definedName>
    <definedName name="ITEM27_4Q02">#REF!</definedName>
    <definedName name="ITEM27_4Q03">#REF!</definedName>
    <definedName name="ITEM27_4Q04">#REF!</definedName>
    <definedName name="ITEM27_4Q05">#REF!</definedName>
    <definedName name="ITEM27_4Q06">#REF!</definedName>
    <definedName name="ITEM27_4Q07">#REF!</definedName>
    <definedName name="ITEM27_4Q08">#REF!</definedName>
    <definedName name="ITEM27_4Q09">#REF!</definedName>
    <definedName name="ITEM27_4Q10">#REF!</definedName>
    <definedName name="ITEM27_4Q11">#REF!</definedName>
    <definedName name="ITEM27_4Q12">#REF!</definedName>
    <definedName name="ITEM27_4Q13">#REF!</definedName>
    <definedName name="ITEM27_4Q14">#REF!</definedName>
    <definedName name="ITEM27_4Q15">#REF!</definedName>
    <definedName name="ITEM27_4Q16">#REF!</definedName>
    <definedName name="ITEM27_4Q17">#REF!</definedName>
    <definedName name="ITEM27_4Q18">#REF!</definedName>
    <definedName name="ITEM27_4Q19">#REF!</definedName>
    <definedName name="ITEM27_4Q20">#REF!</definedName>
    <definedName name="ITEM27_4Q21">#REF!</definedName>
    <definedName name="ITEM27_4Q22">#REF!</definedName>
    <definedName name="ITEM27_4Q23">#REF!</definedName>
    <definedName name="ITEM27_4Q24">#REF!</definedName>
    <definedName name="ITEM28_1995">#REF!</definedName>
    <definedName name="ITEM28_1996">#REF!</definedName>
    <definedName name="ITEM28_1997">#REF!</definedName>
    <definedName name="ITEM28_1998">#REF!</definedName>
    <definedName name="ITEM28_1999">#REF!</definedName>
    <definedName name="ITEM28_1Q00">#REF!</definedName>
    <definedName name="ITEM28_1Q01">#REF!</definedName>
    <definedName name="ITEM28_1Q02">#REF!</definedName>
    <definedName name="ITEM28_1Q03">#REF!</definedName>
    <definedName name="ITEM28_1Q04">#REF!</definedName>
    <definedName name="ITEM28_1Q05">#REF!</definedName>
    <definedName name="ITEM28_1Q06">#REF!</definedName>
    <definedName name="ITEM28_1Q07">#REF!</definedName>
    <definedName name="ITEM28_1Q08">#REF!</definedName>
    <definedName name="ITEM28_1Q09">#REF!</definedName>
    <definedName name="ITEM28_1Q10">#REF!</definedName>
    <definedName name="ITEM28_1Q11">#REF!</definedName>
    <definedName name="ITEM28_1Q12">#REF!</definedName>
    <definedName name="ITEM28_1Q13">#REF!</definedName>
    <definedName name="ITEM28_1Q14">#REF!</definedName>
    <definedName name="ITEM28_1Q15">#REF!</definedName>
    <definedName name="ITEM28_1Q16">#REF!</definedName>
    <definedName name="ITEM28_1Q17">#REF!</definedName>
    <definedName name="ITEM28_1Q18">#REF!</definedName>
    <definedName name="ITEM28_1Q19">#REF!</definedName>
    <definedName name="ITEM28_1Q20">#REF!</definedName>
    <definedName name="ITEM28_1Q21">#REF!</definedName>
    <definedName name="ITEM28_1Q22">#REF!</definedName>
    <definedName name="ITEM28_1Q23">#REF!</definedName>
    <definedName name="ITEM28_1Q24">#REF!</definedName>
    <definedName name="ITEM28_2000">#REF!</definedName>
    <definedName name="ITEM28_2001">#REF!</definedName>
    <definedName name="ITEM28_2002">#REF!</definedName>
    <definedName name="ITEM28_2003">#REF!</definedName>
    <definedName name="ITEM28_2004">#REF!</definedName>
    <definedName name="ITEM28_2005">#REF!</definedName>
    <definedName name="ITEM28_2006">#REF!</definedName>
    <definedName name="ITEM28_2007">#REF!</definedName>
    <definedName name="ITEM28_2008">#REF!</definedName>
    <definedName name="ITEM28_2009">#REF!</definedName>
    <definedName name="ITEM28_2010">#REF!</definedName>
    <definedName name="ITEM28_2011">#REF!</definedName>
    <definedName name="ITEM28_2012">#REF!</definedName>
    <definedName name="ITEM28_2013">#REF!</definedName>
    <definedName name="ITEM28_2014">#REF!</definedName>
    <definedName name="ITEM28_2015">#REF!</definedName>
    <definedName name="ITEM28_2016">#REF!</definedName>
    <definedName name="ITEM28_2017">#REF!</definedName>
    <definedName name="ITEM28_2018">#REF!</definedName>
    <definedName name="ITEM28_2019">#REF!</definedName>
    <definedName name="ITEM28_2020">#REF!</definedName>
    <definedName name="ITEM28_2021">#REF!</definedName>
    <definedName name="ITEM28_2022">#REF!</definedName>
    <definedName name="ITEM28_2023">#REF!</definedName>
    <definedName name="ITEM28_2024">#REF!</definedName>
    <definedName name="ITEM28_2Q00">#REF!</definedName>
    <definedName name="ITEM28_2Q01">#REF!</definedName>
    <definedName name="ITEM28_2Q02">#REF!</definedName>
    <definedName name="ITEM28_2Q03">#REF!</definedName>
    <definedName name="ITEM28_2Q04">#REF!</definedName>
    <definedName name="ITEM28_2Q05">#REF!</definedName>
    <definedName name="ITEM28_2Q06">#REF!</definedName>
    <definedName name="ITEM28_2Q07">#REF!</definedName>
    <definedName name="ITEM28_2Q08">#REF!</definedName>
    <definedName name="ITEM28_2Q09">#REF!</definedName>
    <definedName name="ITEM28_2Q10">#REF!</definedName>
    <definedName name="ITEM28_2Q11">#REF!</definedName>
    <definedName name="ITEM28_2Q12">#REF!</definedName>
    <definedName name="ITEM28_2Q13">#REF!</definedName>
    <definedName name="ITEM28_2Q14">#REF!</definedName>
    <definedName name="ITEM28_2Q15">#REF!</definedName>
    <definedName name="ITEM28_2Q16">#REF!</definedName>
    <definedName name="ITEM28_2Q17">#REF!</definedName>
    <definedName name="ITEM28_2Q18">#REF!</definedName>
    <definedName name="ITEM28_2Q19">#REF!</definedName>
    <definedName name="ITEM28_2Q20">#REF!</definedName>
    <definedName name="ITEM28_2Q21">#REF!</definedName>
    <definedName name="ITEM28_2Q22">#REF!</definedName>
    <definedName name="ITEM28_2Q23">#REF!</definedName>
    <definedName name="ITEM28_2Q24">#REF!</definedName>
    <definedName name="ITEM28_3Q00">#REF!</definedName>
    <definedName name="ITEM28_3Q01">#REF!</definedName>
    <definedName name="ITEM28_3Q02">#REF!</definedName>
    <definedName name="ITEM28_3Q03">#REF!</definedName>
    <definedName name="ITEM28_3Q04">#REF!</definedName>
    <definedName name="ITEM28_3Q05">#REF!</definedName>
    <definedName name="ITEM28_3Q06">#REF!</definedName>
    <definedName name="ITEM28_3Q07">#REF!</definedName>
    <definedName name="ITEM28_3Q08">#REF!</definedName>
    <definedName name="ITEM28_3Q09">#REF!</definedName>
    <definedName name="ITEM28_3Q10">#REF!</definedName>
    <definedName name="ITEM28_3Q11">#REF!</definedName>
    <definedName name="ITEM28_3Q12">#REF!</definedName>
    <definedName name="ITEM28_3Q13">#REF!</definedName>
    <definedName name="ITEM28_3Q14">#REF!</definedName>
    <definedName name="ITEM28_3Q15">#REF!</definedName>
    <definedName name="ITEM28_3Q16">#REF!</definedName>
    <definedName name="ITEM28_3Q17">#REF!</definedName>
    <definedName name="ITEM28_3Q18">#REF!</definedName>
    <definedName name="ITEM28_3Q19">#REF!</definedName>
    <definedName name="ITEM28_3Q20">#REF!</definedName>
    <definedName name="ITEM28_3Q21">#REF!</definedName>
    <definedName name="ITEM28_3Q22">#REF!</definedName>
    <definedName name="ITEM28_3Q23">#REF!</definedName>
    <definedName name="ITEM28_3Q24">#REF!</definedName>
    <definedName name="ITEM28_4Q00">#REF!</definedName>
    <definedName name="ITEM28_4Q01">#REF!</definedName>
    <definedName name="ITEM28_4Q02">#REF!</definedName>
    <definedName name="ITEM28_4Q03">#REF!</definedName>
    <definedName name="ITEM28_4Q04">#REF!</definedName>
    <definedName name="ITEM28_4Q05">#REF!</definedName>
    <definedName name="ITEM28_4Q06">#REF!</definedName>
    <definedName name="ITEM28_4Q07">#REF!</definedName>
    <definedName name="ITEM28_4Q08">#REF!</definedName>
    <definedName name="ITEM28_4Q09">#REF!</definedName>
    <definedName name="ITEM28_4Q10">#REF!</definedName>
    <definedName name="ITEM28_4Q11">#REF!</definedName>
    <definedName name="ITEM28_4Q12">#REF!</definedName>
    <definedName name="ITEM28_4Q13">#REF!</definedName>
    <definedName name="ITEM28_4Q14">#REF!</definedName>
    <definedName name="ITEM28_4Q15">#REF!</definedName>
    <definedName name="ITEM28_4Q16">#REF!</definedName>
    <definedName name="ITEM28_4Q17">#REF!</definedName>
    <definedName name="ITEM28_4Q18">#REF!</definedName>
    <definedName name="ITEM28_4Q19">#REF!</definedName>
    <definedName name="ITEM28_4Q20">#REF!</definedName>
    <definedName name="ITEM28_4Q21">#REF!</definedName>
    <definedName name="ITEM28_4Q22">#REF!</definedName>
    <definedName name="ITEM28_4Q23">#REF!</definedName>
    <definedName name="ITEM28_4Q24">#REF!</definedName>
    <definedName name="ITEM29_1995">#REF!</definedName>
    <definedName name="ITEM29_1996">#REF!</definedName>
    <definedName name="ITEM29_1997">#REF!</definedName>
    <definedName name="ITEM29_1998">#REF!</definedName>
    <definedName name="ITEM29_1999">#REF!</definedName>
    <definedName name="ITEM29_1Q00">#REF!</definedName>
    <definedName name="ITEM29_1Q01">#REF!</definedName>
    <definedName name="ITEM29_1Q02">#REF!</definedName>
    <definedName name="ITEM29_1Q03">#REF!</definedName>
    <definedName name="ITEM29_1Q04">#REF!</definedName>
    <definedName name="ITEM29_1Q05">#REF!</definedName>
    <definedName name="ITEM29_1Q06">#REF!</definedName>
    <definedName name="ITEM29_1Q07">#REF!</definedName>
    <definedName name="ITEM29_1Q08">#REF!</definedName>
    <definedName name="ITEM29_1Q09">#REF!</definedName>
    <definedName name="ITEM29_1Q10">#REF!</definedName>
    <definedName name="ITEM29_1Q11">#REF!</definedName>
    <definedName name="ITEM29_1Q12">#REF!</definedName>
    <definedName name="ITEM29_1Q13">#REF!</definedName>
    <definedName name="ITEM29_1Q14">#REF!</definedName>
    <definedName name="ITEM29_1Q15">#REF!</definedName>
    <definedName name="ITEM29_1Q16">#REF!</definedName>
    <definedName name="ITEM29_1Q17">#REF!</definedName>
    <definedName name="ITEM29_1Q18">#REF!</definedName>
    <definedName name="ITEM29_1Q19">#REF!</definedName>
    <definedName name="ITEM29_1Q20">#REF!</definedName>
    <definedName name="ITEM29_1Q21">#REF!</definedName>
    <definedName name="ITEM29_1Q22">#REF!</definedName>
    <definedName name="ITEM29_1Q23">#REF!</definedName>
    <definedName name="ITEM29_1Q24">#REF!</definedName>
    <definedName name="ITEM29_2000">#REF!</definedName>
    <definedName name="ITEM29_2001">#REF!</definedName>
    <definedName name="ITEM29_2002">#REF!</definedName>
    <definedName name="ITEM29_2003">#REF!</definedName>
    <definedName name="ITEM29_2004">#REF!</definedName>
    <definedName name="ITEM29_2005">#REF!</definedName>
    <definedName name="ITEM29_2006">#REF!</definedName>
    <definedName name="ITEM29_2007">#REF!</definedName>
    <definedName name="ITEM29_2008">#REF!</definedName>
    <definedName name="ITEM29_2009">#REF!</definedName>
    <definedName name="ITEM29_2010">#REF!</definedName>
    <definedName name="ITEM29_2011">#REF!</definedName>
    <definedName name="ITEM29_2012">#REF!</definedName>
    <definedName name="ITEM29_2013">#REF!</definedName>
    <definedName name="ITEM29_2014">#REF!</definedName>
    <definedName name="ITEM29_2015">#REF!</definedName>
    <definedName name="ITEM29_2016">#REF!</definedName>
    <definedName name="ITEM29_2017">#REF!</definedName>
    <definedName name="ITEM29_2018">#REF!</definedName>
    <definedName name="ITEM29_2019">#REF!</definedName>
    <definedName name="ITEM29_2020">#REF!</definedName>
    <definedName name="ITEM29_2021">#REF!</definedName>
    <definedName name="ITEM29_2022">#REF!</definedName>
    <definedName name="ITEM29_2023">#REF!</definedName>
    <definedName name="ITEM29_2024">#REF!</definedName>
    <definedName name="ITEM29_2Q00">#REF!</definedName>
    <definedName name="ITEM29_2Q01">#REF!</definedName>
    <definedName name="ITEM29_2Q02">#REF!</definedName>
    <definedName name="ITEM29_2Q03">#REF!</definedName>
    <definedName name="ITEM29_2Q04">#REF!</definedName>
    <definedName name="ITEM29_2Q05">#REF!</definedName>
    <definedName name="ITEM29_2Q06">#REF!</definedName>
    <definedName name="ITEM29_2Q07">#REF!</definedName>
    <definedName name="ITEM29_2Q08">#REF!</definedName>
    <definedName name="ITEM29_2Q09">#REF!</definedName>
    <definedName name="ITEM29_2Q10">#REF!</definedName>
    <definedName name="ITEM29_2Q11">#REF!</definedName>
    <definedName name="ITEM29_2Q12">#REF!</definedName>
    <definedName name="ITEM29_2Q13">#REF!</definedName>
    <definedName name="ITEM29_2Q14">#REF!</definedName>
    <definedName name="ITEM29_2Q15">#REF!</definedName>
    <definedName name="ITEM29_2Q16">#REF!</definedName>
    <definedName name="ITEM29_2Q17">#REF!</definedName>
    <definedName name="ITEM29_2Q18">#REF!</definedName>
    <definedName name="ITEM29_2Q19">#REF!</definedName>
    <definedName name="ITEM29_2Q20">#REF!</definedName>
    <definedName name="ITEM29_2Q21">#REF!</definedName>
    <definedName name="ITEM29_2Q22">#REF!</definedName>
    <definedName name="ITEM29_2Q23">#REF!</definedName>
    <definedName name="ITEM29_2Q24">#REF!</definedName>
    <definedName name="ITEM29_3Q00">#REF!</definedName>
    <definedName name="ITEM29_3Q01">#REF!</definedName>
    <definedName name="ITEM29_3Q02">#REF!</definedName>
    <definedName name="ITEM29_3Q03">#REF!</definedName>
    <definedName name="ITEM29_3Q04">#REF!</definedName>
    <definedName name="ITEM29_3Q05">#REF!</definedName>
    <definedName name="ITEM29_3Q06">#REF!</definedName>
    <definedName name="ITEM29_3Q07">#REF!</definedName>
    <definedName name="ITEM29_3Q08">#REF!</definedName>
    <definedName name="ITEM29_3Q09">#REF!</definedName>
    <definedName name="ITEM29_3Q10">#REF!</definedName>
    <definedName name="ITEM29_3Q11">#REF!</definedName>
    <definedName name="ITEM29_3Q12">#REF!</definedName>
    <definedName name="ITEM29_3Q13">#REF!</definedName>
    <definedName name="ITEM29_3Q14">#REF!</definedName>
    <definedName name="ITEM29_3Q15">#REF!</definedName>
    <definedName name="ITEM29_3Q16">#REF!</definedName>
    <definedName name="ITEM29_3Q17">#REF!</definedName>
    <definedName name="ITEM29_3Q18">#REF!</definedName>
    <definedName name="ITEM29_3Q19">#REF!</definedName>
    <definedName name="ITEM29_3Q20">#REF!</definedName>
    <definedName name="ITEM29_3Q21">#REF!</definedName>
    <definedName name="ITEM29_3Q22">#REF!</definedName>
    <definedName name="ITEM29_3Q23">#REF!</definedName>
    <definedName name="ITEM29_3Q24">#REF!</definedName>
    <definedName name="ITEM29_4Q00">#REF!</definedName>
    <definedName name="ITEM29_4Q01">#REF!</definedName>
    <definedName name="ITEM29_4Q02">#REF!</definedName>
    <definedName name="ITEM29_4Q03">#REF!</definedName>
    <definedName name="ITEM29_4Q04">#REF!</definedName>
    <definedName name="ITEM29_4Q05">#REF!</definedName>
    <definedName name="ITEM29_4Q06">#REF!</definedName>
    <definedName name="ITEM29_4Q07">#REF!</definedName>
    <definedName name="ITEM29_4Q08">#REF!</definedName>
    <definedName name="ITEM29_4Q09">#REF!</definedName>
    <definedName name="ITEM29_4Q10">#REF!</definedName>
    <definedName name="ITEM29_4Q11">#REF!</definedName>
    <definedName name="ITEM29_4Q12">#REF!</definedName>
    <definedName name="ITEM29_4Q13">#REF!</definedName>
    <definedName name="ITEM29_4Q14">#REF!</definedName>
    <definedName name="ITEM29_4Q15">#REF!</definedName>
    <definedName name="ITEM29_4Q16">#REF!</definedName>
    <definedName name="ITEM29_4Q17">#REF!</definedName>
    <definedName name="ITEM29_4Q18">#REF!</definedName>
    <definedName name="ITEM29_4Q19">#REF!</definedName>
    <definedName name="ITEM29_4Q20">#REF!</definedName>
    <definedName name="ITEM29_4Q21">#REF!</definedName>
    <definedName name="ITEM29_4Q22">#REF!</definedName>
    <definedName name="ITEM29_4Q23">#REF!</definedName>
    <definedName name="ITEM29_4Q24">#REF!</definedName>
    <definedName name="ITEM3_1995">#REF!</definedName>
    <definedName name="ITEM3_1996">#REF!</definedName>
    <definedName name="ITEM3_1997">#REF!</definedName>
    <definedName name="ITEM3_1998">#REF!</definedName>
    <definedName name="ITEM3_1999">#REF!</definedName>
    <definedName name="ITEM3_1Q00">#REF!</definedName>
    <definedName name="ITEM3_1Q01">#REF!</definedName>
    <definedName name="ITEM3_1Q02">#REF!</definedName>
    <definedName name="ITEM3_1Q03">#REF!</definedName>
    <definedName name="ITEM3_1Q04">#REF!</definedName>
    <definedName name="ITEM3_1Q05">#REF!</definedName>
    <definedName name="ITEM3_1Q06">#REF!</definedName>
    <definedName name="ITEM3_1Q07">#REF!</definedName>
    <definedName name="ITEM3_1Q08">#REF!</definedName>
    <definedName name="ITEM3_1Q09">#REF!</definedName>
    <definedName name="ITEM3_1Q10">#REF!</definedName>
    <definedName name="ITEM3_1Q11">#REF!</definedName>
    <definedName name="ITEM3_1Q12">#REF!</definedName>
    <definedName name="ITEM3_1Q13">#REF!</definedName>
    <definedName name="ITEM3_1Q14">#REF!</definedName>
    <definedName name="ITEM3_1Q15">#REF!</definedName>
    <definedName name="ITEM3_1Q16">#REF!</definedName>
    <definedName name="ITEM3_1Q17">#REF!</definedName>
    <definedName name="ITEM3_1Q18">#REF!</definedName>
    <definedName name="ITEM3_1Q19">#REF!</definedName>
    <definedName name="ITEM3_1Q20">#REF!</definedName>
    <definedName name="ITEM3_1Q21">#REF!</definedName>
    <definedName name="ITEM3_1Q22">#REF!</definedName>
    <definedName name="ITEM3_1Q23">#REF!</definedName>
    <definedName name="ITEM3_1Q24">#REF!</definedName>
    <definedName name="ITEM3_2000">#REF!</definedName>
    <definedName name="ITEM3_2001">#REF!</definedName>
    <definedName name="ITEM3_2002">#REF!</definedName>
    <definedName name="ITEM3_2003">#REF!</definedName>
    <definedName name="ITEM3_2004">#REF!</definedName>
    <definedName name="ITEM3_2005">#REF!</definedName>
    <definedName name="ITEM3_2006">#REF!</definedName>
    <definedName name="ITEM3_2007">#REF!</definedName>
    <definedName name="ITEM3_2008">#REF!</definedName>
    <definedName name="ITEM3_2009">#REF!</definedName>
    <definedName name="ITEM3_2010">#REF!</definedName>
    <definedName name="ITEM3_2011">#REF!</definedName>
    <definedName name="ITEM3_2012">#REF!</definedName>
    <definedName name="ITEM3_2013">#REF!</definedName>
    <definedName name="ITEM3_2014">#REF!</definedName>
    <definedName name="ITEM3_2015">#REF!</definedName>
    <definedName name="ITEM3_2016">#REF!</definedName>
    <definedName name="ITEM3_2017">#REF!</definedName>
    <definedName name="ITEM3_2018">#REF!</definedName>
    <definedName name="ITEM3_2019">#REF!</definedName>
    <definedName name="ITEM3_2020">#REF!</definedName>
    <definedName name="ITEM3_2021">#REF!</definedName>
    <definedName name="ITEM3_2022">#REF!</definedName>
    <definedName name="ITEM3_2023">#REF!</definedName>
    <definedName name="ITEM3_2024">#REF!</definedName>
    <definedName name="ITEM3_2Q00">#REF!</definedName>
    <definedName name="ITEM3_2Q01">#REF!</definedName>
    <definedName name="ITEM3_2Q02">#REF!</definedName>
    <definedName name="ITEM3_2Q03">#REF!</definedName>
    <definedName name="ITEM3_2Q04">#REF!</definedName>
    <definedName name="ITEM3_2Q05">#REF!</definedName>
    <definedName name="ITEM3_2Q06">#REF!</definedName>
    <definedName name="ITEM3_2Q07">#REF!</definedName>
    <definedName name="ITEM3_2Q08">#REF!</definedName>
    <definedName name="ITEM3_2Q09">#REF!</definedName>
    <definedName name="ITEM3_2Q10">#REF!</definedName>
    <definedName name="ITEM3_2Q11">#REF!</definedName>
    <definedName name="ITEM3_2Q12">#REF!</definedName>
    <definedName name="ITEM3_2Q13">#REF!</definedName>
    <definedName name="ITEM3_2Q14">#REF!</definedName>
    <definedName name="ITEM3_2Q15">#REF!</definedName>
    <definedName name="ITEM3_2Q16">#REF!</definedName>
    <definedName name="ITEM3_2Q17">#REF!</definedName>
    <definedName name="ITEM3_2Q18">#REF!</definedName>
    <definedName name="ITEM3_2Q19">#REF!</definedName>
    <definedName name="ITEM3_2Q20">#REF!</definedName>
    <definedName name="ITEM3_2Q21">#REF!</definedName>
    <definedName name="ITEM3_2Q22">#REF!</definedName>
    <definedName name="ITEM3_2Q23">#REF!</definedName>
    <definedName name="ITEM3_2Q24">#REF!</definedName>
    <definedName name="ITEM3_3Q00">#REF!</definedName>
    <definedName name="ITEM3_3Q01">#REF!</definedName>
    <definedName name="ITEM3_3Q02">#REF!</definedName>
    <definedName name="ITEM3_3Q03">#REF!</definedName>
    <definedName name="ITEM3_3Q04">#REF!</definedName>
    <definedName name="ITEM3_3Q05">#REF!</definedName>
    <definedName name="ITEM3_3Q06">#REF!</definedName>
    <definedName name="ITEM3_3Q07">#REF!</definedName>
    <definedName name="ITEM3_3Q08">#REF!</definedName>
    <definedName name="ITEM3_3Q09">#REF!</definedName>
    <definedName name="ITEM3_3Q10">#REF!</definedName>
    <definedName name="ITEM3_3Q11">#REF!</definedName>
    <definedName name="ITEM3_3Q12">#REF!</definedName>
    <definedName name="ITEM3_3Q13">#REF!</definedName>
    <definedName name="ITEM3_3Q14">#REF!</definedName>
    <definedName name="ITEM3_3Q15">#REF!</definedName>
    <definedName name="ITEM3_3Q16">#REF!</definedName>
    <definedName name="ITEM3_3Q17">#REF!</definedName>
    <definedName name="ITEM3_3Q18">#REF!</definedName>
    <definedName name="ITEM3_3Q19">#REF!</definedName>
    <definedName name="ITEM3_3Q20">#REF!</definedName>
    <definedName name="ITEM3_3Q21">#REF!</definedName>
    <definedName name="ITEM3_3Q22">#REF!</definedName>
    <definedName name="ITEM3_3Q23">#REF!</definedName>
    <definedName name="ITEM3_3Q24">#REF!</definedName>
    <definedName name="ITEM3_4Q00">#REF!</definedName>
    <definedName name="ITEM3_4Q01">#REF!</definedName>
    <definedName name="ITEM3_4Q02">#REF!</definedName>
    <definedName name="ITEM3_4Q03">#REF!</definedName>
    <definedName name="ITEM3_4Q04">#REF!</definedName>
    <definedName name="ITEM3_4Q05">#REF!</definedName>
    <definedName name="ITEM3_4Q06">#REF!</definedName>
    <definedName name="ITEM3_4Q07">#REF!</definedName>
    <definedName name="ITEM3_4Q08">#REF!</definedName>
    <definedName name="ITEM3_4Q09">#REF!</definedName>
    <definedName name="ITEM3_4Q10">#REF!</definedName>
    <definedName name="ITEM3_4Q11">#REF!</definedName>
    <definedName name="ITEM3_4Q12">#REF!</definedName>
    <definedName name="ITEM3_4Q13">#REF!</definedName>
    <definedName name="ITEM3_4Q14">#REF!</definedName>
    <definedName name="ITEM3_4Q15">#REF!</definedName>
    <definedName name="ITEM3_4Q16">#REF!</definedName>
    <definedName name="ITEM3_4Q17">#REF!</definedName>
    <definedName name="ITEM3_4Q18">#REF!</definedName>
    <definedName name="ITEM3_4Q19">#REF!</definedName>
    <definedName name="ITEM3_4Q20">#REF!</definedName>
    <definedName name="ITEM3_4Q21">#REF!</definedName>
    <definedName name="ITEM3_4Q22">#REF!</definedName>
    <definedName name="ITEM3_4Q23">#REF!</definedName>
    <definedName name="ITEM3_4Q24">#REF!</definedName>
    <definedName name="ITEM30_1995">#REF!</definedName>
    <definedName name="ITEM30_1996">#REF!</definedName>
    <definedName name="ITEM30_1997">#REF!</definedName>
    <definedName name="ITEM30_1998">#REF!</definedName>
    <definedName name="ITEM30_1999">#REF!</definedName>
    <definedName name="ITEM30_1Q00">#REF!</definedName>
    <definedName name="ITEM30_1Q01">#REF!</definedName>
    <definedName name="ITEM30_1Q02">#REF!</definedName>
    <definedName name="ITEM30_1Q03">#REF!</definedName>
    <definedName name="ITEM30_1Q04">#REF!</definedName>
    <definedName name="ITEM30_1Q05">#REF!</definedName>
    <definedName name="ITEM30_1Q06">#REF!</definedName>
    <definedName name="ITEM30_1Q07">#REF!</definedName>
    <definedName name="ITEM30_1Q08">#REF!</definedName>
    <definedName name="ITEM30_1Q09">#REF!</definedName>
    <definedName name="ITEM30_1Q10">#REF!</definedName>
    <definedName name="ITEM30_1Q11">#REF!</definedName>
    <definedName name="ITEM30_1Q12">#REF!</definedName>
    <definedName name="ITEM30_1Q13">#REF!</definedName>
    <definedName name="ITEM30_1Q14">#REF!</definedName>
    <definedName name="ITEM30_1Q15">#REF!</definedName>
    <definedName name="ITEM30_1Q16">#REF!</definedName>
    <definedName name="ITEM30_1Q17">#REF!</definedName>
    <definedName name="ITEM30_1Q18">#REF!</definedName>
    <definedName name="ITEM30_1Q19">#REF!</definedName>
    <definedName name="ITEM30_1Q20">#REF!</definedName>
    <definedName name="ITEM30_1Q21">#REF!</definedName>
    <definedName name="ITEM30_1Q22">#REF!</definedName>
    <definedName name="ITEM30_1Q23">#REF!</definedName>
    <definedName name="ITEM30_1Q24">#REF!</definedName>
    <definedName name="ITEM30_2000">#REF!</definedName>
    <definedName name="ITEM30_2001">#REF!</definedName>
    <definedName name="ITEM30_2002">#REF!</definedName>
    <definedName name="ITEM30_2003">#REF!</definedName>
    <definedName name="ITEM30_2004">#REF!</definedName>
    <definedName name="ITEM30_2005">#REF!</definedName>
    <definedName name="ITEM30_2006">#REF!</definedName>
    <definedName name="ITEM30_2007">#REF!</definedName>
    <definedName name="ITEM30_2008">#REF!</definedName>
    <definedName name="ITEM30_2009">#REF!</definedName>
    <definedName name="ITEM30_2010">#REF!</definedName>
    <definedName name="ITEM30_2011">#REF!</definedName>
    <definedName name="ITEM30_2012">#REF!</definedName>
    <definedName name="ITEM30_2013">#REF!</definedName>
    <definedName name="ITEM30_2014">#REF!</definedName>
    <definedName name="ITEM30_2015">#REF!</definedName>
    <definedName name="ITEM30_2016">#REF!</definedName>
    <definedName name="ITEM30_2017">#REF!</definedName>
    <definedName name="ITEM30_2018">#REF!</definedName>
    <definedName name="ITEM30_2019">#REF!</definedName>
    <definedName name="ITEM30_2020">#REF!</definedName>
    <definedName name="ITEM30_2021">#REF!</definedName>
    <definedName name="ITEM30_2022">#REF!</definedName>
    <definedName name="ITEM30_2023">#REF!</definedName>
    <definedName name="ITEM30_2024">#REF!</definedName>
    <definedName name="ITEM30_2Q00">#REF!</definedName>
    <definedName name="ITEM30_2Q01">#REF!</definedName>
    <definedName name="ITEM30_2Q02">#REF!</definedName>
    <definedName name="ITEM30_2Q03">#REF!</definedName>
    <definedName name="ITEM30_2Q04">#REF!</definedName>
    <definedName name="ITEM30_2Q05">#REF!</definedName>
    <definedName name="ITEM30_2Q06">#REF!</definedName>
    <definedName name="ITEM30_2Q07">#REF!</definedName>
    <definedName name="ITEM30_2Q08">#REF!</definedName>
    <definedName name="ITEM30_2Q09">#REF!</definedName>
    <definedName name="ITEM30_2Q10">#REF!</definedName>
    <definedName name="ITEM30_2Q11">#REF!</definedName>
    <definedName name="ITEM30_2Q12">#REF!</definedName>
    <definedName name="ITEM30_2Q13">#REF!</definedName>
    <definedName name="ITEM30_2Q14">#REF!</definedName>
    <definedName name="ITEM30_2Q15">#REF!</definedName>
    <definedName name="ITEM30_2Q16">#REF!</definedName>
    <definedName name="ITEM30_2Q17">#REF!</definedName>
    <definedName name="ITEM30_2Q18">#REF!</definedName>
    <definedName name="ITEM30_2Q19">#REF!</definedName>
    <definedName name="ITEM30_2Q20">#REF!</definedName>
    <definedName name="ITEM30_2Q21">#REF!</definedName>
    <definedName name="ITEM30_2Q22">#REF!</definedName>
    <definedName name="ITEM30_2Q23">#REF!</definedName>
    <definedName name="ITEM30_2Q24">#REF!</definedName>
    <definedName name="ITEM30_3Q00">#REF!</definedName>
    <definedName name="ITEM30_3Q01">#REF!</definedName>
    <definedName name="ITEM30_3Q02">#REF!</definedName>
    <definedName name="ITEM30_3Q03">#REF!</definedName>
    <definedName name="ITEM30_3Q04">#REF!</definedName>
    <definedName name="ITEM30_3Q05">#REF!</definedName>
    <definedName name="ITEM30_3Q06">#REF!</definedName>
    <definedName name="ITEM30_3Q07">#REF!</definedName>
    <definedName name="ITEM30_3Q08">#REF!</definedName>
    <definedName name="ITEM30_3Q09">#REF!</definedName>
    <definedName name="ITEM30_3Q10">#REF!</definedName>
    <definedName name="ITEM30_3Q11">#REF!</definedName>
    <definedName name="ITEM30_3Q12">#REF!</definedName>
    <definedName name="ITEM30_3Q13">#REF!</definedName>
    <definedName name="ITEM30_3Q14">#REF!</definedName>
    <definedName name="ITEM30_3Q15">#REF!</definedName>
    <definedName name="ITEM30_3Q16">#REF!</definedName>
    <definedName name="ITEM30_3Q17">#REF!</definedName>
    <definedName name="ITEM30_3Q18">#REF!</definedName>
    <definedName name="ITEM30_3Q19">#REF!</definedName>
    <definedName name="ITEM30_3Q20">#REF!</definedName>
    <definedName name="ITEM30_3Q21">#REF!</definedName>
    <definedName name="ITEM30_3Q22">#REF!</definedName>
    <definedName name="ITEM30_3Q23">#REF!</definedName>
    <definedName name="ITEM30_3Q24">#REF!</definedName>
    <definedName name="ITEM30_4Q00">#REF!</definedName>
    <definedName name="ITEM30_4Q01">#REF!</definedName>
    <definedName name="ITEM30_4Q02">#REF!</definedName>
    <definedName name="ITEM30_4Q03">#REF!</definedName>
    <definedName name="ITEM30_4Q04">#REF!</definedName>
    <definedName name="ITEM30_4Q05">#REF!</definedName>
    <definedName name="ITEM30_4Q06">#REF!</definedName>
    <definedName name="ITEM30_4Q07">#REF!</definedName>
    <definedName name="ITEM30_4Q08">#REF!</definedName>
    <definedName name="ITEM30_4Q09">#REF!</definedName>
    <definedName name="ITEM30_4Q10">#REF!</definedName>
    <definedName name="ITEM30_4Q11">#REF!</definedName>
    <definedName name="ITEM30_4Q12">#REF!</definedName>
    <definedName name="ITEM30_4Q13">#REF!</definedName>
    <definedName name="ITEM30_4Q14">#REF!</definedName>
    <definedName name="ITEM30_4Q15">#REF!</definedName>
    <definedName name="ITEM30_4Q16">#REF!</definedName>
    <definedName name="ITEM30_4Q17">#REF!</definedName>
    <definedName name="ITEM30_4Q18">#REF!</definedName>
    <definedName name="ITEM30_4Q19">#REF!</definedName>
    <definedName name="ITEM30_4Q20">#REF!</definedName>
    <definedName name="ITEM30_4Q21">#REF!</definedName>
    <definedName name="ITEM30_4Q22">#REF!</definedName>
    <definedName name="ITEM30_4Q23">#REF!</definedName>
    <definedName name="ITEM30_4Q24">#REF!</definedName>
    <definedName name="ITEM31_1995">#REF!</definedName>
    <definedName name="ITEM31_1996">#REF!</definedName>
    <definedName name="ITEM31_1997">#REF!</definedName>
    <definedName name="ITEM31_1998">#REF!</definedName>
    <definedName name="ITEM31_1999">#REF!</definedName>
    <definedName name="ITEM31_1Q00">#REF!</definedName>
    <definedName name="ITEM31_1Q01">#REF!</definedName>
    <definedName name="ITEM31_1Q02">#REF!</definedName>
    <definedName name="ITEM31_1Q03">#REF!</definedName>
    <definedName name="ITEM31_1Q04">#REF!</definedName>
    <definedName name="ITEM31_1Q05">#REF!</definedName>
    <definedName name="ITEM31_1Q06">#REF!</definedName>
    <definedName name="ITEM31_1Q07">#REF!</definedName>
    <definedName name="ITEM31_1Q08">#REF!</definedName>
    <definedName name="ITEM31_1Q09">#REF!</definedName>
    <definedName name="ITEM31_1Q10">#REF!</definedName>
    <definedName name="ITEM31_1Q11">#REF!</definedName>
    <definedName name="ITEM31_1Q12">#REF!</definedName>
    <definedName name="ITEM31_1Q13">#REF!</definedName>
    <definedName name="ITEM31_1Q14">#REF!</definedName>
    <definedName name="ITEM31_1Q15">#REF!</definedName>
    <definedName name="ITEM31_1Q16">#REF!</definedName>
    <definedName name="ITEM31_1Q17">#REF!</definedName>
    <definedName name="ITEM31_1Q18">#REF!</definedName>
    <definedName name="ITEM31_1Q19">#REF!</definedName>
    <definedName name="ITEM31_1Q20">#REF!</definedName>
    <definedName name="ITEM31_1Q21">#REF!</definedName>
    <definedName name="ITEM31_1Q22">#REF!</definedName>
    <definedName name="ITEM31_1Q23">#REF!</definedName>
    <definedName name="ITEM31_1Q24">#REF!</definedName>
    <definedName name="ITEM31_2000">#REF!</definedName>
    <definedName name="ITEM31_2001">#REF!</definedName>
    <definedName name="ITEM31_2002">#REF!</definedName>
    <definedName name="ITEM31_2003">#REF!</definedName>
    <definedName name="ITEM31_2004">#REF!</definedName>
    <definedName name="ITEM31_2005">#REF!</definedName>
    <definedName name="ITEM31_2006">#REF!</definedName>
    <definedName name="ITEM31_2007">#REF!</definedName>
    <definedName name="ITEM31_2008">#REF!</definedName>
    <definedName name="ITEM31_2009">#REF!</definedName>
    <definedName name="ITEM31_2010">#REF!</definedName>
    <definedName name="ITEM31_2011">#REF!</definedName>
    <definedName name="ITEM31_2012">#REF!</definedName>
    <definedName name="ITEM31_2013">#REF!</definedName>
    <definedName name="ITEM31_2014">#REF!</definedName>
    <definedName name="ITEM31_2015">#REF!</definedName>
    <definedName name="ITEM31_2016">#REF!</definedName>
    <definedName name="ITEM31_2017">#REF!</definedName>
    <definedName name="ITEM31_2018">#REF!</definedName>
    <definedName name="ITEM31_2019">#REF!</definedName>
    <definedName name="ITEM31_2020">#REF!</definedName>
    <definedName name="ITEM31_2021">#REF!</definedName>
    <definedName name="ITEM31_2022">#REF!</definedName>
    <definedName name="ITEM31_2023">#REF!</definedName>
    <definedName name="ITEM31_2024">#REF!</definedName>
    <definedName name="ITEM31_2Q00">#REF!</definedName>
    <definedName name="ITEM31_2Q01">#REF!</definedName>
    <definedName name="ITEM31_2Q02">#REF!</definedName>
    <definedName name="ITEM31_2Q03">#REF!</definedName>
    <definedName name="ITEM31_2Q04">#REF!</definedName>
    <definedName name="ITEM31_2Q05">#REF!</definedName>
    <definedName name="ITEM31_2Q06">#REF!</definedName>
    <definedName name="ITEM31_2Q07">#REF!</definedName>
    <definedName name="ITEM31_2Q08">#REF!</definedName>
    <definedName name="ITEM31_2Q09">#REF!</definedName>
    <definedName name="ITEM31_2Q10">#REF!</definedName>
    <definedName name="ITEM31_2Q11">#REF!</definedName>
    <definedName name="ITEM31_2Q12">#REF!</definedName>
    <definedName name="ITEM31_2Q13">#REF!</definedName>
    <definedName name="ITEM31_2Q14">#REF!</definedName>
    <definedName name="ITEM31_2Q15">#REF!</definedName>
    <definedName name="ITEM31_2Q16">#REF!</definedName>
    <definedName name="ITEM31_2Q17">#REF!</definedName>
    <definedName name="ITEM31_2Q18">#REF!</definedName>
    <definedName name="ITEM31_2Q19">#REF!</definedName>
    <definedName name="ITEM31_2Q20">#REF!</definedName>
    <definedName name="ITEM31_2Q21">#REF!</definedName>
    <definedName name="ITEM31_2Q22">#REF!</definedName>
    <definedName name="ITEM31_2Q23">#REF!</definedName>
    <definedName name="ITEM31_2Q24">#REF!</definedName>
    <definedName name="ITEM31_3Q00">#REF!</definedName>
    <definedName name="ITEM31_3Q01">#REF!</definedName>
    <definedName name="ITEM31_3Q02">#REF!</definedName>
    <definedName name="ITEM31_3Q03">#REF!</definedName>
    <definedName name="ITEM31_3Q04">#REF!</definedName>
    <definedName name="ITEM31_3Q05">#REF!</definedName>
    <definedName name="ITEM31_3Q06">#REF!</definedName>
    <definedName name="ITEM31_3Q07">#REF!</definedName>
    <definedName name="ITEM31_3Q08">#REF!</definedName>
    <definedName name="ITEM31_3Q09">#REF!</definedName>
    <definedName name="ITEM31_3Q10">#REF!</definedName>
    <definedName name="ITEM31_3Q11">#REF!</definedName>
    <definedName name="ITEM31_3Q12">#REF!</definedName>
    <definedName name="ITEM31_3Q13">#REF!</definedName>
    <definedName name="ITEM31_3Q14">#REF!</definedName>
    <definedName name="ITEM31_3Q15">#REF!</definedName>
    <definedName name="ITEM31_3Q16">#REF!</definedName>
    <definedName name="ITEM31_3Q17">#REF!</definedName>
    <definedName name="ITEM31_3Q18">#REF!</definedName>
    <definedName name="ITEM31_3Q19">#REF!</definedName>
    <definedName name="ITEM31_3Q20">#REF!</definedName>
    <definedName name="ITEM31_3Q21">#REF!</definedName>
    <definedName name="ITEM31_3Q22">#REF!</definedName>
    <definedName name="ITEM31_3Q23">#REF!</definedName>
    <definedName name="ITEM31_3Q24">#REF!</definedName>
    <definedName name="ITEM31_4Q00">#REF!</definedName>
    <definedName name="ITEM31_4Q01">#REF!</definedName>
    <definedName name="ITEM31_4Q02">#REF!</definedName>
    <definedName name="ITEM31_4Q03">#REF!</definedName>
    <definedName name="ITEM31_4Q04">#REF!</definedName>
    <definedName name="ITEM31_4Q05">#REF!</definedName>
    <definedName name="ITEM31_4Q06">#REF!</definedName>
    <definedName name="ITEM31_4Q07">#REF!</definedName>
    <definedName name="ITEM31_4Q08">#REF!</definedName>
    <definedName name="ITEM31_4Q09">#REF!</definedName>
    <definedName name="ITEM31_4Q10">#REF!</definedName>
    <definedName name="ITEM31_4Q11">#REF!</definedName>
    <definedName name="ITEM31_4Q12">#REF!</definedName>
    <definedName name="ITEM31_4Q13">#REF!</definedName>
    <definedName name="ITEM31_4Q14">#REF!</definedName>
    <definedName name="ITEM31_4Q15">#REF!</definedName>
    <definedName name="ITEM31_4Q16">#REF!</definedName>
    <definedName name="ITEM31_4Q17">#REF!</definedName>
    <definedName name="ITEM31_4Q18">#REF!</definedName>
    <definedName name="ITEM31_4Q19">#REF!</definedName>
    <definedName name="ITEM31_4Q20">#REF!</definedName>
    <definedName name="ITEM31_4Q21">#REF!</definedName>
    <definedName name="ITEM31_4Q22">#REF!</definedName>
    <definedName name="ITEM31_4Q23">#REF!</definedName>
    <definedName name="ITEM31_4Q24">#REF!</definedName>
    <definedName name="ITEM32_1995">#REF!</definedName>
    <definedName name="ITEM32_1996">#REF!</definedName>
    <definedName name="ITEM32_1997">#REF!</definedName>
    <definedName name="ITEM32_1998">#REF!</definedName>
    <definedName name="ITEM32_1999">#REF!</definedName>
    <definedName name="ITEM32_1Q00">#REF!</definedName>
    <definedName name="ITEM32_1Q01">#REF!</definedName>
    <definedName name="ITEM32_1Q02">#REF!</definedName>
    <definedName name="ITEM32_1Q03">#REF!</definedName>
    <definedName name="ITEM32_1Q04">#REF!</definedName>
    <definedName name="ITEM32_1Q05">#REF!</definedName>
    <definedName name="ITEM32_1Q06">#REF!</definedName>
    <definedName name="ITEM32_1Q07">#REF!</definedName>
    <definedName name="ITEM32_1Q08">#REF!</definedName>
    <definedName name="ITEM32_1Q09">#REF!</definedName>
    <definedName name="ITEM32_1Q10">#REF!</definedName>
    <definedName name="ITEM32_1Q11">#REF!</definedName>
    <definedName name="ITEM32_1Q12">#REF!</definedName>
    <definedName name="ITEM32_1Q13">#REF!</definedName>
    <definedName name="ITEM32_1Q14">#REF!</definedName>
    <definedName name="ITEM32_1Q15">#REF!</definedName>
    <definedName name="ITEM32_1Q16">#REF!</definedName>
    <definedName name="ITEM32_1Q17">#REF!</definedName>
    <definedName name="ITEM32_1Q18">#REF!</definedName>
    <definedName name="ITEM32_1Q19">#REF!</definedName>
    <definedName name="ITEM32_1Q20">#REF!</definedName>
    <definedName name="ITEM32_1Q21">#REF!</definedName>
    <definedName name="ITEM32_1Q22">#REF!</definedName>
    <definedName name="ITEM32_1Q23">#REF!</definedName>
    <definedName name="ITEM32_1Q24">#REF!</definedName>
    <definedName name="ITEM32_2000">#REF!</definedName>
    <definedName name="ITEM32_2001">#REF!</definedName>
    <definedName name="ITEM32_2002">#REF!</definedName>
    <definedName name="ITEM32_2003">#REF!</definedName>
    <definedName name="ITEM32_2004">#REF!</definedName>
    <definedName name="ITEM32_2005">#REF!</definedName>
    <definedName name="ITEM32_2006">#REF!</definedName>
    <definedName name="ITEM32_2007">#REF!</definedName>
    <definedName name="ITEM32_2008">#REF!</definedName>
    <definedName name="ITEM32_2009">#REF!</definedName>
    <definedName name="ITEM32_2010">#REF!</definedName>
    <definedName name="ITEM32_2011">#REF!</definedName>
    <definedName name="ITEM32_2012">#REF!</definedName>
    <definedName name="ITEM32_2013">#REF!</definedName>
    <definedName name="ITEM32_2014">#REF!</definedName>
    <definedName name="ITEM32_2015">#REF!</definedName>
    <definedName name="ITEM32_2016">#REF!</definedName>
    <definedName name="ITEM32_2017">#REF!</definedName>
    <definedName name="ITEM32_2018">#REF!</definedName>
    <definedName name="ITEM32_2019">#REF!</definedName>
    <definedName name="ITEM32_2020">#REF!</definedName>
    <definedName name="ITEM32_2021">#REF!</definedName>
    <definedName name="ITEM32_2022">#REF!</definedName>
    <definedName name="ITEM32_2023">#REF!</definedName>
    <definedName name="ITEM32_2024">#REF!</definedName>
    <definedName name="ITEM32_2Q00">#REF!</definedName>
    <definedName name="ITEM32_2Q01">#REF!</definedName>
    <definedName name="ITEM32_2Q02">#REF!</definedName>
    <definedName name="ITEM32_2Q03">#REF!</definedName>
    <definedName name="ITEM32_2Q04">#REF!</definedName>
    <definedName name="ITEM32_2Q05">#REF!</definedName>
    <definedName name="ITEM32_2Q06">#REF!</definedName>
    <definedName name="ITEM32_2Q07">#REF!</definedName>
    <definedName name="ITEM32_2Q08">#REF!</definedName>
    <definedName name="ITEM32_2Q09">#REF!</definedName>
    <definedName name="ITEM32_2Q10">#REF!</definedName>
    <definedName name="ITEM32_2Q11">#REF!</definedName>
    <definedName name="ITEM32_2Q12">#REF!</definedName>
    <definedName name="ITEM32_2Q13">#REF!</definedName>
    <definedName name="ITEM32_2Q14">#REF!</definedName>
    <definedName name="ITEM32_2Q15">#REF!</definedName>
    <definedName name="ITEM32_2Q16">#REF!</definedName>
    <definedName name="ITEM32_2Q17">#REF!</definedName>
    <definedName name="ITEM32_2Q18">#REF!</definedName>
    <definedName name="ITEM32_2Q19">#REF!</definedName>
    <definedName name="ITEM32_2Q20">#REF!</definedName>
    <definedName name="ITEM32_2Q21">#REF!</definedName>
    <definedName name="ITEM32_2Q22">#REF!</definedName>
    <definedName name="ITEM32_2Q23">#REF!</definedName>
    <definedName name="ITEM32_2Q24">#REF!</definedName>
    <definedName name="ITEM32_3Q00">#REF!</definedName>
    <definedName name="ITEM32_3Q01">#REF!</definedName>
    <definedName name="ITEM32_3Q02">#REF!</definedName>
    <definedName name="ITEM32_3Q03">#REF!</definedName>
    <definedName name="ITEM32_3Q04">#REF!</definedName>
    <definedName name="ITEM32_3Q05">#REF!</definedName>
    <definedName name="ITEM32_3Q06">#REF!</definedName>
    <definedName name="ITEM32_3Q07">#REF!</definedName>
    <definedName name="ITEM32_3Q08">#REF!</definedName>
    <definedName name="ITEM32_3Q09">#REF!</definedName>
    <definedName name="ITEM32_3Q10">#REF!</definedName>
    <definedName name="ITEM32_3Q11">#REF!</definedName>
    <definedName name="ITEM32_3Q12">#REF!</definedName>
    <definedName name="ITEM32_3Q13">#REF!</definedName>
    <definedName name="ITEM32_3Q14">#REF!</definedName>
    <definedName name="ITEM32_3Q15">#REF!</definedName>
    <definedName name="ITEM32_3Q16">#REF!</definedName>
    <definedName name="ITEM32_3Q17">#REF!</definedName>
    <definedName name="ITEM32_3Q18">#REF!</definedName>
    <definedName name="ITEM32_3Q19">#REF!</definedName>
    <definedName name="ITEM32_3Q20">#REF!</definedName>
    <definedName name="ITEM32_3Q21">#REF!</definedName>
    <definedName name="ITEM32_3Q22">#REF!</definedName>
    <definedName name="ITEM32_3Q23">#REF!</definedName>
    <definedName name="ITEM32_3Q24">#REF!</definedName>
    <definedName name="ITEM32_4Q00">#REF!</definedName>
    <definedName name="ITEM32_4Q01">#REF!</definedName>
    <definedName name="ITEM32_4Q02">#REF!</definedName>
    <definedName name="ITEM32_4Q03">#REF!</definedName>
    <definedName name="ITEM32_4Q04">#REF!</definedName>
    <definedName name="ITEM32_4Q05">#REF!</definedName>
    <definedName name="ITEM32_4Q06">#REF!</definedName>
    <definedName name="ITEM32_4Q07">#REF!</definedName>
    <definedName name="ITEM32_4Q08">#REF!</definedName>
    <definedName name="ITEM32_4Q09">#REF!</definedName>
    <definedName name="ITEM32_4Q10">#REF!</definedName>
    <definedName name="ITEM32_4Q11">#REF!</definedName>
    <definedName name="ITEM32_4Q12">#REF!</definedName>
    <definedName name="ITEM32_4Q13">#REF!</definedName>
    <definedName name="ITEM32_4Q14">#REF!</definedName>
    <definedName name="ITEM32_4Q15">#REF!</definedName>
    <definedName name="ITEM32_4Q16">#REF!</definedName>
    <definedName name="ITEM32_4Q17">#REF!</definedName>
    <definedName name="ITEM32_4Q18">#REF!</definedName>
    <definedName name="ITEM32_4Q19">#REF!</definedName>
    <definedName name="ITEM32_4Q20">#REF!</definedName>
    <definedName name="ITEM32_4Q21">#REF!</definedName>
    <definedName name="ITEM32_4Q22">#REF!</definedName>
    <definedName name="ITEM32_4Q23">#REF!</definedName>
    <definedName name="ITEM32_4Q24">#REF!</definedName>
    <definedName name="ITEM33_1995">#REF!</definedName>
    <definedName name="ITEM33_1996">#REF!</definedName>
    <definedName name="ITEM33_1997">#REF!</definedName>
    <definedName name="ITEM33_1998">#REF!</definedName>
    <definedName name="ITEM33_1999">#REF!</definedName>
    <definedName name="ITEM33_1Q00">#REF!</definedName>
    <definedName name="ITEM33_1Q01">#REF!</definedName>
    <definedName name="ITEM33_1Q02">#REF!</definedName>
    <definedName name="ITEM33_1Q03">#REF!</definedName>
    <definedName name="ITEM33_1Q04">#REF!</definedName>
    <definedName name="ITEM33_1Q05">#REF!</definedName>
    <definedName name="ITEM33_1Q06">#REF!</definedName>
    <definedName name="ITEM33_1Q07">#REF!</definedName>
    <definedName name="ITEM33_1Q08">#REF!</definedName>
    <definedName name="ITEM33_1Q09">#REF!</definedName>
    <definedName name="ITEM33_1Q10">#REF!</definedName>
    <definedName name="ITEM33_1Q11">#REF!</definedName>
    <definedName name="ITEM33_1Q12">#REF!</definedName>
    <definedName name="ITEM33_1Q13">#REF!</definedName>
    <definedName name="ITEM33_1Q14">#REF!</definedName>
    <definedName name="ITEM33_1Q15">#REF!</definedName>
    <definedName name="ITEM33_1Q16">#REF!</definedName>
    <definedName name="ITEM33_1Q17">#REF!</definedName>
    <definedName name="ITEM33_1Q18">#REF!</definedName>
    <definedName name="ITEM33_1Q19">#REF!</definedName>
    <definedName name="ITEM33_1Q20">#REF!</definedName>
    <definedName name="ITEM33_1Q21">#REF!</definedName>
    <definedName name="ITEM33_1Q22">#REF!</definedName>
    <definedName name="ITEM33_1Q23">#REF!</definedName>
    <definedName name="ITEM33_1Q24">#REF!</definedName>
    <definedName name="ITEM33_2000">#REF!</definedName>
    <definedName name="ITEM33_2001">#REF!</definedName>
    <definedName name="ITEM33_2002">#REF!</definedName>
    <definedName name="ITEM33_2003">#REF!</definedName>
    <definedName name="ITEM33_2004">#REF!</definedName>
    <definedName name="ITEM33_2005">#REF!</definedName>
    <definedName name="ITEM33_2006">#REF!</definedName>
    <definedName name="ITEM33_2007">#REF!</definedName>
    <definedName name="ITEM33_2008">#REF!</definedName>
    <definedName name="ITEM33_2009">#REF!</definedName>
    <definedName name="ITEM33_2010">#REF!</definedName>
    <definedName name="ITEM33_2011">#REF!</definedName>
    <definedName name="ITEM33_2012">#REF!</definedName>
    <definedName name="ITEM33_2013">#REF!</definedName>
    <definedName name="ITEM33_2014">#REF!</definedName>
    <definedName name="ITEM33_2015">#REF!</definedName>
    <definedName name="ITEM33_2016">#REF!</definedName>
    <definedName name="ITEM33_2017">#REF!</definedName>
    <definedName name="ITEM33_2018">#REF!</definedName>
    <definedName name="ITEM33_2019">#REF!</definedName>
    <definedName name="ITEM33_2020">#REF!</definedName>
    <definedName name="ITEM33_2021">#REF!</definedName>
    <definedName name="ITEM33_2022">#REF!</definedName>
    <definedName name="ITEM33_2023">#REF!</definedName>
    <definedName name="ITEM33_2024">#REF!</definedName>
    <definedName name="ITEM33_2Q00">#REF!</definedName>
    <definedName name="ITEM33_2Q01">#REF!</definedName>
    <definedName name="ITEM33_2Q02">#REF!</definedName>
    <definedName name="ITEM33_2Q03">#REF!</definedName>
    <definedName name="ITEM33_2Q04">#REF!</definedName>
    <definedName name="ITEM33_2Q05">#REF!</definedName>
    <definedName name="ITEM33_2Q06">#REF!</definedName>
    <definedName name="ITEM33_2Q07">#REF!</definedName>
    <definedName name="ITEM33_2Q08">#REF!</definedName>
    <definedName name="ITEM33_2Q09">#REF!</definedName>
    <definedName name="ITEM33_2Q10">#REF!</definedName>
    <definedName name="ITEM33_2Q11">#REF!</definedName>
    <definedName name="ITEM33_2Q12">#REF!</definedName>
    <definedName name="ITEM33_2Q13">#REF!</definedName>
    <definedName name="ITEM33_2Q14">#REF!</definedName>
    <definedName name="ITEM33_2Q15">#REF!</definedName>
    <definedName name="ITEM33_2Q16">#REF!</definedName>
    <definedName name="ITEM33_2Q17">#REF!</definedName>
    <definedName name="ITEM33_2Q18">#REF!</definedName>
    <definedName name="ITEM33_2Q19">#REF!</definedName>
    <definedName name="ITEM33_2Q20">#REF!</definedName>
    <definedName name="ITEM33_2Q21">#REF!</definedName>
    <definedName name="ITEM33_2Q22">#REF!</definedName>
    <definedName name="ITEM33_2Q23">#REF!</definedName>
    <definedName name="ITEM33_2Q24">#REF!</definedName>
    <definedName name="ITEM33_3Q00">#REF!</definedName>
    <definedName name="ITEM33_3Q01">#REF!</definedName>
    <definedName name="ITEM33_3Q02">#REF!</definedName>
    <definedName name="ITEM33_3Q03">#REF!</definedName>
    <definedName name="ITEM33_3Q04">#REF!</definedName>
    <definedName name="ITEM33_3Q05">#REF!</definedName>
    <definedName name="ITEM33_3Q06">#REF!</definedName>
    <definedName name="ITEM33_3Q07">#REF!</definedName>
    <definedName name="ITEM33_3Q08">#REF!</definedName>
    <definedName name="ITEM33_3Q09">#REF!</definedName>
    <definedName name="ITEM33_3Q10">#REF!</definedName>
    <definedName name="ITEM33_3Q11">#REF!</definedName>
    <definedName name="ITEM33_3Q12">#REF!</definedName>
    <definedName name="ITEM33_3Q13">#REF!</definedName>
    <definedName name="ITEM33_3Q14">#REF!</definedName>
    <definedName name="ITEM33_3Q15">#REF!</definedName>
    <definedName name="ITEM33_3Q16">#REF!</definedName>
    <definedName name="ITEM33_3Q17">#REF!</definedName>
    <definedName name="ITEM33_3Q18">#REF!</definedName>
    <definedName name="ITEM33_3Q19">#REF!</definedName>
    <definedName name="ITEM33_3Q20">#REF!</definedName>
    <definedName name="ITEM33_3Q21">#REF!</definedName>
    <definedName name="ITEM33_3Q22">#REF!</definedName>
    <definedName name="ITEM33_3Q23">#REF!</definedName>
    <definedName name="ITEM33_3Q24">#REF!</definedName>
    <definedName name="ITEM33_4Q00">#REF!</definedName>
    <definedName name="ITEM33_4Q01">#REF!</definedName>
    <definedName name="ITEM33_4Q02">#REF!</definedName>
    <definedName name="ITEM33_4Q03">#REF!</definedName>
    <definedName name="ITEM33_4Q04">#REF!</definedName>
    <definedName name="ITEM33_4Q05">#REF!</definedName>
    <definedName name="ITEM33_4Q06">#REF!</definedName>
    <definedName name="ITEM33_4Q07">#REF!</definedName>
    <definedName name="ITEM33_4Q08">#REF!</definedName>
    <definedName name="ITEM33_4Q09">#REF!</definedName>
    <definedName name="ITEM33_4Q10">#REF!</definedName>
    <definedName name="ITEM33_4Q11">#REF!</definedName>
    <definedName name="ITEM33_4Q12">#REF!</definedName>
    <definedName name="ITEM33_4Q13">#REF!</definedName>
    <definedName name="ITEM33_4Q14">#REF!</definedName>
    <definedName name="ITEM33_4Q15">#REF!</definedName>
    <definedName name="ITEM33_4Q16">#REF!</definedName>
    <definedName name="ITEM33_4Q17">#REF!</definedName>
    <definedName name="ITEM33_4Q18">#REF!</definedName>
    <definedName name="ITEM33_4Q19">#REF!</definedName>
    <definedName name="ITEM33_4Q20">#REF!</definedName>
    <definedName name="ITEM33_4Q21">#REF!</definedName>
    <definedName name="ITEM33_4Q22">#REF!</definedName>
    <definedName name="ITEM33_4Q23">#REF!</definedName>
    <definedName name="ITEM33_4Q24">#REF!</definedName>
    <definedName name="ITEM34_1995">#REF!</definedName>
    <definedName name="ITEM34_1996">#REF!</definedName>
    <definedName name="ITEM34_1997">#REF!</definedName>
    <definedName name="ITEM34_1998">#REF!</definedName>
    <definedName name="ITEM34_1999">#REF!</definedName>
    <definedName name="ITEM34_1Q00">#REF!</definedName>
    <definedName name="ITEM34_1Q01">#REF!</definedName>
    <definedName name="ITEM34_1Q02">#REF!</definedName>
    <definedName name="ITEM34_1Q03">#REF!</definedName>
    <definedName name="ITEM34_1Q04">#REF!</definedName>
    <definedName name="ITEM34_1Q05">#REF!</definedName>
    <definedName name="ITEM34_1Q06">#REF!</definedName>
    <definedName name="ITEM34_1Q07">#REF!</definedName>
    <definedName name="ITEM34_1Q08">#REF!</definedName>
    <definedName name="ITEM34_1Q09">#REF!</definedName>
    <definedName name="ITEM34_1Q10">#REF!</definedName>
    <definedName name="ITEM34_1Q11">#REF!</definedName>
    <definedName name="ITEM34_1Q12">#REF!</definedName>
    <definedName name="ITEM34_1Q13">#REF!</definedName>
    <definedName name="ITEM34_1Q14">#REF!</definedName>
    <definedName name="ITEM34_1Q15">#REF!</definedName>
    <definedName name="ITEM34_1Q16">#REF!</definedName>
    <definedName name="ITEM34_1Q17">#REF!</definedName>
    <definedName name="ITEM34_1Q18">#REF!</definedName>
    <definedName name="ITEM34_1Q19">#REF!</definedName>
    <definedName name="ITEM34_1Q20">#REF!</definedName>
    <definedName name="ITEM34_1Q21">#REF!</definedName>
    <definedName name="ITEM34_1Q22">#REF!</definedName>
    <definedName name="ITEM34_1Q23">#REF!</definedName>
    <definedName name="ITEM34_1Q24">#REF!</definedName>
    <definedName name="ITEM34_2000">#REF!</definedName>
    <definedName name="ITEM34_2001">#REF!</definedName>
    <definedName name="ITEM34_2002">#REF!</definedName>
    <definedName name="ITEM34_2003">#REF!</definedName>
    <definedName name="ITEM34_2004">#REF!</definedName>
    <definedName name="ITEM34_2005">#REF!</definedName>
    <definedName name="ITEM34_2006">#REF!</definedName>
    <definedName name="ITEM34_2007">#REF!</definedName>
    <definedName name="ITEM34_2008">#REF!</definedName>
    <definedName name="ITEM34_2009">#REF!</definedName>
    <definedName name="ITEM34_2010">#REF!</definedName>
    <definedName name="ITEM34_2011">#REF!</definedName>
    <definedName name="ITEM34_2012">#REF!</definedName>
    <definedName name="ITEM34_2013">#REF!</definedName>
    <definedName name="ITEM34_2014">#REF!</definedName>
    <definedName name="ITEM34_2015">#REF!</definedName>
    <definedName name="ITEM34_2016">#REF!</definedName>
    <definedName name="ITEM34_2017">#REF!</definedName>
    <definedName name="ITEM34_2018">#REF!</definedName>
    <definedName name="ITEM34_2019">#REF!</definedName>
    <definedName name="ITEM34_2020">#REF!</definedName>
    <definedName name="ITEM34_2021">#REF!</definedName>
    <definedName name="ITEM34_2022">#REF!</definedName>
    <definedName name="ITEM34_2023">#REF!</definedName>
    <definedName name="ITEM34_2024">#REF!</definedName>
    <definedName name="ITEM34_2Q00">#REF!</definedName>
    <definedName name="ITEM34_2Q01">#REF!</definedName>
    <definedName name="ITEM34_2Q02">#REF!</definedName>
    <definedName name="ITEM34_2Q03">#REF!</definedName>
    <definedName name="ITEM34_2Q04">#REF!</definedName>
    <definedName name="ITEM34_2Q05">#REF!</definedName>
    <definedName name="ITEM34_2Q06">#REF!</definedName>
    <definedName name="ITEM34_2Q07">#REF!</definedName>
    <definedName name="ITEM34_2Q08">#REF!</definedName>
    <definedName name="ITEM34_2Q09">#REF!</definedName>
    <definedName name="ITEM34_2Q10">#REF!</definedName>
    <definedName name="ITEM34_2Q11">#REF!</definedName>
    <definedName name="ITEM34_2Q12">#REF!</definedName>
    <definedName name="ITEM34_2Q13">#REF!</definedName>
    <definedName name="ITEM34_2Q14">#REF!</definedName>
    <definedName name="ITEM34_2Q15">#REF!</definedName>
    <definedName name="ITEM34_2Q16">#REF!</definedName>
    <definedName name="ITEM34_2Q17">#REF!</definedName>
    <definedName name="ITEM34_2Q18">#REF!</definedName>
    <definedName name="ITEM34_2Q19">#REF!</definedName>
    <definedName name="ITEM34_2Q20">#REF!</definedName>
    <definedName name="ITEM34_2Q21">#REF!</definedName>
    <definedName name="ITEM34_2Q22">#REF!</definedName>
    <definedName name="ITEM34_2Q23">#REF!</definedName>
    <definedName name="ITEM34_2Q24">#REF!</definedName>
    <definedName name="ITEM34_3Q00">#REF!</definedName>
    <definedName name="ITEM34_3Q01">#REF!</definedName>
    <definedName name="ITEM34_3Q02">#REF!</definedName>
    <definedName name="ITEM34_3Q03">#REF!</definedName>
    <definedName name="ITEM34_3Q04">#REF!</definedName>
    <definedName name="ITEM34_3Q05">#REF!</definedName>
    <definedName name="ITEM34_3Q06">#REF!</definedName>
    <definedName name="ITEM34_3Q07">#REF!</definedName>
    <definedName name="ITEM34_3Q08">#REF!</definedName>
    <definedName name="ITEM34_3Q09">#REF!</definedName>
    <definedName name="ITEM34_3Q10">#REF!</definedName>
    <definedName name="ITEM34_3Q11">#REF!</definedName>
    <definedName name="ITEM34_3Q12">#REF!</definedName>
    <definedName name="ITEM34_3Q13">#REF!</definedName>
    <definedName name="ITEM34_3Q14">#REF!</definedName>
    <definedName name="ITEM34_3Q15">#REF!</definedName>
    <definedName name="ITEM34_3Q16">#REF!</definedName>
    <definedName name="ITEM34_3Q17">#REF!</definedName>
    <definedName name="ITEM34_3Q18">#REF!</definedName>
    <definedName name="ITEM34_3Q19">#REF!</definedName>
    <definedName name="ITEM34_3Q20">#REF!</definedName>
    <definedName name="ITEM34_3Q21">#REF!</definedName>
    <definedName name="ITEM34_3Q22">#REF!</definedName>
    <definedName name="ITEM34_3Q23">#REF!</definedName>
    <definedName name="ITEM34_3Q24">#REF!</definedName>
    <definedName name="ITEM34_4Q00">#REF!</definedName>
    <definedName name="ITEM34_4Q01">#REF!</definedName>
    <definedName name="ITEM34_4Q02">#REF!</definedName>
    <definedName name="ITEM34_4Q03">#REF!</definedName>
    <definedName name="ITEM34_4Q04">#REF!</definedName>
    <definedName name="ITEM34_4Q05">#REF!</definedName>
    <definedName name="ITEM34_4Q06">#REF!</definedName>
    <definedName name="ITEM34_4Q07">#REF!</definedName>
    <definedName name="ITEM34_4Q08">#REF!</definedName>
    <definedName name="ITEM34_4Q09">#REF!</definedName>
    <definedName name="ITEM34_4Q10">#REF!</definedName>
    <definedName name="ITEM34_4Q11">#REF!</definedName>
    <definedName name="ITEM34_4Q12">#REF!</definedName>
    <definedName name="ITEM34_4Q13">#REF!</definedName>
    <definedName name="ITEM34_4Q14">#REF!</definedName>
    <definedName name="ITEM34_4Q15">#REF!</definedName>
    <definedName name="ITEM34_4Q16">#REF!</definedName>
    <definedName name="ITEM34_4Q17">#REF!</definedName>
    <definedName name="ITEM34_4Q18">#REF!</definedName>
    <definedName name="ITEM34_4Q19">#REF!</definedName>
    <definedName name="ITEM34_4Q20">#REF!</definedName>
    <definedName name="ITEM34_4Q21">#REF!</definedName>
    <definedName name="ITEM34_4Q22">#REF!</definedName>
    <definedName name="ITEM34_4Q23">#REF!</definedName>
    <definedName name="ITEM34_4Q24">#REF!</definedName>
    <definedName name="ITEM35_1995">#REF!</definedName>
    <definedName name="ITEM35_1996">#REF!</definedName>
    <definedName name="ITEM35_1997">#REF!</definedName>
    <definedName name="ITEM35_1998">#REF!</definedName>
    <definedName name="ITEM35_1999">#REF!</definedName>
    <definedName name="ITEM35_1Q00">#REF!</definedName>
    <definedName name="ITEM35_1Q01">#REF!</definedName>
    <definedName name="ITEM35_1Q02">#REF!</definedName>
    <definedName name="ITEM35_1Q03">#REF!</definedName>
    <definedName name="ITEM35_1Q04">#REF!</definedName>
    <definedName name="ITEM35_1Q05">#REF!</definedName>
    <definedName name="ITEM35_1Q06">#REF!</definedName>
    <definedName name="ITEM35_1Q07">#REF!</definedName>
    <definedName name="ITEM35_1Q08">#REF!</definedName>
    <definedName name="ITEM35_1Q09">#REF!</definedName>
    <definedName name="ITEM35_1Q10">#REF!</definedName>
    <definedName name="ITEM35_1Q11">#REF!</definedName>
    <definedName name="ITEM35_1Q12">#REF!</definedName>
    <definedName name="ITEM35_1Q13">#REF!</definedName>
    <definedName name="ITEM35_1Q14">#REF!</definedName>
    <definedName name="ITEM35_1Q15">#REF!</definedName>
    <definedName name="ITEM35_1Q16">#REF!</definedName>
    <definedName name="ITEM35_1Q17">#REF!</definedName>
    <definedName name="ITEM35_1Q18">#REF!</definedName>
    <definedName name="ITEM35_1Q19">#REF!</definedName>
    <definedName name="ITEM35_1Q20">#REF!</definedName>
    <definedName name="ITEM35_1Q21">#REF!</definedName>
    <definedName name="ITEM35_1Q22">#REF!</definedName>
    <definedName name="ITEM35_1Q23">#REF!</definedName>
    <definedName name="ITEM35_1Q24">#REF!</definedName>
    <definedName name="ITEM35_2000">#REF!</definedName>
    <definedName name="ITEM35_2001">#REF!</definedName>
    <definedName name="ITEM35_2002">#REF!</definedName>
    <definedName name="ITEM35_2003">#REF!</definedName>
    <definedName name="ITEM35_2004">#REF!</definedName>
    <definedName name="ITEM35_2005">#REF!</definedName>
    <definedName name="ITEM35_2006">#REF!</definedName>
    <definedName name="ITEM35_2007">#REF!</definedName>
    <definedName name="ITEM35_2008">#REF!</definedName>
    <definedName name="ITEM35_2009">#REF!</definedName>
    <definedName name="ITEM35_2010">#REF!</definedName>
    <definedName name="ITEM35_2011">#REF!</definedName>
    <definedName name="ITEM35_2012">#REF!</definedName>
    <definedName name="ITEM35_2013">#REF!</definedName>
    <definedName name="ITEM35_2014">#REF!</definedName>
    <definedName name="ITEM35_2015">#REF!</definedName>
    <definedName name="ITEM35_2016">#REF!</definedName>
    <definedName name="ITEM35_2017">#REF!</definedName>
    <definedName name="ITEM35_2018">#REF!</definedName>
    <definedName name="ITEM35_2019">#REF!</definedName>
    <definedName name="ITEM35_2020">#REF!</definedName>
    <definedName name="ITEM35_2021">#REF!</definedName>
    <definedName name="ITEM35_2022">#REF!</definedName>
    <definedName name="ITEM35_2023">#REF!</definedName>
    <definedName name="ITEM35_2024">#REF!</definedName>
    <definedName name="ITEM35_2Q00">#REF!</definedName>
    <definedName name="ITEM35_2Q01">#REF!</definedName>
    <definedName name="ITEM35_2Q02">#REF!</definedName>
    <definedName name="ITEM35_2Q03">#REF!</definedName>
    <definedName name="ITEM35_2Q04">#REF!</definedName>
    <definedName name="ITEM35_2Q05">#REF!</definedName>
    <definedName name="ITEM35_2Q06">#REF!</definedName>
    <definedName name="ITEM35_2Q07">#REF!</definedName>
    <definedName name="ITEM35_2Q08">#REF!</definedName>
    <definedName name="ITEM35_2Q09">#REF!</definedName>
    <definedName name="ITEM35_2Q10">#REF!</definedName>
    <definedName name="ITEM35_2Q11">#REF!</definedName>
    <definedName name="ITEM35_2Q12">#REF!</definedName>
    <definedName name="ITEM35_2Q13">#REF!</definedName>
    <definedName name="ITEM35_2Q14">#REF!</definedName>
    <definedName name="ITEM35_2Q15">#REF!</definedName>
    <definedName name="ITEM35_2Q16">#REF!</definedName>
    <definedName name="ITEM35_2Q17">#REF!</definedName>
    <definedName name="ITEM35_2Q18">#REF!</definedName>
    <definedName name="ITEM35_2Q19">#REF!</definedName>
    <definedName name="ITEM35_2Q20">#REF!</definedName>
    <definedName name="ITEM35_2Q21">#REF!</definedName>
    <definedName name="ITEM35_2Q22">#REF!</definedName>
    <definedName name="ITEM35_2Q23">#REF!</definedName>
    <definedName name="ITEM35_2Q24">#REF!</definedName>
    <definedName name="ITEM35_3Q00">#REF!</definedName>
    <definedName name="ITEM35_3Q01">#REF!</definedName>
    <definedName name="ITEM35_3Q02">#REF!</definedName>
    <definedName name="ITEM35_3Q03">#REF!</definedName>
    <definedName name="ITEM35_3Q04">#REF!</definedName>
    <definedName name="ITEM35_3Q05">#REF!</definedName>
    <definedName name="ITEM35_3Q06">#REF!</definedName>
    <definedName name="ITEM35_3Q07">#REF!</definedName>
    <definedName name="ITEM35_3Q08">#REF!</definedName>
    <definedName name="ITEM35_3Q09">#REF!</definedName>
    <definedName name="ITEM35_3Q10">#REF!</definedName>
    <definedName name="ITEM35_3Q11">#REF!</definedName>
    <definedName name="ITEM35_3Q12">#REF!</definedName>
    <definedName name="ITEM35_3Q13">#REF!</definedName>
    <definedName name="ITEM35_3Q14">#REF!</definedName>
    <definedName name="ITEM35_3Q15">#REF!</definedName>
    <definedName name="ITEM35_3Q16">#REF!</definedName>
    <definedName name="ITEM35_3Q17">#REF!</definedName>
    <definedName name="ITEM35_3Q18">#REF!</definedName>
    <definedName name="ITEM35_3Q19">#REF!</definedName>
    <definedName name="ITEM35_3Q20">#REF!</definedName>
    <definedName name="ITEM35_3Q21">#REF!</definedName>
    <definedName name="ITEM35_3Q22">#REF!</definedName>
    <definedName name="ITEM35_3Q23">#REF!</definedName>
    <definedName name="ITEM35_3Q24">#REF!</definedName>
    <definedName name="ITEM35_4Q00">#REF!</definedName>
    <definedName name="ITEM35_4Q01">#REF!</definedName>
    <definedName name="ITEM35_4Q02">#REF!</definedName>
    <definedName name="ITEM35_4Q03">#REF!</definedName>
    <definedName name="ITEM35_4Q04">#REF!</definedName>
    <definedName name="ITEM35_4Q05">#REF!</definedName>
    <definedName name="ITEM35_4Q06">#REF!</definedName>
    <definedName name="ITEM35_4Q07">#REF!</definedName>
    <definedName name="ITEM35_4Q08">#REF!</definedName>
    <definedName name="ITEM35_4Q09">#REF!</definedName>
    <definedName name="ITEM35_4Q10">#REF!</definedName>
    <definedName name="ITEM35_4Q11">#REF!</definedName>
    <definedName name="ITEM35_4Q12">#REF!</definedName>
    <definedName name="ITEM35_4Q13">#REF!</definedName>
    <definedName name="ITEM35_4Q14">#REF!</definedName>
    <definedName name="ITEM35_4Q15">#REF!</definedName>
    <definedName name="ITEM35_4Q16">#REF!</definedName>
    <definedName name="ITEM35_4Q17">#REF!</definedName>
    <definedName name="ITEM35_4Q18">#REF!</definedName>
    <definedName name="ITEM35_4Q19">#REF!</definedName>
    <definedName name="ITEM35_4Q20">#REF!</definedName>
    <definedName name="ITEM35_4Q21">#REF!</definedName>
    <definedName name="ITEM35_4Q22">#REF!</definedName>
    <definedName name="ITEM35_4Q23">#REF!</definedName>
    <definedName name="ITEM35_4Q24">#REF!</definedName>
    <definedName name="ITEM36_1995">#REF!</definedName>
    <definedName name="ITEM36_1996">#REF!</definedName>
    <definedName name="ITEM36_1997">#REF!</definedName>
    <definedName name="ITEM36_1998">#REF!</definedName>
    <definedName name="ITEM36_1999">#REF!</definedName>
    <definedName name="ITEM36_1Q00">#REF!</definedName>
    <definedName name="ITEM36_1Q01">#REF!</definedName>
    <definedName name="ITEM36_1Q02">#REF!</definedName>
    <definedName name="ITEM36_1Q03">#REF!</definedName>
    <definedName name="ITEM36_1Q04">#REF!</definedName>
    <definedName name="ITEM36_1Q05">#REF!</definedName>
    <definedName name="ITEM36_1Q06">#REF!</definedName>
    <definedName name="ITEM36_1Q07">#REF!</definedName>
    <definedName name="ITEM36_1Q08">#REF!</definedName>
    <definedName name="ITEM36_1Q09">#REF!</definedName>
    <definedName name="ITEM36_1Q10">#REF!</definedName>
    <definedName name="ITEM36_1Q11">#REF!</definedName>
    <definedName name="ITEM36_1Q12">#REF!</definedName>
    <definedName name="ITEM36_1Q13">#REF!</definedName>
    <definedName name="ITEM36_1Q14">#REF!</definedName>
    <definedName name="ITEM36_1Q15">#REF!</definedName>
    <definedName name="ITEM36_1Q16">#REF!</definedName>
    <definedName name="ITEM36_1Q17">#REF!</definedName>
    <definedName name="ITEM36_1Q18">#REF!</definedName>
    <definedName name="ITEM36_1Q19">#REF!</definedName>
    <definedName name="ITEM36_1Q20">#REF!</definedName>
    <definedName name="ITEM36_1Q21">#REF!</definedName>
    <definedName name="ITEM36_1Q22">#REF!</definedName>
    <definedName name="ITEM36_1Q23">#REF!</definedName>
    <definedName name="ITEM36_1Q24">#REF!</definedName>
    <definedName name="ITEM36_2000">#REF!</definedName>
    <definedName name="ITEM36_2001">#REF!</definedName>
    <definedName name="ITEM36_2002">#REF!</definedName>
    <definedName name="ITEM36_2003">#REF!</definedName>
    <definedName name="ITEM36_2004">#REF!</definedName>
    <definedName name="ITEM36_2005">#REF!</definedName>
    <definedName name="ITEM36_2006">#REF!</definedName>
    <definedName name="ITEM36_2007">#REF!</definedName>
    <definedName name="ITEM36_2008">#REF!</definedName>
    <definedName name="ITEM36_2009">#REF!</definedName>
    <definedName name="ITEM36_2010">#REF!</definedName>
    <definedName name="ITEM36_2011">#REF!</definedName>
    <definedName name="ITEM36_2012">#REF!</definedName>
    <definedName name="ITEM36_2013">#REF!</definedName>
    <definedName name="ITEM36_2014">#REF!</definedName>
    <definedName name="ITEM36_2015">#REF!</definedName>
    <definedName name="ITEM36_2016">#REF!</definedName>
    <definedName name="ITEM36_2017">#REF!</definedName>
    <definedName name="ITEM36_2018">#REF!</definedName>
    <definedName name="ITEM36_2019">#REF!</definedName>
    <definedName name="ITEM36_2020">#REF!</definedName>
    <definedName name="ITEM36_2021">#REF!</definedName>
    <definedName name="ITEM36_2022">#REF!</definedName>
    <definedName name="ITEM36_2023">#REF!</definedName>
    <definedName name="ITEM36_2024">#REF!</definedName>
    <definedName name="ITEM36_2Q00">#REF!</definedName>
    <definedName name="ITEM36_2Q01">#REF!</definedName>
    <definedName name="ITEM36_2Q02">#REF!</definedName>
    <definedName name="ITEM36_2Q03">#REF!</definedName>
    <definedName name="ITEM36_2Q04">#REF!</definedName>
    <definedName name="ITEM36_2Q05">#REF!</definedName>
    <definedName name="ITEM36_2Q06">#REF!</definedName>
    <definedName name="ITEM36_2Q07">#REF!</definedName>
    <definedName name="ITEM36_2Q08">#REF!</definedName>
    <definedName name="ITEM36_2Q09">#REF!</definedName>
    <definedName name="ITEM36_2Q10">#REF!</definedName>
    <definedName name="ITEM36_2Q11">#REF!</definedName>
    <definedName name="ITEM36_2Q12">#REF!</definedName>
    <definedName name="ITEM36_2Q13">#REF!</definedName>
    <definedName name="ITEM36_2Q14">#REF!</definedName>
    <definedName name="ITEM36_2Q15">#REF!</definedName>
    <definedName name="ITEM36_2Q16">#REF!</definedName>
    <definedName name="ITEM36_2Q17">#REF!</definedName>
    <definedName name="ITEM36_2Q18">#REF!</definedName>
    <definedName name="ITEM36_2Q19">#REF!</definedName>
    <definedName name="ITEM36_2Q20">#REF!</definedName>
    <definedName name="ITEM36_2Q21">#REF!</definedName>
    <definedName name="ITEM36_2Q22">#REF!</definedName>
    <definedName name="ITEM36_2Q23">#REF!</definedName>
    <definedName name="ITEM36_2Q24">#REF!</definedName>
    <definedName name="ITEM36_3Q00">#REF!</definedName>
    <definedName name="ITEM36_3Q01">#REF!</definedName>
    <definedName name="ITEM36_3Q02">#REF!</definedName>
    <definedName name="ITEM36_3Q03">#REF!</definedName>
    <definedName name="ITEM36_3Q04">#REF!</definedName>
    <definedName name="ITEM36_3Q05">#REF!</definedName>
    <definedName name="ITEM36_3Q06">#REF!</definedName>
    <definedName name="ITEM36_3Q07">#REF!</definedName>
    <definedName name="ITEM36_3Q08">#REF!</definedName>
    <definedName name="ITEM36_3Q09">#REF!</definedName>
    <definedName name="ITEM36_3Q10">#REF!</definedName>
    <definedName name="ITEM36_3Q11">#REF!</definedName>
    <definedName name="ITEM36_3Q12">#REF!</definedName>
    <definedName name="ITEM36_3Q13">#REF!</definedName>
    <definedName name="ITEM36_3Q14">#REF!</definedName>
    <definedName name="ITEM36_3Q15">#REF!</definedName>
    <definedName name="ITEM36_3Q16">#REF!</definedName>
    <definedName name="ITEM36_3Q17">#REF!</definedName>
    <definedName name="ITEM36_3Q18">#REF!</definedName>
    <definedName name="ITEM36_3Q19">#REF!</definedName>
    <definedName name="ITEM36_3Q20">#REF!</definedName>
    <definedName name="ITEM36_3Q21">#REF!</definedName>
    <definedName name="ITEM36_3Q22">#REF!</definedName>
    <definedName name="ITEM36_3Q23">#REF!</definedName>
    <definedName name="ITEM36_3Q24">#REF!</definedName>
    <definedName name="ITEM36_4Q00">#REF!</definedName>
    <definedName name="ITEM36_4Q01">#REF!</definedName>
    <definedName name="ITEM36_4Q02">#REF!</definedName>
    <definedName name="ITEM36_4Q03">#REF!</definedName>
    <definedName name="ITEM36_4Q04">#REF!</definedName>
    <definedName name="ITEM36_4Q05">#REF!</definedName>
    <definedName name="ITEM36_4Q06">#REF!</definedName>
    <definedName name="ITEM36_4Q07">#REF!</definedName>
    <definedName name="ITEM36_4Q08">#REF!</definedName>
    <definedName name="ITEM36_4Q09">#REF!</definedName>
    <definedName name="ITEM36_4Q10">#REF!</definedName>
    <definedName name="ITEM36_4Q11">#REF!</definedName>
    <definedName name="ITEM36_4Q12">#REF!</definedName>
    <definedName name="ITEM36_4Q13">#REF!</definedName>
    <definedName name="ITEM36_4Q14">#REF!</definedName>
    <definedName name="ITEM36_4Q15">#REF!</definedName>
    <definedName name="ITEM36_4Q16">#REF!</definedName>
    <definedName name="ITEM36_4Q17">#REF!</definedName>
    <definedName name="ITEM36_4Q18">#REF!</definedName>
    <definedName name="ITEM36_4Q19">#REF!</definedName>
    <definedName name="ITEM36_4Q20">#REF!</definedName>
    <definedName name="ITEM36_4Q21">#REF!</definedName>
    <definedName name="ITEM36_4Q22">#REF!</definedName>
    <definedName name="ITEM36_4Q23">#REF!</definedName>
    <definedName name="ITEM36_4Q24">#REF!</definedName>
    <definedName name="ITEM37_1995">#REF!</definedName>
    <definedName name="ITEM37_1996">#REF!</definedName>
    <definedName name="ITEM37_1997">#REF!</definedName>
    <definedName name="ITEM37_1998">#REF!</definedName>
    <definedName name="ITEM37_1999">#REF!</definedName>
    <definedName name="ITEM37_1Q00">#REF!</definedName>
    <definedName name="ITEM37_1Q01">#REF!</definedName>
    <definedName name="ITEM37_1Q02">#REF!</definedName>
    <definedName name="ITEM37_1Q03">#REF!</definedName>
    <definedName name="ITEM37_1Q04">#REF!</definedName>
    <definedName name="ITEM37_1Q05">#REF!</definedName>
    <definedName name="ITEM37_1Q06">#REF!</definedName>
    <definedName name="ITEM37_1Q07">#REF!</definedName>
    <definedName name="ITEM37_1Q08">#REF!</definedName>
    <definedName name="ITEM37_1Q09">#REF!</definedName>
    <definedName name="ITEM37_1Q10">#REF!</definedName>
    <definedName name="ITEM37_1Q11">#REF!</definedName>
    <definedName name="ITEM37_1Q12">#REF!</definedName>
    <definedName name="ITEM37_1Q13">#REF!</definedName>
    <definedName name="ITEM37_1Q14">#REF!</definedName>
    <definedName name="ITEM37_1Q15">#REF!</definedName>
    <definedName name="ITEM37_1Q16">#REF!</definedName>
    <definedName name="ITEM37_1Q17">#REF!</definedName>
    <definedName name="ITEM37_1Q18">#REF!</definedName>
    <definedName name="ITEM37_1Q19">#REF!</definedName>
    <definedName name="ITEM37_1Q20">#REF!</definedName>
    <definedName name="ITEM37_1Q21">#REF!</definedName>
    <definedName name="ITEM37_1Q22">#REF!</definedName>
    <definedName name="ITEM37_1Q23">#REF!</definedName>
    <definedName name="ITEM37_1Q24">#REF!</definedName>
    <definedName name="ITEM37_2000">#REF!</definedName>
    <definedName name="ITEM37_2001">#REF!</definedName>
    <definedName name="ITEM37_2002">#REF!</definedName>
    <definedName name="ITEM37_2003">#REF!</definedName>
    <definedName name="ITEM37_2004">#REF!</definedName>
    <definedName name="ITEM37_2005">#REF!</definedName>
    <definedName name="ITEM37_2006">#REF!</definedName>
    <definedName name="ITEM37_2007">#REF!</definedName>
    <definedName name="ITEM37_2008">#REF!</definedName>
    <definedName name="ITEM37_2009">#REF!</definedName>
    <definedName name="ITEM37_2010">#REF!</definedName>
    <definedName name="ITEM37_2011">#REF!</definedName>
    <definedName name="ITEM37_2012">#REF!</definedName>
    <definedName name="ITEM37_2013">#REF!</definedName>
    <definedName name="ITEM37_2014">#REF!</definedName>
    <definedName name="ITEM37_2015">#REF!</definedName>
    <definedName name="ITEM37_2016">#REF!</definedName>
    <definedName name="ITEM37_2017">#REF!</definedName>
    <definedName name="ITEM37_2018">#REF!</definedName>
    <definedName name="ITEM37_2019">#REF!</definedName>
    <definedName name="ITEM37_2020">#REF!</definedName>
    <definedName name="ITEM37_2021">#REF!</definedName>
    <definedName name="ITEM37_2022">#REF!</definedName>
    <definedName name="ITEM37_2023">#REF!</definedName>
    <definedName name="ITEM37_2024">#REF!</definedName>
    <definedName name="ITEM37_2Q00">#REF!</definedName>
    <definedName name="ITEM37_2Q01">#REF!</definedName>
    <definedName name="ITEM37_2Q02">#REF!</definedName>
    <definedName name="ITEM37_2Q03">#REF!</definedName>
    <definedName name="ITEM37_2Q04">#REF!</definedName>
    <definedName name="ITEM37_2Q05">#REF!</definedName>
    <definedName name="ITEM37_2Q06">#REF!</definedName>
    <definedName name="ITEM37_2Q07">#REF!</definedName>
    <definedName name="ITEM37_2Q08">#REF!</definedName>
    <definedName name="ITEM37_2Q09">#REF!</definedName>
    <definedName name="ITEM37_2Q10">#REF!</definedName>
    <definedName name="ITEM37_2Q11">#REF!</definedName>
    <definedName name="ITEM37_2Q12">#REF!</definedName>
    <definedName name="ITEM37_2Q13">#REF!</definedName>
    <definedName name="ITEM37_2Q14">#REF!</definedName>
    <definedName name="ITEM37_2Q15">#REF!</definedName>
    <definedName name="ITEM37_2Q16">#REF!</definedName>
    <definedName name="ITEM37_2Q17">#REF!</definedName>
    <definedName name="ITEM37_2Q18">#REF!</definedName>
    <definedName name="ITEM37_2Q19">#REF!</definedName>
    <definedName name="ITEM37_2Q20">#REF!</definedName>
    <definedName name="ITEM37_2Q21">#REF!</definedName>
    <definedName name="ITEM37_2Q22">#REF!</definedName>
    <definedName name="ITEM37_2Q23">#REF!</definedName>
    <definedName name="ITEM37_2Q24">#REF!</definedName>
    <definedName name="ITEM37_3Q00">#REF!</definedName>
    <definedName name="ITEM37_3Q01">#REF!</definedName>
    <definedName name="ITEM37_3Q02">#REF!</definedName>
    <definedName name="ITEM37_3Q03">#REF!</definedName>
    <definedName name="ITEM37_3Q04">#REF!</definedName>
    <definedName name="ITEM37_3Q05">#REF!</definedName>
    <definedName name="ITEM37_3Q06">#REF!</definedName>
    <definedName name="ITEM37_3Q07">#REF!</definedName>
    <definedName name="ITEM37_3Q08">#REF!</definedName>
    <definedName name="ITEM37_3Q09">#REF!</definedName>
    <definedName name="ITEM37_3Q10">#REF!</definedName>
    <definedName name="ITEM37_3Q11">#REF!</definedName>
    <definedName name="ITEM37_3Q12">#REF!</definedName>
    <definedName name="ITEM37_3Q13">#REF!</definedName>
    <definedName name="ITEM37_3Q14">#REF!</definedName>
    <definedName name="ITEM37_3Q15">#REF!</definedName>
    <definedName name="ITEM37_3Q16">#REF!</definedName>
    <definedName name="ITEM37_3Q17">#REF!</definedName>
    <definedName name="ITEM37_3Q18">#REF!</definedName>
    <definedName name="ITEM37_3Q19">#REF!</definedName>
    <definedName name="ITEM37_3Q20">#REF!</definedName>
    <definedName name="ITEM37_3Q21">#REF!</definedName>
    <definedName name="ITEM37_3Q22">#REF!</definedName>
    <definedName name="ITEM37_3Q23">#REF!</definedName>
    <definedName name="ITEM37_3Q24">#REF!</definedName>
    <definedName name="ITEM37_4Q00">#REF!</definedName>
    <definedName name="ITEM37_4Q01">#REF!</definedName>
    <definedName name="ITEM37_4Q02">#REF!</definedName>
    <definedName name="ITEM37_4Q03">#REF!</definedName>
    <definedName name="ITEM37_4Q04">#REF!</definedName>
    <definedName name="ITEM37_4Q05">#REF!</definedName>
    <definedName name="ITEM37_4Q06">#REF!</definedName>
    <definedName name="ITEM37_4Q07">#REF!</definedName>
    <definedName name="ITEM37_4Q08">#REF!</definedName>
    <definedName name="ITEM37_4Q09">#REF!</definedName>
    <definedName name="ITEM37_4Q10">#REF!</definedName>
    <definedName name="ITEM37_4Q11">#REF!</definedName>
    <definedName name="ITEM37_4Q12">#REF!</definedName>
    <definedName name="ITEM37_4Q13">#REF!</definedName>
    <definedName name="ITEM37_4Q14">#REF!</definedName>
    <definedName name="ITEM37_4Q15">#REF!</definedName>
    <definedName name="ITEM37_4Q16">#REF!</definedName>
    <definedName name="ITEM37_4Q17">#REF!</definedName>
    <definedName name="ITEM37_4Q18">#REF!</definedName>
    <definedName name="ITEM37_4Q19">#REF!</definedName>
    <definedName name="ITEM37_4Q20">#REF!</definedName>
    <definedName name="ITEM37_4Q21">#REF!</definedName>
    <definedName name="ITEM37_4Q22">#REF!</definedName>
    <definedName name="ITEM37_4Q23">#REF!</definedName>
    <definedName name="ITEM37_4Q24">#REF!</definedName>
    <definedName name="ITEM38_1995">#REF!</definedName>
    <definedName name="ITEM38_1996">#REF!</definedName>
    <definedName name="ITEM38_1997">#REF!</definedName>
    <definedName name="ITEM38_1998">#REF!</definedName>
    <definedName name="ITEM38_1999">#REF!</definedName>
    <definedName name="ITEM38_1Q00">#REF!</definedName>
    <definedName name="ITEM38_1Q01">#REF!</definedName>
    <definedName name="ITEM38_1Q02">#REF!</definedName>
    <definedName name="ITEM38_1Q03">#REF!</definedName>
    <definedName name="ITEM38_1Q04">#REF!</definedName>
    <definedName name="ITEM38_1Q05">#REF!</definedName>
    <definedName name="ITEM38_1Q06">#REF!</definedName>
    <definedName name="ITEM38_1Q07">#REF!</definedName>
    <definedName name="ITEM38_1Q08">#REF!</definedName>
    <definedName name="ITEM38_1Q09">#REF!</definedName>
    <definedName name="ITEM38_1Q10">#REF!</definedName>
    <definedName name="ITEM38_1Q11">#REF!</definedName>
    <definedName name="ITEM38_1Q12">#REF!</definedName>
    <definedName name="ITEM38_1Q13">#REF!</definedName>
    <definedName name="ITEM38_1Q14">#REF!</definedName>
    <definedName name="ITEM38_1Q15">#REF!</definedName>
    <definedName name="ITEM38_1Q16">#REF!</definedName>
    <definedName name="ITEM38_1Q17">#REF!</definedName>
    <definedName name="ITEM38_1Q18">#REF!</definedName>
    <definedName name="ITEM38_1Q19">#REF!</definedName>
    <definedName name="ITEM38_1Q20">#REF!</definedName>
    <definedName name="ITEM38_1Q21">#REF!</definedName>
    <definedName name="ITEM38_1Q22">#REF!</definedName>
    <definedName name="ITEM38_1Q23">#REF!</definedName>
    <definedName name="ITEM38_1Q24">#REF!</definedName>
    <definedName name="ITEM38_2000">#REF!</definedName>
    <definedName name="ITEM38_2001">#REF!</definedName>
    <definedName name="ITEM38_2002">#REF!</definedName>
    <definedName name="ITEM38_2003">#REF!</definedName>
    <definedName name="ITEM38_2004">#REF!</definedName>
    <definedName name="ITEM38_2005">#REF!</definedName>
    <definedName name="ITEM38_2006">#REF!</definedName>
    <definedName name="ITEM38_2007">#REF!</definedName>
    <definedName name="ITEM38_2008">#REF!</definedName>
    <definedName name="ITEM38_2009">#REF!</definedName>
    <definedName name="ITEM38_2010">#REF!</definedName>
    <definedName name="ITEM38_2011">#REF!</definedName>
    <definedName name="ITEM38_2012">#REF!</definedName>
    <definedName name="ITEM38_2013">#REF!</definedName>
    <definedName name="ITEM38_2014">#REF!</definedName>
    <definedName name="ITEM38_2015">#REF!</definedName>
    <definedName name="ITEM38_2016">#REF!</definedName>
    <definedName name="ITEM38_2017">#REF!</definedName>
    <definedName name="ITEM38_2018">#REF!</definedName>
    <definedName name="ITEM38_2019">#REF!</definedName>
    <definedName name="ITEM38_2020">#REF!</definedName>
    <definedName name="ITEM38_2021">#REF!</definedName>
    <definedName name="ITEM38_2022">#REF!</definedName>
    <definedName name="ITEM38_2023">#REF!</definedName>
    <definedName name="ITEM38_2024">#REF!</definedName>
    <definedName name="ITEM38_2Q00">#REF!</definedName>
    <definedName name="ITEM38_2Q01">#REF!</definedName>
    <definedName name="ITEM38_2Q02">#REF!</definedName>
    <definedName name="ITEM38_2Q03">#REF!</definedName>
    <definedName name="ITEM38_2Q04">#REF!</definedName>
    <definedName name="ITEM38_2Q05">#REF!</definedName>
    <definedName name="ITEM38_2Q06">#REF!</definedName>
    <definedName name="ITEM38_2Q07">#REF!</definedName>
    <definedName name="ITEM38_2Q08">#REF!</definedName>
    <definedName name="ITEM38_2Q09">#REF!</definedName>
    <definedName name="ITEM38_2Q10">#REF!</definedName>
    <definedName name="ITEM38_2Q11">#REF!</definedName>
    <definedName name="ITEM38_2Q12">#REF!</definedName>
    <definedName name="ITEM38_2Q13">#REF!</definedName>
    <definedName name="ITEM38_2Q14">#REF!</definedName>
    <definedName name="ITEM38_2Q15">#REF!</definedName>
    <definedName name="ITEM38_2Q16">#REF!</definedName>
    <definedName name="ITEM38_2Q17">#REF!</definedName>
    <definedName name="ITEM38_2Q18">#REF!</definedName>
    <definedName name="ITEM38_2Q19">#REF!</definedName>
    <definedName name="ITEM38_2Q20">#REF!</definedName>
    <definedName name="ITEM38_2Q21">#REF!</definedName>
    <definedName name="ITEM38_2Q22">#REF!</definedName>
    <definedName name="ITEM38_2Q23">#REF!</definedName>
    <definedName name="ITEM38_2Q24">#REF!</definedName>
    <definedName name="ITEM38_3Q00">#REF!</definedName>
    <definedName name="ITEM38_3Q01">#REF!</definedName>
    <definedName name="ITEM38_3Q02">#REF!</definedName>
    <definedName name="ITEM38_3Q03">#REF!</definedName>
    <definedName name="ITEM38_3Q04">#REF!</definedName>
    <definedName name="ITEM38_3Q05">#REF!</definedName>
    <definedName name="ITEM38_3Q06">#REF!</definedName>
    <definedName name="ITEM38_3Q07">#REF!</definedName>
    <definedName name="ITEM38_3Q08">#REF!</definedName>
    <definedName name="ITEM38_3Q09">#REF!</definedName>
    <definedName name="ITEM38_3Q10">#REF!</definedName>
    <definedName name="ITEM38_3Q11">#REF!</definedName>
    <definedName name="ITEM38_3Q12">#REF!</definedName>
    <definedName name="ITEM38_3Q13">#REF!</definedName>
    <definedName name="ITEM38_3Q14">#REF!</definedName>
    <definedName name="ITEM38_3Q15">#REF!</definedName>
    <definedName name="ITEM38_3Q16">#REF!</definedName>
    <definedName name="ITEM38_3Q17">#REF!</definedName>
    <definedName name="ITEM38_3Q18">#REF!</definedName>
    <definedName name="ITEM38_3Q19">#REF!</definedName>
    <definedName name="ITEM38_3Q20">#REF!</definedName>
    <definedName name="ITEM38_3Q21">#REF!</definedName>
    <definedName name="ITEM38_3Q22">#REF!</definedName>
    <definedName name="ITEM38_3Q23">#REF!</definedName>
    <definedName name="ITEM38_3Q24">#REF!</definedName>
    <definedName name="ITEM38_4Q00">#REF!</definedName>
    <definedName name="ITEM38_4Q01">#REF!</definedName>
    <definedName name="ITEM38_4Q02">#REF!</definedName>
    <definedName name="ITEM38_4Q03">#REF!</definedName>
    <definedName name="ITEM38_4Q04">#REF!</definedName>
    <definedName name="ITEM38_4Q05">#REF!</definedName>
    <definedName name="ITEM38_4Q06">#REF!</definedName>
    <definedName name="ITEM38_4Q07">#REF!</definedName>
    <definedName name="ITEM38_4Q08">#REF!</definedName>
    <definedName name="ITEM38_4Q09">#REF!</definedName>
    <definedName name="ITEM38_4Q10">#REF!</definedName>
    <definedName name="ITEM38_4Q11">#REF!</definedName>
    <definedName name="ITEM38_4Q12">#REF!</definedName>
    <definedName name="ITEM38_4Q13">#REF!</definedName>
    <definedName name="ITEM38_4Q14">#REF!</definedName>
    <definedName name="ITEM38_4Q15">#REF!</definedName>
    <definedName name="ITEM38_4Q16">#REF!</definedName>
    <definedName name="ITEM38_4Q17">#REF!</definedName>
    <definedName name="ITEM38_4Q18">#REF!</definedName>
    <definedName name="ITEM38_4Q19">#REF!</definedName>
    <definedName name="ITEM38_4Q20">#REF!</definedName>
    <definedName name="ITEM38_4Q21">#REF!</definedName>
    <definedName name="ITEM38_4Q22">#REF!</definedName>
    <definedName name="ITEM38_4Q23">#REF!</definedName>
    <definedName name="ITEM38_4Q24">#REF!</definedName>
    <definedName name="ITEM39_1995">#REF!</definedName>
    <definedName name="ITEM39_1996">#REF!</definedName>
    <definedName name="ITEM39_1997">#REF!</definedName>
    <definedName name="ITEM39_1998">#REF!</definedName>
    <definedName name="ITEM39_1999">#REF!</definedName>
    <definedName name="ITEM39_1Q00">#REF!</definedName>
    <definedName name="ITEM39_1Q01">#REF!</definedName>
    <definedName name="ITEM39_1Q02">#REF!</definedName>
    <definedName name="ITEM39_1Q03">#REF!</definedName>
    <definedName name="ITEM39_1Q04">#REF!</definedName>
    <definedName name="ITEM39_1Q05">#REF!</definedName>
    <definedName name="ITEM39_1Q06">#REF!</definedName>
    <definedName name="ITEM39_1Q07">#REF!</definedName>
    <definedName name="ITEM39_1Q08">#REF!</definedName>
    <definedName name="ITEM39_1Q09">#REF!</definedName>
    <definedName name="ITEM39_1Q10">#REF!</definedName>
    <definedName name="ITEM39_1Q11">#REF!</definedName>
    <definedName name="ITEM39_1Q12">#REF!</definedName>
    <definedName name="ITEM39_1Q13">#REF!</definedName>
    <definedName name="ITEM39_1Q14">#REF!</definedName>
    <definedName name="ITEM39_1Q15">#REF!</definedName>
    <definedName name="ITEM39_1Q16">#REF!</definedName>
    <definedName name="ITEM39_1Q17">#REF!</definedName>
    <definedName name="ITEM39_1Q18">#REF!</definedName>
    <definedName name="ITEM39_1Q19">#REF!</definedName>
    <definedName name="ITEM39_1Q20">#REF!</definedName>
    <definedName name="ITEM39_1Q21">#REF!</definedName>
    <definedName name="ITEM39_1Q22">#REF!</definedName>
    <definedName name="ITEM39_1Q23">#REF!</definedName>
    <definedName name="ITEM39_1Q24">#REF!</definedName>
    <definedName name="ITEM39_2000">#REF!</definedName>
    <definedName name="ITEM39_2001">#REF!</definedName>
    <definedName name="ITEM39_2002">#REF!</definedName>
    <definedName name="ITEM39_2003">#REF!</definedName>
    <definedName name="ITEM39_2004">#REF!</definedName>
    <definedName name="ITEM39_2005">#REF!</definedName>
    <definedName name="ITEM39_2006">#REF!</definedName>
    <definedName name="ITEM39_2007">#REF!</definedName>
    <definedName name="ITEM39_2008">#REF!</definedName>
    <definedName name="ITEM39_2009">#REF!</definedName>
    <definedName name="ITEM39_2010">#REF!</definedName>
    <definedName name="ITEM39_2011">#REF!</definedName>
    <definedName name="ITEM39_2012">#REF!</definedName>
    <definedName name="ITEM39_2013">#REF!</definedName>
    <definedName name="ITEM39_2014">#REF!</definedName>
    <definedName name="ITEM39_2015">#REF!</definedName>
    <definedName name="ITEM39_2016">#REF!</definedName>
    <definedName name="ITEM39_2017">#REF!</definedName>
    <definedName name="ITEM39_2018">#REF!</definedName>
    <definedName name="ITEM39_2019">#REF!</definedName>
    <definedName name="ITEM39_2020">#REF!</definedName>
    <definedName name="ITEM39_2021">#REF!</definedName>
    <definedName name="ITEM39_2022">#REF!</definedName>
    <definedName name="ITEM39_2023">#REF!</definedName>
    <definedName name="ITEM39_2024">#REF!</definedName>
    <definedName name="ITEM39_2Q00">#REF!</definedName>
    <definedName name="ITEM39_2Q01">#REF!</definedName>
    <definedName name="ITEM39_2Q02">#REF!</definedName>
    <definedName name="ITEM39_2Q03">#REF!</definedName>
    <definedName name="ITEM39_2Q04">#REF!</definedName>
    <definedName name="ITEM39_2Q05">#REF!</definedName>
    <definedName name="ITEM39_2Q06">#REF!</definedName>
    <definedName name="ITEM39_2Q07">#REF!</definedName>
    <definedName name="ITEM39_2Q08">#REF!</definedName>
    <definedName name="ITEM39_2Q09">#REF!</definedName>
    <definedName name="ITEM39_2Q10">#REF!</definedName>
    <definedName name="ITEM39_2Q11">#REF!</definedName>
    <definedName name="ITEM39_2Q12">#REF!</definedName>
    <definedName name="ITEM39_2Q13">#REF!</definedName>
    <definedName name="ITEM39_2Q14">#REF!</definedName>
    <definedName name="ITEM39_2Q15">#REF!</definedName>
    <definedName name="ITEM39_2Q16">#REF!</definedName>
    <definedName name="ITEM39_2Q17">#REF!</definedName>
    <definedName name="ITEM39_2Q18">#REF!</definedName>
    <definedName name="ITEM39_2Q19">#REF!</definedName>
    <definedName name="ITEM39_2Q20">#REF!</definedName>
    <definedName name="ITEM39_2Q21">#REF!</definedName>
    <definedName name="ITEM39_2Q22">#REF!</definedName>
    <definedName name="ITEM39_2Q23">#REF!</definedName>
    <definedName name="ITEM39_2Q24">#REF!</definedName>
    <definedName name="ITEM39_3Q00">#REF!</definedName>
    <definedName name="ITEM39_3Q01">#REF!</definedName>
    <definedName name="ITEM39_3Q02">#REF!</definedName>
    <definedName name="ITEM39_3Q03">#REF!</definedName>
    <definedName name="ITEM39_3Q04">#REF!</definedName>
    <definedName name="ITEM39_3Q05">#REF!</definedName>
    <definedName name="ITEM39_3Q06">#REF!</definedName>
    <definedName name="ITEM39_3Q07">#REF!</definedName>
    <definedName name="ITEM39_3Q08">#REF!</definedName>
    <definedName name="ITEM39_3Q09">#REF!</definedName>
    <definedName name="ITEM39_3Q10">#REF!</definedName>
    <definedName name="ITEM39_3Q11">#REF!</definedName>
    <definedName name="ITEM39_3Q12">#REF!</definedName>
    <definedName name="ITEM39_3Q13">#REF!</definedName>
    <definedName name="ITEM39_3Q14">#REF!</definedName>
    <definedName name="ITEM39_3Q15">#REF!</definedName>
    <definedName name="ITEM39_3Q16">#REF!</definedName>
    <definedName name="ITEM39_3Q17">#REF!</definedName>
    <definedName name="ITEM39_3Q18">#REF!</definedName>
    <definedName name="ITEM39_3Q19">#REF!</definedName>
    <definedName name="ITEM39_3Q20">#REF!</definedName>
    <definedName name="ITEM39_3Q21">#REF!</definedName>
    <definedName name="ITEM39_3Q22">#REF!</definedName>
    <definedName name="ITEM39_3Q23">#REF!</definedName>
    <definedName name="ITEM39_3Q24">#REF!</definedName>
    <definedName name="ITEM39_4Q00">#REF!</definedName>
    <definedName name="ITEM39_4Q01">#REF!</definedName>
    <definedName name="ITEM39_4Q02">#REF!</definedName>
    <definedName name="ITEM39_4Q03">#REF!</definedName>
    <definedName name="ITEM39_4Q04">#REF!</definedName>
    <definedName name="ITEM39_4Q05">#REF!</definedName>
    <definedName name="ITEM39_4Q06">#REF!</definedName>
    <definedName name="ITEM39_4Q07">#REF!</definedName>
    <definedName name="ITEM39_4Q08">#REF!</definedName>
    <definedName name="ITEM39_4Q09">#REF!</definedName>
    <definedName name="ITEM39_4Q10">#REF!</definedName>
    <definedName name="ITEM39_4Q11">#REF!</definedName>
    <definedName name="ITEM39_4Q12">#REF!</definedName>
    <definedName name="ITEM39_4Q13">#REF!</definedName>
    <definedName name="ITEM39_4Q14">#REF!</definedName>
    <definedName name="ITEM39_4Q15">#REF!</definedName>
    <definedName name="ITEM39_4Q16">#REF!</definedName>
    <definedName name="ITEM39_4Q17">#REF!</definedName>
    <definedName name="ITEM39_4Q18">#REF!</definedName>
    <definedName name="ITEM39_4Q19">#REF!</definedName>
    <definedName name="ITEM39_4Q20">#REF!</definedName>
    <definedName name="ITEM39_4Q21">#REF!</definedName>
    <definedName name="ITEM39_4Q22">#REF!</definedName>
    <definedName name="ITEM39_4Q23">#REF!</definedName>
    <definedName name="ITEM39_4Q24">#REF!</definedName>
    <definedName name="ITEM4_1995">#REF!</definedName>
    <definedName name="ITEM4_1996">#REF!</definedName>
    <definedName name="ITEM4_1997">#REF!</definedName>
    <definedName name="ITEM4_1998">#REF!</definedName>
    <definedName name="ITEM4_1999">#REF!</definedName>
    <definedName name="ITEM4_1Q00">#REF!</definedName>
    <definedName name="ITEM4_1Q01">#REF!</definedName>
    <definedName name="ITEM4_1Q02">#REF!</definedName>
    <definedName name="ITEM4_1Q03">#REF!</definedName>
    <definedName name="ITEM4_1Q04">#REF!</definedName>
    <definedName name="ITEM4_1Q05">#REF!</definedName>
    <definedName name="ITEM4_1Q06">#REF!</definedName>
    <definedName name="ITEM4_1Q07">#REF!</definedName>
    <definedName name="ITEM4_1Q08">#REF!</definedName>
    <definedName name="ITEM4_1Q09">#REF!</definedName>
    <definedName name="ITEM4_1Q10">#REF!</definedName>
    <definedName name="ITEM4_1Q11">#REF!</definedName>
    <definedName name="ITEM4_1Q12">#REF!</definedName>
    <definedName name="ITEM4_1Q13">#REF!</definedName>
    <definedName name="ITEM4_1Q14">#REF!</definedName>
    <definedName name="ITEM4_1Q15">#REF!</definedName>
    <definedName name="ITEM4_1Q16">#REF!</definedName>
    <definedName name="ITEM4_1Q17">#REF!</definedName>
    <definedName name="ITEM4_1Q18">#REF!</definedName>
    <definedName name="ITEM4_1Q19">#REF!</definedName>
    <definedName name="ITEM4_1Q20">#REF!</definedName>
    <definedName name="ITEM4_1Q21">#REF!</definedName>
    <definedName name="ITEM4_1Q22">#REF!</definedName>
    <definedName name="ITEM4_1Q23">#REF!</definedName>
    <definedName name="ITEM4_1Q24">#REF!</definedName>
    <definedName name="ITEM4_2000">#REF!</definedName>
    <definedName name="ITEM4_2001">#REF!</definedName>
    <definedName name="ITEM4_2002">#REF!</definedName>
    <definedName name="ITEM4_2003">#REF!</definedName>
    <definedName name="ITEM4_2004">#REF!</definedName>
    <definedName name="ITEM4_2005">#REF!</definedName>
    <definedName name="ITEM4_2006">#REF!</definedName>
    <definedName name="ITEM4_2007">#REF!</definedName>
    <definedName name="ITEM4_2008">#REF!</definedName>
    <definedName name="ITEM4_2009">#REF!</definedName>
    <definedName name="ITEM4_2010">#REF!</definedName>
    <definedName name="ITEM4_2011">#REF!</definedName>
    <definedName name="ITEM4_2012">#REF!</definedName>
    <definedName name="ITEM4_2013">#REF!</definedName>
    <definedName name="ITEM4_2014">#REF!</definedName>
    <definedName name="ITEM4_2015">#REF!</definedName>
    <definedName name="ITEM4_2016">#REF!</definedName>
    <definedName name="ITEM4_2017">#REF!</definedName>
    <definedName name="ITEM4_2018">#REF!</definedName>
    <definedName name="ITEM4_2019">#REF!</definedName>
    <definedName name="ITEM4_2020">#REF!</definedName>
    <definedName name="ITEM4_2021">#REF!</definedName>
    <definedName name="ITEM4_2022">#REF!</definedName>
    <definedName name="ITEM4_2023">#REF!</definedName>
    <definedName name="ITEM4_2024">#REF!</definedName>
    <definedName name="ITEM4_2Q00">#REF!</definedName>
    <definedName name="ITEM4_2Q01">#REF!</definedName>
    <definedName name="ITEM4_2Q02">#REF!</definedName>
    <definedName name="ITEM4_2Q03">#REF!</definedName>
    <definedName name="ITEM4_2Q04">#REF!</definedName>
    <definedName name="ITEM4_2Q05">#REF!</definedName>
    <definedName name="ITEM4_2Q06">#REF!</definedName>
    <definedName name="ITEM4_2Q07">#REF!</definedName>
    <definedName name="ITEM4_2Q08">#REF!</definedName>
    <definedName name="ITEM4_2Q09">#REF!</definedName>
    <definedName name="ITEM4_2Q10">#REF!</definedName>
    <definedName name="ITEM4_2Q11">#REF!</definedName>
    <definedName name="ITEM4_2Q12">#REF!</definedName>
    <definedName name="ITEM4_2Q13">#REF!</definedName>
    <definedName name="ITEM4_2Q14">#REF!</definedName>
    <definedName name="ITEM4_2Q15">#REF!</definedName>
    <definedName name="ITEM4_2Q16">#REF!</definedName>
    <definedName name="ITEM4_2Q17">#REF!</definedName>
    <definedName name="ITEM4_2Q18">#REF!</definedName>
    <definedName name="ITEM4_2Q19">#REF!</definedName>
    <definedName name="ITEM4_2Q20">#REF!</definedName>
    <definedName name="ITEM4_2Q21">#REF!</definedName>
    <definedName name="ITEM4_2Q22">#REF!</definedName>
    <definedName name="ITEM4_2Q23">#REF!</definedName>
    <definedName name="ITEM4_2Q24">#REF!</definedName>
    <definedName name="ITEM4_3Q00">#REF!</definedName>
    <definedName name="ITEM4_3Q01">#REF!</definedName>
    <definedName name="ITEM4_3Q02">#REF!</definedName>
    <definedName name="ITEM4_3Q03">#REF!</definedName>
    <definedName name="ITEM4_3Q04">#REF!</definedName>
    <definedName name="ITEM4_3Q05">#REF!</definedName>
    <definedName name="ITEM4_3Q06">#REF!</definedName>
    <definedName name="ITEM4_3Q07">#REF!</definedName>
    <definedName name="ITEM4_3Q08">#REF!</definedName>
    <definedName name="ITEM4_3Q09">#REF!</definedName>
    <definedName name="ITEM4_3Q10">#REF!</definedName>
    <definedName name="ITEM4_3Q11">#REF!</definedName>
    <definedName name="ITEM4_3Q12">#REF!</definedName>
    <definedName name="ITEM4_3Q13">#REF!</definedName>
    <definedName name="ITEM4_3Q14">#REF!</definedName>
    <definedName name="ITEM4_3Q15">#REF!</definedName>
    <definedName name="ITEM4_3Q16">#REF!</definedName>
    <definedName name="ITEM4_3Q17">#REF!</definedName>
    <definedName name="ITEM4_3Q18">#REF!</definedName>
    <definedName name="ITEM4_3Q19">#REF!</definedName>
    <definedName name="ITEM4_3Q20">#REF!</definedName>
    <definedName name="ITEM4_3Q21">#REF!</definedName>
    <definedName name="ITEM4_3Q22">#REF!</definedName>
    <definedName name="ITEM4_3Q23">#REF!</definedName>
    <definedName name="ITEM4_3Q24">#REF!</definedName>
    <definedName name="ITEM4_4Q00">#REF!</definedName>
    <definedName name="ITEM4_4Q01">#REF!</definedName>
    <definedName name="ITEM4_4Q02">#REF!</definedName>
    <definedName name="ITEM4_4Q03">#REF!</definedName>
    <definedName name="ITEM4_4Q04">#REF!</definedName>
    <definedName name="ITEM4_4Q05">#REF!</definedName>
    <definedName name="ITEM4_4Q06">#REF!</definedName>
    <definedName name="ITEM4_4Q07">#REF!</definedName>
    <definedName name="ITEM4_4Q08">#REF!</definedName>
    <definedName name="ITEM4_4Q09">#REF!</definedName>
    <definedName name="ITEM4_4Q10">#REF!</definedName>
    <definedName name="ITEM4_4Q11">#REF!</definedName>
    <definedName name="ITEM4_4Q12">#REF!</definedName>
    <definedName name="ITEM4_4Q13">#REF!</definedName>
    <definedName name="ITEM4_4Q14">#REF!</definedName>
    <definedName name="ITEM4_4Q15">#REF!</definedName>
    <definedName name="ITEM4_4Q16">#REF!</definedName>
    <definedName name="ITEM4_4Q17">#REF!</definedName>
    <definedName name="ITEM4_4Q18">#REF!</definedName>
    <definedName name="ITEM4_4Q19">#REF!</definedName>
    <definedName name="ITEM4_4Q20">#REF!</definedName>
    <definedName name="ITEM4_4Q21">#REF!</definedName>
    <definedName name="ITEM4_4Q22">#REF!</definedName>
    <definedName name="ITEM4_4Q23">#REF!</definedName>
    <definedName name="ITEM4_4Q24">#REF!</definedName>
    <definedName name="ITEM40_1995">#REF!</definedName>
    <definedName name="ITEM40_1996">#REF!</definedName>
    <definedName name="ITEM40_1997">#REF!</definedName>
    <definedName name="ITEM40_1998">#REF!</definedName>
    <definedName name="ITEM40_1999">#REF!</definedName>
    <definedName name="ITEM40_1Q00">#REF!</definedName>
    <definedName name="ITEM40_1Q01">#REF!</definedName>
    <definedName name="ITEM40_1Q02">#REF!</definedName>
    <definedName name="ITEM40_1Q03">#REF!</definedName>
    <definedName name="ITEM40_1Q04">#REF!</definedName>
    <definedName name="ITEM40_1Q05">#REF!</definedName>
    <definedName name="ITEM40_1Q06">#REF!</definedName>
    <definedName name="ITEM40_1Q07">#REF!</definedName>
    <definedName name="ITEM40_1Q08">#REF!</definedName>
    <definedName name="ITEM40_1Q09">#REF!</definedName>
    <definedName name="ITEM40_1Q10">#REF!</definedName>
    <definedName name="ITEM40_1Q11">#REF!</definedName>
    <definedName name="ITEM40_1Q12">#REF!</definedName>
    <definedName name="ITEM40_1Q13">#REF!</definedName>
    <definedName name="ITEM40_1Q14">#REF!</definedName>
    <definedName name="ITEM40_1Q15">#REF!</definedName>
    <definedName name="ITEM40_1Q16">#REF!</definedName>
    <definedName name="ITEM40_1Q17">#REF!</definedName>
    <definedName name="ITEM40_1Q18">#REF!</definedName>
    <definedName name="ITEM40_1Q19">#REF!</definedName>
    <definedName name="ITEM40_1Q20">#REF!</definedName>
    <definedName name="ITEM40_1Q21">#REF!</definedName>
    <definedName name="ITEM40_1Q22">#REF!</definedName>
    <definedName name="ITEM40_1Q23">#REF!</definedName>
    <definedName name="ITEM40_1Q24">#REF!</definedName>
    <definedName name="ITEM40_2000">#REF!</definedName>
    <definedName name="ITEM40_2001">#REF!</definedName>
    <definedName name="ITEM40_2002">#REF!</definedName>
    <definedName name="ITEM40_2003">#REF!</definedName>
    <definedName name="ITEM40_2004">#REF!</definedName>
    <definedName name="ITEM40_2005">#REF!</definedName>
    <definedName name="ITEM40_2006">#REF!</definedName>
    <definedName name="ITEM40_2007">#REF!</definedName>
    <definedName name="ITEM40_2008">#REF!</definedName>
    <definedName name="ITEM40_2009">#REF!</definedName>
    <definedName name="ITEM40_2010">#REF!</definedName>
    <definedName name="ITEM40_2011">#REF!</definedName>
    <definedName name="ITEM40_2012">#REF!</definedName>
    <definedName name="ITEM40_2013">#REF!</definedName>
    <definedName name="ITEM40_2014">#REF!</definedName>
    <definedName name="ITEM40_2015">#REF!</definedName>
    <definedName name="ITEM40_2016">#REF!</definedName>
    <definedName name="ITEM40_2017">#REF!</definedName>
    <definedName name="ITEM40_2018">#REF!</definedName>
    <definedName name="ITEM40_2019">#REF!</definedName>
    <definedName name="ITEM40_2020">#REF!</definedName>
    <definedName name="ITEM40_2021">#REF!</definedName>
    <definedName name="ITEM40_2022">#REF!</definedName>
    <definedName name="ITEM40_2023">#REF!</definedName>
    <definedName name="ITEM40_2024">#REF!</definedName>
    <definedName name="ITEM40_2Q00">#REF!</definedName>
    <definedName name="ITEM40_2Q01">#REF!</definedName>
    <definedName name="ITEM40_2Q02">#REF!</definedName>
    <definedName name="ITEM40_2Q03">#REF!</definedName>
    <definedName name="ITEM40_2Q04">#REF!</definedName>
    <definedName name="ITEM40_2Q05">#REF!</definedName>
    <definedName name="ITEM40_2Q06">#REF!</definedName>
    <definedName name="ITEM40_2Q07">#REF!</definedName>
    <definedName name="ITEM40_2Q08">#REF!</definedName>
    <definedName name="ITEM40_2Q09">#REF!</definedName>
    <definedName name="ITEM40_2Q10">#REF!</definedName>
    <definedName name="ITEM40_2Q11">#REF!</definedName>
    <definedName name="ITEM40_2Q12">#REF!</definedName>
    <definedName name="ITEM40_2Q13">#REF!</definedName>
    <definedName name="ITEM40_2Q14">#REF!</definedName>
    <definedName name="ITEM40_2Q15">#REF!</definedName>
    <definedName name="ITEM40_2Q16">#REF!</definedName>
    <definedName name="ITEM40_2Q17">#REF!</definedName>
    <definedName name="ITEM40_2Q18">#REF!</definedName>
    <definedName name="ITEM40_2Q19">#REF!</definedName>
    <definedName name="ITEM40_2Q20">#REF!</definedName>
    <definedName name="ITEM40_2Q21">#REF!</definedName>
    <definedName name="ITEM40_2Q22">#REF!</definedName>
    <definedName name="ITEM40_2Q23">#REF!</definedName>
    <definedName name="ITEM40_2Q24">#REF!</definedName>
    <definedName name="ITEM40_3Q00">#REF!</definedName>
    <definedName name="ITEM40_3Q01">#REF!</definedName>
    <definedName name="ITEM40_3Q02">#REF!</definedName>
    <definedName name="ITEM40_3Q03">#REF!</definedName>
    <definedName name="ITEM40_3Q04">#REF!</definedName>
    <definedName name="ITEM40_3Q05">#REF!</definedName>
    <definedName name="ITEM40_3Q06">#REF!</definedName>
    <definedName name="ITEM40_3Q07">#REF!</definedName>
    <definedName name="ITEM40_3Q08">#REF!</definedName>
    <definedName name="ITEM40_3Q09">#REF!</definedName>
    <definedName name="ITEM40_3Q10">#REF!</definedName>
    <definedName name="ITEM40_3Q11">#REF!</definedName>
    <definedName name="ITEM40_3Q12">#REF!</definedName>
    <definedName name="ITEM40_3Q13">#REF!</definedName>
    <definedName name="ITEM40_3Q14">#REF!</definedName>
    <definedName name="ITEM40_3Q15">#REF!</definedName>
    <definedName name="ITEM40_3Q16">#REF!</definedName>
    <definedName name="ITEM40_3Q17">#REF!</definedName>
    <definedName name="ITEM40_3Q18">#REF!</definedName>
    <definedName name="ITEM40_3Q19">#REF!</definedName>
    <definedName name="ITEM40_3Q20">#REF!</definedName>
    <definedName name="ITEM40_3Q21">#REF!</definedName>
    <definedName name="ITEM40_3Q22">#REF!</definedName>
    <definedName name="ITEM40_3Q23">#REF!</definedName>
    <definedName name="ITEM40_3Q24">#REF!</definedName>
    <definedName name="ITEM40_4Q00">#REF!</definedName>
    <definedName name="ITEM40_4Q01">#REF!</definedName>
    <definedName name="ITEM40_4Q02">#REF!</definedName>
    <definedName name="ITEM40_4Q03">#REF!</definedName>
    <definedName name="ITEM40_4Q04">#REF!</definedName>
    <definedName name="ITEM40_4Q05">#REF!</definedName>
    <definedName name="ITEM40_4Q06">#REF!</definedName>
    <definedName name="ITEM40_4Q07">#REF!</definedName>
    <definedName name="ITEM40_4Q08">#REF!</definedName>
    <definedName name="ITEM40_4Q09">#REF!</definedName>
    <definedName name="ITEM40_4Q10">#REF!</definedName>
    <definedName name="ITEM40_4Q11">#REF!</definedName>
    <definedName name="ITEM40_4Q12">#REF!</definedName>
    <definedName name="ITEM40_4Q13">#REF!</definedName>
    <definedName name="ITEM40_4Q14">#REF!</definedName>
    <definedName name="ITEM40_4Q15">#REF!</definedName>
    <definedName name="ITEM40_4Q16">#REF!</definedName>
    <definedName name="ITEM40_4Q17">#REF!</definedName>
    <definedName name="ITEM40_4Q18">#REF!</definedName>
    <definedName name="ITEM40_4Q19">#REF!</definedName>
    <definedName name="ITEM40_4Q20">#REF!</definedName>
    <definedName name="ITEM40_4Q21">#REF!</definedName>
    <definedName name="ITEM40_4Q22">#REF!</definedName>
    <definedName name="ITEM40_4Q23">#REF!</definedName>
    <definedName name="ITEM40_4Q24">#REF!</definedName>
    <definedName name="ITEM41_1995">#REF!</definedName>
    <definedName name="ITEM41_1996">#REF!</definedName>
    <definedName name="ITEM41_1997">#REF!</definedName>
    <definedName name="ITEM41_1998">#REF!</definedName>
    <definedName name="ITEM41_1999">#REF!</definedName>
    <definedName name="ITEM41_1Q00">#REF!</definedName>
    <definedName name="ITEM41_1Q01">#REF!</definedName>
    <definedName name="ITEM41_1Q02">#REF!</definedName>
    <definedName name="ITEM41_1Q03">#REF!</definedName>
    <definedName name="ITEM41_1Q04">#REF!</definedName>
    <definedName name="ITEM41_1Q05">#REF!</definedName>
    <definedName name="ITEM41_1Q06">#REF!</definedName>
    <definedName name="ITEM41_1Q07">#REF!</definedName>
    <definedName name="ITEM41_1Q08">#REF!</definedName>
    <definedName name="ITEM41_1Q09">#REF!</definedName>
    <definedName name="ITEM41_1Q10">#REF!</definedName>
    <definedName name="ITEM41_1Q11">#REF!</definedName>
    <definedName name="ITEM41_1Q12">#REF!</definedName>
    <definedName name="ITEM41_1Q13">#REF!</definedName>
    <definedName name="ITEM41_1Q14">#REF!</definedName>
    <definedName name="ITEM41_1Q15">#REF!</definedName>
    <definedName name="ITEM41_1Q16">#REF!</definedName>
    <definedName name="ITEM41_1Q17">#REF!</definedName>
    <definedName name="ITEM41_1Q18">#REF!</definedName>
    <definedName name="ITEM41_1Q19">#REF!</definedName>
    <definedName name="ITEM41_1Q20">#REF!</definedName>
    <definedName name="ITEM41_1Q21">#REF!</definedName>
    <definedName name="ITEM41_1Q22">#REF!</definedName>
    <definedName name="ITEM41_1Q23">#REF!</definedName>
    <definedName name="ITEM41_1Q24">#REF!</definedName>
    <definedName name="ITEM41_2000">#REF!</definedName>
    <definedName name="ITEM41_2001">#REF!</definedName>
    <definedName name="ITEM41_2002">#REF!</definedName>
    <definedName name="ITEM41_2003">#REF!</definedName>
    <definedName name="ITEM41_2004">#REF!</definedName>
    <definedName name="ITEM41_2005">#REF!</definedName>
    <definedName name="ITEM41_2006">#REF!</definedName>
    <definedName name="ITEM41_2007">#REF!</definedName>
    <definedName name="ITEM41_2008">#REF!</definedName>
    <definedName name="ITEM41_2009">#REF!</definedName>
    <definedName name="ITEM41_2010">#REF!</definedName>
    <definedName name="ITEM41_2011">#REF!</definedName>
    <definedName name="ITEM41_2012">#REF!</definedName>
    <definedName name="ITEM41_2013">#REF!</definedName>
    <definedName name="ITEM41_2014">#REF!</definedName>
    <definedName name="ITEM41_2015">#REF!</definedName>
    <definedName name="ITEM41_2016">#REF!</definedName>
    <definedName name="ITEM41_2017">#REF!</definedName>
    <definedName name="ITEM41_2018">#REF!</definedName>
    <definedName name="ITEM41_2019">#REF!</definedName>
    <definedName name="ITEM41_2020">#REF!</definedName>
    <definedName name="ITEM41_2021">#REF!</definedName>
    <definedName name="ITEM41_2022">#REF!</definedName>
    <definedName name="ITEM41_2023">#REF!</definedName>
    <definedName name="ITEM41_2024">#REF!</definedName>
    <definedName name="ITEM41_2Q00">#REF!</definedName>
    <definedName name="ITEM41_2Q01">#REF!</definedName>
    <definedName name="ITEM41_2Q02">#REF!</definedName>
    <definedName name="ITEM41_2Q03">#REF!</definedName>
    <definedName name="ITEM41_2Q04">#REF!</definedName>
    <definedName name="ITEM41_2Q05">#REF!</definedName>
    <definedName name="ITEM41_2Q06">#REF!</definedName>
    <definedName name="ITEM41_2Q07">#REF!</definedName>
    <definedName name="ITEM41_2Q08">#REF!</definedName>
    <definedName name="ITEM41_2Q09">#REF!</definedName>
    <definedName name="ITEM41_2Q10">#REF!</definedName>
    <definedName name="ITEM41_2Q11">#REF!</definedName>
    <definedName name="ITEM41_2Q12">#REF!</definedName>
    <definedName name="ITEM41_2Q13">#REF!</definedName>
    <definedName name="ITEM41_2Q14">#REF!</definedName>
    <definedName name="ITEM41_2Q15">#REF!</definedName>
    <definedName name="ITEM41_2Q16">#REF!</definedName>
    <definedName name="ITEM41_2Q17">#REF!</definedName>
    <definedName name="ITEM41_2Q18">#REF!</definedName>
    <definedName name="ITEM41_2Q19">#REF!</definedName>
    <definedName name="ITEM41_2Q20">#REF!</definedName>
    <definedName name="ITEM41_2Q21">#REF!</definedName>
    <definedName name="ITEM41_2Q22">#REF!</definedName>
    <definedName name="ITEM41_2Q23">#REF!</definedName>
    <definedName name="ITEM41_2Q24">#REF!</definedName>
    <definedName name="ITEM41_3Q00">#REF!</definedName>
    <definedName name="ITEM41_3Q01">#REF!</definedName>
    <definedName name="ITEM41_3Q02">#REF!</definedName>
    <definedName name="ITEM41_3Q03">#REF!</definedName>
    <definedName name="ITEM41_3Q04">#REF!</definedName>
    <definedName name="ITEM41_3Q05">#REF!</definedName>
    <definedName name="ITEM41_3Q06">#REF!</definedName>
    <definedName name="ITEM41_3Q07">#REF!</definedName>
    <definedName name="ITEM41_3Q08">#REF!</definedName>
    <definedName name="ITEM41_3Q09">#REF!</definedName>
    <definedName name="ITEM41_3Q10">#REF!</definedName>
    <definedName name="ITEM41_3Q11">#REF!</definedName>
    <definedName name="ITEM41_3Q12">#REF!</definedName>
    <definedName name="ITEM41_3Q13">#REF!</definedName>
    <definedName name="ITEM41_3Q14">#REF!</definedName>
    <definedName name="ITEM41_3Q15">#REF!</definedName>
    <definedName name="ITEM41_3Q16">#REF!</definedName>
    <definedName name="ITEM41_3Q17">#REF!</definedName>
    <definedName name="ITEM41_3Q18">#REF!</definedName>
    <definedName name="ITEM41_3Q19">#REF!</definedName>
    <definedName name="ITEM41_3Q20">#REF!</definedName>
    <definedName name="ITEM41_3Q21">#REF!</definedName>
    <definedName name="ITEM41_3Q22">#REF!</definedName>
    <definedName name="ITEM41_3Q23">#REF!</definedName>
    <definedName name="ITEM41_3Q24">#REF!</definedName>
    <definedName name="ITEM41_4Q00">#REF!</definedName>
    <definedName name="ITEM41_4Q01">#REF!</definedName>
    <definedName name="ITEM41_4Q02">#REF!</definedName>
    <definedName name="ITEM41_4Q03">#REF!</definedName>
    <definedName name="ITEM41_4Q04">#REF!</definedName>
    <definedName name="ITEM41_4Q05">#REF!</definedName>
    <definedName name="ITEM41_4Q06">#REF!</definedName>
    <definedName name="ITEM41_4Q07">#REF!</definedName>
    <definedName name="ITEM41_4Q08">#REF!</definedName>
    <definedName name="ITEM41_4Q09">#REF!</definedName>
    <definedName name="ITEM41_4Q10">#REF!</definedName>
    <definedName name="ITEM41_4Q11">#REF!</definedName>
    <definedName name="ITEM41_4Q12">#REF!</definedName>
    <definedName name="ITEM41_4Q13">#REF!</definedName>
    <definedName name="ITEM41_4Q14">#REF!</definedName>
    <definedName name="ITEM41_4Q15">#REF!</definedName>
    <definedName name="ITEM41_4Q16">#REF!</definedName>
    <definedName name="ITEM41_4Q17">#REF!</definedName>
    <definedName name="ITEM41_4Q18">#REF!</definedName>
    <definedName name="ITEM41_4Q19">#REF!</definedName>
    <definedName name="ITEM41_4Q20">#REF!</definedName>
    <definedName name="ITEM41_4Q21">#REF!</definedName>
    <definedName name="ITEM41_4Q22">#REF!</definedName>
    <definedName name="ITEM41_4Q23">#REF!</definedName>
    <definedName name="ITEM41_4Q24">#REF!</definedName>
    <definedName name="ITEM42_1995">#REF!</definedName>
    <definedName name="ITEM42_1996">#REF!</definedName>
    <definedName name="ITEM42_1997">#REF!</definedName>
    <definedName name="ITEM42_1998">#REF!</definedName>
    <definedName name="ITEM42_1999">#REF!</definedName>
    <definedName name="ITEM42_1Q00">#REF!</definedName>
    <definedName name="ITEM42_1Q01">#REF!</definedName>
    <definedName name="ITEM42_1Q02">#REF!</definedName>
    <definedName name="ITEM42_1Q03">#REF!</definedName>
    <definedName name="ITEM42_1Q04">#REF!</definedName>
    <definedName name="ITEM42_1Q05">#REF!</definedName>
    <definedName name="ITEM42_1Q06">#REF!</definedName>
    <definedName name="ITEM42_1Q07">#REF!</definedName>
    <definedName name="ITEM42_1Q08">#REF!</definedName>
    <definedName name="ITEM42_1Q09">#REF!</definedName>
    <definedName name="ITEM42_1Q10">#REF!</definedName>
    <definedName name="ITEM42_1Q11">#REF!</definedName>
    <definedName name="ITEM42_1Q12">#REF!</definedName>
    <definedName name="ITEM42_1Q13">#REF!</definedName>
    <definedName name="ITEM42_1Q14">#REF!</definedName>
    <definedName name="ITEM42_1Q15">#REF!</definedName>
    <definedName name="ITEM42_1Q16">#REF!</definedName>
    <definedName name="ITEM42_1Q17">#REF!</definedName>
    <definedName name="ITEM42_1Q18">#REF!</definedName>
    <definedName name="ITEM42_1Q19">#REF!</definedName>
    <definedName name="ITEM42_1Q20">#REF!</definedName>
    <definedName name="ITEM42_1Q21">#REF!</definedName>
    <definedName name="ITEM42_1Q22">#REF!</definedName>
    <definedName name="ITEM42_1Q23">#REF!</definedName>
    <definedName name="ITEM42_1Q24">#REF!</definedName>
    <definedName name="ITEM42_2000">#REF!</definedName>
    <definedName name="ITEM42_2001">#REF!</definedName>
    <definedName name="ITEM42_2002">#REF!</definedName>
    <definedName name="ITEM42_2003">#REF!</definedName>
    <definedName name="ITEM42_2004">#REF!</definedName>
    <definedName name="ITEM42_2005">#REF!</definedName>
    <definedName name="ITEM42_2006">#REF!</definedName>
    <definedName name="ITEM42_2007">#REF!</definedName>
    <definedName name="ITEM42_2008">#REF!</definedName>
    <definedName name="ITEM42_2009">#REF!</definedName>
    <definedName name="ITEM42_2010">#REF!</definedName>
    <definedName name="ITEM42_2011">#REF!</definedName>
    <definedName name="ITEM42_2012">#REF!</definedName>
    <definedName name="ITEM42_2013">#REF!</definedName>
    <definedName name="ITEM42_2014">#REF!</definedName>
    <definedName name="ITEM42_2015">#REF!</definedName>
    <definedName name="ITEM42_2016">#REF!</definedName>
    <definedName name="ITEM42_2017">#REF!</definedName>
    <definedName name="ITEM42_2018">#REF!</definedName>
    <definedName name="ITEM42_2019">#REF!</definedName>
    <definedName name="ITEM42_2020">#REF!</definedName>
    <definedName name="ITEM42_2021">#REF!</definedName>
    <definedName name="ITEM42_2022">#REF!</definedName>
    <definedName name="ITEM42_2023">#REF!</definedName>
    <definedName name="ITEM42_2024">#REF!</definedName>
    <definedName name="ITEM42_2Q00">#REF!</definedName>
    <definedName name="ITEM42_2Q01">#REF!</definedName>
    <definedName name="ITEM42_2Q02">#REF!</definedName>
    <definedName name="ITEM42_2Q03">#REF!</definedName>
    <definedName name="ITEM42_2Q04">#REF!</definedName>
    <definedName name="ITEM42_2Q05">#REF!</definedName>
    <definedName name="ITEM42_2Q06">#REF!</definedName>
    <definedName name="ITEM42_2Q07">#REF!</definedName>
    <definedName name="ITEM42_2Q08">#REF!</definedName>
    <definedName name="ITEM42_2Q09">#REF!</definedName>
    <definedName name="ITEM42_2Q10">#REF!</definedName>
    <definedName name="ITEM42_2Q11">#REF!</definedName>
    <definedName name="ITEM42_2Q12">#REF!</definedName>
    <definedName name="ITEM42_2Q13">#REF!</definedName>
    <definedName name="ITEM42_2Q14">#REF!</definedName>
    <definedName name="ITEM42_2Q15">#REF!</definedName>
    <definedName name="ITEM42_2Q16">#REF!</definedName>
    <definedName name="ITEM42_2Q17">#REF!</definedName>
    <definedName name="ITEM42_2Q18">#REF!</definedName>
    <definedName name="ITEM42_2Q19">#REF!</definedName>
    <definedName name="ITEM42_2Q20">#REF!</definedName>
    <definedName name="ITEM42_2Q21">#REF!</definedName>
    <definedName name="ITEM42_2Q22">#REF!</definedName>
    <definedName name="ITEM42_2Q23">#REF!</definedName>
    <definedName name="ITEM42_2Q24">#REF!</definedName>
    <definedName name="ITEM42_3Q00">#REF!</definedName>
    <definedName name="ITEM42_3Q01">#REF!</definedName>
    <definedName name="ITEM42_3Q02">#REF!</definedName>
    <definedName name="ITEM42_3Q03">#REF!</definedName>
    <definedName name="ITEM42_3Q04">#REF!</definedName>
    <definedName name="ITEM42_3Q05">#REF!</definedName>
    <definedName name="ITEM42_3Q06">#REF!</definedName>
    <definedName name="ITEM42_3Q07">#REF!</definedName>
    <definedName name="ITEM42_3Q08">#REF!</definedName>
    <definedName name="ITEM42_3Q09">#REF!</definedName>
    <definedName name="ITEM42_3Q10">#REF!</definedName>
    <definedName name="ITEM42_3Q11">#REF!</definedName>
    <definedName name="ITEM42_3Q12">#REF!</definedName>
    <definedName name="ITEM42_3Q13">#REF!</definedName>
    <definedName name="ITEM42_3Q14">#REF!</definedName>
    <definedName name="ITEM42_3Q15">#REF!</definedName>
    <definedName name="ITEM42_3Q16">#REF!</definedName>
    <definedName name="ITEM42_3Q17">#REF!</definedName>
    <definedName name="ITEM42_3Q18">#REF!</definedName>
    <definedName name="ITEM42_3Q19">#REF!</definedName>
    <definedName name="ITEM42_3Q20">#REF!</definedName>
    <definedName name="ITEM42_3Q21">#REF!</definedName>
    <definedName name="ITEM42_3Q22">#REF!</definedName>
    <definedName name="ITEM42_3Q23">#REF!</definedName>
    <definedName name="ITEM42_3Q24">#REF!</definedName>
    <definedName name="ITEM42_4Q00">#REF!</definedName>
    <definedName name="ITEM42_4Q01">#REF!</definedName>
    <definedName name="ITEM42_4Q02">#REF!</definedName>
    <definedName name="ITEM42_4Q03">#REF!</definedName>
    <definedName name="ITEM42_4Q04">#REF!</definedName>
    <definedName name="ITEM42_4Q05">#REF!</definedName>
    <definedName name="ITEM42_4Q06">#REF!</definedName>
    <definedName name="ITEM42_4Q07">#REF!</definedName>
    <definedName name="ITEM42_4Q08">#REF!</definedName>
    <definedName name="ITEM42_4Q09">#REF!</definedName>
    <definedName name="ITEM42_4Q10">#REF!</definedName>
    <definedName name="ITEM42_4Q11">#REF!</definedName>
    <definedName name="ITEM42_4Q12">#REF!</definedName>
    <definedName name="ITEM42_4Q13">#REF!</definedName>
    <definedName name="ITEM42_4Q14">#REF!</definedName>
    <definedName name="ITEM42_4Q15">#REF!</definedName>
    <definedName name="ITEM42_4Q16">#REF!</definedName>
    <definedName name="ITEM42_4Q17">#REF!</definedName>
    <definedName name="ITEM42_4Q18">#REF!</definedName>
    <definedName name="ITEM42_4Q19">#REF!</definedName>
    <definedName name="ITEM42_4Q20">#REF!</definedName>
    <definedName name="ITEM42_4Q21">#REF!</definedName>
    <definedName name="ITEM42_4Q22">#REF!</definedName>
    <definedName name="ITEM42_4Q23">#REF!</definedName>
    <definedName name="ITEM42_4Q24">#REF!</definedName>
    <definedName name="ITEM43_1995">#REF!</definedName>
    <definedName name="ITEM43_1996">#REF!</definedName>
    <definedName name="ITEM43_1997">#REF!</definedName>
    <definedName name="ITEM43_1998">#REF!</definedName>
    <definedName name="ITEM43_1999">#REF!</definedName>
    <definedName name="ITEM43_1Q00">#REF!</definedName>
    <definedName name="ITEM43_1Q01">#REF!</definedName>
    <definedName name="ITEM43_1Q02">#REF!</definedName>
    <definedName name="ITEM43_1Q03">#REF!</definedName>
    <definedName name="ITEM43_1Q04">#REF!</definedName>
    <definedName name="ITEM43_1Q05">#REF!</definedName>
    <definedName name="ITEM43_1Q06">#REF!</definedName>
    <definedName name="ITEM43_1Q07">#REF!</definedName>
    <definedName name="ITEM43_1Q08">#REF!</definedName>
    <definedName name="ITEM43_1Q09">#REF!</definedName>
    <definedName name="ITEM43_1Q10">#REF!</definedName>
    <definedName name="ITEM43_1Q11">#REF!</definedName>
    <definedName name="ITEM43_1Q12">#REF!</definedName>
    <definedName name="ITEM43_1Q13">#REF!</definedName>
    <definedName name="ITEM43_1Q14">#REF!</definedName>
    <definedName name="ITEM43_1Q15">#REF!</definedName>
    <definedName name="ITEM43_1Q16">#REF!</definedName>
    <definedName name="ITEM43_1Q17">#REF!</definedName>
    <definedName name="ITEM43_1Q18">#REF!</definedName>
    <definedName name="ITEM43_1Q19">#REF!</definedName>
    <definedName name="ITEM43_1Q20">#REF!</definedName>
    <definedName name="ITEM43_1Q21">#REF!</definedName>
    <definedName name="ITEM43_1Q22">#REF!</definedName>
    <definedName name="ITEM43_1Q23">#REF!</definedName>
    <definedName name="ITEM43_1Q24">#REF!</definedName>
    <definedName name="ITEM43_2000">#REF!</definedName>
    <definedName name="ITEM43_2001">#REF!</definedName>
    <definedName name="ITEM43_2002">#REF!</definedName>
    <definedName name="ITEM43_2003">#REF!</definedName>
    <definedName name="ITEM43_2004">#REF!</definedName>
    <definedName name="ITEM43_2005">#REF!</definedName>
    <definedName name="ITEM43_2006">#REF!</definedName>
    <definedName name="ITEM43_2007">#REF!</definedName>
    <definedName name="ITEM43_2008">#REF!</definedName>
    <definedName name="ITEM43_2009">#REF!</definedName>
    <definedName name="ITEM43_2010">#REF!</definedName>
    <definedName name="ITEM43_2011">#REF!</definedName>
    <definedName name="ITEM43_2012">#REF!</definedName>
    <definedName name="ITEM43_2013">#REF!</definedName>
    <definedName name="ITEM43_2014">#REF!</definedName>
    <definedName name="ITEM43_2015">#REF!</definedName>
    <definedName name="ITEM43_2016">#REF!</definedName>
    <definedName name="ITEM43_2017">#REF!</definedName>
    <definedName name="ITEM43_2018">#REF!</definedName>
    <definedName name="ITEM43_2019">#REF!</definedName>
    <definedName name="ITEM43_2020">#REF!</definedName>
    <definedName name="ITEM43_2021">#REF!</definedName>
    <definedName name="ITEM43_2022">#REF!</definedName>
    <definedName name="ITEM43_2023">#REF!</definedName>
    <definedName name="ITEM43_2024">#REF!</definedName>
    <definedName name="ITEM43_2Q00">#REF!</definedName>
    <definedName name="ITEM43_2Q01">#REF!</definedName>
    <definedName name="ITEM43_2Q02">#REF!</definedName>
    <definedName name="ITEM43_2Q03">#REF!</definedName>
    <definedName name="ITEM43_2Q04">#REF!</definedName>
    <definedName name="ITEM43_2Q05">#REF!</definedName>
    <definedName name="ITEM43_2Q06">#REF!</definedName>
    <definedName name="ITEM43_2Q07">#REF!</definedName>
    <definedName name="ITEM43_2Q08">#REF!</definedName>
    <definedName name="ITEM43_2Q09">#REF!</definedName>
    <definedName name="ITEM43_2Q10">#REF!</definedName>
    <definedName name="ITEM43_2Q11">#REF!</definedName>
    <definedName name="ITEM43_2Q12">#REF!</definedName>
    <definedName name="ITEM43_2Q13">#REF!</definedName>
    <definedName name="ITEM43_2Q14">#REF!</definedName>
    <definedName name="ITEM43_2Q15">#REF!</definedName>
    <definedName name="ITEM43_2Q16">#REF!</definedName>
    <definedName name="ITEM43_2Q17">#REF!</definedName>
    <definedName name="ITEM43_2Q18">#REF!</definedName>
    <definedName name="ITEM43_2Q19">#REF!</definedName>
    <definedName name="ITEM43_2Q20">#REF!</definedName>
    <definedName name="ITEM43_2Q21">#REF!</definedName>
    <definedName name="ITEM43_2Q22">#REF!</definedName>
    <definedName name="ITEM43_2Q23">#REF!</definedName>
    <definedName name="ITEM43_2Q24">#REF!</definedName>
    <definedName name="ITEM43_3Q00">#REF!</definedName>
    <definedName name="ITEM43_3Q01">#REF!</definedName>
    <definedName name="ITEM43_3Q02">#REF!</definedName>
    <definedName name="ITEM43_3Q03">#REF!</definedName>
    <definedName name="ITEM43_3Q04">#REF!</definedName>
    <definedName name="ITEM43_3Q05">#REF!</definedName>
    <definedName name="ITEM43_3Q06">#REF!</definedName>
    <definedName name="ITEM43_3Q07">#REF!</definedName>
    <definedName name="ITEM43_3Q08">#REF!</definedName>
    <definedName name="ITEM43_3Q09">#REF!</definedName>
    <definedName name="ITEM43_3Q10">#REF!</definedName>
    <definedName name="ITEM43_3Q11">#REF!</definedName>
    <definedName name="ITEM43_3Q12">#REF!</definedName>
    <definedName name="ITEM43_3Q13">#REF!</definedName>
    <definedName name="ITEM43_3Q14">#REF!</definedName>
    <definedName name="ITEM43_3Q15">#REF!</definedName>
    <definedName name="ITEM43_3Q16">#REF!</definedName>
    <definedName name="ITEM43_3Q17">#REF!</definedName>
    <definedName name="ITEM43_3Q18">#REF!</definedName>
    <definedName name="ITEM43_3Q19">#REF!</definedName>
    <definedName name="ITEM43_3Q20">#REF!</definedName>
    <definedName name="ITEM43_3Q21">#REF!</definedName>
    <definedName name="ITEM43_3Q22">#REF!</definedName>
    <definedName name="ITEM43_3Q23">#REF!</definedName>
    <definedName name="ITEM43_3Q24">#REF!</definedName>
    <definedName name="ITEM43_4Q00">#REF!</definedName>
    <definedName name="ITEM43_4Q01">#REF!</definedName>
    <definedName name="ITEM43_4Q02">#REF!</definedName>
    <definedName name="ITEM43_4Q03">#REF!</definedName>
    <definedName name="ITEM43_4Q04">#REF!</definedName>
    <definedName name="ITEM43_4Q05">#REF!</definedName>
    <definedName name="ITEM43_4Q06">#REF!</definedName>
    <definedName name="ITEM43_4Q07">#REF!</definedName>
    <definedName name="ITEM43_4Q08">#REF!</definedName>
    <definedName name="ITEM43_4Q09">#REF!</definedName>
    <definedName name="ITEM43_4Q10">#REF!</definedName>
    <definedName name="ITEM43_4Q11">#REF!</definedName>
    <definedName name="ITEM43_4Q12">#REF!</definedName>
    <definedName name="ITEM43_4Q13">#REF!</definedName>
    <definedName name="ITEM43_4Q14">#REF!</definedName>
    <definedName name="ITEM43_4Q15">#REF!</definedName>
    <definedName name="ITEM43_4Q16">#REF!</definedName>
    <definedName name="ITEM43_4Q17">#REF!</definedName>
    <definedName name="ITEM43_4Q18">#REF!</definedName>
    <definedName name="ITEM43_4Q19">#REF!</definedName>
    <definedName name="ITEM43_4Q20">#REF!</definedName>
    <definedName name="ITEM43_4Q21">#REF!</definedName>
    <definedName name="ITEM43_4Q22">#REF!</definedName>
    <definedName name="ITEM43_4Q23">#REF!</definedName>
    <definedName name="ITEM43_4Q24">#REF!</definedName>
    <definedName name="ITEM44_1995">#REF!</definedName>
    <definedName name="ITEM44_1996">#REF!</definedName>
    <definedName name="ITEM44_1997">#REF!</definedName>
    <definedName name="ITEM44_1998">#REF!</definedName>
    <definedName name="ITEM44_1999">#REF!</definedName>
    <definedName name="ITEM44_1Q00">#REF!</definedName>
    <definedName name="ITEM44_1Q01">#REF!</definedName>
    <definedName name="ITEM44_1Q02">#REF!</definedName>
    <definedName name="ITEM44_1Q03">#REF!</definedName>
    <definedName name="ITEM44_1Q04">#REF!</definedName>
    <definedName name="ITEM44_1Q05">#REF!</definedName>
    <definedName name="ITEM44_1Q06">#REF!</definedName>
    <definedName name="ITEM44_1Q07">#REF!</definedName>
    <definedName name="ITEM44_1Q08">#REF!</definedName>
    <definedName name="ITEM44_1Q09">#REF!</definedName>
    <definedName name="ITEM44_1Q10">#REF!</definedName>
    <definedName name="ITEM44_1Q11">#REF!</definedName>
    <definedName name="ITEM44_1Q12">#REF!</definedName>
    <definedName name="ITEM44_1Q13">#REF!</definedName>
    <definedName name="ITEM44_1Q14">#REF!</definedName>
    <definedName name="ITEM44_1Q15">#REF!</definedName>
    <definedName name="ITEM44_1Q16">#REF!</definedName>
    <definedName name="ITEM44_1Q17">#REF!</definedName>
    <definedName name="ITEM44_1Q18">#REF!</definedName>
    <definedName name="ITEM44_1Q19">#REF!</definedName>
    <definedName name="ITEM44_1Q20">#REF!</definedName>
    <definedName name="ITEM44_1Q21">#REF!</definedName>
    <definedName name="ITEM44_1Q22">#REF!</definedName>
    <definedName name="ITEM44_1Q23">#REF!</definedName>
    <definedName name="ITEM44_1Q24">#REF!</definedName>
    <definedName name="ITEM44_2000">#REF!</definedName>
    <definedName name="ITEM44_2001">#REF!</definedName>
    <definedName name="ITEM44_2002">#REF!</definedName>
    <definedName name="ITEM44_2003">#REF!</definedName>
    <definedName name="ITEM44_2004">#REF!</definedName>
    <definedName name="ITEM44_2005">#REF!</definedName>
    <definedName name="ITEM44_2006">#REF!</definedName>
    <definedName name="ITEM44_2007">#REF!</definedName>
    <definedName name="ITEM44_2008">#REF!</definedName>
    <definedName name="ITEM44_2009">#REF!</definedName>
    <definedName name="ITEM44_2010">#REF!</definedName>
    <definedName name="ITEM44_2011">#REF!</definedName>
    <definedName name="ITEM44_2012">#REF!</definedName>
    <definedName name="ITEM44_2013">#REF!</definedName>
    <definedName name="ITEM44_2014">#REF!</definedName>
    <definedName name="ITEM44_2015">#REF!</definedName>
    <definedName name="ITEM44_2016">#REF!</definedName>
    <definedName name="ITEM44_2017">#REF!</definedName>
    <definedName name="ITEM44_2018">#REF!</definedName>
    <definedName name="ITEM44_2019">#REF!</definedName>
    <definedName name="ITEM44_2020">#REF!</definedName>
    <definedName name="ITEM44_2021">#REF!</definedName>
    <definedName name="ITEM44_2022">#REF!</definedName>
    <definedName name="ITEM44_2023">#REF!</definedName>
    <definedName name="ITEM44_2024">#REF!</definedName>
    <definedName name="ITEM44_2Q00">#REF!</definedName>
    <definedName name="ITEM44_2Q01">#REF!</definedName>
    <definedName name="ITEM44_2Q02">#REF!</definedName>
    <definedName name="ITEM44_2Q03">#REF!</definedName>
    <definedName name="ITEM44_2Q04">#REF!</definedName>
    <definedName name="ITEM44_2Q05">#REF!</definedName>
    <definedName name="ITEM44_2Q06">#REF!</definedName>
    <definedName name="ITEM44_2Q07">#REF!</definedName>
    <definedName name="ITEM44_2Q08">#REF!</definedName>
    <definedName name="ITEM44_2Q09">#REF!</definedName>
    <definedName name="ITEM44_2Q10">#REF!</definedName>
    <definedName name="ITEM44_2Q11">#REF!</definedName>
    <definedName name="ITEM44_2Q12">#REF!</definedName>
    <definedName name="ITEM44_2Q13">#REF!</definedName>
    <definedName name="ITEM44_2Q14">#REF!</definedName>
    <definedName name="ITEM44_2Q15">#REF!</definedName>
    <definedName name="ITEM44_2Q16">#REF!</definedName>
    <definedName name="ITEM44_2Q17">#REF!</definedName>
    <definedName name="ITEM44_2Q18">#REF!</definedName>
    <definedName name="ITEM44_2Q19">#REF!</definedName>
    <definedName name="ITEM44_2Q20">#REF!</definedName>
    <definedName name="ITEM44_2Q21">#REF!</definedName>
    <definedName name="ITEM44_2Q22">#REF!</definedName>
    <definedName name="ITEM44_2Q23">#REF!</definedName>
    <definedName name="ITEM44_2Q24">#REF!</definedName>
    <definedName name="ITEM44_3Q00">#REF!</definedName>
    <definedName name="ITEM44_3Q01">#REF!</definedName>
    <definedName name="ITEM44_3Q02">#REF!</definedName>
    <definedName name="ITEM44_3Q03">#REF!</definedName>
    <definedName name="ITEM44_3Q04">#REF!</definedName>
    <definedName name="ITEM44_3Q05">#REF!</definedName>
    <definedName name="ITEM44_3Q06">#REF!</definedName>
    <definedName name="ITEM44_3Q07">#REF!</definedName>
    <definedName name="ITEM44_3Q08">#REF!</definedName>
    <definedName name="ITEM44_3Q09">#REF!</definedName>
    <definedName name="ITEM44_3Q10">#REF!</definedName>
    <definedName name="ITEM44_3Q11">#REF!</definedName>
    <definedName name="ITEM44_3Q12">#REF!</definedName>
    <definedName name="ITEM44_3Q13">#REF!</definedName>
    <definedName name="ITEM44_3Q14">#REF!</definedName>
    <definedName name="ITEM44_3Q15">#REF!</definedName>
    <definedName name="ITEM44_3Q16">#REF!</definedName>
    <definedName name="ITEM44_3Q17">#REF!</definedName>
    <definedName name="ITEM44_3Q18">#REF!</definedName>
    <definedName name="ITEM44_3Q19">#REF!</definedName>
    <definedName name="ITEM44_3Q20">#REF!</definedName>
    <definedName name="ITEM44_3Q21">#REF!</definedName>
    <definedName name="ITEM44_3Q22">#REF!</definedName>
    <definedName name="ITEM44_3Q23">#REF!</definedName>
    <definedName name="ITEM44_3Q24">#REF!</definedName>
    <definedName name="ITEM44_4Q00">#REF!</definedName>
    <definedName name="ITEM44_4Q01">#REF!</definedName>
    <definedName name="ITEM44_4Q02">#REF!</definedName>
    <definedName name="ITEM44_4Q03">#REF!</definedName>
    <definedName name="ITEM44_4Q04">#REF!</definedName>
    <definedName name="ITEM44_4Q05">#REF!</definedName>
    <definedName name="ITEM44_4Q06">#REF!</definedName>
    <definedName name="ITEM44_4Q07">#REF!</definedName>
    <definedName name="ITEM44_4Q08">#REF!</definedName>
    <definedName name="ITEM44_4Q09">#REF!</definedName>
    <definedName name="ITEM44_4Q10">#REF!</definedName>
    <definedName name="ITEM44_4Q11">#REF!</definedName>
    <definedName name="ITEM44_4Q12">#REF!</definedName>
    <definedName name="ITEM44_4Q13">#REF!</definedName>
    <definedName name="ITEM44_4Q14">#REF!</definedName>
    <definedName name="ITEM44_4Q15">#REF!</definedName>
    <definedName name="ITEM44_4Q16">#REF!</definedName>
    <definedName name="ITEM44_4Q17">#REF!</definedName>
    <definedName name="ITEM44_4Q18">#REF!</definedName>
    <definedName name="ITEM44_4Q19">#REF!</definedName>
    <definedName name="ITEM44_4Q20">#REF!</definedName>
    <definedName name="ITEM44_4Q21">#REF!</definedName>
    <definedName name="ITEM44_4Q22">#REF!</definedName>
    <definedName name="ITEM44_4Q23">#REF!</definedName>
    <definedName name="ITEM44_4Q24">#REF!</definedName>
    <definedName name="ITEM45_1995">#REF!</definedName>
    <definedName name="ITEM45_1996">#REF!</definedName>
    <definedName name="ITEM45_1997">#REF!</definedName>
    <definedName name="ITEM45_1998">#REF!</definedName>
    <definedName name="ITEM45_1999">#REF!</definedName>
    <definedName name="ITEM45_1Q00">#REF!</definedName>
    <definedName name="ITEM45_1Q01">#REF!</definedName>
    <definedName name="ITEM45_1Q02">#REF!</definedName>
    <definedName name="ITEM45_1Q03">#REF!</definedName>
    <definedName name="ITEM45_1Q04">#REF!</definedName>
    <definedName name="ITEM45_1Q05">#REF!</definedName>
    <definedName name="ITEM45_1Q06">#REF!</definedName>
    <definedName name="ITEM45_1Q07">#REF!</definedName>
    <definedName name="ITEM45_1Q08">#REF!</definedName>
    <definedName name="ITEM45_1Q09">#REF!</definedName>
    <definedName name="ITEM45_1Q10">#REF!</definedName>
    <definedName name="ITEM45_1Q11">#REF!</definedName>
    <definedName name="ITEM45_1Q12">#REF!</definedName>
    <definedName name="ITEM45_1Q13">#REF!</definedName>
    <definedName name="ITEM45_1Q14">#REF!</definedName>
    <definedName name="ITEM45_1Q15">#REF!</definedName>
    <definedName name="ITEM45_1Q16">#REF!</definedName>
    <definedName name="ITEM45_1Q17">#REF!</definedName>
    <definedName name="ITEM45_1Q18">#REF!</definedName>
    <definedName name="ITEM45_1Q19">#REF!</definedName>
    <definedName name="ITEM45_1Q20">#REF!</definedName>
    <definedName name="ITEM45_1Q21">#REF!</definedName>
    <definedName name="ITEM45_1Q22">#REF!</definedName>
    <definedName name="ITEM45_1Q23">#REF!</definedName>
    <definedName name="ITEM45_1Q24">#REF!</definedName>
    <definedName name="ITEM45_2000">#REF!</definedName>
    <definedName name="ITEM45_2001">#REF!</definedName>
    <definedName name="ITEM45_2002">#REF!</definedName>
    <definedName name="ITEM45_2003">#REF!</definedName>
    <definedName name="ITEM45_2004">#REF!</definedName>
    <definedName name="ITEM45_2005">#REF!</definedName>
    <definedName name="ITEM45_2006">#REF!</definedName>
    <definedName name="ITEM45_2007">#REF!</definedName>
    <definedName name="ITEM45_2008">#REF!</definedName>
    <definedName name="ITEM45_2009">#REF!</definedName>
    <definedName name="ITEM45_2010">#REF!</definedName>
    <definedName name="ITEM45_2011">#REF!</definedName>
    <definedName name="ITEM45_2012">#REF!</definedName>
    <definedName name="ITEM45_2013">#REF!</definedName>
    <definedName name="ITEM45_2014">#REF!</definedName>
    <definedName name="ITEM45_2015">#REF!</definedName>
    <definedName name="ITEM45_2016">#REF!</definedName>
    <definedName name="ITEM45_2017">#REF!</definedName>
    <definedName name="ITEM45_2018">#REF!</definedName>
    <definedName name="ITEM45_2019">#REF!</definedName>
    <definedName name="ITEM45_2020">#REF!</definedName>
    <definedName name="ITEM45_2021">#REF!</definedName>
    <definedName name="ITEM45_2022">#REF!</definedName>
    <definedName name="ITEM45_2023">#REF!</definedName>
    <definedName name="ITEM45_2024">#REF!</definedName>
    <definedName name="ITEM45_2Q00">#REF!</definedName>
    <definedName name="ITEM45_2Q01">#REF!</definedName>
    <definedName name="ITEM45_2Q02">#REF!</definedName>
    <definedName name="ITEM45_2Q03">#REF!</definedName>
    <definedName name="ITEM45_2Q04">#REF!</definedName>
    <definedName name="ITEM45_2Q05">#REF!</definedName>
    <definedName name="ITEM45_2Q06">#REF!</definedName>
    <definedName name="ITEM45_2Q07">#REF!</definedName>
    <definedName name="ITEM45_2Q08">#REF!</definedName>
    <definedName name="ITEM45_2Q09">#REF!</definedName>
    <definedName name="ITEM45_2Q10">#REF!</definedName>
    <definedName name="ITEM45_2Q11">#REF!</definedName>
    <definedName name="ITEM45_2Q12">#REF!</definedName>
    <definedName name="ITEM45_2Q13">#REF!</definedName>
    <definedName name="ITEM45_2Q14">#REF!</definedName>
    <definedName name="ITEM45_2Q15">#REF!</definedName>
    <definedName name="ITEM45_2Q16">#REF!</definedName>
    <definedName name="ITEM45_2Q17">#REF!</definedName>
    <definedName name="ITEM45_2Q18">#REF!</definedName>
    <definedName name="ITEM45_2Q19">#REF!</definedName>
    <definedName name="ITEM45_2Q20">#REF!</definedName>
    <definedName name="ITEM45_2Q21">#REF!</definedName>
    <definedName name="ITEM45_2Q22">#REF!</definedName>
    <definedName name="ITEM45_2Q23">#REF!</definedName>
    <definedName name="ITEM45_2Q24">#REF!</definedName>
    <definedName name="ITEM45_3Q00">#REF!</definedName>
    <definedName name="ITEM45_3Q01">#REF!</definedName>
    <definedName name="ITEM45_3Q02">#REF!</definedName>
    <definedName name="ITEM45_3Q03">#REF!</definedName>
    <definedName name="ITEM45_3Q04">#REF!</definedName>
    <definedName name="ITEM45_3Q05">#REF!</definedName>
    <definedName name="ITEM45_3Q06">#REF!</definedName>
    <definedName name="ITEM45_3Q07">#REF!</definedName>
    <definedName name="ITEM45_3Q08">#REF!</definedName>
    <definedName name="ITEM45_3Q09">#REF!</definedName>
    <definedName name="ITEM45_3Q10">#REF!</definedName>
    <definedName name="ITEM45_3Q11">#REF!</definedName>
    <definedName name="ITEM45_3Q12">#REF!</definedName>
    <definedName name="ITEM45_3Q13">#REF!</definedName>
    <definedName name="ITEM45_3Q14">#REF!</definedName>
    <definedName name="ITEM45_3Q15">#REF!</definedName>
    <definedName name="ITEM45_3Q16">#REF!</definedName>
    <definedName name="ITEM45_3Q17">#REF!</definedName>
    <definedName name="ITEM45_3Q18">#REF!</definedName>
    <definedName name="ITEM45_3Q19">#REF!</definedName>
    <definedName name="ITEM45_3Q20">#REF!</definedName>
    <definedName name="ITEM45_3Q21">#REF!</definedName>
    <definedName name="ITEM45_3Q22">#REF!</definedName>
    <definedName name="ITEM45_3Q23">#REF!</definedName>
    <definedName name="ITEM45_3Q24">#REF!</definedName>
    <definedName name="ITEM45_4Q00">#REF!</definedName>
    <definedName name="ITEM45_4Q01">#REF!</definedName>
    <definedName name="ITEM45_4Q02">#REF!</definedName>
    <definedName name="ITEM45_4Q03">#REF!</definedName>
    <definedName name="ITEM45_4Q04">#REF!</definedName>
    <definedName name="ITEM45_4Q05">#REF!</definedName>
    <definedName name="ITEM45_4Q06">#REF!</definedName>
    <definedName name="ITEM45_4Q07">#REF!</definedName>
    <definedName name="ITEM45_4Q08">#REF!</definedName>
    <definedName name="ITEM45_4Q09">#REF!</definedName>
    <definedName name="ITEM45_4Q10">#REF!</definedName>
    <definedName name="ITEM45_4Q11">#REF!</definedName>
    <definedName name="ITEM45_4Q12">#REF!</definedName>
    <definedName name="ITEM45_4Q13">#REF!</definedName>
    <definedName name="ITEM45_4Q14">#REF!</definedName>
    <definedName name="ITEM45_4Q15">#REF!</definedName>
    <definedName name="ITEM45_4Q16">#REF!</definedName>
    <definedName name="ITEM45_4Q17">#REF!</definedName>
    <definedName name="ITEM45_4Q18">#REF!</definedName>
    <definedName name="ITEM45_4Q19">#REF!</definedName>
    <definedName name="ITEM45_4Q20">#REF!</definedName>
    <definedName name="ITEM45_4Q21">#REF!</definedName>
    <definedName name="ITEM45_4Q22">#REF!</definedName>
    <definedName name="ITEM45_4Q23">#REF!</definedName>
    <definedName name="ITEM45_4Q24">#REF!</definedName>
    <definedName name="ITEM46_1995">#REF!</definedName>
    <definedName name="ITEM46_1996">#REF!</definedName>
    <definedName name="ITEM46_1997">#REF!</definedName>
    <definedName name="ITEM46_1998">#REF!</definedName>
    <definedName name="ITEM46_1999">#REF!</definedName>
    <definedName name="ITEM46_1Q00">#REF!</definedName>
    <definedName name="ITEM46_1Q01">#REF!</definedName>
    <definedName name="ITEM46_1Q02">#REF!</definedName>
    <definedName name="ITEM46_1Q03">#REF!</definedName>
    <definedName name="ITEM46_1Q04">#REF!</definedName>
    <definedName name="ITEM46_1Q05">#REF!</definedName>
    <definedName name="ITEM46_1Q06">#REF!</definedName>
    <definedName name="ITEM46_1Q07">#REF!</definedName>
    <definedName name="ITEM46_1Q08">#REF!</definedName>
    <definedName name="ITEM46_1Q09">#REF!</definedName>
    <definedName name="ITEM46_1Q10">#REF!</definedName>
    <definedName name="ITEM46_1Q11">#REF!</definedName>
    <definedName name="ITEM46_1Q12">#REF!</definedName>
    <definedName name="ITEM46_1Q13">#REF!</definedName>
    <definedName name="ITEM46_1Q14">#REF!</definedName>
    <definedName name="ITEM46_1Q15">#REF!</definedName>
    <definedName name="ITEM46_1Q16">#REF!</definedName>
    <definedName name="ITEM46_1Q17">#REF!</definedName>
    <definedName name="ITEM46_1Q18">#REF!</definedName>
    <definedName name="ITEM46_1Q19">#REF!</definedName>
    <definedName name="ITEM46_1Q20">#REF!</definedName>
    <definedName name="ITEM46_1Q21">#REF!</definedName>
    <definedName name="ITEM46_1Q22">#REF!</definedName>
    <definedName name="ITEM46_1Q23">#REF!</definedName>
    <definedName name="ITEM46_1Q24">#REF!</definedName>
    <definedName name="ITEM46_2000">#REF!</definedName>
    <definedName name="ITEM46_2001">#REF!</definedName>
    <definedName name="ITEM46_2002">#REF!</definedName>
    <definedName name="ITEM46_2003">#REF!</definedName>
    <definedName name="ITEM46_2004">#REF!</definedName>
    <definedName name="ITEM46_2005">#REF!</definedName>
    <definedName name="ITEM46_2006">#REF!</definedName>
    <definedName name="ITEM46_2007">#REF!</definedName>
    <definedName name="ITEM46_2008">#REF!</definedName>
    <definedName name="ITEM46_2009">#REF!</definedName>
    <definedName name="ITEM46_2010">#REF!</definedName>
    <definedName name="ITEM46_2011">#REF!</definedName>
    <definedName name="ITEM46_2012">#REF!</definedName>
    <definedName name="ITEM46_2013">#REF!</definedName>
    <definedName name="ITEM46_2014">#REF!</definedName>
    <definedName name="ITEM46_2015">#REF!</definedName>
    <definedName name="ITEM46_2016">#REF!</definedName>
    <definedName name="ITEM46_2017">#REF!</definedName>
    <definedName name="ITEM46_2018">#REF!</definedName>
    <definedName name="ITEM46_2019">#REF!</definedName>
    <definedName name="ITEM46_2020">#REF!</definedName>
    <definedName name="ITEM46_2021">#REF!</definedName>
    <definedName name="ITEM46_2022">#REF!</definedName>
    <definedName name="ITEM46_2023">#REF!</definedName>
    <definedName name="ITEM46_2024">#REF!</definedName>
    <definedName name="ITEM46_2Q00">#REF!</definedName>
    <definedName name="ITEM46_2Q01">#REF!</definedName>
    <definedName name="ITEM46_2Q02">#REF!</definedName>
    <definedName name="ITEM46_2Q03">#REF!</definedName>
    <definedName name="ITEM46_2Q04">#REF!</definedName>
    <definedName name="ITEM46_2Q05">#REF!</definedName>
    <definedName name="ITEM46_2Q06">#REF!</definedName>
    <definedName name="ITEM46_2Q07">#REF!</definedName>
    <definedName name="ITEM46_2Q08">#REF!</definedName>
    <definedName name="ITEM46_2Q09">#REF!</definedName>
    <definedName name="ITEM46_2Q10">#REF!</definedName>
    <definedName name="ITEM46_2Q11">#REF!</definedName>
    <definedName name="ITEM46_2Q12">#REF!</definedName>
    <definedName name="ITEM46_2Q13">#REF!</definedName>
    <definedName name="ITEM46_2Q14">#REF!</definedName>
    <definedName name="ITEM46_2Q15">#REF!</definedName>
    <definedName name="ITEM46_2Q16">#REF!</definedName>
    <definedName name="ITEM46_2Q17">#REF!</definedName>
    <definedName name="ITEM46_2Q18">#REF!</definedName>
    <definedName name="ITEM46_2Q19">#REF!</definedName>
    <definedName name="ITEM46_2Q20">#REF!</definedName>
    <definedName name="ITEM46_2Q21">#REF!</definedName>
    <definedName name="ITEM46_2Q22">#REF!</definedName>
    <definedName name="ITEM46_2Q23">#REF!</definedName>
    <definedName name="ITEM46_2Q24">#REF!</definedName>
    <definedName name="ITEM46_3Q00">#REF!</definedName>
    <definedName name="ITEM46_3Q01">#REF!</definedName>
    <definedName name="ITEM46_3Q02">#REF!</definedName>
    <definedName name="ITEM46_3Q03">#REF!</definedName>
    <definedName name="ITEM46_3Q04">#REF!</definedName>
    <definedName name="ITEM46_3Q05">#REF!</definedName>
    <definedName name="ITEM46_3Q06">#REF!</definedName>
    <definedName name="ITEM46_3Q07">#REF!</definedName>
    <definedName name="ITEM46_3Q08">#REF!</definedName>
    <definedName name="ITEM46_3Q09">#REF!</definedName>
    <definedName name="ITEM46_3Q10">#REF!</definedName>
    <definedName name="ITEM46_3Q11">#REF!</definedName>
    <definedName name="ITEM46_3Q12">#REF!</definedName>
    <definedName name="ITEM46_3Q13">#REF!</definedName>
    <definedName name="ITEM46_3Q14">#REF!</definedName>
    <definedName name="ITEM46_3Q15">#REF!</definedName>
    <definedName name="ITEM46_3Q16">#REF!</definedName>
    <definedName name="ITEM46_3Q17">#REF!</definedName>
    <definedName name="ITEM46_3Q18">#REF!</definedName>
    <definedName name="ITEM46_3Q19">#REF!</definedName>
    <definedName name="ITEM46_3Q20">#REF!</definedName>
    <definedName name="ITEM46_3Q21">#REF!</definedName>
    <definedName name="ITEM46_3Q22">#REF!</definedName>
    <definedName name="ITEM46_3Q23">#REF!</definedName>
    <definedName name="ITEM46_3Q24">#REF!</definedName>
    <definedName name="ITEM46_4Q00">#REF!</definedName>
    <definedName name="ITEM46_4Q01">#REF!</definedName>
    <definedName name="ITEM46_4Q02">#REF!</definedName>
    <definedName name="ITEM46_4Q03">#REF!</definedName>
    <definedName name="ITEM46_4Q04">#REF!</definedName>
    <definedName name="ITEM46_4Q05">#REF!</definedName>
    <definedName name="ITEM46_4Q06">#REF!</definedName>
    <definedName name="ITEM46_4Q07">#REF!</definedName>
    <definedName name="ITEM46_4Q08">#REF!</definedName>
    <definedName name="ITEM46_4Q09">#REF!</definedName>
    <definedName name="ITEM46_4Q10">#REF!</definedName>
    <definedName name="ITEM46_4Q11">#REF!</definedName>
    <definedName name="ITEM46_4Q12">#REF!</definedName>
    <definedName name="ITEM46_4Q13">#REF!</definedName>
    <definedName name="ITEM46_4Q14">#REF!</definedName>
    <definedName name="ITEM46_4Q15">#REF!</definedName>
    <definedName name="ITEM46_4Q16">#REF!</definedName>
    <definedName name="ITEM46_4Q17">#REF!</definedName>
    <definedName name="ITEM46_4Q18">#REF!</definedName>
    <definedName name="ITEM46_4Q19">#REF!</definedName>
    <definedName name="ITEM46_4Q20">#REF!</definedName>
    <definedName name="ITEM46_4Q21">#REF!</definedName>
    <definedName name="ITEM46_4Q22">#REF!</definedName>
    <definedName name="ITEM46_4Q23">#REF!</definedName>
    <definedName name="ITEM46_4Q24">#REF!</definedName>
    <definedName name="ITEM47_1995">#REF!</definedName>
    <definedName name="ITEM47_1996">#REF!</definedName>
    <definedName name="ITEM47_1997">#REF!</definedName>
    <definedName name="ITEM47_1998">#REF!</definedName>
    <definedName name="ITEM47_1999">#REF!</definedName>
    <definedName name="ITEM47_1Q00">#REF!</definedName>
    <definedName name="ITEM47_1Q01">#REF!</definedName>
    <definedName name="ITEM47_1Q02">#REF!</definedName>
    <definedName name="ITEM47_1Q03">#REF!</definedName>
    <definedName name="ITEM47_1Q04">#REF!</definedName>
    <definedName name="ITEM47_1Q05">#REF!</definedName>
    <definedName name="ITEM47_1Q06">#REF!</definedName>
    <definedName name="ITEM47_1Q07">#REF!</definedName>
    <definedName name="ITEM47_1Q08">#REF!</definedName>
    <definedName name="ITEM47_1Q09">#REF!</definedName>
    <definedName name="ITEM47_1Q10">#REF!</definedName>
    <definedName name="ITEM47_1Q11">#REF!</definedName>
    <definedName name="ITEM47_1Q12">#REF!</definedName>
    <definedName name="ITEM47_1Q13">#REF!</definedName>
    <definedName name="ITEM47_1Q14">#REF!</definedName>
    <definedName name="ITEM47_1Q15">#REF!</definedName>
    <definedName name="ITEM47_1Q16">#REF!</definedName>
    <definedName name="ITEM47_1Q17">#REF!</definedName>
    <definedName name="ITEM47_1Q18">#REF!</definedName>
    <definedName name="ITEM47_1Q19">#REF!</definedName>
    <definedName name="ITEM47_1Q20">#REF!</definedName>
    <definedName name="ITEM47_1Q21">#REF!</definedName>
    <definedName name="ITEM47_1Q22">#REF!</definedName>
    <definedName name="ITEM47_1Q23">#REF!</definedName>
    <definedName name="ITEM47_1Q24">#REF!</definedName>
    <definedName name="ITEM47_2000">#REF!</definedName>
    <definedName name="ITEM47_2001">#REF!</definedName>
    <definedName name="ITEM47_2002">#REF!</definedName>
    <definedName name="ITEM47_2003">#REF!</definedName>
    <definedName name="ITEM47_2004">#REF!</definedName>
    <definedName name="ITEM47_2005">#REF!</definedName>
    <definedName name="ITEM47_2006">#REF!</definedName>
    <definedName name="ITEM47_2007">#REF!</definedName>
    <definedName name="ITEM47_2008">#REF!</definedName>
    <definedName name="ITEM47_2009">#REF!</definedName>
    <definedName name="ITEM47_2010">#REF!</definedName>
    <definedName name="ITEM47_2011">#REF!</definedName>
    <definedName name="ITEM47_2012">#REF!</definedName>
    <definedName name="ITEM47_2013">#REF!</definedName>
    <definedName name="ITEM47_2014">#REF!</definedName>
    <definedName name="ITEM47_2015">#REF!</definedName>
    <definedName name="ITEM47_2016">#REF!</definedName>
    <definedName name="ITEM47_2017">#REF!</definedName>
    <definedName name="ITEM47_2018">#REF!</definedName>
    <definedName name="ITEM47_2019">#REF!</definedName>
    <definedName name="ITEM47_2020">#REF!</definedName>
    <definedName name="ITEM47_2021">#REF!</definedName>
    <definedName name="ITEM47_2022">#REF!</definedName>
    <definedName name="ITEM47_2023">#REF!</definedName>
    <definedName name="ITEM47_2024">#REF!</definedName>
    <definedName name="ITEM47_2Q00">#REF!</definedName>
    <definedName name="ITEM47_2Q01">#REF!</definedName>
    <definedName name="ITEM47_2Q02">#REF!</definedName>
    <definedName name="ITEM47_2Q03">#REF!</definedName>
    <definedName name="ITEM47_2Q04">#REF!</definedName>
    <definedName name="ITEM47_2Q05">#REF!</definedName>
    <definedName name="ITEM47_2Q06">#REF!</definedName>
    <definedName name="ITEM47_2Q07">#REF!</definedName>
    <definedName name="ITEM47_2Q08">#REF!</definedName>
    <definedName name="ITEM47_2Q09">#REF!</definedName>
    <definedName name="ITEM47_2Q10">#REF!</definedName>
    <definedName name="ITEM47_2Q11">#REF!</definedName>
    <definedName name="ITEM47_2Q12">#REF!</definedName>
    <definedName name="ITEM47_2Q13">#REF!</definedName>
    <definedName name="ITEM47_2Q14">#REF!</definedName>
    <definedName name="ITEM47_2Q15">#REF!</definedName>
    <definedName name="ITEM47_2Q16">#REF!</definedName>
    <definedName name="ITEM47_2Q17">#REF!</definedName>
    <definedName name="ITEM47_2Q18">#REF!</definedName>
    <definedName name="ITEM47_2Q19">#REF!</definedName>
    <definedName name="ITEM47_2Q20">#REF!</definedName>
    <definedName name="ITEM47_2Q21">#REF!</definedName>
    <definedName name="ITEM47_2Q22">#REF!</definedName>
    <definedName name="ITEM47_2Q23">#REF!</definedName>
    <definedName name="ITEM47_2Q24">#REF!</definedName>
    <definedName name="ITEM47_3Q00">#REF!</definedName>
    <definedName name="ITEM47_3Q01">#REF!</definedName>
    <definedName name="ITEM47_3Q02">#REF!</definedName>
    <definedName name="ITEM47_3Q03">#REF!</definedName>
    <definedName name="ITEM47_3Q04">#REF!</definedName>
    <definedName name="ITEM47_3Q05">#REF!</definedName>
    <definedName name="ITEM47_3Q06">#REF!</definedName>
    <definedName name="ITEM47_3Q07">#REF!</definedName>
    <definedName name="ITEM47_3Q08">#REF!</definedName>
    <definedName name="ITEM47_3Q09">#REF!</definedName>
    <definedName name="ITEM47_3Q10">#REF!</definedName>
    <definedName name="ITEM47_3Q11">#REF!</definedName>
    <definedName name="ITEM47_3Q12">#REF!</definedName>
    <definedName name="ITEM47_3Q13">#REF!</definedName>
    <definedName name="ITEM47_3Q14">#REF!</definedName>
    <definedName name="ITEM47_3Q15">#REF!</definedName>
    <definedName name="ITEM47_3Q16">#REF!</definedName>
    <definedName name="ITEM47_3Q17">#REF!</definedName>
    <definedName name="ITEM47_3Q18">#REF!</definedName>
    <definedName name="ITEM47_3Q19">#REF!</definedName>
    <definedName name="ITEM47_3Q20">#REF!</definedName>
    <definedName name="ITEM47_3Q21">#REF!</definedName>
    <definedName name="ITEM47_3Q22">#REF!</definedName>
    <definedName name="ITEM47_3Q23">#REF!</definedName>
    <definedName name="ITEM47_3Q24">#REF!</definedName>
    <definedName name="ITEM47_4Q00">#REF!</definedName>
    <definedName name="ITEM47_4Q01">#REF!</definedName>
    <definedName name="ITEM47_4Q02">#REF!</definedName>
    <definedName name="ITEM47_4Q03">#REF!</definedName>
    <definedName name="ITEM47_4Q04">#REF!</definedName>
    <definedName name="ITEM47_4Q05">#REF!</definedName>
    <definedName name="ITEM47_4Q06">#REF!</definedName>
    <definedName name="ITEM47_4Q07">#REF!</definedName>
    <definedName name="ITEM47_4Q08">#REF!</definedName>
    <definedName name="ITEM47_4Q09">#REF!</definedName>
    <definedName name="ITEM47_4Q10">#REF!</definedName>
    <definedName name="ITEM47_4Q11">#REF!</definedName>
    <definedName name="ITEM47_4Q12">#REF!</definedName>
    <definedName name="ITEM47_4Q13">#REF!</definedName>
    <definedName name="ITEM47_4Q14">#REF!</definedName>
    <definedName name="ITEM47_4Q15">#REF!</definedName>
    <definedName name="ITEM47_4Q16">#REF!</definedName>
    <definedName name="ITEM47_4Q17">#REF!</definedName>
    <definedName name="ITEM47_4Q18">#REF!</definedName>
    <definedName name="ITEM47_4Q19">#REF!</definedName>
    <definedName name="ITEM47_4Q20">#REF!</definedName>
    <definedName name="ITEM47_4Q21">#REF!</definedName>
    <definedName name="ITEM47_4Q22">#REF!</definedName>
    <definedName name="ITEM47_4Q23">#REF!</definedName>
    <definedName name="ITEM47_4Q24">#REF!</definedName>
    <definedName name="ITEM48_1995">#REF!</definedName>
    <definedName name="ITEM48_1996">#REF!</definedName>
    <definedName name="ITEM48_1997">#REF!</definedName>
    <definedName name="ITEM48_1998">#REF!</definedName>
    <definedName name="ITEM48_1999">#REF!</definedName>
    <definedName name="ITEM48_1Q00">#REF!</definedName>
    <definedName name="ITEM48_1Q01">#REF!</definedName>
    <definedName name="ITEM48_1Q02">#REF!</definedName>
    <definedName name="ITEM48_1Q03">#REF!</definedName>
    <definedName name="ITEM48_1Q04">#REF!</definedName>
    <definedName name="ITEM48_1Q05">#REF!</definedName>
    <definedName name="ITEM48_1Q06">#REF!</definedName>
    <definedName name="ITEM48_1Q07">#REF!</definedName>
    <definedName name="ITEM48_1Q08">#REF!</definedName>
    <definedName name="ITEM48_1Q09">#REF!</definedName>
    <definedName name="ITEM48_1Q10">#REF!</definedName>
    <definedName name="ITEM48_1Q11">#REF!</definedName>
    <definedName name="ITEM48_1Q12">#REF!</definedName>
    <definedName name="ITEM48_1Q13">#REF!</definedName>
    <definedName name="ITEM48_1Q14">#REF!</definedName>
    <definedName name="ITEM48_1Q15">#REF!</definedName>
    <definedName name="ITEM48_1Q16">#REF!</definedName>
    <definedName name="ITEM48_1Q17">#REF!</definedName>
    <definedName name="ITEM48_1Q18">#REF!</definedName>
    <definedName name="ITEM48_1Q19">#REF!</definedName>
    <definedName name="ITEM48_1Q20">#REF!</definedName>
    <definedName name="ITEM48_1Q21">#REF!</definedName>
    <definedName name="ITEM48_1Q22">#REF!</definedName>
    <definedName name="ITEM48_1Q23">#REF!</definedName>
    <definedName name="ITEM48_1Q24">#REF!</definedName>
    <definedName name="ITEM48_2000">#REF!</definedName>
    <definedName name="ITEM48_2001">#REF!</definedName>
    <definedName name="ITEM48_2002">#REF!</definedName>
    <definedName name="ITEM48_2003">#REF!</definedName>
    <definedName name="ITEM48_2004">#REF!</definedName>
    <definedName name="ITEM48_2005">#REF!</definedName>
    <definedName name="ITEM48_2006">#REF!</definedName>
    <definedName name="ITEM48_2007">#REF!</definedName>
    <definedName name="ITEM48_2008">#REF!</definedName>
    <definedName name="ITEM48_2009">#REF!</definedName>
    <definedName name="ITEM48_2010">#REF!</definedName>
    <definedName name="ITEM48_2011">#REF!</definedName>
    <definedName name="ITEM48_2012">#REF!</definedName>
    <definedName name="ITEM48_2013">#REF!</definedName>
    <definedName name="ITEM48_2014">#REF!</definedName>
    <definedName name="ITEM48_2015">#REF!</definedName>
    <definedName name="ITEM48_2016">#REF!</definedName>
    <definedName name="ITEM48_2017">#REF!</definedName>
    <definedName name="ITEM48_2018">#REF!</definedName>
    <definedName name="ITEM48_2019">#REF!</definedName>
    <definedName name="ITEM48_2020">#REF!</definedName>
    <definedName name="ITEM48_2021">#REF!</definedName>
    <definedName name="ITEM48_2022">#REF!</definedName>
    <definedName name="ITEM48_2023">#REF!</definedName>
    <definedName name="ITEM48_2024">#REF!</definedName>
    <definedName name="ITEM48_2Q00">#REF!</definedName>
    <definedName name="ITEM48_2Q01">#REF!</definedName>
    <definedName name="ITEM48_2Q02">#REF!</definedName>
    <definedName name="ITEM48_2Q03">#REF!</definedName>
    <definedName name="ITEM48_2Q04">#REF!</definedName>
    <definedName name="ITEM48_2Q05">#REF!</definedName>
    <definedName name="ITEM48_2Q06">#REF!</definedName>
    <definedName name="ITEM48_2Q07">#REF!</definedName>
    <definedName name="ITEM48_2Q08">#REF!</definedName>
    <definedName name="ITEM48_2Q09">#REF!</definedName>
    <definedName name="ITEM48_2Q10">#REF!</definedName>
    <definedName name="ITEM48_2Q11">#REF!</definedName>
    <definedName name="ITEM48_2Q12">#REF!</definedName>
    <definedName name="ITEM48_2Q13">#REF!</definedName>
    <definedName name="ITEM48_2Q14">#REF!</definedName>
    <definedName name="ITEM48_2Q15">#REF!</definedName>
    <definedName name="ITEM48_2Q16">#REF!</definedName>
    <definedName name="ITEM48_2Q17">#REF!</definedName>
    <definedName name="ITEM48_2Q18">#REF!</definedName>
    <definedName name="ITEM48_2Q19">#REF!</definedName>
    <definedName name="ITEM48_2Q20">#REF!</definedName>
    <definedName name="ITEM48_2Q21">#REF!</definedName>
    <definedName name="ITEM48_2Q22">#REF!</definedName>
    <definedName name="ITEM48_2Q23">#REF!</definedName>
    <definedName name="ITEM48_2Q24">#REF!</definedName>
    <definedName name="ITEM48_3Q00">#REF!</definedName>
    <definedName name="ITEM48_3Q01">#REF!</definedName>
    <definedName name="ITEM48_3Q02">#REF!</definedName>
    <definedName name="ITEM48_3Q03">#REF!</definedName>
    <definedName name="ITEM48_3Q04">#REF!</definedName>
    <definedName name="ITEM48_3Q05">#REF!</definedName>
    <definedName name="ITEM48_3Q06">#REF!</definedName>
    <definedName name="ITEM48_3Q07">#REF!</definedName>
    <definedName name="ITEM48_3Q08">#REF!</definedName>
    <definedName name="ITEM48_3Q09">#REF!</definedName>
    <definedName name="ITEM48_3Q10">#REF!</definedName>
    <definedName name="ITEM48_3Q11">#REF!</definedName>
    <definedName name="ITEM48_3Q12">#REF!</definedName>
    <definedName name="ITEM48_3Q13">#REF!</definedName>
    <definedName name="ITEM48_3Q14">#REF!</definedName>
    <definedName name="ITEM48_3Q15">#REF!</definedName>
    <definedName name="ITEM48_3Q16">#REF!</definedName>
    <definedName name="ITEM48_3Q17">#REF!</definedName>
    <definedName name="ITEM48_3Q18">#REF!</definedName>
    <definedName name="ITEM48_3Q19">#REF!</definedName>
    <definedName name="ITEM48_3Q20">#REF!</definedName>
    <definedName name="ITEM48_3Q21">#REF!</definedName>
    <definedName name="ITEM48_3Q22">#REF!</definedName>
    <definedName name="ITEM48_3Q23">#REF!</definedName>
    <definedName name="ITEM48_3Q24">#REF!</definedName>
    <definedName name="ITEM48_4Q00">#REF!</definedName>
    <definedName name="ITEM48_4Q01">#REF!</definedName>
    <definedName name="ITEM48_4Q02">#REF!</definedName>
    <definedName name="ITEM48_4Q03">#REF!</definedName>
    <definedName name="ITEM48_4Q04">#REF!</definedName>
    <definedName name="ITEM48_4Q05">#REF!</definedName>
    <definedName name="ITEM48_4Q06">#REF!</definedName>
    <definedName name="ITEM48_4Q07">#REF!</definedName>
    <definedName name="ITEM48_4Q08">#REF!</definedName>
    <definedName name="ITEM48_4Q09">#REF!</definedName>
    <definedName name="ITEM48_4Q10">#REF!</definedName>
    <definedName name="ITEM48_4Q11">#REF!</definedName>
    <definedName name="ITEM48_4Q12">#REF!</definedName>
    <definedName name="ITEM48_4Q13">#REF!</definedName>
    <definedName name="ITEM48_4Q14">#REF!</definedName>
    <definedName name="ITEM48_4Q15">#REF!</definedName>
    <definedName name="ITEM48_4Q16">#REF!</definedName>
    <definedName name="ITEM48_4Q17">#REF!</definedName>
    <definedName name="ITEM48_4Q18">#REF!</definedName>
    <definedName name="ITEM48_4Q19">#REF!</definedName>
    <definedName name="ITEM48_4Q20">#REF!</definedName>
    <definedName name="ITEM48_4Q21">#REF!</definedName>
    <definedName name="ITEM48_4Q22">#REF!</definedName>
    <definedName name="ITEM48_4Q23">#REF!</definedName>
    <definedName name="ITEM48_4Q24">#REF!</definedName>
    <definedName name="ITEM49_1995">#REF!</definedName>
    <definedName name="ITEM49_1996">#REF!</definedName>
    <definedName name="ITEM49_1997">#REF!</definedName>
    <definedName name="ITEM49_1998">#REF!</definedName>
    <definedName name="ITEM49_1999">#REF!</definedName>
    <definedName name="ITEM49_1Q00">#REF!</definedName>
    <definedName name="ITEM49_1Q01">#REF!</definedName>
    <definedName name="ITEM49_1Q02">#REF!</definedName>
    <definedName name="ITEM49_1Q03">#REF!</definedName>
    <definedName name="ITEM49_1Q04">#REF!</definedName>
    <definedName name="ITEM49_1Q05">#REF!</definedName>
    <definedName name="ITEM49_1Q06">#REF!</definedName>
    <definedName name="ITEM49_1Q07">#REF!</definedName>
    <definedName name="ITEM49_1Q08">#REF!</definedName>
    <definedName name="ITEM49_1Q09">#REF!</definedName>
    <definedName name="ITEM49_1Q10">#REF!</definedName>
    <definedName name="ITEM49_1Q11">#REF!</definedName>
    <definedName name="ITEM49_1Q12">#REF!</definedName>
    <definedName name="ITEM49_1Q13">#REF!</definedName>
    <definedName name="ITEM49_1Q14">#REF!</definedName>
    <definedName name="ITEM49_1Q15">#REF!</definedName>
    <definedName name="ITEM49_1Q16">#REF!</definedName>
    <definedName name="ITEM49_1Q17">#REF!</definedName>
    <definedName name="ITEM49_1Q18">#REF!</definedName>
    <definedName name="ITEM49_1Q19">#REF!</definedName>
    <definedName name="ITEM49_1Q20">#REF!</definedName>
    <definedName name="ITEM49_1Q21">#REF!</definedName>
    <definedName name="ITEM49_1Q22">#REF!</definedName>
    <definedName name="ITEM49_1Q23">#REF!</definedName>
    <definedName name="ITEM49_1Q24">#REF!</definedName>
    <definedName name="ITEM49_2000">#REF!</definedName>
    <definedName name="ITEM49_2001">#REF!</definedName>
    <definedName name="ITEM49_2002">#REF!</definedName>
    <definedName name="ITEM49_2003">#REF!</definedName>
    <definedName name="ITEM49_2004">#REF!</definedName>
    <definedName name="ITEM49_2005">#REF!</definedName>
    <definedName name="ITEM49_2006">#REF!</definedName>
    <definedName name="ITEM49_2007">#REF!</definedName>
    <definedName name="ITEM49_2008">#REF!</definedName>
    <definedName name="ITEM49_2009">#REF!</definedName>
    <definedName name="ITEM49_2010">#REF!</definedName>
    <definedName name="ITEM49_2011">#REF!</definedName>
    <definedName name="ITEM49_2012">#REF!</definedName>
    <definedName name="ITEM49_2013">#REF!</definedName>
    <definedName name="ITEM49_2014">#REF!</definedName>
    <definedName name="ITEM49_2015">#REF!</definedName>
    <definedName name="ITEM49_2016">#REF!</definedName>
    <definedName name="ITEM49_2017">#REF!</definedName>
    <definedName name="ITEM49_2018">#REF!</definedName>
    <definedName name="ITEM49_2019">#REF!</definedName>
    <definedName name="ITEM49_2020">#REF!</definedName>
    <definedName name="ITEM49_2021">#REF!</definedName>
    <definedName name="ITEM49_2022">#REF!</definedName>
    <definedName name="ITEM49_2023">#REF!</definedName>
    <definedName name="ITEM49_2024">#REF!</definedName>
    <definedName name="ITEM49_2Q00">#REF!</definedName>
    <definedName name="ITEM49_2Q01">#REF!</definedName>
    <definedName name="ITEM49_2Q02">#REF!</definedName>
    <definedName name="ITEM49_2Q03">#REF!</definedName>
    <definedName name="ITEM49_2Q04">#REF!</definedName>
    <definedName name="ITEM49_2Q05">#REF!</definedName>
    <definedName name="ITEM49_2Q06">#REF!</definedName>
    <definedName name="ITEM49_2Q07">#REF!</definedName>
    <definedName name="ITEM49_2Q08">#REF!</definedName>
    <definedName name="ITEM49_2Q09">#REF!</definedName>
    <definedName name="ITEM49_2Q10">#REF!</definedName>
    <definedName name="ITEM49_2Q11">#REF!</definedName>
    <definedName name="ITEM49_2Q12">#REF!</definedName>
    <definedName name="ITEM49_2Q13">#REF!</definedName>
    <definedName name="ITEM49_2Q14">#REF!</definedName>
    <definedName name="ITEM49_2Q15">#REF!</definedName>
    <definedName name="ITEM49_2Q16">#REF!</definedName>
    <definedName name="ITEM49_2Q17">#REF!</definedName>
    <definedName name="ITEM49_2Q18">#REF!</definedName>
    <definedName name="ITEM49_2Q19">#REF!</definedName>
    <definedName name="ITEM49_2Q20">#REF!</definedName>
    <definedName name="ITEM49_2Q21">#REF!</definedName>
    <definedName name="ITEM49_2Q22">#REF!</definedName>
    <definedName name="ITEM49_2Q23">#REF!</definedName>
    <definedName name="ITEM49_2Q24">#REF!</definedName>
    <definedName name="ITEM49_3Q00">#REF!</definedName>
    <definedName name="ITEM49_3Q01">#REF!</definedName>
    <definedName name="ITEM49_3Q02">#REF!</definedName>
    <definedName name="ITEM49_3Q03">#REF!</definedName>
    <definedName name="ITEM49_3Q04">#REF!</definedName>
    <definedName name="ITEM49_3Q05">#REF!</definedName>
    <definedName name="ITEM49_3Q06">#REF!</definedName>
    <definedName name="ITEM49_3Q07">#REF!</definedName>
    <definedName name="ITEM49_3Q08">#REF!</definedName>
    <definedName name="ITEM49_3Q09">#REF!</definedName>
    <definedName name="ITEM49_3Q10">#REF!</definedName>
    <definedName name="ITEM49_3Q11">#REF!</definedName>
    <definedName name="ITEM49_3Q12">#REF!</definedName>
    <definedName name="ITEM49_3Q13">#REF!</definedName>
    <definedName name="ITEM49_3Q14">#REF!</definedName>
    <definedName name="ITEM49_3Q15">#REF!</definedName>
    <definedName name="ITEM49_3Q16">#REF!</definedName>
    <definedName name="ITEM49_3Q17">#REF!</definedName>
    <definedName name="ITEM49_3Q18">#REF!</definedName>
    <definedName name="ITEM49_3Q19">#REF!</definedName>
    <definedName name="ITEM49_3Q20">#REF!</definedName>
    <definedName name="ITEM49_3Q21">#REF!</definedName>
    <definedName name="ITEM49_3Q22">#REF!</definedName>
    <definedName name="ITEM49_3Q23">#REF!</definedName>
    <definedName name="ITEM49_3Q24">#REF!</definedName>
    <definedName name="ITEM49_4Q00">#REF!</definedName>
    <definedName name="ITEM49_4Q01">#REF!</definedName>
    <definedName name="ITEM49_4Q02">#REF!</definedName>
    <definedName name="ITEM49_4Q03">#REF!</definedName>
    <definedName name="ITEM49_4Q04">#REF!</definedName>
    <definedName name="ITEM49_4Q05">#REF!</definedName>
    <definedName name="ITEM49_4Q06">#REF!</definedName>
    <definedName name="ITEM49_4Q07">#REF!</definedName>
    <definedName name="ITEM49_4Q08">#REF!</definedName>
    <definedName name="ITEM49_4Q09">#REF!</definedName>
    <definedName name="ITEM49_4Q10">#REF!</definedName>
    <definedName name="ITEM49_4Q11">#REF!</definedName>
    <definedName name="ITEM49_4Q12">#REF!</definedName>
    <definedName name="ITEM49_4Q13">#REF!</definedName>
    <definedName name="ITEM49_4Q14">#REF!</definedName>
    <definedName name="ITEM49_4Q15">#REF!</definedName>
    <definedName name="ITEM49_4Q16">#REF!</definedName>
    <definedName name="ITEM49_4Q17">#REF!</definedName>
    <definedName name="ITEM49_4Q18">#REF!</definedName>
    <definedName name="ITEM49_4Q19">#REF!</definedName>
    <definedName name="ITEM49_4Q20">#REF!</definedName>
    <definedName name="ITEM49_4Q21">#REF!</definedName>
    <definedName name="ITEM49_4Q22">#REF!</definedName>
    <definedName name="ITEM49_4Q23">#REF!</definedName>
    <definedName name="ITEM49_4Q24">#REF!</definedName>
    <definedName name="ITEM5_1995">#REF!</definedName>
    <definedName name="ITEM5_1996">#REF!</definedName>
    <definedName name="ITEM5_1997">#REF!</definedName>
    <definedName name="ITEM5_1998">#REF!</definedName>
    <definedName name="ITEM5_1999">#REF!</definedName>
    <definedName name="ITEM5_1Q00">#REF!</definedName>
    <definedName name="ITEM5_1Q01">#REF!</definedName>
    <definedName name="ITEM5_1Q02">#REF!</definedName>
    <definedName name="ITEM5_1Q03">#REF!</definedName>
    <definedName name="ITEM5_1Q04">#REF!</definedName>
    <definedName name="ITEM5_1Q05">#REF!</definedName>
    <definedName name="ITEM5_1Q06">#REF!</definedName>
    <definedName name="ITEM5_1Q07">#REF!</definedName>
    <definedName name="ITEM5_1Q08">#REF!</definedName>
    <definedName name="ITEM5_1Q09">#REF!</definedName>
    <definedName name="ITEM5_1Q10">#REF!</definedName>
    <definedName name="ITEM5_1Q11">#REF!</definedName>
    <definedName name="ITEM5_1Q12">#REF!</definedName>
    <definedName name="ITEM5_1Q13">#REF!</definedName>
    <definedName name="ITEM5_1Q14">#REF!</definedName>
    <definedName name="ITEM5_1Q15">#REF!</definedName>
    <definedName name="ITEM5_1Q16">#REF!</definedName>
    <definedName name="ITEM5_1Q17">#REF!</definedName>
    <definedName name="ITEM5_1Q18">#REF!</definedName>
    <definedName name="ITEM5_1Q19">#REF!</definedName>
    <definedName name="ITEM5_1Q20">#REF!</definedName>
    <definedName name="ITEM5_1Q21">#REF!</definedName>
    <definedName name="ITEM5_1Q22">#REF!</definedName>
    <definedName name="ITEM5_1Q23">#REF!</definedName>
    <definedName name="ITEM5_1Q24">#REF!</definedName>
    <definedName name="ITEM5_2000">#REF!</definedName>
    <definedName name="ITEM5_2001">#REF!</definedName>
    <definedName name="ITEM5_2002">#REF!</definedName>
    <definedName name="ITEM5_2003">#REF!</definedName>
    <definedName name="ITEM5_2004">#REF!</definedName>
    <definedName name="ITEM5_2005">#REF!</definedName>
    <definedName name="ITEM5_2006">#REF!</definedName>
    <definedName name="ITEM5_2007">#REF!</definedName>
    <definedName name="ITEM5_2008">#REF!</definedName>
    <definedName name="ITEM5_2009">#REF!</definedName>
    <definedName name="ITEM5_2010">#REF!</definedName>
    <definedName name="ITEM5_2011">#REF!</definedName>
    <definedName name="ITEM5_2012">#REF!</definedName>
    <definedName name="ITEM5_2013">#REF!</definedName>
    <definedName name="ITEM5_2014">#REF!</definedName>
    <definedName name="ITEM5_2015">#REF!</definedName>
    <definedName name="ITEM5_2016">#REF!</definedName>
    <definedName name="ITEM5_2017">#REF!</definedName>
    <definedName name="ITEM5_2018">#REF!</definedName>
    <definedName name="ITEM5_2019">#REF!</definedName>
    <definedName name="ITEM5_2020">#REF!</definedName>
    <definedName name="ITEM5_2021">#REF!</definedName>
    <definedName name="ITEM5_2022">#REF!</definedName>
    <definedName name="ITEM5_2023">#REF!</definedName>
    <definedName name="ITEM5_2024">#REF!</definedName>
    <definedName name="ITEM5_2Q00">#REF!</definedName>
    <definedName name="ITEM5_2Q01">#REF!</definedName>
    <definedName name="ITEM5_2Q02">#REF!</definedName>
    <definedName name="ITEM5_2Q03">#REF!</definedName>
    <definedName name="ITEM5_2Q04">#REF!</definedName>
    <definedName name="ITEM5_2Q05">#REF!</definedName>
    <definedName name="ITEM5_2Q06">#REF!</definedName>
    <definedName name="ITEM5_2Q07">#REF!</definedName>
    <definedName name="ITEM5_2Q08">#REF!</definedName>
    <definedName name="ITEM5_2Q09">#REF!</definedName>
    <definedName name="ITEM5_2Q10">#REF!</definedName>
    <definedName name="ITEM5_2Q11">#REF!</definedName>
    <definedName name="ITEM5_2Q12">#REF!</definedName>
    <definedName name="ITEM5_2Q13">#REF!</definedName>
    <definedName name="ITEM5_2Q14">#REF!</definedName>
    <definedName name="ITEM5_2Q15">#REF!</definedName>
    <definedName name="ITEM5_2Q16">#REF!</definedName>
    <definedName name="ITEM5_2Q17">#REF!</definedName>
    <definedName name="ITEM5_2Q18">#REF!</definedName>
    <definedName name="ITEM5_2Q19">#REF!</definedName>
    <definedName name="ITEM5_2Q20">#REF!</definedName>
    <definedName name="ITEM5_2Q21">#REF!</definedName>
    <definedName name="ITEM5_2Q22">#REF!</definedName>
    <definedName name="ITEM5_2Q23">#REF!</definedName>
    <definedName name="ITEM5_2Q24">#REF!</definedName>
    <definedName name="ITEM5_3Q00">#REF!</definedName>
    <definedName name="ITEM5_3Q01">#REF!</definedName>
    <definedName name="ITEM5_3Q02">#REF!</definedName>
    <definedName name="ITEM5_3Q03">#REF!</definedName>
    <definedName name="ITEM5_3Q04">#REF!</definedName>
    <definedName name="ITEM5_3Q05">#REF!</definedName>
    <definedName name="ITEM5_3Q06">#REF!</definedName>
    <definedName name="ITEM5_3Q07">#REF!</definedName>
    <definedName name="ITEM5_3Q08">#REF!</definedName>
    <definedName name="ITEM5_3Q09">#REF!</definedName>
    <definedName name="ITEM5_3Q10">#REF!</definedName>
    <definedName name="ITEM5_3Q11">#REF!</definedName>
    <definedName name="ITEM5_3Q12">#REF!</definedName>
    <definedName name="ITEM5_3Q13">#REF!</definedName>
    <definedName name="ITEM5_3Q14">#REF!</definedName>
    <definedName name="ITEM5_3Q15">#REF!</definedName>
    <definedName name="ITEM5_3Q16">#REF!</definedName>
    <definedName name="ITEM5_3Q17">#REF!</definedName>
    <definedName name="ITEM5_3Q18">#REF!</definedName>
    <definedName name="ITEM5_3Q19">#REF!</definedName>
    <definedName name="ITEM5_3Q20">#REF!</definedName>
    <definedName name="ITEM5_3Q21">#REF!</definedName>
    <definedName name="ITEM5_3Q22">#REF!</definedName>
    <definedName name="ITEM5_3Q23">#REF!</definedName>
    <definedName name="ITEM5_3Q24">#REF!</definedName>
    <definedName name="ITEM5_4Q00">#REF!</definedName>
    <definedName name="ITEM5_4Q01">#REF!</definedName>
    <definedName name="ITEM5_4Q02">#REF!</definedName>
    <definedName name="ITEM5_4Q03">#REF!</definedName>
    <definedName name="ITEM5_4Q04">#REF!</definedName>
    <definedName name="ITEM5_4Q05">#REF!</definedName>
    <definedName name="ITEM5_4Q06">#REF!</definedName>
    <definedName name="ITEM5_4Q07">#REF!</definedName>
    <definedName name="ITEM5_4Q08">#REF!</definedName>
    <definedName name="ITEM5_4Q09">#REF!</definedName>
    <definedName name="ITEM5_4Q10">#REF!</definedName>
    <definedName name="ITEM5_4Q11">#REF!</definedName>
    <definedName name="ITEM5_4Q12">#REF!</definedName>
    <definedName name="ITEM5_4Q13">#REF!</definedName>
    <definedName name="ITEM5_4Q14">#REF!</definedName>
    <definedName name="ITEM5_4Q15">#REF!</definedName>
    <definedName name="ITEM5_4Q16">#REF!</definedName>
    <definedName name="ITEM5_4Q17">#REF!</definedName>
    <definedName name="ITEM5_4Q18">#REF!</definedName>
    <definedName name="ITEM5_4Q19">#REF!</definedName>
    <definedName name="ITEM5_4Q20">#REF!</definedName>
    <definedName name="ITEM5_4Q21">#REF!</definedName>
    <definedName name="ITEM5_4Q22">#REF!</definedName>
    <definedName name="ITEM5_4Q23">#REF!</definedName>
    <definedName name="ITEM5_4Q24">#REF!</definedName>
    <definedName name="ITEM50_1995">#REF!</definedName>
    <definedName name="ITEM50_1996">#REF!</definedName>
    <definedName name="ITEM50_1997">#REF!</definedName>
    <definedName name="ITEM50_1998">#REF!</definedName>
    <definedName name="ITEM50_1999">#REF!</definedName>
    <definedName name="ITEM50_1Q00">#REF!</definedName>
    <definedName name="ITEM50_1Q01">#REF!</definedName>
    <definedName name="ITEM50_1Q02">#REF!</definedName>
    <definedName name="ITEM50_1Q03">#REF!</definedName>
    <definedName name="ITEM50_1Q04">#REF!</definedName>
    <definedName name="ITEM50_1Q05">#REF!</definedName>
    <definedName name="ITEM50_1Q06">#REF!</definedName>
    <definedName name="ITEM50_1Q07">#REF!</definedName>
    <definedName name="ITEM50_1Q08">#REF!</definedName>
    <definedName name="ITEM50_1Q09">#REF!</definedName>
    <definedName name="ITEM50_1Q10">#REF!</definedName>
    <definedName name="ITEM50_1Q11">#REF!</definedName>
    <definedName name="ITEM50_1Q12">#REF!</definedName>
    <definedName name="ITEM50_1Q13">#REF!</definedName>
    <definedName name="ITEM50_1Q14">#REF!</definedName>
    <definedName name="ITEM50_1Q15">#REF!</definedName>
    <definedName name="ITEM50_1Q16">#REF!</definedName>
    <definedName name="ITEM50_1Q17">#REF!</definedName>
    <definedName name="ITEM50_1Q18">#REF!</definedName>
    <definedName name="ITEM50_1Q19">#REF!</definedName>
    <definedName name="ITEM50_1Q20">#REF!</definedName>
    <definedName name="ITEM50_1Q21">#REF!</definedName>
    <definedName name="ITEM50_1Q22">#REF!</definedName>
    <definedName name="ITEM50_1Q23">#REF!</definedName>
    <definedName name="ITEM50_1Q24">#REF!</definedName>
    <definedName name="ITEM50_2000">#REF!</definedName>
    <definedName name="ITEM50_2001">#REF!</definedName>
    <definedName name="ITEM50_2002">#REF!</definedName>
    <definedName name="ITEM50_2003">#REF!</definedName>
    <definedName name="ITEM50_2004">#REF!</definedName>
    <definedName name="ITEM50_2005">#REF!</definedName>
    <definedName name="ITEM50_2006">#REF!</definedName>
    <definedName name="ITEM50_2007">#REF!</definedName>
    <definedName name="ITEM50_2008">#REF!</definedName>
    <definedName name="ITEM50_2009">#REF!</definedName>
    <definedName name="ITEM50_2010">#REF!</definedName>
    <definedName name="ITEM50_2011">#REF!</definedName>
    <definedName name="ITEM50_2012">#REF!</definedName>
    <definedName name="ITEM50_2013">#REF!</definedName>
    <definedName name="ITEM50_2014">#REF!</definedName>
    <definedName name="ITEM50_2015">#REF!</definedName>
    <definedName name="ITEM50_2016">#REF!</definedName>
    <definedName name="ITEM50_2017">#REF!</definedName>
    <definedName name="ITEM50_2018">#REF!</definedName>
    <definedName name="ITEM50_2019">#REF!</definedName>
    <definedName name="ITEM50_2020">#REF!</definedName>
    <definedName name="ITEM50_2021">#REF!</definedName>
    <definedName name="ITEM50_2022">#REF!</definedName>
    <definedName name="ITEM50_2023">#REF!</definedName>
    <definedName name="ITEM50_2024">#REF!</definedName>
    <definedName name="ITEM50_2Q00">#REF!</definedName>
    <definedName name="ITEM50_2Q01">#REF!</definedName>
    <definedName name="ITEM50_2Q02">#REF!</definedName>
    <definedName name="ITEM50_2Q03">#REF!</definedName>
    <definedName name="ITEM50_2Q04">#REF!</definedName>
    <definedName name="ITEM50_2Q05">#REF!</definedName>
    <definedName name="ITEM50_2Q06">#REF!</definedName>
    <definedName name="ITEM50_2Q07">#REF!</definedName>
    <definedName name="ITEM50_2Q08">#REF!</definedName>
    <definedName name="ITEM50_2Q09">#REF!</definedName>
    <definedName name="ITEM50_2Q10">#REF!</definedName>
    <definedName name="ITEM50_2Q11">#REF!</definedName>
    <definedName name="ITEM50_2Q12">#REF!</definedName>
    <definedName name="ITEM50_2Q13">#REF!</definedName>
    <definedName name="ITEM50_2Q14">#REF!</definedName>
    <definedName name="ITEM50_2Q15">#REF!</definedName>
    <definedName name="ITEM50_2Q16">#REF!</definedName>
    <definedName name="ITEM50_2Q17">#REF!</definedName>
    <definedName name="ITEM50_2Q18">#REF!</definedName>
    <definedName name="ITEM50_2Q19">#REF!</definedName>
    <definedName name="ITEM50_2Q20">#REF!</definedName>
    <definedName name="ITEM50_2Q21">#REF!</definedName>
    <definedName name="ITEM50_2Q22">#REF!</definedName>
    <definedName name="ITEM50_2Q23">#REF!</definedName>
    <definedName name="ITEM50_2Q24">#REF!</definedName>
    <definedName name="ITEM50_3Q00">#REF!</definedName>
    <definedName name="ITEM50_3Q01">#REF!</definedName>
    <definedName name="ITEM50_3Q02">#REF!</definedName>
    <definedName name="ITEM50_3Q03">#REF!</definedName>
    <definedName name="ITEM50_3Q04">#REF!</definedName>
    <definedName name="ITEM50_3Q05">#REF!</definedName>
    <definedName name="ITEM50_3Q06">#REF!</definedName>
    <definedName name="ITEM50_3Q07">#REF!</definedName>
    <definedName name="ITEM50_3Q08">#REF!</definedName>
    <definedName name="ITEM50_3Q09">#REF!</definedName>
    <definedName name="ITEM50_3Q10">#REF!</definedName>
    <definedName name="ITEM50_3Q11">#REF!</definedName>
    <definedName name="ITEM50_3Q12">#REF!</definedName>
    <definedName name="ITEM50_3Q13">#REF!</definedName>
    <definedName name="ITEM50_3Q14">#REF!</definedName>
    <definedName name="ITEM50_3Q15">#REF!</definedName>
    <definedName name="ITEM50_3Q16">#REF!</definedName>
    <definedName name="ITEM50_3Q17">#REF!</definedName>
    <definedName name="ITEM50_3Q18">#REF!</definedName>
    <definedName name="ITEM50_3Q19">#REF!</definedName>
    <definedName name="ITEM50_3Q20">#REF!</definedName>
    <definedName name="ITEM50_3Q21">#REF!</definedName>
    <definedName name="ITEM50_3Q22">#REF!</definedName>
    <definedName name="ITEM50_3Q23">#REF!</definedName>
    <definedName name="ITEM50_3Q24">#REF!</definedName>
    <definedName name="ITEM50_4Q00">#REF!</definedName>
    <definedName name="ITEM50_4Q01">#REF!</definedName>
    <definedName name="ITEM50_4Q02">#REF!</definedName>
    <definedName name="ITEM50_4Q03">#REF!</definedName>
    <definedName name="ITEM50_4Q04">#REF!</definedName>
    <definedName name="ITEM50_4Q05">#REF!</definedName>
    <definedName name="ITEM50_4Q06">#REF!</definedName>
    <definedName name="ITEM50_4Q07">#REF!</definedName>
    <definedName name="ITEM50_4Q08">#REF!</definedName>
    <definedName name="ITEM50_4Q09">#REF!</definedName>
    <definedName name="ITEM50_4Q10">#REF!</definedName>
    <definedName name="ITEM50_4Q11">#REF!</definedName>
    <definedName name="ITEM50_4Q12">#REF!</definedName>
    <definedName name="ITEM50_4Q13">#REF!</definedName>
    <definedName name="ITEM50_4Q14">#REF!</definedName>
    <definedName name="ITEM50_4Q15">#REF!</definedName>
    <definedName name="ITEM50_4Q16">#REF!</definedName>
    <definedName name="ITEM50_4Q17">#REF!</definedName>
    <definedName name="ITEM50_4Q18">#REF!</definedName>
    <definedName name="ITEM50_4Q19">#REF!</definedName>
    <definedName name="ITEM50_4Q20">#REF!</definedName>
    <definedName name="ITEM50_4Q21">#REF!</definedName>
    <definedName name="ITEM50_4Q22">#REF!</definedName>
    <definedName name="ITEM50_4Q23">#REF!</definedName>
    <definedName name="ITEM50_4Q24">#REF!</definedName>
    <definedName name="ITEM6_1995">#REF!</definedName>
    <definedName name="ITEM6_1996">#REF!</definedName>
    <definedName name="ITEM6_1997">#REF!</definedName>
    <definedName name="ITEM6_1998">#REF!</definedName>
    <definedName name="ITEM6_1999">#REF!</definedName>
    <definedName name="ITEM6_1Q00">#REF!</definedName>
    <definedName name="ITEM6_1Q01">#REF!</definedName>
    <definedName name="ITEM6_1Q02">#REF!</definedName>
    <definedName name="ITEM6_1Q03">#REF!</definedName>
    <definedName name="ITEM6_1Q04">#REF!</definedName>
    <definedName name="ITEM6_1Q05">#REF!</definedName>
    <definedName name="ITEM6_1Q06">#REF!</definedName>
    <definedName name="ITEM6_1Q07">#REF!</definedName>
    <definedName name="ITEM6_1Q08">#REF!</definedName>
    <definedName name="ITEM6_1Q09">#REF!</definedName>
    <definedName name="ITEM6_1Q10">#REF!</definedName>
    <definedName name="ITEM6_1Q11">#REF!</definedName>
    <definedName name="ITEM6_1Q12">#REF!</definedName>
    <definedName name="ITEM6_1Q13">#REF!</definedName>
    <definedName name="ITEM6_1Q14">#REF!</definedName>
    <definedName name="ITEM6_1Q15">#REF!</definedName>
    <definedName name="ITEM6_1Q16">#REF!</definedName>
    <definedName name="ITEM6_1Q17">#REF!</definedName>
    <definedName name="ITEM6_1Q18">#REF!</definedName>
    <definedName name="ITEM6_1Q19">#REF!</definedName>
    <definedName name="ITEM6_1Q20">#REF!</definedName>
    <definedName name="ITEM6_1Q21">#REF!</definedName>
    <definedName name="ITEM6_1Q22">#REF!</definedName>
    <definedName name="ITEM6_1Q23">#REF!</definedName>
    <definedName name="ITEM6_1Q24">#REF!</definedName>
    <definedName name="ITEM6_2000">#REF!</definedName>
    <definedName name="ITEM6_2001">#REF!</definedName>
    <definedName name="ITEM6_2002">#REF!</definedName>
    <definedName name="ITEM6_2003">#REF!</definedName>
    <definedName name="ITEM6_2004">#REF!</definedName>
    <definedName name="ITEM6_2005">#REF!</definedName>
    <definedName name="ITEM6_2006">#REF!</definedName>
    <definedName name="ITEM6_2007">#REF!</definedName>
    <definedName name="ITEM6_2008">#REF!</definedName>
    <definedName name="ITEM6_2009">#REF!</definedName>
    <definedName name="ITEM6_2010">#REF!</definedName>
    <definedName name="ITEM6_2011">#REF!</definedName>
    <definedName name="ITEM6_2012">#REF!</definedName>
    <definedName name="ITEM6_2013">#REF!</definedName>
    <definedName name="ITEM6_2014">#REF!</definedName>
    <definedName name="ITEM6_2015">#REF!</definedName>
    <definedName name="ITEM6_2016">#REF!</definedName>
    <definedName name="ITEM6_2017">#REF!</definedName>
    <definedName name="ITEM6_2018">#REF!</definedName>
    <definedName name="ITEM6_2019">#REF!</definedName>
    <definedName name="ITEM6_2020">#REF!</definedName>
    <definedName name="ITEM6_2021">#REF!</definedName>
    <definedName name="ITEM6_2022">#REF!</definedName>
    <definedName name="ITEM6_2023">#REF!</definedName>
    <definedName name="ITEM6_2024">#REF!</definedName>
    <definedName name="ITEM6_2Q00">#REF!</definedName>
    <definedName name="ITEM6_2Q01">#REF!</definedName>
    <definedName name="ITEM6_2Q02">#REF!</definedName>
    <definedName name="ITEM6_2Q03">#REF!</definedName>
    <definedName name="ITEM6_2Q04">#REF!</definedName>
    <definedName name="ITEM6_2Q05">#REF!</definedName>
    <definedName name="ITEM6_2Q06">#REF!</definedName>
    <definedName name="ITEM6_2Q07">#REF!</definedName>
    <definedName name="ITEM6_2Q08">#REF!</definedName>
    <definedName name="ITEM6_2Q09">#REF!</definedName>
    <definedName name="ITEM6_2Q10">#REF!</definedName>
    <definedName name="ITEM6_2Q11">#REF!</definedName>
    <definedName name="ITEM6_2Q12">#REF!</definedName>
    <definedName name="ITEM6_2Q13">#REF!</definedName>
    <definedName name="ITEM6_2Q14">#REF!</definedName>
    <definedName name="ITEM6_2Q15">#REF!</definedName>
    <definedName name="ITEM6_2Q16">#REF!</definedName>
    <definedName name="ITEM6_2Q17">#REF!</definedName>
    <definedName name="ITEM6_2Q18">#REF!</definedName>
    <definedName name="ITEM6_2Q19">#REF!</definedName>
    <definedName name="ITEM6_2Q20">#REF!</definedName>
    <definedName name="ITEM6_2Q21">#REF!</definedName>
    <definedName name="ITEM6_2Q22">#REF!</definedName>
    <definedName name="ITEM6_2Q23">#REF!</definedName>
    <definedName name="ITEM6_2Q24">#REF!</definedName>
    <definedName name="ITEM6_3Q00">#REF!</definedName>
    <definedName name="ITEM6_3Q01">#REF!</definedName>
    <definedName name="ITEM6_3Q02">#REF!</definedName>
    <definedName name="ITEM6_3Q03">#REF!</definedName>
    <definedName name="ITEM6_3Q04">#REF!</definedName>
    <definedName name="ITEM6_3Q05">#REF!</definedName>
    <definedName name="ITEM6_3Q06">#REF!</definedName>
    <definedName name="ITEM6_3Q07">#REF!</definedName>
    <definedName name="ITEM6_3Q08">#REF!</definedName>
    <definedName name="ITEM6_3Q09">#REF!</definedName>
    <definedName name="ITEM6_3Q10">#REF!</definedName>
    <definedName name="ITEM6_3Q11">#REF!</definedName>
    <definedName name="ITEM6_3Q12">#REF!</definedName>
    <definedName name="ITEM6_3Q13">#REF!</definedName>
    <definedName name="ITEM6_3Q14">#REF!</definedName>
    <definedName name="ITEM6_3Q15">#REF!</definedName>
    <definedName name="ITEM6_3Q16">#REF!</definedName>
    <definedName name="ITEM6_3Q17">#REF!</definedName>
    <definedName name="ITEM6_3Q18">#REF!</definedName>
    <definedName name="ITEM6_3Q19">#REF!</definedName>
    <definedName name="ITEM6_3Q20">#REF!</definedName>
    <definedName name="ITEM6_3Q21">#REF!</definedName>
    <definedName name="ITEM6_3Q22">#REF!</definedName>
    <definedName name="ITEM6_3Q23">#REF!</definedName>
    <definedName name="ITEM6_3Q24">#REF!</definedName>
    <definedName name="ITEM6_4Q00">#REF!</definedName>
    <definedName name="ITEM6_4Q01">#REF!</definedName>
    <definedName name="ITEM6_4Q02">#REF!</definedName>
    <definedName name="ITEM6_4Q03">#REF!</definedName>
    <definedName name="ITEM6_4Q04">#REF!</definedName>
    <definedName name="ITEM6_4Q05">#REF!</definedName>
    <definedName name="ITEM6_4Q06">#REF!</definedName>
    <definedName name="ITEM6_4Q07">#REF!</definedName>
    <definedName name="ITEM6_4Q08">#REF!</definedName>
    <definedName name="ITEM6_4Q09">#REF!</definedName>
    <definedName name="ITEM6_4Q10">#REF!</definedName>
    <definedName name="ITEM6_4Q11">#REF!</definedName>
    <definedName name="ITEM6_4Q12">#REF!</definedName>
    <definedName name="ITEM6_4Q13">#REF!</definedName>
    <definedName name="ITEM6_4Q14">#REF!</definedName>
    <definedName name="ITEM6_4Q15">#REF!</definedName>
    <definedName name="ITEM6_4Q16">#REF!</definedName>
    <definedName name="ITEM6_4Q17">#REF!</definedName>
    <definedName name="ITEM6_4Q18">#REF!</definedName>
    <definedName name="ITEM6_4Q19">#REF!</definedName>
    <definedName name="ITEM6_4Q20">#REF!</definedName>
    <definedName name="ITEM6_4Q21">#REF!</definedName>
    <definedName name="ITEM6_4Q22">#REF!</definedName>
    <definedName name="ITEM6_4Q23">#REF!</definedName>
    <definedName name="ITEM6_4Q24">#REF!</definedName>
    <definedName name="ITEM7_1995">#REF!</definedName>
    <definedName name="ITEM7_1996">#REF!</definedName>
    <definedName name="ITEM7_1997">#REF!</definedName>
    <definedName name="ITEM7_1998">#REF!</definedName>
    <definedName name="ITEM7_1999">#REF!</definedName>
    <definedName name="ITEM7_1Q00">#REF!</definedName>
    <definedName name="ITEM7_1Q01">#REF!</definedName>
    <definedName name="ITEM7_1Q02">#REF!</definedName>
    <definedName name="ITEM7_1Q03">#REF!</definedName>
    <definedName name="ITEM7_1Q04">#REF!</definedName>
    <definedName name="ITEM7_1Q05">#REF!</definedName>
    <definedName name="ITEM7_1Q06">#REF!</definedName>
    <definedName name="ITEM7_1Q07">#REF!</definedName>
    <definedName name="ITEM7_1Q08">#REF!</definedName>
    <definedName name="ITEM7_1Q09">#REF!</definedName>
    <definedName name="ITEM7_1Q10">#REF!</definedName>
    <definedName name="ITEM7_1Q11">#REF!</definedName>
    <definedName name="ITEM7_1Q12">#REF!</definedName>
    <definedName name="ITEM7_1Q13">#REF!</definedName>
    <definedName name="ITEM7_1Q14">#REF!</definedName>
    <definedName name="ITEM7_1Q15">#REF!</definedName>
    <definedName name="ITEM7_1Q16">#REF!</definedName>
    <definedName name="ITEM7_1Q17">#REF!</definedName>
    <definedName name="ITEM7_1Q18">#REF!</definedName>
    <definedName name="ITEM7_1Q19">#REF!</definedName>
    <definedName name="ITEM7_1Q20">#REF!</definedName>
    <definedName name="ITEM7_1Q21">#REF!</definedName>
    <definedName name="ITEM7_1Q22">#REF!</definedName>
    <definedName name="ITEM7_1Q23">#REF!</definedName>
    <definedName name="ITEM7_1Q24">#REF!</definedName>
    <definedName name="ITEM7_2000">#REF!</definedName>
    <definedName name="ITEM7_2001">#REF!</definedName>
    <definedName name="ITEM7_2002">#REF!</definedName>
    <definedName name="ITEM7_2003">#REF!</definedName>
    <definedName name="ITEM7_2004">#REF!</definedName>
    <definedName name="ITEM7_2005">#REF!</definedName>
    <definedName name="ITEM7_2006">#REF!</definedName>
    <definedName name="ITEM7_2007">#REF!</definedName>
    <definedName name="ITEM7_2008">#REF!</definedName>
    <definedName name="ITEM7_2009">#REF!</definedName>
    <definedName name="ITEM7_2010">#REF!</definedName>
    <definedName name="ITEM7_2011">#REF!</definedName>
    <definedName name="ITEM7_2012">#REF!</definedName>
    <definedName name="ITEM7_2013">#REF!</definedName>
    <definedName name="ITEM7_2014">#REF!</definedName>
    <definedName name="ITEM7_2015">#REF!</definedName>
    <definedName name="ITEM7_2016">#REF!</definedName>
    <definedName name="ITEM7_2017">#REF!</definedName>
    <definedName name="ITEM7_2018">#REF!</definedName>
    <definedName name="ITEM7_2019">#REF!</definedName>
    <definedName name="ITEM7_2020">#REF!</definedName>
    <definedName name="ITEM7_2021">#REF!</definedName>
    <definedName name="ITEM7_2022">#REF!</definedName>
    <definedName name="ITEM7_2023">#REF!</definedName>
    <definedName name="ITEM7_2024">#REF!</definedName>
    <definedName name="ITEM7_2Q00">#REF!</definedName>
    <definedName name="ITEM7_2Q01">#REF!</definedName>
    <definedName name="ITEM7_2Q02">#REF!</definedName>
    <definedName name="ITEM7_2Q03">#REF!</definedName>
    <definedName name="ITEM7_2Q04">#REF!</definedName>
    <definedName name="ITEM7_2Q05">#REF!</definedName>
    <definedName name="ITEM7_2Q06">#REF!</definedName>
    <definedName name="ITEM7_2Q07">#REF!</definedName>
    <definedName name="ITEM7_2Q08">#REF!</definedName>
    <definedName name="ITEM7_2Q09">#REF!</definedName>
    <definedName name="ITEM7_2Q10">#REF!</definedName>
    <definedName name="ITEM7_2Q11">#REF!</definedName>
    <definedName name="ITEM7_2Q12">#REF!</definedName>
    <definedName name="ITEM7_2Q13">#REF!</definedName>
    <definedName name="ITEM7_2Q14">#REF!</definedName>
    <definedName name="ITEM7_2Q15">#REF!</definedName>
    <definedName name="ITEM7_2Q16">#REF!</definedName>
    <definedName name="ITEM7_2Q17">#REF!</definedName>
    <definedName name="ITEM7_2Q18">#REF!</definedName>
    <definedName name="ITEM7_2Q19">#REF!</definedName>
    <definedName name="ITEM7_2Q20">#REF!</definedName>
    <definedName name="ITEM7_2Q21">#REF!</definedName>
    <definedName name="ITEM7_2Q22">#REF!</definedName>
    <definedName name="ITEM7_2Q23">#REF!</definedName>
    <definedName name="ITEM7_2Q24">#REF!</definedName>
    <definedName name="ITEM7_3Q00">#REF!</definedName>
    <definedName name="ITEM7_3Q01">#REF!</definedName>
    <definedName name="ITEM7_3Q02">#REF!</definedName>
    <definedName name="ITEM7_3Q03">#REF!</definedName>
    <definedName name="ITEM7_3Q04">#REF!</definedName>
    <definedName name="ITEM7_3Q05">#REF!</definedName>
    <definedName name="ITEM7_3Q06">#REF!</definedName>
    <definedName name="ITEM7_3Q07">#REF!</definedName>
    <definedName name="ITEM7_3Q08">#REF!</definedName>
    <definedName name="ITEM7_3Q09">#REF!</definedName>
    <definedName name="ITEM7_3Q10">#REF!</definedName>
    <definedName name="ITEM7_3Q11">#REF!</definedName>
    <definedName name="ITEM7_3Q12">#REF!</definedName>
    <definedName name="ITEM7_3Q13">#REF!</definedName>
    <definedName name="ITEM7_3Q14">#REF!</definedName>
    <definedName name="ITEM7_3Q15">#REF!</definedName>
    <definedName name="ITEM7_3Q16">#REF!</definedName>
    <definedName name="ITEM7_3Q17">#REF!</definedName>
    <definedName name="ITEM7_3Q18">#REF!</definedName>
    <definedName name="ITEM7_3Q19">#REF!</definedName>
    <definedName name="ITEM7_3Q20">#REF!</definedName>
    <definedName name="ITEM7_3Q21">#REF!</definedName>
    <definedName name="ITEM7_3Q22">#REF!</definedName>
    <definedName name="ITEM7_3Q23">#REF!</definedName>
    <definedName name="ITEM7_3Q24">#REF!</definedName>
    <definedName name="ITEM7_4Q00">#REF!</definedName>
    <definedName name="ITEM7_4Q01">#REF!</definedName>
    <definedName name="ITEM7_4Q02">#REF!</definedName>
    <definedName name="ITEM7_4Q03">#REF!</definedName>
    <definedName name="ITEM7_4Q04">#REF!</definedName>
    <definedName name="ITEM7_4Q05">#REF!</definedName>
    <definedName name="ITEM7_4Q06">#REF!</definedName>
    <definedName name="ITEM7_4Q07">#REF!</definedName>
    <definedName name="ITEM7_4Q08">#REF!</definedName>
    <definedName name="ITEM7_4Q09">#REF!</definedName>
    <definedName name="ITEM7_4Q10">#REF!</definedName>
    <definedName name="ITEM7_4Q11">#REF!</definedName>
    <definedName name="ITEM7_4Q12">#REF!</definedName>
    <definedName name="ITEM7_4Q13">#REF!</definedName>
    <definedName name="ITEM7_4Q14">#REF!</definedName>
    <definedName name="ITEM7_4Q15">#REF!</definedName>
    <definedName name="ITEM7_4Q16">#REF!</definedName>
    <definedName name="ITEM7_4Q17">#REF!</definedName>
    <definedName name="ITEM7_4Q18">#REF!</definedName>
    <definedName name="ITEM7_4Q19">#REF!</definedName>
    <definedName name="ITEM7_4Q20">#REF!</definedName>
    <definedName name="ITEM7_4Q21">#REF!</definedName>
    <definedName name="ITEM7_4Q22">#REF!</definedName>
    <definedName name="ITEM7_4Q23">#REF!</definedName>
    <definedName name="ITEM7_4Q24">#REF!</definedName>
    <definedName name="ITEM8_1995">#REF!</definedName>
    <definedName name="ITEM8_1996">#REF!</definedName>
    <definedName name="ITEM8_1997">#REF!</definedName>
    <definedName name="ITEM8_1998">#REF!</definedName>
    <definedName name="ITEM8_1999">#REF!</definedName>
    <definedName name="ITEM8_1Q00">#REF!</definedName>
    <definedName name="ITEM8_1Q01">#REF!</definedName>
    <definedName name="ITEM8_1Q02">#REF!</definedName>
    <definedName name="ITEM8_1Q03">#REF!</definedName>
    <definedName name="ITEM8_1Q04">#REF!</definedName>
    <definedName name="ITEM8_1Q05">#REF!</definedName>
    <definedName name="ITEM8_1Q06">#REF!</definedName>
    <definedName name="ITEM8_1Q07">#REF!</definedName>
    <definedName name="ITEM8_1Q08">#REF!</definedName>
    <definedName name="ITEM8_1Q09">#REF!</definedName>
    <definedName name="ITEM8_1Q10">#REF!</definedName>
    <definedName name="ITEM8_1Q11">#REF!</definedName>
    <definedName name="ITEM8_1Q12">#REF!</definedName>
    <definedName name="ITEM8_1Q13">#REF!</definedName>
    <definedName name="ITEM8_1Q14">#REF!</definedName>
    <definedName name="ITEM8_1Q15">#REF!</definedName>
    <definedName name="ITEM8_1Q16">#REF!</definedName>
    <definedName name="ITEM8_1Q17">#REF!</definedName>
    <definedName name="ITEM8_1Q18">#REF!</definedName>
    <definedName name="ITEM8_1Q19">#REF!</definedName>
    <definedName name="ITEM8_1Q20">#REF!</definedName>
    <definedName name="ITEM8_1Q21">#REF!</definedName>
    <definedName name="ITEM8_1Q22">#REF!</definedName>
    <definedName name="ITEM8_1Q23">#REF!</definedName>
    <definedName name="ITEM8_1Q24">#REF!</definedName>
    <definedName name="ITEM8_2000">#REF!</definedName>
    <definedName name="ITEM8_2001">#REF!</definedName>
    <definedName name="ITEM8_2002">#REF!</definedName>
    <definedName name="ITEM8_2003">#REF!</definedName>
    <definedName name="ITEM8_2004">#REF!</definedName>
    <definedName name="ITEM8_2005">#REF!</definedName>
    <definedName name="ITEM8_2006">#REF!</definedName>
    <definedName name="ITEM8_2007">#REF!</definedName>
    <definedName name="ITEM8_2008">#REF!</definedName>
    <definedName name="ITEM8_2009">#REF!</definedName>
    <definedName name="ITEM8_2010">#REF!</definedName>
    <definedName name="ITEM8_2011">#REF!</definedName>
    <definedName name="ITEM8_2012">#REF!</definedName>
    <definedName name="ITEM8_2013">#REF!</definedName>
    <definedName name="ITEM8_2014">#REF!</definedName>
    <definedName name="ITEM8_2015">#REF!</definedName>
    <definedName name="ITEM8_2016">#REF!</definedName>
    <definedName name="ITEM8_2017">#REF!</definedName>
    <definedName name="ITEM8_2018">#REF!</definedName>
    <definedName name="ITEM8_2019">#REF!</definedName>
    <definedName name="ITEM8_2020">#REF!</definedName>
    <definedName name="ITEM8_2021">#REF!</definedName>
    <definedName name="ITEM8_2022">#REF!</definedName>
    <definedName name="ITEM8_2023">#REF!</definedName>
    <definedName name="ITEM8_2024">#REF!</definedName>
    <definedName name="ITEM8_2Q00">#REF!</definedName>
    <definedName name="ITEM8_2Q01">#REF!</definedName>
    <definedName name="ITEM8_2Q02">#REF!</definedName>
    <definedName name="ITEM8_2Q03">#REF!</definedName>
    <definedName name="ITEM8_2Q04">#REF!</definedName>
    <definedName name="ITEM8_2Q05">#REF!</definedName>
    <definedName name="ITEM8_2Q06">#REF!</definedName>
    <definedName name="ITEM8_2Q07">#REF!</definedName>
    <definedName name="ITEM8_2Q08">#REF!</definedName>
    <definedName name="ITEM8_2Q09">#REF!</definedName>
    <definedName name="ITEM8_2Q10">#REF!</definedName>
    <definedName name="ITEM8_2Q11">#REF!</definedName>
    <definedName name="ITEM8_2Q12">#REF!</definedName>
    <definedName name="ITEM8_2Q13">#REF!</definedName>
    <definedName name="ITEM8_2Q14">#REF!</definedName>
    <definedName name="ITEM8_2Q15">#REF!</definedName>
    <definedName name="ITEM8_2Q16">#REF!</definedName>
    <definedName name="ITEM8_2Q17">#REF!</definedName>
    <definedName name="ITEM8_2Q18">#REF!</definedName>
    <definedName name="ITEM8_2Q19">#REF!</definedName>
    <definedName name="ITEM8_2Q20">#REF!</definedName>
    <definedName name="ITEM8_2Q21">#REF!</definedName>
    <definedName name="ITEM8_2Q22">#REF!</definedName>
    <definedName name="ITEM8_2Q23">#REF!</definedName>
    <definedName name="ITEM8_2Q24">#REF!</definedName>
    <definedName name="ITEM8_3Q00">#REF!</definedName>
    <definedName name="ITEM8_3Q01">#REF!</definedName>
    <definedName name="ITEM8_3Q02">#REF!</definedName>
    <definedName name="ITEM8_3Q03">#REF!</definedName>
    <definedName name="ITEM8_3Q04">#REF!</definedName>
    <definedName name="ITEM8_3Q05">#REF!</definedName>
    <definedName name="ITEM8_3Q06">#REF!</definedName>
    <definedName name="ITEM8_3Q07">#REF!</definedName>
    <definedName name="ITEM8_3Q08">#REF!</definedName>
    <definedName name="ITEM8_3Q09">#REF!</definedName>
    <definedName name="ITEM8_3Q10">#REF!</definedName>
    <definedName name="ITEM8_3Q11">#REF!</definedName>
    <definedName name="ITEM8_3Q12">#REF!</definedName>
    <definedName name="ITEM8_3Q13">#REF!</definedName>
    <definedName name="ITEM8_3Q14">#REF!</definedName>
    <definedName name="ITEM8_3Q15">#REF!</definedName>
    <definedName name="ITEM8_3Q16">#REF!</definedName>
    <definedName name="ITEM8_3Q17">#REF!</definedName>
    <definedName name="ITEM8_3Q18">#REF!</definedName>
    <definedName name="ITEM8_3Q19">#REF!</definedName>
    <definedName name="ITEM8_3Q20">#REF!</definedName>
    <definedName name="ITEM8_3Q21">#REF!</definedName>
    <definedName name="ITEM8_3Q22">#REF!</definedName>
    <definedName name="ITEM8_3Q23">#REF!</definedName>
    <definedName name="ITEM8_3Q24">#REF!</definedName>
    <definedName name="ITEM8_4Q00">#REF!</definedName>
    <definedName name="ITEM8_4Q01">#REF!</definedName>
    <definedName name="ITEM8_4Q02">#REF!</definedName>
    <definedName name="ITEM8_4Q03">#REF!</definedName>
    <definedName name="ITEM8_4Q04">#REF!</definedName>
    <definedName name="ITEM8_4Q05">#REF!</definedName>
    <definedName name="ITEM8_4Q06">#REF!</definedName>
    <definedName name="ITEM8_4Q07">#REF!</definedName>
    <definedName name="ITEM8_4Q08">#REF!</definedName>
    <definedName name="ITEM8_4Q09">#REF!</definedName>
    <definedName name="ITEM8_4Q10">#REF!</definedName>
    <definedName name="ITEM8_4Q11">#REF!</definedName>
    <definedName name="ITEM8_4Q12">#REF!</definedName>
    <definedName name="ITEM8_4Q13">#REF!</definedName>
    <definedName name="ITEM8_4Q14">#REF!</definedName>
    <definedName name="ITEM8_4Q15">#REF!</definedName>
    <definedName name="ITEM8_4Q16">#REF!</definedName>
    <definedName name="ITEM8_4Q17">#REF!</definedName>
    <definedName name="ITEM8_4Q18">#REF!</definedName>
    <definedName name="ITEM8_4Q19">#REF!</definedName>
    <definedName name="ITEM8_4Q20">#REF!</definedName>
    <definedName name="ITEM8_4Q21">#REF!</definedName>
    <definedName name="ITEM8_4Q22">#REF!</definedName>
    <definedName name="ITEM8_4Q23">#REF!</definedName>
    <definedName name="ITEM8_4Q24">#REF!</definedName>
    <definedName name="ITEM9_1995">#REF!</definedName>
    <definedName name="ITEM9_1996">#REF!</definedName>
    <definedName name="ITEM9_1997">#REF!</definedName>
    <definedName name="ITEM9_1998">#REF!</definedName>
    <definedName name="ITEM9_1999">#REF!</definedName>
    <definedName name="ITEM9_1Q00">#REF!</definedName>
    <definedName name="ITEM9_1Q01">#REF!</definedName>
    <definedName name="ITEM9_1Q02">#REF!</definedName>
    <definedName name="ITEM9_1Q03">#REF!</definedName>
    <definedName name="ITEM9_1Q04">#REF!</definedName>
    <definedName name="ITEM9_1Q05">#REF!</definedName>
    <definedName name="ITEM9_1Q06">#REF!</definedName>
    <definedName name="ITEM9_1Q07">#REF!</definedName>
    <definedName name="ITEM9_1Q08">#REF!</definedName>
    <definedName name="ITEM9_1Q09">#REF!</definedName>
    <definedName name="ITEM9_1Q10">#REF!</definedName>
    <definedName name="ITEM9_1Q11">#REF!</definedName>
    <definedName name="ITEM9_1Q12">#REF!</definedName>
    <definedName name="ITEM9_1Q13">#REF!</definedName>
    <definedName name="ITEM9_1Q14">#REF!</definedName>
    <definedName name="ITEM9_1Q15">#REF!</definedName>
    <definedName name="ITEM9_1Q16">#REF!</definedName>
    <definedName name="ITEM9_1Q17">#REF!</definedName>
    <definedName name="ITEM9_1Q18">#REF!</definedName>
    <definedName name="ITEM9_1Q19">#REF!</definedName>
    <definedName name="ITEM9_1Q20">#REF!</definedName>
    <definedName name="ITEM9_1Q21">#REF!</definedName>
    <definedName name="ITEM9_1Q22">#REF!</definedName>
    <definedName name="ITEM9_1Q23">#REF!</definedName>
    <definedName name="ITEM9_1Q24">#REF!</definedName>
    <definedName name="ITEM9_2000">#REF!</definedName>
    <definedName name="ITEM9_2001">#REF!</definedName>
    <definedName name="ITEM9_2002">#REF!</definedName>
    <definedName name="ITEM9_2003">#REF!</definedName>
    <definedName name="ITEM9_2004">#REF!</definedName>
    <definedName name="ITEM9_2005">#REF!</definedName>
    <definedName name="ITEM9_2006">#REF!</definedName>
    <definedName name="ITEM9_2007">#REF!</definedName>
    <definedName name="ITEM9_2008">#REF!</definedName>
    <definedName name="ITEM9_2009">#REF!</definedName>
    <definedName name="ITEM9_2010">#REF!</definedName>
    <definedName name="ITEM9_2011">#REF!</definedName>
    <definedName name="ITEM9_2012">#REF!</definedName>
    <definedName name="ITEM9_2013">#REF!</definedName>
    <definedName name="ITEM9_2014">#REF!</definedName>
    <definedName name="ITEM9_2015">#REF!</definedName>
    <definedName name="ITEM9_2016">#REF!</definedName>
    <definedName name="ITEM9_2017">#REF!</definedName>
    <definedName name="ITEM9_2018">#REF!</definedName>
    <definedName name="ITEM9_2019">#REF!</definedName>
    <definedName name="ITEM9_2020">#REF!</definedName>
    <definedName name="ITEM9_2021">#REF!</definedName>
    <definedName name="ITEM9_2022">#REF!</definedName>
    <definedName name="ITEM9_2023">#REF!</definedName>
    <definedName name="ITEM9_2024">#REF!</definedName>
    <definedName name="ITEM9_2Q00">#REF!</definedName>
    <definedName name="ITEM9_2Q01">#REF!</definedName>
    <definedName name="ITEM9_2Q02">#REF!</definedName>
    <definedName name="ITEM9_2Q03">#REF!</definedName>
    <definedName name="ITEM9_2Q04">#REF!</definedName>
    <definedName name="ITEM9_2Q05">#REF!</definedName>
    <definedName name="ITEM9_2Q06">#REF!</definedName>
    <definedName name="ITEM9_2Q07">#REF!</definedName>
    <definedName name="ITEM9_2Q08">#REF!</definedName>
    <definedName name="ITEM9_2Q09">#REF!</definedName>
    <definedName name="ITEM9_2Q10">#REF!</definedName>
    <definedName name="ITEM9_2Q11">#REF!</definedName>
    <definedName name="ITEM9_2Q12">#REF!</definedName>
    <definedName name="ITEM9_2Q13">#REF!</definedName>
    <definedName name="ITEM9_2Q14">#REF!</definedName>
    <definedName name="ITEM9_2Q15">#REF!</definedName>
    <definedName name="ITEM9_2Q16">#REF!</definedName>
    <definedName name="ITEM9_2Q17">#REF!</definedName>
    <definedName name="ITEM9_2Q18">#REF!</definedName>
    <definedName name="ITEM9_2Q19">#REF!</definedName>
    <definedName name="ITEM9_2Q20">#REF!</definedName>
    <definedName name="ITEM9_2Q21">#REF!</definedName>
    <definedName name="ITEM9_2Q22">#REF!</definedName>
    <definedName name="ITEM9_2Q23">#REF!</definedName>
    <definedName name="ITEM9_2Q24">#REF!</definedName>
    <definedName name="ITEM9_3Q00">#REF!</definedName>
    <definedName name="ITEM9_3Q01">#REF!</definedName>
    <definedName name="ITEM9_3Q02">#REF!</definedName>
    <definedName name="ITEM9_3Q03">#REF!</definedName>
    <definedName name="ITEM9_3Q04">#REF!</definedName>
    <definedName name="ITEM9_3Q05">#REF!</definedName>
    <definedName name="ITEM9_3Q06">#REF!</definedName>
    <definedName name="ITEM9_3Q07">#REF!</definedName>
    <definedName name="ITEM9_3Q08">#REF!</definedName>
    <definedName name="ITEM9_3Q09">#REF!</definedName>
    <definedName name="ITEM9_3Q10">#REF!</definedName>
    <definedName name="ITEM9_3Q11">#REF!</definedName>
    <definedName name="ITEM9_3Q12">#REF!</definedName>
    <definedName name="ITEM9_3Q13">#REF!</definedName>
    <definedName name="ITEM9_3Q14">#REF!</definedName>
    <definedName name="ITEM9_3Q15">#REF!</definedName>
    <definedName name="ITEM9_3Q16">#REF!</definedName>
    <definedName name="ITEM9_3Q17">#REF!</definedName>
    <definedName name="ITEM9_3Q18">#REF!</definedName>
    <definedName name="ITEM9_3Q19">#REF!</definedName>
    <definedName name="ITEM9_3Q20">#REF!</definedName>
    <definedName name="ITEM9_3Q21">#REF!</definedName>
    <definedName name="ITEM9_3Q22">#REF!</definedName>
    <definedName name="ITEM9_3Q23">#REF!</definedName>
    <definedName name="ITEM9_3Q24">#REF!</definedName>
    <definedName name="ITEM9_4Q00">#REF!</definedName>
    <definedName name="ITEM9_4Q01">#REF!</definedName>
    <definedName name="ITEM9_4Q02">#REF!</definedName>
    <definedName name="ITEM9_4Q03">#REF!</definedName>
    <definedName name="ITEM9_4Q04">#REF!</definedName>
    <definedName name="ITEM9_4Q05">#REF!</definedName>
    <definedName name="ITEM9_4Q06">#REF!</definedName>
    <definedName name="ITEM9_4Q07">#REF!</definedName>
    <definedName name="ITEM9_4Q08">#REF!</definedName>
    <definedName name="ITEM9_4Q09">#REF!</definedName>
    <definedName name="ITEM9_4Q10">#REF!</definedName>
    <definedName name="ITEM9_4Q11">#REF!</definedName>
    <definedName name="ITEM9_4Q12">#REF!</definedName>
    <definedName name="ITEM9_4Q13">#REF!</definedName>
    <definedName name="ITEM9_4Q14">#REF!</definedName>
    <definedName name="ITEM9_4Q15">#REF!</definedName>
    <definedName name="ITEM9_4Q16">#REF!</definedName>
    <definedName name="ITEM9_4Q17">#REF!</definedName>
    <definedName name="ITEM9_4Q18">#REF!</definedName>
    <definedName name="ITEM9_4Q19">#REF!</definedName>
    <definedName name="ITEM9_4Q20">#REF!</definedName>
    <definedName name="ITEM9_4Q21">#REF!</definedName>
    <definedName name="ITEM9_4Q22">#REF!</definedName>
    <definedName name="ITEM9_4Q23">#REF!</definedName>
    <definedName name="ITEM9_4Q24">#REF!</definedName>
    <definedName name="Itemcheck">#REF!</definedName>
    <definedName name="iunf2">#REF!</definedName>
    <definedName name="jad" localSheetId="4" hidden="1">{#N/A,"30% Success",TRUE,"Sales Forecast";#N/A,#N/A,TRUE,"Sheet2"}</definedName>
    <definedName name="jad" localSheetId="6" hidden="1">{#N/A,"30% Success",TRUE,"Sales Forecast";#N/A,#N/A,TRUE,"Sheet2"}</definedName>
    <definedName name="jad" localSheetId="0" hidden="1">{#N/A,"30% Success",TRUE,"Sales Forecast";#N/A,#N/A,TRUE,"Sheet2"}</definedName>
    <definedName name="jad" hidden="1">{#N/A,"30% Success",TRUE,"Sales Forecast";#N/A,#N/A,TRUE,"Sheet2"}</definedName>
    <definedName name="joaquim" localSheetId="4" hidden="1">{#N/A,"100% Success",TRUE,"Sales Forecast";#N/A,#N/A,TRUE,"Sheet2"}</definedName>
    <definedName name="joaquim" localSheetId="6" hidden="1">{#N/A,"100% Success",TRUE,"Sales Forecast";#N/A,#N/A,TRUE,"Sheet2"}</definedName>
    <definedName name="joaquim" localSheetId="0" hidden="1">{#N/A,"100% Success",TRUE,"Sales Forecast";#N/A,#N/A,TRUE,"Sheet2"}</definedName>
    <definedName name="joaquim" hidden="1">{#N/A,"100% Success",TRUE,"Sales Forecast";#N/A,#N/A,TRUE,"Sheet2"}</definedName>
    <definedName name="KE_1995">#REF!</definedName>
    <definedName name="KE_1996">#REF!</definedName>
    <definedName name="KE_1997">#REF!</definedName>
    <definedName name="KE_1998">#REF!</definedName>
    <definedName name="KE_1999">#REF!</definedName>
    <definedName name="KE_1Q00">#REF!</definedName>
    <definedName name="KE_1Q01">#REF!</definedName>
    <definedName name="KE_1Q02">#REF!</definedName>
    <definedName name="KE_1Q03">#REF!</definedName>
    <definedName name="KE_1Q04">#REF!</definedName>
    <definedName name="KE_1Q05">#REF!</definedName>
    <definedName name="KE_1Q06">#REF!</definedName>
    <definedName name="KE_1Q07">#REF!</definedName>
    <definedName name="KE_1Q08">#REF!</definedName>
    <definedName name="KE_1Q09">#REF!</definedName>
    <definedName name="KE_1Q10">#REF!</definedName>
    <definedName name="KE_1Q11">#REF!</definedName>
    <definedName name="KE_1Q12">#REF!</definedName>
    <definedName name="KE_1Q13">#REF!</definedName>
    <definedName name="KE_1Q14">#REF!</definedName>
    <definedName name="KE_1Q15">#REF!</definedName>
    <definedName name="KE_1Q16">#REF!</definedName>
    <definedName name="KE_1Q17">#REF!</definedName>
    <definedName name="KE_1Q18">#REF!</definedName>
    <definedName name="KE_1Q19">#REF!</definedName>
    <definedName name="KE_1Q20">#REF!</definedName>
    <definedName name="KE_1Q21">#REF!</definedName>
    <definedName name="KE_1Q22">#REF!</definedName>
    <definedName name="KE_1Q23">#REF!</definedName>
    <definedName name="KE_1Q24">#REF!</definedName>
    <definedName name="KE_2000">#REF!</definedName>
    <definedName name="KE_2001">#REF!</definedName>
    <definedName name="KE_2002">#REF!</definedName>
    <definedName name="KE_2003">#REF!</definedName>
    <definedName name="KE_2004">#REF!</definedName>
    <definedName name="KE_2005">#REF!</definedName>
    <definedName name="KE_2006">#REF!</definedName>
    <definedName name="KE_2007">#REF!</definedName>
    <definedName name="KE_2008">#REF!</definedName>
    <definedName name="KE_2009">#REF!</definedName>
    <definedName name="KE_2010">#REF!</definedName>
    <definedName name="KE_2011">#REF!</definedName>
    <definedName name="KE_2012">#REF!</definedName>
    <definedName name="KE_2013">#REF!</definedName>
    <definedName name="KE_2014">#REF!</definedName>
    <definedName name="KE_2015">#REF!</definedName>
    <definedName name="KE_2016">#REF!</definedName>
    <definedName name="KE_2017">#REF!</definedName>
    <definedName name="KE_2018">#REF!</definedName>
    <definedName name="KE_2019">#REF!</definedName>
    <definedName name="KE_2020">#REF!</definedName>
    <definedName name="KE_2021">#REF!</definedName>
    <definedName name="KE_2022">#REF!</definedName>
    <definedName name="KE_2023">#REF!</definedName>
    <definedName name="KE_2024">#REF!</definedName>
    <definedName name="KE_2Q00">#REF!</definedName>
    <definedName name="KE_2Q01">#REF!</definedName>
    <definedName name="KE_2Q02">#REF!</definedName>
    <definedName name="KE_2Q03">#REF!</definedName>
    <definedName name="KE_2Q04">#REF!</definedName>
    <definedName name="KE_2Q05">#REF!</definedName>
    <definedName name="KE_2Q06">#REF!</definedName>
    <definedName name="KE_2Q07">#REF!</definedName>
    <definedName name="KE_2Q08">#REF!</definedName>
    <definedName name="KE_2Q09">#REF!</definedName>
    <definedName name="KE_2Q10">#REF!</definedName>
    <definedName name="KE_2Q11">#REF!</definedName>
    <definedName name="KE_2Q12">#REF!</definedName>
    <definedName name="KE_2Q13">#REF!</definedName>
    <definedName name="KE_2Q14">#REF!</definedName>
    <definedName name="KE_2Q15">#REF!</definedName>
    <definedName name="KE_2Q16">#REF!</definedName>
    <definedName name="KE_2Q17">#REF!</definedName>
    <definedName name="KE_2Q18">#REF!</definedName>
    <definedName name="KE_2Q19">#REF!</definedName>
    <definedName name="KE_2Q20">#REF!</definedName>
    <definedName name="KE_2Q21">#REF!</definedName>
    <definedName name="KE_2Q22">#REF!</definedName>
    <definedName name="KE_2Q23">#REF!</definedName>
    <definedName name="KE_2Q24">#REF!</definedName>
    <definedName name="KE_3Q00">#REF!</definedName>
    <definedName name="KE_3Q01">#REF!</definedName>
    <definedName name="KE_3Q02">#REF!</definedName>
    <definedName name="KE_3Q03">#REF!</definedName>
    <definedName name="KE_3Q04">#REF!</definedName>
    <definedName name="KE_3Q05">#REF!</definedName>
    <definedName name="KE_3Q06">#REF!</definedName>
    <definedName name="KE_3Q07">#REF!</definedName>
    <definedName name="KE_3Q08">#REF!</definedName>
    <definedName name="KE_3Q09">#REF!</definedName>
    <definedName name="KE_3Q10">#REF!</definedName>
    <definedName name="KE_3Q11">#REF!</definedName>
    <definedName name="KE_3Q12">#REF!</definedName>
    <definedName name="KE_3Q13">#REF!</definedName>
    <definedName name="KE_3Q14">#REF!</definedName>
    <definedName name="KE_3Q15">#REF!</definedName>
    <definedName name="KE_3Q16">#REF!</definedName>
    <definedName name="KE_3Q17">#REF!</definedName>
    <definedName name="KE_3Q18">#REF!</definedName>
    <definedName name="KE_3Q19">#REF!</definedName>
    <definedName name="KE_3Q20">#REF!</definedName>
    <definedName name="KE_3Q21">#REF!</definedName>
    <definedName name="KE_3Q22">#REF!</definedName>
    <definedName name="KE_3Q23">#REF!</definedName>
    <definedName name="KE_3Q24">#REF!</definedName>
    <definedName name="KE_4Q00">#REF!</definedName>
    <definedName name="KE_4Q01">#REF!</definedName>
    <definedName name="KE_4Q02">#REF!</definedName>
    <definedName name="KE_4Q03">#REF!</definedName>
    <definedName name="KE_4Q04">#REF!</definedName>
    <definedName name="KE_4Q05">#REF!</definedName>
    <definedName name="KE_4Q06">#REF!</definedName>
    <definedName name="KE_4Q07">#REF!</definedName>
    <definedName name="KE_4Q08">#REF!</definedName>
    <definedName name="KE_4Q09">#REF!</definedName>
    <definedName name="KE_4Q10">#REF!</definedName>
    <definedName name="KE_4Q11">#REF!</definedName>
    <definedName name="KE_4Q12">#REF!</definedName>
    <definedName name="KE_4Q13">#REF!</definedName>
    <definedName name="KE_4Q14">#REF!</definedName>
    <definedName name="KE_4Q15">#REF!</definedName>
    <definedName name="KE_4Q16">#REF!</definedName>
    <definedName name="KE_4Q17">#REF!</definedName>
    <definedName name="KE_4Q18">#REF!</definedName>
    <definedName name="KE_4Q19">#REF!</definedName>
    <definedName name="KE_4Q20">#REF!</definedName>
    <definedName name="KE_4Q21">#REF!</definedName>
    <definedName name="KE_4Q22">#REF!</definedName>
    <definedName name="KE_4Q23">#REF!</definedName>
    <definedName name="KE_4Q24">#REF!</definedName>
    <definedName name="Klabin">#REF!</definedName>
    <definedName name="LabelChoice">#REF!</definedName>
    <definedName name="LastPrice">#REF!</definedName>
    <definedName name="LastPriceDate">#REF!</definedName>
    <definedName name="LowPrice">#REF!</definedName>
    <definedName name="LTDCH_1995">#REF!</definedName>
    <definedName name="LTDCH_1996">#REF!</definedName>
    <definedName name="LTDCH_1997">#REF!</definedName>
    <definedName name="LTDCH_1998">#REF!</definedName>
    <definedName name="LTDCH_1999">#REF!</definedName>
    <definedName name="LTDCH_1Q00">#REF!</definedName>
    <definedName name="LTDCH_1Q01">#REF!</definedName>
    <definedName name="LTDCH_1Q02">#REF!</definedName>
    <definedName name="LTDCH_1Q03">#REF!</definedName>
    <definedName name="LTDCH_1Q04">#REF!</definedName>
    <definedName name="LTDCH_1Q05">#REF!</definedName>
    <definedName name="LTDCH_1Q06">#REF!</definedName>
    <definedName name="LTDCH_1Q07">#REF!</definedName>
    <definedName name="LTDCH_1Q08">#REF!</definedName>
    <definedName name="LTDCH_1Q09">#REF!</definedName>
    <definedName name="LTDCH_1Q10">#REF!</definedName>
    <definedName name="LTDCH_1Q11">#REF!</definedName>
    <definedName name="LTDCH_1Q12">#REF!</definedName>
    <definedName name="LTDCH_1Q13">#REF!</definedName>
    <definedName name="LTDCH_1Q14">#REF!</definedName>
    <definedName name="LTDCH_1Q15">#REF!</definedName>
    <definedName name="LTDCH_1Q16">#REF!</definedName>
    <definedName name="LTDCH_1Q17">#REF!</definedName>
    <definedName name="LTDCH_1Q18">#REF!</definedName>
    <definedName name="LTDCH_1Q19">#REF!</definedName>
    <definedName name="LTDCH_1Q20">#REF!</definedName>
    <definedName name="LTDCH_1Q21">#REF!</definedName>
    <definedName name="LTDCH_1Q22">#REF!</definedName>
    <definedName name="LTDCH_1Q23">#REF!</definedName>
    <definedName name="LTDCH_1Q24">#REF!</definedName>
    <definedName name="LTDCH_2000">#REF!</definedName>
    <definedName name="LTDCH_2001">#REF!</definedName>
    <definedName name="LTDCH_2002">#REF!</definedName>
    <definedName name="LTDCH_2003">#REF!</definedName>
    <definedName name="LTDCH_2004">#REF!</definedName>
    <definedName name="LTDCH_2005">#REF!</definedName>
    <definedName name="LTDCH_2006">#REF!</definedName>
    <definedName name="LTDCH_2007">#REF!</definedName>
    <definedName name="LTDCH_2008">#REF!</definedName>
    <definedName name="LTDCH_2009">#REF!</definedName>
    <definedName name="LTDCH_2010">#REF!</definedName>
    <definedName name="LTDCH_2011">#REF!</definedName>
    <definedName name="LTDCH_2012">#REF!</definedName>
    <definedName name="LTDCH_2013">#REF!</definedName>
    <definedName name="LTDCH_2014">#REF!</definedName>
    <definedName name="LTDCH_2015">#REF!</definedName>
    <definedName name="LTDCH_2016">#REF!</definedName>
    <definedName name="LTDCH_2017">#REF!</definedName>
    <definedName name="LTDCH_2018">#REF!</definedName>
    <definedName name="LTDCH_2019">#REF!</definedName>
    <definedName name="LTDCH_2020">#REF!</definedName>
    <definedName name="LTDCH_2021">#REF!</definedName>
    <definedName name="LTDCH_2022">#REF!</definedName>
    <definedName name="LTDCH_2023">#REF!</definedName>
    <definedName name="LTDCH_2024">#REF!</definedName>
    <definedName name="LTDCH_2Q00">#REF!</definedName>
    <definedName name="LTDCH_2Q01">#REF!</definedName>
    <definedName name="LTDCH_2Q02">#REF!</definedName>
    <definedName name="LTDCH_2Q03">#REF!</definedName>
    <definedName name="LTDCH_2Q04">#REF!</definedName>
    <definedName name="LTDCH_2Q05">#REF!</definedName>
    <definedName name="LTDCH_2Q06">#REF!</definedName>
    <definedName name="LTDCH_2Q07">#REF!</definedName>
    <definedName name="LTDCH_2Q08">#REF!</definedName>
    <definedName name="LTDCH_2Q09">#REF!</definedName>
    <definedName name="LTDCH_2Q10">#REF!</definedName>
    <definedName name="LTDCH_2Q11">#REF!</definedName>
    <definedName name="LTDCH_2Q12">#REF!</definedName>
    <definedName name="LTDCH_2Q13">#REF!</definedName>
    <definedName name="LTDCH_2Q14">#REF!</definedName>
    <definedName name="LTDCH_2Q15">#REF!</definedName>
    <definedName name="LTDCH_2Q16">#REF!</definedName>
    <definedName name="LTDCH_2Q17">#REF!</definedName>
    <definedName name="LTDCH_2Q18">#REF!</definedName>
    <definedName name="LTDCH_2Q19">#REF!</definedName>
    <definedName name="LTDCH_2Q20">#REF!</definedName>
    <definedName name="LTDCH_2Q21">#REF!</definedName>
    <definedName name="LTDCH_2Q22">#REF!</definedName>
    <definedName name="LTDCH_2Q23">#REF!</definedName>
    <definedName name="LTDCH_2Q24">#REF!</definedName>
    <definedName name="LTDCH_3Q00">#REF!</definedName>
    <definedName name="LTDCH_3Q01">#REF!</definedName>
    <definedName name="LTDCH_3Q02">#REF!</definedName>
    <definedName name="LTDCH_3Q03">#REF!</definedName>
    <definedName name="LTDCH_3Q04">#REF!</definedName>
    <definedName name="LTDCH_3Q05">#REF!</definedName>
    <definedName name="LTDCH_3Q06">#REF!</definedName>
    <definedName name="LTDCH_3Q07">#REF!</definedName>
    <definedName name="LTDCH_3Q08">#REF!</definedName>
    <definedName name="LTDCH_3Q09">#REF!</definedName>
    <definedName name="LTDCH_3Q10">#REF!</definedName>
    <definedName name="LTDCH_3Q11">#REF!</definedName>
    <definedName name="LTDCH_3Q12">#REF!</definedName>
    <definedName name="LTDCH_3Q13">#REF!</definedName>
    <definedName name="LTDCH_3Q14">#REF!</definedName>
    <definedName name="LTDCH_3Q15">#REF!</definedName>
    <definedName name="LTDCH_3Q16">#REF!</definedName>
    <definedName name="LTDCH_3Q17">#REF!</definedName>
    <definedName name="LTDCH_3Q18">#REF!</definedName>
    <definedName name="LTDCH_3Q19">#REF!</definedName>
    <definedName name="LTDCH_3Q20">#REF!</definedName>
    <definedName name="LTDCH_3Q21">#REF!</definedName>
    <definedName name="LTDCH_3Q22">#REF!</definedName>
    <definedName name="LTDCH_3Q23">#REF!</definedName>
    <definedName name="LTDCH_3Q24">#REF!</definedName>
    <definedName name="LTDCH_4Q00">#REF!</definedName>
    <definedName name="LTDCH_4Q01">#REF!</definedName>
    <definedName name="LTDCH_4Q02">#REF!</definedName>
    <definedName name="LTDCH_4Q03">#REF!</definedName>
    <definedName name="LTDCH_4Q04">#REF!</definedName>
    <definedName name="LTDCH_4Q05">#REF!</definedName>
    <definedName name="LTDCH_4Q06">#REF!</definedName>
    <definedName name="LTDCH_4Q07">#REF!</definedName>
    <definedName name="LTDCH_4Q08">#REF!</definedName>
    <definedName name="LTDCH_4Q09">#REF!</definedName>
    <definedName name="LTDCH_4Q10">#REF!</definedName>
    <definedName name="LTDCH_4Q11">#REF!</definedName>
    <definedName name="LTDCH_4Q12">#REF!</definedName>
    <definedName name="LTDCH_4Q13">#REF!</definedName>
    <definedName name="LTDCH_4Q14">#REF!</definedName>
    <definedName name="LTDCH_4Q15">#REF!</definedName>
    <definedName name="LTDCH_4Q16">#REF!</definedName>
    <definedName name="LTDCH_4Q17">#REF!</definedName>
    <definedName name="LTDCH_4Q18">#REF!</definedName>
    <definedName name="LTDCH_4Q19">#REF!</definedName>
    <definedName name="LTDCH_4Q20">#REF!</definedName>
    <definedName name="LTDCH_4Q21">#REF!</definedName>
    <definedName name="LTDCH_4Q22">#REF!</definedName>
    <definedName name="LTDCH_4Q23">#REF!</definedName>
    <definedName name="LTDCH_4Q24">#REF!</definedName>
    <definedName name="LTDEBT_1995">#REF!</definedName>
    <definedName name="LTDEBT_1996">#REF!</definedName>
    <definedName name="LTDEBT_1997">#REF!</definedName>
    <definedName name="LTDEBT_1998">#REF!</definedName>
    <definedName name="LTDEBT_1999">#REF!</definedName>
    <definedName name="LTDEBT_1Q00">#REF!</definedName>
    <definedName name="LTDEBT_1Q01">#REF!</definedName>
    <definedName name="LTDEBT_1Q02">#REF!</definedName>
    <definedName name="LTDEBT_1Q03">#REF!</definedName>
    <definedName name="LTDEBT_1Q04">#REF!</definedName>
    <definedName name="LTDEBT_1Q05">#REF!</definedName>
    <definedName name="LTDEBT_1Q06">#REF!</definedName>
    <definedName name="LTDEBT_1Q07">#REF!</definedName>
    <definedName name="LTDEBT_1Q08">#REF!</definedName>
    <definedName name="LTDEBT_1Q09">#REF!</definedName>
    <definedName name="LTDEBT_1Q10">#REF!</definedName>
    <definedName name="LTDEBT_1Q11">#REF!</definedName>
    <definedName name="LTDEBT_1Q12">#REF!</definedName>
    <definedName name="LTDEBT_1Q13">#REF!</definedName>
    <definedName name="LTDEBT_1Q14">#REF!</definedName>
    <definedName name="LTDEBT_1Q15">#REF!</definedName>
    <definedName name="LTDEBT_1Q16">#REF!</definedName>
    <definedName name="LTDEBT_1Q17">#REF!</definedName>
    <definedName name="LTDEBT_1Q18">#REF!</definedName>
    <definedName name="LTDEBT_1Q19">#REF!</definedName>
    <definedName name="LTDEBT_1Q20">#REF!</definedName>
    <definedName name="LTDEBT_1Q21">#REF!</definedName>
    <definedName name="LTDEBT_1Q22">#REF!</definedName>
    <definedName name="LTDEBT_1Q23">#REF!</definedName>
    <definedName name="LTDEBT_1Q24">#REF!</definedName>
    <definedName name="LTDEBT_2000">#REF!</definedName>
    <definedName name="LTDEBT_2001">#REF!</definedName>
    <definedName name="LTDEBT_2002">#REF!</definedName>
    <definedName name="LTDEBT_2003">#REF!</definedName>
    <definedName name="LTDEBT_2004">#REF!</definedName>
    <definedName name="LTDEBT_2005">#REF!</definedName>
    <definedName name="LTDEBT_2006">#REF!</definedName>
    <definedName name="LTDEBT_2007">#REF!</definedName>
    <definedName name="LTDEBT_2008">#REF!</definedName>
    <definedName name="LTDEBT_2009">#REF!</definedName>
    <definedName name="LTDEBT_2010">#REF!</definedName>
    <definedName name="LTDEBT_2011">#REF!</definedName>
    <definedName name="LTDEBT_2012">#REF!</definedName>
    <definedName name="LTDEBT_2013">#REF!</definedName>
    <definedName name="LTDEBT_2014">#REF!</definedName>
    <definedName name="LTDEBT_2015">#REF!</definedName>
    <definedName name="LTDEBT_2016">#REF!</definedName>
    <definedName name="LTDEBT_2017">#REF!</definedName>
    <definedName name="LTDEBT_2018">#REF!</definedName>
    <definedName name="LTDEBT_2019">#REF!</definedName>
    <definedName name="LTDEBT_2020">#REF!</definedName>
    <definedName name="LTDEBT_2021">#REF!</definedName>
    <definedName name="LTDEBT_2022">#REF!</definedName>
    <definedName name="LTDEBT_2023">#REF!</definedName>
    <definedName name="LTDEBT_2024">#REF!</definedName>
    <definedName name="LTDEBT_2Q00">#REF!</definedName>
    <definedName name="LTDEBT_2Q01">#REF!</definedName>
    <definedName name="LTDEBT_2Q02">#REF!</definedName>
    <definedName name="LTDEBT_2Q03">#REF!</definedName>
    <definedName name="LTDEBT_2Q04">#REF!</definedName>
    <definedName name="LTDEBT_2Q05">#REF!</definedName>
    <definedName name="LTDEBT_2Q06">#REF!</definedName>
    <definedName name="LTDEBT_2Q07">#REF!</definedName>
    <definedName name="LTDEBT_2Q08">#REF!</definedName>
    <definedName name="LTDEBT_2Q09">#REF!</definedName>
    <definedName name="LTDEBT_2Q10">#REF!</definedName>
    <definedName name="LTDEBT_2Q11">#REF!</definedName>
    <definedName name="LTDEBT_2Q12">#REF!</definedName>
    <definedName name="LTDEBT_2Q13">#REF!</definedName>
    <definedName name="LTDEBT_2Q14">#REF!</definedName>
    <definedName name="LTDEBT_2Q15">#REF!</definedName>
    <definedName name="LTDEBT_2Q16">#REF!</definedName>
    <definedName name="LTDEBT_2Q17">#REF!</definedName>
    <definedName name="LTDEBT_2Q18">#REF!</definedName>
    <definedName name="LTDEBT_2Q19">#REF!</definedName>
    <definedName name="LTDEBT_2Q20">#REF!</definedName>
    <definedName name="LTDEBT_2Q21">#REF!</definedName>
    <definedName name="LTDEBT_2Q22">#REF!</definedName>
    <definedName name="LTDEBT_2Q23">#REF!</definedName>
    <definedName name="LTDEBT_2Q24">#REF!</definedName>
    <definedName name="LTDEBT_3Q00">#REF!</definedName>
    <definedName name="LTDEBT_3Q01">#REF!</definedName>
    <definedName name="LTDEBT_3Q02">#REF!</definedName>
    <definedName name="LTDEBT_3Q03">#REF!</definedName>
    <definedName name="LTDEBT_3Q04">#REF!</definedName>
    <definedName name="LTDEBT_3Q05">#REF!</definedName>
    <definedName name="LTDEBT_3Q06">#REF!</definedName>
    <definedName name="LTDEBT_3Q07">#REF!</definedName>
    <definedName name="LTDEBT_3Q08">#REF!</definedName>
    <definedName name="LTDEBT_3Q09">#REF!</definedName>
    <definedName name="LTDEBT_3Q10">#REF!</definedName>
    <definedName name="LTDEBT_3Q11">#REF!</definedName>
    <definedName name="LTDEBT_3Q12">#REF!</definedName>
    <definedName name="LTDEBT_3Q13">#REF!</definedName>
    <definedName name="LTDEBT_3Q14">#REF!</definedName>
    <definedName name="LTDEBT_3Q15">#REF!</definedName>
    <definedName name="LTDEBT_3Q16">#REF!</definedName>
    <definedName name="LTDEBT_3Q17">#REF!</definedName>
    <definedName name="LTDEBT_3Q18">#REF!</definedName>
    <definedName name="LTDEBT_3Q19">#REF!</definedName>
    <definedName name="LTDEBT_3Q20">#REF!</definedName>
    <definedName name="LTDEBT_3Q21">#REF!</definedName>
    <definedName name="LTDEBT_3Q22">#REF!</definedName>
    <definedName name="LTDEBT_3Q23">#REF!</definedName>
    <definedName name="LTDEBT_3Q24">#REF!</definedName>
    <definedName name="LTDEBT_4Q00">#REF!</definedName>
    <definedName name="LTDEBT_4Q01">#REF!</definedName>
    <definedName name="LTDEBT_4Q02">#REF!</definedName>
    <definedName name="LTDEBT_4Q03">#REF!</definedName>
    <definedName name="LTDEBT_4Q04">#REF!</definedName>
    <definedName name="LTDEBT_4Q05">#REF!</definedName>
    <definedName name="LTDEBT_4Q06">#REF!</definedName>
    <definedName name="LTDEBT_4Q07">#REF!</definedName>
    <definedName name="LTDEBT_4Q08">#REF!</definedName>
    <definedName name="LTDEBT_4Q09">#REF!</definedName>
    <definedName name="LTDEBT_4Q10">#REF!</definedName>
    <definedName name="LTDEBT_4Q11">#REF!</definedName>
    <definedName name="LTDEBT_4Q12">#REF!</definedName>
    <definedName name="LTDEBT_4Q13">#REF!</definedName>
    <definedName name="LTDEBT_4Q14">#REF!</definedName>
    <definedName name="LTDEBT_4Q15">#REF!</definedName>
    <definedName name="LTDEBT_4Q16">#REF!</definedName>
    <definedName name="LTDEBT_4Q17">#REF!</definedName>
    <definedName name="LTDEBT_4Q18">#REF!</definedName>
    <definedName name="LTDEBT_4Q19">#REF!</definedName>
    <definedName name="LTDEBT_4Q20">#REF!</definedName>
    <definedName name="LTDEBT_4Q21">#REF!</definedName>
    <definedName name="LTDEBT_4Q22">#REF!</definedName>
    <definedName name="LTDEBT_4Q23">#REF!</definedName>
    <definedName name="LTDEBT_4Q24">#REF!</definedName>
    <definedName name="MAE">#REF!</definedName>
    <definedName name="market" localSheetId="4" hidden="1">{#N/A,"70% Success",FALSE,"Sales Forecast";#N/A,#N/A,FALSE,"Sheet2"}</definedName>
    <definedName name="market" localSheetId="6" hidden="1">{#N/A,"70% Success",FALSE,"Sales Forecast";#N/A,#N/A,FALSE,"Sheet2"}</definedName>
    <definedName name="market" localSheetId="0" hidden="1">{#N/A,"70% Success",FALSE,"Sales Forecast";#N/A,#N/A,FALSE,"Sheet2"}</definedName>
    <definedName name="market" hidden="1">{#N/A,"70% Success",FALSE,"Sales Forecast";#N/A,#N/A,FALSE,"Sheet2"}</definedName>
    <definedName name="maxcell">#REF!</definedName>
    <definedName name="me">"Button 5"</definedName>
    <definedName name="mincell">#REF!</definedName>
    <definedName name="MININT_1995">#REF!</definedName>
    <definedName name="MININT_1996">#REF!</definedName>
    <definedName name="MININT_1997">#REF!</definedName>
    <definedName name="MININT_1998">#REF!</definedName>
    <definedName name="MININT_1999">#REF!</definedName>
    <definedName name="MININT_1Q00">#REF!</definedName>
    <definedName name="MININT_1Q01">#REF!</definedName>
    <definedName name="MININT_1Q02">#REF!</definedName>
    <definedName name="MININT_1Q03">#REF!</definedName>
    <definedName name="MININT_1Q04">#REF!</definedName>
    <definedName name="MININT_1Q05">#REF!</definedName>
    <definedName name="MININT_1Q06">#REF!</definedName>
    <definedName name="MININT_1Q07">#REF!</definedName>
    <definedName name="MININT_1Q08">#REF!</definedName>
    <definedName name="MININT_1Q09">#REF!</definedName>
    <definedName name="MININT_1Q10">#REF!</definedName>
    <definedName name="MININT_1Q11">#REF!</definedName>
    <definedName name="MININT_1Q12">#REF!</definedName>
    <definedName name="MININT_1Q13">#REF!</definedName>
    <definedName name="MININT_1Q14">#REF!</definedName>
    <definedName name="MININT_1Q15">#REF!</definedName>
    <definedName name="MININT_1Q16">#REF!</definedName>
    <definedName name="MININT_1Q17">#REF!</definedName>
    <definedName name="MININT_1Q18">#REF!</definedName>
    <definedName name="MININT_1Q19">#REF!</definedName>
    <definedName name="MININT_1Q20">#REF!</definedName>
    <definedName name="MININT_1Q21">#REF!</definedName>
    <definedName name="MININT_1Q22">#REF!</definedName>
    <definedName name="MININT_1Q23">#REF!</definedName>
    <definedName name="MININT_1Q24">#REF!</definedName>
    <definedName name="MININT_2000">#REF!</definedName>
    <definedName name="MININT_2001">#REF!</definedName>
    <definedName name="MININT_2002">#REF!</definedName>
    <definedName name="MININT_2003">#REF!</definedName>
    <definedName name="MININT_2004">#REF!</definedName>
    <definedName name="MININT_2005">#REF!</definedName>
    <definedName name="MININT_2006">#REF!</definedName>
    <definedName name="MININT_2007">#REF!</definedName>
    <definedName name="MININT_2008">#REF!</definedName>
    <definedName name="MININT_2009">#REF!</definedName>
    <definedName name="MININT_2010">#REF!</definedName>
    <definedName name="MININT_2011">#REF!</definedName>
    <definedName name="MININT_2012">#REF!</definedName>
    <definedName name="MININT_2013">#REF!</definedName>
    <definedName name="MININT_2014">#REF!</definedName>
    <definedName name="MININT_2015">#REF!</definedName>
    <definedName name="MININT_2016">#REF!</definedName>
    <definedName name="MININT_2017">#REF!</definedName>
    <definedName name="MININT_2018">#REF!</definedName>
    <definedName name="MININT_2019">#REF!</definedName>
    <definedName name="MININT_2020">#REF!</definedName>
    <definedName name="MININT_2021">#REF!</definedName>
    <definedName name="MININT_2022">#REF!</definedName>
    <definedName name="MININT_2023">#REF!</definedName>
    <definedName name="MININT_2024">#REF!</definedName>
    <definedName name="MININT_2Q00">#REF!</definedName>
    <definedName name="MININT_2Q01">#REF!</definedName>
    <definedName name="MININT_2Q02">#REF!</definedName>
    <definedName name="MININT_2Q03">#REF!</definedName>
    <definedName name="MININT_2Q04">#REF!</definedName>
    <definedName name="MININT_2Q05">#REF!</definedName>
    <definedName name="MININT_2Q06">#REF!</definedName>
    <definedName name="MININT_2Q07">#REF!</definedName>
    <definedName name="MININT_2Q08">#REF!</definedName>
    <definedName name="MININT_2Q09">#REF!</definedName>
    <definedName name="MININT_2Q10">#REF!</definedName>
    <definedName name="MININT_2Q11">#REF!</definedName>
    <definedName name="MININT_2Q12">#REF!</definedName>
    <definedName name="MININT_2Q13">#REF!</definedName>
    <definedName name="MININT_2Q14">#REF!</definedName>
    <definedName name="MININT_2Q15">#REF!</definedName>
    <definedName name="MININT_2Q16">#REF!</definedName>
    <definedName name="MININT_2Q17">#REF!</definedName>
    <definedName name="MININT_2Q18">#REF!</definedName>
    <definedName name="MININT_2Q19">#REF!</definedName>
    <definedName name="MININT_2Q20">#REF!</definedName>
    <definedName name="MININT_2Q21">#REF!</definedName>
    <definedName name="MININT_2Q22">#REF!</definedName>
    <definedName name="MININT_2Q23">#REF!</definedName>
    <definedName name="MININT_2Q24">#REF!</definedName>
    <definedName name="MININT_3Q00">#REF!</definedName>
    <definedName name="MININT_3Q01">#REF!</definedName>
    <definedName name="MININT_3Q02">#REF!</definedName>
    <definedName name="MININT_3Q03">#REF!</definedName>
    <definedName name="MININT_3Q04">#REF!</definedName>
    <definedName name="MININT_3Q05">#REF!</definedName>
    <definedName name="MININT_3Q06">#REF!</definedName>
    <definedName name="MININT_3Q07">#REF!</definedName>
    <definedName name="MININT_3Q08">#REF!</definedName>
    <definedName name="MININT_3Q09">#REF!</definedName>
    <definedName name="MININT_3Q10">#REF!</definedName>
    <definedName name="MININT_3Q11">#REF!</definedName>
    <definedName name="MININT_3Q12">#REF!</definedName>
    <definedName name="MININT_3Q13">#REF!</definedName>
    <definedName name="MININT_3Q14">#REF!</definedName>
    <definedName name="MININT_3Q15">#REF!</definedName>
    <definedName name="MININT_3Q16">#REF!</definedName>
    <definedName name="MININT_3Q17">#REF!</definedName>
    <definedName name="MININT_3Q18">#REF!</definedName>
    <definedName name="MININT_3Q19">#REF!</definedName>
    <definedName name="MININT_3Q20">#REF!</definedName>
    <definedName name="MININT_3Q21">#REF!</definedName>
    <definedName name="MININT_3Q22">#REF!</definedName>
    <definedName name="MININT_3Q23">#REF!</definedName>
    <definedName name="MININT_3Q24">#REF!</definedName>
    <definedName name="MININT_4Q00">#REF!</definedName>
    <definedName name="MININT_4Q01">#REF!</definedName>
    <definedName name="MININT_4Q02">#REF!</definedName>
    <definedName name="MININT_4Q03">#REF!</definedName>
    <definedName name="MININT_4Q04">#REF!</definedName>
    <definedName name="MININT_4Q05">#REF!</definedName>
    <definedName name="MININT_4Q06">#REF!</definedName>
    <definedName name="MININT_4Q07">#REF!</definedName>
    <definedName name="MININT_4Q08">#REF!</definedName>
    <definedName name="MININT_4Q09">#REF!</definedName>
    <definedName name="MININT_4Q10">#REF!</definedName>
    <definedName name="MININT_4Q11">#REF!</definedName>
    <definedName name="MININT_4Q12">#REF!</definedName>
    <definedName name="MININT_4Q13">#REF!</definedName>
    <definedName name="MININT_4Q14">#REF!</definedName>
    <definedName name="MININT_4Q15">#REF!</definedName>
    <definedName name="MININT_4Q16">#REF!</definedName>
    <definedName name="MININT_4Q17">#REF!</definedName>
    <definedName name="MININT_4Q18">#REF!</definedName>
    <definedName name="MININT_4Q19">#REF!</definedName>
    <definedName name="MININT_4Q20">#REF!</definedName>
    <definedName name="MININT_4Q21">#REF!</definedName>
    <definedName name="MININT_4Q22">#REF!</definedName>
    <definedName name="MININT_4Q23">#REF!</definedName>
    <definedName name="MININT_4Q24">#REF!</definedName>
    <definedName name="MINOR_1995">#REF!</definedName>
    <definedName name="MINOR_1996">#REF!</definedName>
    <definedName name="MINOR_1997">#REF!</definedName>
    <definedName name="MINOR_1998">#REF!</definedName>
    <definedName name="MINOR_1999">#REF!</definedName>
    <definedName name="MINOR_1Q00">#REF!</definedName>
    <definedName name="MINOR_1Q01">#REF!</definedName>
    <definedName name="MINOR_1Q02">#REF!</definedName>
    <definedName name="MINOR_1Q03">#REF!</definedName>
    <definedName name="MINOR_1Q04">#REF!</definedName>
    <definedName name="MINOR_1Q05">#REF!</definedName>
    <definedName name="MINOR_1Q06">#REF!</definedName>
    <definedName name="MINOR_1Q07">#REF!</definedName>
    <definedName name="MINOR_1Q08">#REF!</definedName>
    <definedName name="MINOR_1Q09">#REF!</definedName>
    <definedName name="MINOR_1Q10">#REF!</definedName>
    <definedName name="MINOR_1Q11">#REF!</definedName>
    <definedName name="MINOR_1Q12">#REF!</definedName>
    <definedName name="MINOR_1Q13">#REF!</definedName>
    <definedName name="MINOR_1Q14">#REF!</definedName>
    <definedName name="MINOR_1Q15">#REF!</definedName>
    <definedName name="MINOR_1Q16">#REF!</definedName>
    <definedName name="MINOR_1Q17">#REF!</definedName>
    <definedName name="MINOR_1Q18">#REF!</definedName>
    <definedName name="MINOR_1Q19">#REF!</definedName>
    <definedName name="MINOR_1Q20">#REF!</definedName>
    <definedName name="MINOR_1Q21">#REF!</definedName>
    <definedName name="MINOR_1Q22">#REF!</definedName>
    <definedName name="MINOR_1Q23">#REF!</definedName>
    <definedName name="MINOR_1Q24">#REF!</definedName>
    <definedName name="MINOR_2000">#REF!</definedName>
    <definedName name="MINOR_2001">#REF!</definedName>
    <definedName name="MINOR_2002">#REF!</definedName>
    <definedName name="MINOR_2003">#REF!</definedName>
    <definedName name="MINOR_2004">#REF!</definedName>
    <definedName name="MINOR_2005">#REF!</definedName>
    <definedName name="MINOR_2006">#REF!</definedName>
    <definedName name="MINOR_2007">#REF!</definedName>
    <definedName name="MINOR_2008">#REF!</definedName>
    <definedName name="MINOR_2009">#REF!</definedName>
    <definedName name="MINOR_2010">#REF!</definedName>
    <definedName name="MINOR_2011">#REF!</definedName>
    <definedName name="MINOR_2012">#REF!</definedName>
    <definedName name="MINOR_2013">#REF!</definedName>
    <definedName name="MINOR_2014">#REF!</definedName>
    <definedName name="MINOR_2015">#REF!</definedName>
    <definedName name="MINOR_2016">#REF!</definedName>
    <definedName name="MINOR_2017">#REF!</definedName>
    <definedName name="MINOR_2018">#REF!</definedName>
    <definedName name="MINOR_2019">#REF!</definedName>
    <definedName name="MINOR_2020">#REF!</definedName>
    <definedName name="MINOR_2021">#REF!</definedName>
    <definedName name="MINOR_2022">#REF!</definedName>
    <definedName name="MINOR_2023">#REF!</definedName>
    <definedName name="MINOR_2024">#REF!</definedName>
    <definedName name="MINOR_2Q00">#REF!</definedName>
    <definedName name="MINOR_2Q01">#REF!</definedName>
    <definedName name="MINOR_2Q02">#REF!</definedName>
    <definedName name="MINOR_2Q03">#REF!</definedName>
    <definedName name="MINOR_2Q04">#REF!</definedName>
    <definedName name="MINOR_2Q05">#REF!</definedName>
    <definedName name="MINOR_2Q06">#REF!</definedName>
    <definedName name="MINOR_2Q07">#REF!</definedName>
    <definedName name="MINOR_2Q08">#REF!</definedName>
    <definedName name="MINOR_2Q09">#REF!</definedName>
    <definedName name="MINOR_2Q10">#REF!</definedName>
    <definedName name="MINOR_2Q11">#REF!</definedName>
    <definedName name="MINOR_2Q12">#REF!</definedName>
    <definedName name="MINOR_2Q13">#REF!</definedName>
    <definedName name="MINOR_2Q14">#REF!</definedName>
    <definedName name="MINOR_2Q15">#REF!</definedName>
    <definedName name="MINOR_2Q16">#REF!</definedName>
    <definedName name="MINOR_2Q17">#REF!</definedName>
    <definedName name="MINOR_2Q18">#REF!</definedName>
    <definedName name="MINOR_2Q19">#REF!</definedName>
    <definedName name="MINOR_2Q20">#REF!</definedName>
    <definedName name="MINOR_2Q21">#REF!</definedName>
    <definedName name="MINOR_2Q22">#REF!</definedName>
    <definedName name="MINOR_2Q23">#REF!</definedName>
    <definedName name="MINOR_2Q24">#REF!</definedName>
    <definedName name="MINOR_3Q00">#REF!</definedName>
    <definedName name="MINOR_3Q01">#REF!</definedName>
    <definedName name="MINOR_3Q02">#REF!</definedName>
    <definedName name="MINOR_3Q03">#REF!</definedName>
    <definedName name="MINOR_3Q04">#REF!</definedName>
    <definedName name="MINOR_3Q05">#REF!</definedName>
    <definedName name="MINOR_3Q06">#REF!</definedName>
    <definedName name="MINOR_3Q07">#REF!</definedName>
    <definedName name="MINOR_3Q08">#REF!</definedName>
    <definedName name="MINOR_3Q09">#REF!</definedName>
    <definedName name="MINOR_3Q10">#REF!</definedName>
    <definedName name="MINOR_3Q11">#REF!</definedName>
    <definedName name="MINOR_3Q12">#REF!</definedName>
    <definedName name="MINOR_3Q13">#REF!</definedName>
    <definedName name="MINOR_3Q14">#REF!</definedName>
    <definedName name="MINOR_3Q15">#REF!</definedName>
    <definedName name="MINOR_3Q16">#REF!</definedName>
    <definedName name="MINOR_3Q17">#REF!</definedName>
    <definedName name="MINOR_3Q18">#REF!</definedName>
    <definedName name="MINOR_3Q19">#REF!</definedName>
    <definedName name="MINOR_3Q20">#REF!</definedName>
    <definedName name="MINOR_3Q21">#REF!</definedName>
    <definedName name="MINOR_3Q22">#REF!</definedName>
    <definedName name="MINOR_3Q23">#REF!</definedName>
    <definedName name="MINOR_3Q24">#REF!</definedName>
    <definedName name="MINOR_4Q00">#REF!</definedName>
    <definedName name="MINOR_4Q01">#REF!</definedName>
    <definedName name="MINOR_4Q02">#REF!</definedName>
    <definedName name="MINOR_4Q03">#REF!</definedName>
    <definedName name="MINOR_4Q04">#REF!</definedName>
    <definedName name="MINOR_4Q05">#REF!</definedName>
    <definedName name="MINOR_4Q06">#REF!</definedName>
    <definedName name="MINOR_4Q07">#REF!</definedName>
    <definedName name="MINOR_4Q08">#REF!</definedName>
    <definedName name="MINOR_4Q09">#REF!</definedName>
    <definedName name="MINOR_4Q10">#REF!</definedName>
    <definedName name="MINOR_4Q11">#REF!</definedName>
    <definedName name="MINOR_4Q12">#REF!</definedName>
    <definedName name="MINOR_4Q13">#REF!</definedName>
    <definedName name="MINOR_4Q14">#REF!</definedName>
    <definedName name="MINOR_4Q15">#REF!</definedName>
    <definedName name="MINOR_4Q16">#REF!</definedName>
    <definedName name="MINOR_4Q17">#REF!</definedName>
    <definedName name="MINOR_4Q18">#REF!</definedName>
    <definedName name="MINOR_4Q19">#REF!</definedName>
    <definedName name="MINOR_4Q20">#REF!</definedName>
    <definedName name="MINOR_4Q21">#REF!</definedName>
    <definedName name="MINOR_4Q22">#REF!</definedName>
    <definedName name="MINOR_4Q23">#REF!</definedName>
    <definedName name="MINOR_4Q24">#REF!</definedName>
    <definedName name="mn">{"Jan","Feb","Mar","Apr","May","Jun","Jul","Aug","Sep","Oct","Nov","Dec";"January","February","March","April","May","June","July","August","September","October","November","December"}</definedName>
    <definedName name="MonitorCol">1</definedName>
    <definedName name="MonitorRow">1</definedName>
    <definedName name="monthNames">{"Jan","Feb","Mar","Apr","May","Jun","Jul","Aug","Sep","Oct","Nov","Dec";"January","February","March","April","May","June","July","August","September","October","November","December"}</definedName>
    <definedName name="NA">"NA   "</definedName>
    <definedName name="NAV_1995">#REF!</definedName>
    <definedName name="NAV_1996">#REF!</definedName>
    <definedName name="NAV_1997">#REF!</definedName>
    <definedName name="NAV_1998">#REF!</definedName>
    <definedName name="NAV_1999">#REF!</definedName>
    <definedName name="NAV_1Q00">#REF!</definedName>
    <definedName name="NAV_1Q01">#REF!</definedName>
    <definedName name="NAV_1Q02">#REF!</definedName>
    <definedName name="NAV_1Q03">#REF!</definedName>
    <definedName name="NAV_1Q04">#REF!</definedName>
    <definedName name="NAV_1Q05">#REF!</definedName>
    <definedName name="NAV_1Q06">#REF!</definedName>
    <definedName name="NAV_1Q07">#REF!</definedName>
    <definedName name="NAV_1Q08">#REF!</definedName>
    <definedName name="NAV_1Q09">#REF!</definedName>
    <definedName name="NAV_1Q10">#REF!</definedName>
    <definedName name="NAV_1Q11">#REF!</definedName>
    <definedName name="NAV_1Q12">#REF!</definedName>
    <definedName name="NAV_1Q13">#REF!</definedName>
    <definedName name="NAV_1Q14">#REF!</definedName>
    <definedName name="NAV_1Q15">#REF!</definedName>
    <definedName name="NAV_1Q16">#REF!</definedName>
    <definedName name="NAV_1Q17">#REF!</definedName>
    <definedName name="NAV_1Q18">#REF!</definedName>
    <definedName name="NAV_1Q19">#REF!</definedName>
    <definedName name="NAV_1Q20">#REF!</definedName>
    <definedName name="NAV_1Q21">#REF!</definedName>
    <definedName name="NAV_1Q22">#REF!</definedName>
    <definedName name="NAV_1Q23">#REF!</definedName>
    <definedName name="NAV_1Q24">#REF!</definedName>
    <definedName name="NAV_2000">#REF!</definedName>
    <definedName name="NAV_2001">#REF!</definedName>
    <definedName name="NAV_2002">#REF!</definedName>
    <definedName name="NAV_2003">#REF!</definedName>
    <definedName name="NAV_2004">#REF!</definedName>
    <definedName name="NAV_2005">#REF!</definedName>
    <definedName name="NAV_2006">#REF!</definedName>
    <definedName name="NAV_2007">#REF!</definedName>
    <definedName name="NAV_2008">#REF!</definedName>
    <definedName name="NAV_2009">#REF!</definedName>
    <definedName name="NAV_2010">#REF!</definedName>
    <definedName name="NAV_2011">#REF!</definedName>
    <definedName name="NAV_2012">#REF!</definedName>
    <definedName name="NAV_2013">#REF!</definedName>
    <definedName name="NAV_2014">#REF!</definedName>
    <definedName name="NAV_2015">#REF!</definedName>
    <definedName name="NAV_2016">#REF!</definedName>
    <definedName name="NAV_2017">#REF!</definedName>
    <definedName name="NAV_2018">#REF!</definedName>
    <definedName name="NAV_2019">#REF!</definedName>
    <definedName name="NAV_2020">#REF!</definedName>
    <definedName name="NAV_2021">#REF!</definedName>
    <definedName name="NAV_2022">#REF!</definedName>
    <definedName name="NAV_2023">#REF!</definedName>
    <definedName name="NAV_2024">#REF!</definedName>
    <definedName name="NAV_2Q00">#REF!</definedName>
    <definedName name="NAV_2Q01">#REF!</definedName>
    <definedName name="NAV_2Q02">#REF!</definedName>
    <definedName name="NAV_2Q03">#REF!</definedName>
    <definedName name="NAV_2Q04">#REF!</definedName>
    <definedName name="NAV_2Q05">#REF!</definedName>
    <definedName name="NAV_2Q06">#REF!</definedName>
    <definedName name="NAV_2Q07">#REF!</definedName>
    <definedName name="NAV_2Q08">#REF!</definedName>
    <definedName name="NAV_2Q09">#REF!</definedName>
    <definedName name="NAV_2Q10">#REF!</definedName>
    <definedName name="NAV_2Q11">#REF!</definedName>
    <definedName name="NAV_2Q12">#REF!</definedName>
    <definedName name="NAV_2Q13">#REF!</definedName>
    <definedName name="NAV_2Q14">#REF!</definedName>
    <definedName name="NAV_2Q15">#REF!</definedName>
    <definedName name="NAV_2Q16">#REF!</definedName>
    <definedName name="NAV_2Q17">#REF!</definedName>
    <definedName name="NAV_2Q18">#REF!</definedName>
    <definedName name="NAV_2Q19">#REF!</definedName>
    <definedName name="NAV_2Q20">#REF!</definedName>
    <definedName name="NAV_2Q21">#REF!</definedName>
    <definedName name="NAV_2Q22">#REF!</definedName>
    <definedName name="NAV_2Q23">#REF!</definedName>
    <definedName name="NAV_2Q24">#REF!</definedName>
    <definedName name="NAV_3Q00">#REF!</definedName>
    <definedName name="NAV_3Q01">#REF!</definedName>
    <definedName name="NAV_3Q02">#REF!</definedName>
    <definedName name="NAV_3Q03">#REF!</definedName>
    <definedName name="NAV_3Q04">#REF!</definedName>
    <definedName name="NAV_3Q05">#REF!</definedName>
    <definedName name="NAV_3Q06">#REF!</definedName>
    <definedName name="NAV_3Q07">#REF!</definedName>
    <definedName name="NAV_3Q08">#REF!</definedName>
    <definedName name="NAV_3Q09">#REF!</definedName>
    <definedName name="NAV_3Q10">#REF!</definedName>
    <definedName name="NAV_3Q11">#REF!</definedName>
    <definedName name="NAV_3Q12">#REF!</definedName>
    <definedName name="NAV_3Q13">#REF!</definedName>
    <definedName name="NAV_3Q14">#REF!</definedName>
    <definedName name="NAV_3Q15">#REF!</definedName>
    <definedName name="NAV_3Q16">#REF!</definedName>
    <definedName name="NAV_3Q17">#REF!</definedName>
    <definedName name="NAV_3Q18">#REF!</definedName>
    <definedName name="NAV_3Q19">#REF!</definedName>
    <definedName name="NAV_3Q20">#REF!</definedName>
    <definedName name="NAV_3Q21">#REF!</definedName>
    <definedName name="NAV_3Q22">#REF!</definedName>
    <definedName name="NAV_3Q23">#REF!</definedName>
    <definedName name="NAV_3Q24">#REF!</definedName>
    <definedName name="NAV_4Q00">#REF!</definedName>
    <definedName name="NAV_4Q01">#REF!</definedName>
    <definedName name="NAV_4Q02">#REF!</definedName>
    <definedName name="NAV_4Q03">#REF!</definedName>
    <definedName name="NAV_4Q04">#REF!</definedName>
    <definedName name="NAV_4Q05">#REF!</definedName>
    <definedName name="NAV_4Q06">#REF!</definedName>
    <definedName name="NAV_4Q07">#REF!</definedName>
    <definedName name="NAV_4Q08">#REF!</definedName>
    <definedName name="NAV_4Q09">#REF!</definedName>
    <definedName name="NAV_4Q10">#REF!</definedName>
    <definedName name="NAV_4Q11">#REF!</definedName>
    <definedName name="NAV_4Q12">#REF!</definedName>
    <definedName name="NAV_4Q13">#REF!</definedName>
    <definedName name="NAV_4Q14">#REF!</definedName>
    <definedName name="NAV_4Q15">#REF!</definedName>
    <definedName name="NAV_4Q16">#REF!</definedName>
    <definedName name="NAV_4Q17">#REF!</definedName>
    <definedName name="NAV_4Q18">#REF!</definedName>
    <definedName name="NAV_4Q19">#REF!</definedName>
    <definedName name="NAV_4Q20">#REF!</definedName>
    <definedName name="NAV_4Q21">#REF!</definedName>
    <definedName name="NAV_4Q22">#REF!</definedName>
    <definedName name="NAV_4Q23">#REF!</definedName>
    <definedName name="NAV_4Q24">#REF!</definedName>
    <definedName name="NCACQS_1995">#REF!</definedName>
    <definedName name="NCACQS_1996">#REF!</definedName>
    <definedName name="NCACQS_1997">#REF!</definedName>
    <definedName name="NCACQS_1998">#REF!</definedName>
    <definedName name="NCACQS_1999">#REF!</definedName>
    <definedName name="NCACQS_1Q00">#REF!</definedName>
    <definedName name="NCACQS_1Q01">#REF!</definedName>
    <definedName name="NCACQS_1Q02">#REF!</definedName>
    <definedName name="NCACQS_1Q03">#REF!</definedName>
    <definedName name="NCACQS_1Q04">#REF!</definedName>
    <definedName name="NCACQS_1Q05">#REF!</definedName>
    <definedName name="NCACQS_1Q06">#REF!</definedName>
    <definedName name="NCACQS_1Q07">#REF!</definedName>
    <definedName name="NCACQS_1Q08">#REF!</definedName>
    <definedName name="NCACQS_1Q09">#REF!</definedName>
    <definedName name="NCACQS_1Q10">#REF!</definedName>
    <definedName name="NCACQS_1Q11">#REF!</definedName>
    <definedName name="NCACQS_1Q12">#REF!</definedName>
    <definedName name="NCACQS_1Q13">#REF!</definedName>
    <definedName name="NCACQS_1Q14">#REF!</definedName>
    <definedName name="NCACQS_1Q15">#REF!</definedName>
    <definedName name="NCACQS_1Q16">#REF!</definedName>
    <definedName name="NCACQS_1Q17">#REF!</definedName>
    <definedName name="NCACQS_1Q18">#REF!</definedName>
    <definedName name="NCACQS_1Q19">#REF!</definedName>
    <definedName name="NCACQS_1Q20">#REF!</definedName>
    <definedName name="NCACQS_1Q21">#REF!</definedName>
    <definedName name="NCACQS_1Q22">#REF!</definedName>
    <definedName name="NCACQS_1Q23">#REF!</definedName>
    <definedName name="NCACQS_1Q24">#REF!</definedName>
    <definedName name="NCACQS_2000">#REF!</definedName>
    <definedName name="NCACQS_2001">#REF!</definedName>
    <definedName name="NCACQS_2002">#REF!</definedName>
    <definedName name="NCACQS_2003">#REF!</definedName>
    <definedName name="NCACQS_2004">#REF!</definedName>
    <definedName name="NCACQS_2005">#REF!</definedName>
    <definedName name="NCACQS_2006">#REF!</definedName>
    <definedName name="NCACQS_2007">#REF!</definedName>
    <definedName name="NCACQS_2008">#REF!</definedName>
    <definedName name="NCACQS_2009">#REF!</definedName>
    <definedName name="NCACQS_2010">#REF!</definedName>
    <definedName name="NCACQS_2011">#REF!</definedName>
    <definedName name="NCACQS_2012">#REF!</definedName>
    <definedName name="NCACQS_2013">#REF!</definedName>
    <definedName name="NCACQS_2014">#REF!</definedName>
    <definedName name="NCACQS_2015">#REF!</definedName>
    <definedName name="NCACQS_2016">#REF!</definedName>
    <definedName name="NCACQS_2017">#REF!</definedName>
    <definedName name="NCACQS_2018">#REF!</definedName>
    <definedName name="NCACQS_2019">#REF!</definedName>
    <definedName name="NCACQS_2020">#REF!</definedName>
    <definedName name="NCACQS_2021">#REF!</definedName>
    <definedName name="NCACQS_2022">#REF!</definedName>
    <definedName name="NCACQS_2023">#REF!</definedName>
    <definedName name="NCACQS_2024">#REF!</definedName>
    <definedName name="NCACQS_2Q00">#REF!</definedName>
    <definedName name="NCACQS_2Q01">#REF!</definedName>
    <definedName name="NCACQS_2Q02">#REF!</definedName>
    <definedName name="NCACQS_2Q03">#REF!</definedName>
    <definedName name="NCACQS_2Q04">#REF!</definedName>
    <definedName name="NCACQS_2Q05">#REF!</definedName>
    <definedName name="NCACQS_2Q06">#REF!</definedName>
    <definedName name="NCACQS_2Q07">#REF!</definedName>
    <definedName name="NCACQS_2Q08">#REF!</definedName>
    <definedName name="NCACQS_2Q09">#REF!</definedName>
    <definedName name="NCACQS_2Q10">#REF!</definedName>
    <definedName name="NCACQS_2Q11">#REF!</definedName>
    <definedName name="NCACQS_2Q12">#REF!</definedName>
    <definedName name="NCACQS_2Q13">#REF!</definedName>
    <definedName name="NCACQS_2Q14">#REF!</definedName>
    <definedName name="NCACQS_2Q15">#REF!</definedName>
    <definedName name="NCACQS_2Q16">#REF!</definedName>
    <definedName name="NCACQS_2Q17">#REF!</definedName>
    <definedName name="NCACQS_2Q18">#REF!</definedName>
    <definedName name="NCACQS_2Q19">#REF!</definedName>
    <definedName name="NCACQS_2Q20">#REF!</definedName>
    <definedName name="NCACQS_2Q21">#REF!</definedName>
    <definedName name="NCACQS_2Q22">#REF!</definedName>
    <definedName name="NCACQS_2Q23">#REF!</definedName>
    <definedName name="NCACQS_2Q24">#REF!</definedName>
    <definedName name="NCACQS_3Q00">#REF!</definedName>
    <definedName name="NCACQS_3Q01">#REF!</definedName>
    <definedName name="NCACQS_3Q02">#REF!</definedName>
    <definedName name="NCACQS_3Q03">#REF!</definedName>
    <definedName name="NCACQS_3Q04">#REF!</definedName>
    <definedName name="NCACQS_3Q05">#REF!</definedName>
    <definedName name="NCACQS_3Q06">#REF!</definedName>
    <definedName name="NCACQS_3Q07">#REF!</definedName>
    <definedName name="NCACQS_3Q08">#REF!</definedName>
    <definedName name="NCACQS_3Q09">#REF!</definedName>
    <definedName name="NCACQS_3Q10">#REF!</definedName>
    <definedName name="NCACQS_3Q11">#REF!</definedName>
    <definedName name="NCACQS_3Q12">#REF!</definedName>
    <definedName name="NCACQS_3Q13">#REF!</definedName>
    <definedName name="NCACQS_3Q14">#REF!</definedName>
    <definedName name="NCACQS_3Q15">#REF!</definedName>
    <definedName name="NCACQS_3Q16">#REF!</definedName>
    <definedName name="NCACQS_3Q17">#REF!</definedName>
    <definedName name="NCACQS_3Q18">#REF!</definedName>
    <definedName name="NCACQS_3Q19">#REF!</definedName>
    <definedName name="NCACQS_3Q20">#REF!</definedName>
    <definedName name="NCACQS_3Q21">#REF!</definedName>
    <definedName name="NCACQS_3Q22">#REF!</definedName>
    <definedName name="NCACQS_3Q23">#REF!</definedName>
    <definedName name="NCACQS_3Q24">#REF!</definedName>
    <definedName name="NCACQS_4Q00">#REF!</definedName>
    <definedName name="NCACQS_4Q01">#REF!</definedName>
    <definedName name="NCACQS_4Q02">#REF!</definedName>
    <definedName name="NCACQS_4Q03">#REF!</definedName>
    <definedName name="NCACQS_4Q04">#REF!</definedName>
    <definedName name="NCACQS_4Q05">#REF!</definedName>
    <definedName name="NCACQS_4Q06">#REF!</definedName>
    <definedName name="NCACQS_4Q07">#REF!</definedName>
    <definedName name="NCACQS_4Q08">#REF!</definedName>
    <definedName name="NCACQS_4Q09">#REF!</definedName>
    <definedName name="NCACQS_4Q10">#REF!</definedName>
    <definedName name="NCACQS_4Q11">#REF!</definedName>
    <definedName name="NCACQS_4Q12">#REF!</definedName>
    <definedName name="NCACQS_4Q13">#REF!</definedName>
    <definedName name="NCACQS_4Q14">#REF!</definedName>
    <definedName name="NCACQS_4Q15">#REF!</definedName>
    <definedName name="NCACQS_4Q16">#REF!</definedName>
    <definedName name="NCACQS_4Q17">#REF!</definedName>
    <definedName name="NCACQS_4Q18">#REF!</definedName>
    <definedName name="NCACQS_4Q19">#REF!</definedName>
    <definedName name="NCACQS_4Q20">#REF!</definedName>
    <definedName name="NCACQS_4Q21">#REF!</definedName>
    <definedName name="NCACQS_4Q22">#REF!</definedName>
    <definedName name="NCACQS_4Q23">#REF!</definedName>
    <definedName name="NCACQS_4Q24">#REF!</definedName>
    <definedName name="NCCAPX_1995">#REF!</definedName>
    <definedName name="NCCAPX_1996">#REF!</definedName>
    <definedName name="NCCAPX_1997">#REF!</definedName>
    <definedName name="NCCAPX_1998">#REF!</definedName>
    <definedName name="NCCAPX_1999">#REF!</definedName>
    <definedName name="NCCAPX_1Q00">#REF!</definedName>
    <definedName name="NCCAPX_1Q01">#REF!</definedName>
    <definedName name="NCCAPX_1Q02">#REF!</definedName>
    <definedName name="NCCAPX_1Q03">#REF!</definedName>
    <definedName name="NCCAPX_1Q04">#REF!</definedName>
    <definedName name="NCCAPX_1Q05">#REF!</definedName>
    <definedName name="NCCAPX_1Q06">#REF!</definedName>
    <definedName name="NCCAPX_1Q07">#REF!</definedName>
    <definedName name="NCCAPX_1Q08">#REF!</definedName>
    <definedName name="NCCAPX_1Q09">#REF!</definedName>
    <definedName name="NCCAPX_1Q10">#REF!</definedName>
    <definedName name="NCCAPX_1Q11">#REF!</definedName>
    <definedName name="NCCAPX_1Q12">#REF!</definedName>
    <definedName name="NCCAPX_1Q13">#REF!</definedName>
    <definedName name="NCCAPX_1Q14">#REF!</definedName>
    <definedName name="NCCAPX_1Q15">#REF!</definedName>
    <definedName name="NCCAPX_1Q16">#REF!</definedName>
    <definedName name="NCCAPX_1Q17">#REF!</definedName>
    <definedName name="NCCAPX_1Q18">#REF!</definedName>
    <definedName name="NCCAPX_1Q19">#REF!</definedName>
    <definedName name="NCCAPX_1Q20">#REF!</definedName>
    <definedName name="NCCAPX_1Q21">#REF!</definedName>
    <definedName name="NCCAPX_1Q22">#REF!</definedName>
    <definedName name="NCCAPX_1Q23">#REF!</definedName>
    <definedName name="NCCAPX_1Q24">#REF!</definedName>
    <definedName name="NCCAPX_2000">#REF!</definedName>
    <definedName name="NCCAPX_2001">#REF!</definedName>
    <definedName name="NCCAPX_2002">#REF!</definedName>
    <definedName name="NCCAPX_2003">#REF!</definedName>
    <definedName name="NCCAPX_2004">#REF!</definedName>
    <definedName name="NCCAPX_2005">#REF!</definedName>
    <definedName name="NCCAPX_2006">#REF!</definedName>
    <definedName name="NCCAPX_2007">#REF!</definedName>
    <definedName name="NCCAPX_2008">#REF!</definedName>
    <definedName name="NCCAPX_2009">#REF!</definedName>
    <definedName name="NCCAPX_2010">#REF!</definedName>
    <definedName name="NCCAPX_2011">#REF!</definedName>
    <definedName name="NCCAPX_2012">#REF!</definedName>
    <definedName name="NCCAPX_2013">#REF!</definedName>
    <definedName name="NCCAPX_2014">#REF!</definedName>
    <definedName name="NCCAPX_2015">#REF!</definedName>
    <definedName name="NCCAPX_2016">#REF!</definedName>
    <definedName name="NCCAPX_2017">#REF!</definedName>
    <definedName name="NCCAPX_2018">#REF!</definedName>
    <definedName name="NCCAPX_2019">#REF!</definedName>
    <definedName name="NCCAPX_2020">#REF!</definedName>
    <definedName name="NCCAPX_2021">#REF!</definedName>
    <definedName name="NCCAPX_2022">#REF!</definedName>
    <definedName name="NCCAPX_2023">#REF!</definedName>
    <definedName name="NCCAPX_2024">#REF!</definedName>
    <definedName name="NCCAPX_2Q00">#REF!</definedName>
    <definedName name="NCCAPX_2Q01">#REF!</definedName>
    <definedName name="NCCAPX_2Q02">#REF!</definedName>
    <definedName name="NCCAPX_2Q03">#REF!</definedName>
    <definedName name="NCCAPX_2Q04">#REF!</definedName>
    <definedName name="NCCAPX_2Q05">#REF!</definedName>
    <definedName name="NCCAPX_2Q06">#REF!</definedName>
    <definedName name="NCCAPX_2Q07">#REF!</definedName>
    <definedName name="NCCAPX_2Q08">#REF!</definedName>
    <definedName name="NCCAPX_2Q09">#REF!</definedName>
    <definedName name="NCCAPX_2Q10">#REF!</definedName>
    <definedName name="NCCAPX_2Q11">#REF!</definedName>
    <definedName name="NCCAPX_2Q12">#REF!</definedName>
    <definedName name="NCCAPX_2Q13">#REF!</definedName>
    <definedName name="NCCAPX_2Q14">#REF!</definedName>
    <definedName name="NCCAPX_2Q15">#REF!</definedName>
    <definedName name="NCCAPX_2Q16">#REF!</definedName>
    <definedName name="NCCAPX_2Q17">#REF!</definedName>
    <definedName name="NCCAPX_2Q18">#REF!</definedName>
    <definedName name="NCCAPX_2Q19">#REF!</definedName>
    <definedName name="NCCAPX_2Q20">#REF!</definedName>
    <definedName name="NCCAPX_2Q21">#REF!</definedName>
    <definedName name="NCCAPX_2Q22">#REF!</definedName>
    <definedName name="NCCAPX_2Q23">#REF!</definedName>
    <definedName name="NCCAPX_2Q24">#REF!</definedName>
    <definedName name="NCCAPX_3Q00">#REF!</definedName>
    <definedName name="NCCAPX_3Q01">#REF!</definedName>
    <definedName name="NCCAPX_3Q02">#REF!</definedName>
    <definedName name="NCCAPX_3Q03">#REF!</definedName>
    <definedName name="NCCAPX_3Q04">#REF!</definedName>
    <definedName name="NCCAPX_3Q05">#REF!</definedName>
    <definedName name="NCCAPX_3Q06">#REF!</definedName>
    <definedName name="NCCAPX_3Q07">#REF!</definedName>
    <definedName name="NCCAPX_3Q08">#REF!</definedName>
    <definedName name="NCCAPX_3Q09">#REF!</definedName>
    <definedName name="NCCAPX_3Q10">#REF!</definedName>
    <definedName name="NCCAPX_3Q11">#REF!</definedName>
    <definedName name="NCCAPX_3Q12">#REF!</definedName>
    <definedName name="NCCAPX_3Q13">#REF!</definedName>
    <definedName name="NCCAPX_3Q14">#REF!</definedName>
    <definedName name="NCCAPX_3Q15">#REF!</definedName>
    <definedName name="NCCAPX_3Q16">#REF!</definedName>
    <definedName name="NCCAPX_3Q17">#REF!</definedName>
    <definedName name="NCCAPX_3Q18">#REF!</definedName>
    <definedName name="NCCAPX_3Q19">#REF!</definedName>
    <definedName name="NCCAPX_3Q20">#REF!</definedName>
    <definedName name="NCCAPX_3Q21">#REF!</definedName>
    <definedName name="NCCAPX_3Q22">#REF!</definedName>
    <definedName name="NCCAPX_3Q23">#REF!</definedName>
    <definedName name="NCCAPX_3Q24">#REF!</definedName>
    <definedName name="NCCAPX_4Q00">#REF!</definedName>
    <definedName name="NCCAPX_4Q01">#REF!</definedName>
    <definedName name="NCCAPX_4Q02">#REF!</definedName>
    <definedName name="NCCAPX_4Q03">#REF!</definedName>
    <definedName name="NCCAPX_4Q04">#REF!</definedName>
    <definedName name="NCCAPX_4Q05">#REF!</definedName>
    <definedName name="NCCAPX_4Q06">#REF!</definedName>
    <definedName name="NCCAPX_4Q07">#REF!</definedName>
    <definedName name="NCCAPX_4Q08">#REF!</definedName>
    <definedName name="NCCAPX_4Q09">#REF!</definedName>
    <definedName name="NCCAPX_4Q10">#REF!</definedName>
    <definedName name="NCCAPX_4Q11">#REF!</definedName>
    <definedName name="NCCAPX_4Q12">#REF!</definedName>
    <definedName name="NCCAPX_4Q13">#REF!</definedName>
    <definedName name="NCCAPX_4Q14">#REF!</definedName>
    <definedName name="NCCAPX_4Q15">#REF!</definedName>
    <definedName name="NCCAPX_4Q16">#REF!</definedName>
    <definedName name="NCCAPX_4Q17">#REF!</definedName>
    <definedName name="NCCAPX_4Q18">#REF!</definedName>
    <definedName name="NCCAPX_4Q19">#REF!</definedName>
    <definedName name="NCCAPX_4Q20">#REF!</definedName>
    <definedName name="NCCAPX_4Q21">#REF!</definedName>
    <definedName name="NCCAPX_4Q22">#REF!</definedName>
    <definedName name="NCCAPX_4Q23">#REF!</definedName>
    <definedName name="NCCAPX_4Q24">#REF!</definedName>
    <definedName name="NEBIT_1995">#REF!</definedName>
    <definedName name="NEBIT_1996">#REF!</definedName>
    <definedName name="NEBIT_1997">#REF!</definedName>
    <definedName name="NEBIT_1998">#REF!</definedName>
    <definedName name="NEBIT_1999">#REF!</definedName>
    <definedName name="NEBIT_1Q00">#REF!</definedName>
    <definedName name="NEBIT_1Q01">#REF!</definedName>
    <definedName name="NEBIT_1Q02">#REF!</definedName>
    <definedName name="NEBIT_1Q03">#REF!</definedName>
    <definedName name="NEBIT_1Q04">#REF!</definedName>
    <definedName name="NEBIT_1Q05">#REF!</definedName>
    <definedName name="NEBIT_1Q06">#REF!</definedName>
    <definedName name="NEBIT_1Q07">#REF!</definedName>
    <definedName name="NEBIT_1Q08">#REF!</definedName>
    <definedName name="NEBIT_1Q09">#REF!</definedName>
    <definedName name="NEBIT_1Q10">#REF!</definedName>
    <definedName name="NEBIT_1Q11">#REF!</definedName>
    <definedName name="NEBIT_1Q12">#REF!</definedName>
    <definedName name="NEBIT_1Q13">#REF!</definedName>
    <definedName name="NEBIT_1Q14">#REF!</definedName>
    <definedName name="NEBIT_1Q15">#REF!</definedName>
    <definedName name="NEBIT_1Q16">#REF!</definedName>
    <definedName name="NEBIT_1Q17">#REF!</definedName>
    <definedName name="NEBIT_1Q18">#REF!</definedName>
    <definedName name="NEBIT_1Q19">#REF!</definedName>
    <definedName name="NEBIT_1Q20">#REF!</definedName>
    <definedName name="NEBIT_1Q21">#REF!</definedName>
    <definedName name="NEBIT_1Q22">#REF!</definedName>
    <definedName name="NEBIT_1Q23">#REF!</definedName>
    <definedName name="NEBIT_1Q24">#REF!</definedName>
    <definedName name="NEBIT_2000">#REF!</definedName>
    <definedName name="NEBIT_2001">#REF!</definedName>
    <definedName name="NEBIT_2002">#REF!</definedName>
    <definedName name="NEBIT_2003">#REF!</definedName>
    <definedName name="NEBIT_2004">#REF!</definedName>
    <definedName name="NEBIT_2005">#REF!</definedName>
    <definedName name="NEBIT_2006">#REF!</definedName>
    <definedName name="NEBIT_2007">#REF!</definedName>
    <definedName name="NEBIT_2008">#REF!</definedName>
    <definedName name="NEBIT_2009">#REF!</definedName>
    <definedName name="NEBIT_2010">#REF!</definedName>
    <definedName name="NEBIT_2011">#REF!</definedName>
    <definedName name="NEBIT_2012">#REF!</definedName>
    <definedName name="NEBIT_2013">#REF!</definedName>
    <definedName name="NEBIT_2014">#REF!</definedName>
    <definedName name="NEBIT_2015">#REF!</definedName>
    <definedName name="NEBIT_2016">#REF!</definedName>
    <definedName name="NEBIT_2017">#REF!</definedName>
    <definedName name="NEBIT_2018">#REF!</definedName>
    <definedName name="NEBIT_2019">#REF!</definedName>
    <definedName name="NEBIT_2020">#REF!</definedName>
    <definedName name="NEBIT_2021">#REF!</definedName>
    <definedName name="NEBIT_2022">#REF!</definedName>
    <definedName name="NEBIT_2023">#REF!</definedName>
    <definedName name="NEBIT_2024">#REF!</definedName>
    <definedName name="NEBIT_2Q00">#REF!</definedName>
    <definedName name="NEBIT_2Q01">#REF!</definedName>
    <definedName name="NEBIT_2Q02">#REF!</definedName>
    <definedName name="NEBIT_2Q03">#REF!</definedName>
    <definedName name="NEBIT_2Q04">#REF!</definedName>
    <definedName name="NEBIT_2Q05">#REF!</definedName>
    <definedName name="NEBIT_2Q06">#REF!</definedName>
    <definedName name="NEBIT_2Q07">#REF!</definedName>
    <definedName name="NEBIT_2Q08">#REF!</definedName>
    <definedName name="NEBIT_2Q09">#REF!</definedName>
    <definedName name="NEBIT_2Q10">#REF!</definedName>
    <definedName name="NEBIT_2Q11">#REF!</definedName>
    <definedName name="NEBIT_2Q12">#REF!</definedName>
    <definedName name="NEBIT_2Q13">#REF!</definedName>
    <definedName name="NEBIT_2Q14">#REF!</definedName>
    <definedName name="NEBIT_2Q15">#REF!</definedName>
    <definedName name="NEBIT_2Q16">#REF!</definedName>
    <definedName name="NEBIT_2Q17">#REF!</definedName>
    <definedName name="NEBIT_2Q18">#REF!</definedName>
    <definedName name="NEBIT_2Q19">#REF!</definedName>
    <definedName name="NEBIT_2Q20">#REF!</definedName>
    <definedName name="NEBIT_2Q21">#REF!</definedName>
    <definedName name="NEBIT_2Q22">#REF!</definedName>
    <definedName name="NEBIT_2Q23">#REF!</definedName>
    <definedName name="NEBIT_2Q24">#REF!</definedName>
    <definedName name="NEBIT_3Q00">#REF!</definedName>
    <definedName name="NEBIT_3Q01">#REF!</definedName>
    <definedName name="NEBIT_3Q02">#REF!</definedName>
    <definedName name="NEBIT_3Q03">#REF!</definedName>
    <definedName name="NEBIT_3Q04">#REF!</definedName>
    <definedName name="NEBIT_3Q05">#REF!</definedName>
    <definedName name="NEBIT_3Q06">#REF!</definedName>
    <definedName name="NEBIT_3Q07">#REF!</definedName>
    <definedName name="NEBIT_3Q08">#REF!</definedName>
    <definedName name="NEBIT_3Q09">#REF!</definedName>
    <definedName name="NEBIT_3Q10">#REF!</definedName>
    <definedName name="NEBIT_3Q11">#REF!</definedName>
    <definedName name="NEBIT_3Q12">#REF!</definedName>
    <definedName name="NEBIT_3Q13">#REF!</definedName>
    <definedName name="NEBIT_3Q14">#REF!</definedName>
    <definedName name="NEBIT_3Q15">#REF!</definedName>
    <definedName name="NEBIT_3Q16">#REF!</definedName>
    <definedName name="NEBIT_3Q17">#REF!</definedName>
    <definedName name="NEBIT_3Q18">#REF!</definedName>
    <definedName name="NEBIT_3Q19">#REF!</definedName>
    <definedName name="NEBIT_3Q20">#REF!</definedName>
    <definedName name="NEBIT_3Q21">#REF!</definedName>
    <definedName name="NEBIT_3Q22">#REF!</definedName>
    <definedName name="NEBIT_3Q23">#REF!</definedName>
    <definedName name="NEBIT_3Q24">#REF!</definedName>
    <definedName name="NEBIT_4Q00">#REF!</definedName>
    <definedName name="NEBIT_4Q01">#REF!</definedName>
    <definedName name="NEBIT_4Q02">#REF!</definedName>
    <definedName name="NEBIT_4Q03">#REF!</definedName>
    <definedName name="NEBIT_4Q04">#REF!</definedName>
    <definedName name="NEBIT_4Q05">#REF!</definedName>
    <definedName name="NEBIT_4Q06">#REF!</definedName>
    <definedName name="NEBIT_4Q07">#REF!</definedName>
    <definedName name="NEBIT_4Q08">#REF!</definedName>
    <definedName name="NEBIT_4Q09">#REF!</definedName>
    <definedName name="NEBIT_4Q10">#REF!</definedName>
    <definedName name="NEBIT_4Q11">#REF!</definedName>
    <definedName name="NEBIT_4Q12">#REF!</definedName>
    <definedName name="NEBIT_4Q13">#REF!</definedName>
    <definedName name="NEBIT_4Q14">#REF!</definedName>
    <definedName name="NEBIT_4Q15">#REF!</definedName>
    <definedName name="NEBIT_4Q16">#REF!</definedName>
    <definedName name="NEBIT_4Q17">#REF!</definedName>
    <definedName name="NEBIT_4Q18">#REF!</definedName>
    <definedName name="NEBIT_4Q19">#REF!</definedName>
    <definedName name="NEBIT_4Q20">#REF!</definedName>
    <definedName name="NEBIT_4Q21">#REF!</definedName>
    <definedName name="NEBIT_4Q22">#REF!</definedName>
    <definedName name="NEBIT_4Q23">#REF!</definedName>
    <definedName name="NEBIT_4Q24">#REF!</definedName>
    <definedName name="NEBITD_1995">#REF!</definedName>
    <definedName name="NEBITD_1996">#REF!</definedName>
    <definedName name="NEBITD_1997">#REF!</definedName>
    <definedName name="NEBITD_1998">#REF!</definedName>
    <definedName name="NEBITD_1999">#REF!</definedName>
    <definedName name="NEBITD_1Q00">#REF!</definedName>
    <definedName name="NEBITD_1Q01">#REF!</definedName>
    <definedName name="NEBITD_1Q02">#REF!</definedName>
    <definedName name="NEBITD_1Q03">#REF!</definedName>
    <definedName name="NEBITD_1Q04">#REF!</definedName>
    <definedName name="NEBITD_1Q05">#REF!</definedName>
    <definedName name="NEBITD_1Q06">#REF!</definedName>
    <definedName name="NEBITD_1Q07">#REF!</definedName>
    <definedName name="NEBITD_1Q08">#REF!</definedName>
    <definedName name="NEBITD_1Q09">#REF!</definedName>
    <definedName name="NEBITD_1Q10">#REF!</definedName>
    <definedName name="NEBITD_1Q11">#REF!</definedName>
    <definedName name="NEBITD_1Q12">#REF!</definedName>
    <definedName name="NEBITD_1Q13">#REF!</definedName>
    <definedName name="NEBITD_1Q14">#REF!</definedName>
    <definedName name="NEBITD_1Q15">#REF!</definedName>
    <definedName name="NEBITD_1Q16">#REF!</definedName>
    <definedName name="NEBITD_1Q17">#REF!</definedName>
    <definedName name="NEBITD_1Q18">#REF!</definedName>
    <definedName name="NEBITD_1Q19">#REF!</definedName>
    <definedName name="NEBITD_1Q20">#REF!</definedName>
    <definedName name="NEBITD_1Q21">#REF!</definedName>
    <definedName name="NEBITD_1Q22">#REF!</definedName>
    <definedName name="NEBITD_1Q23">#REF!</definedName>
    <definedName name="NEBITD_1Q24">#REF!</definedName>
    <definedName name="NEBITD_2000">#REF!</definedName>
    <definedName name="NEBITD_2001">#REF!</definedName>
    <definedName name="NEBITD_2002">#REF!</definedName>
    <definedName name="NEBITD_2003">#REF!</definedName>
    <definedName name="NEBITD_2004">#REF!</definedName>
    <definedName name="NEBITD_2005">#REF!</definedName>
    <definedName name="NEBITD_2006">#REF!</definedName>
    <definedName name="NEBITD_2007">#REF!</definedName>
    <definedName name="NEBITD_2008">#REF!</definedName>
    <definedName name="NEBITD_2009">#REF!</definedName>
    <definedName name="NEBITD_2010">#REF!</definedName>
    <definedName name="NEBITD_2011">#REF!</definedName>
    <definedName name="NEBITD_2012">#REF!</definedName>
    <definedName name="NEBITD_2013">#REF!</definedName>
    <definedName name="NEBITD_2014">#REF!</definedName>
    <definedName name="NEBITD_2015">#REF!</definedName>
    <definedName name="NEBITD_2016">#REF!</definedName>
    <definedName name="NEBITD_2017">#REF!</definedName>
    <definedName name="NEBITD_2018">#REF!</definedName>
    <definedName name="NEBITD_2019">#REF!</definedName>
    <definedName name="NEBITD_2020">#REF!</definedName>
    <definedName name="NEBITD_2021">#REF!</definedName>
    <definedName name="NEBITD_2022">#REF!</definedName>
    <definedName name="NEBITD_2023">#REF!</definedName>
    <definedName name="NEBITD_2024">#REF!</definedName>
    <definedName name="NEBITD_2Q00">#REF!</definedName>
    <definedName name="NEBITD_2Q01">#REF!</definedName>
    <definedName name="NEBITD_2Q02">#REF!</definedName>
    <definedName name="NEBITD_2Q03">#REF!</definedName>
    <definedName name="NEBITD_2Q04">#REF!</definedName>
    <definedName name="NEBITD_2Q05">#REF!</definedName>
    <definedName name="NEBITD_2Q06">#REF!</definedName>
    <definedName name="NEBITD_2Q07">#REF!</definedName>
    <definedName name="NEBITD_2Q08">#REF!</definedName>
    <definedName name="NEBITD_2Q09">#REF!</definedName>
    <definedName name="NEBITD_2Q10">#REF!</definedName>
    <definedName name="NEBITD_2Q11">#REF!</definedName>
    <definedName name="NEBITD_2Q12">#REF!</definedName>
    <definedName name="NEBITD_2Q13">#REF!</definedName>
    <definedName name="NEBITD_2Q14">#REF!</definedName>
    <definedName name="NEBITD_2Q15">#REF!</definedName>
    <definedName name="NEBITD_2Q16">#REF!</definedName>
    <definedName name="NEBITD_2Q17">#REF!</definedName>
    <definedName name="NEBITD_2Q18">#REF!</definedName>
    <definedName name="NEBITD_2Q19">#REF!</definedName>
    <definedName name="NEBITD_2Q20">#REF!</definedName>
    <definedName name="NEBITD_2Q21">#REF!</definedName>
    <definedName name="NEBITD_2Q22">#REF!</definedName>
    <definedName name="NEBITD_2Q23">#REF!</definedName>
    <definedName name="NEBITD_2Q24">#REF!</definedName>
    <definedName name="NEBITD_3Q00">#REF!</definedName>
    <definedName name="NEBITD_3Q01">#REF!</definedName>
    <definedName name="NEBITD_3Q02">#REF!</definedName>
    <definedName name="NEBITD_3Q03">#REF!</definedName>
    <definedName name="NEBITD_3Q04">#REF!</definedName>
    <definedName name="NEBITD_3Q05">#REF!</definedName>
    <definedName name="NEBITD_3Q06">#REF!</definedName>
    <definedName name="NEBITD_3Q07">#REF!</definedName>
    <definedName name="NEBITD_3Q08">#REF!</definedName>
    <definedName name="NEBITD_3Q09">#REF!</definedName>
    <definedName name="NEBITD_3Q10">#REF!</definedName>
    <definedName name="NEBITD_3Q11">#REF!</definedName>
    <definedName name="NEBITD_3Q12">#REF!</definedName>
    <definedName name="NEBITD_3Q13">#REF!</definedName>
    <definedName name="NEBITD_3Q14">#REF!</definedName>
    <definedName name="NEBITD_3Q15">#REF!</definedName>
    <definedName name="NEBITD_3Q16">#REF!</definedName>
    <definedName name="NEBITD_3Q17">#REF!</definedName>
    <definedName name="NEBITD_3Q18">#REF!</definedName>
    <definedName name="NEBITD_3Q19">#REF!</definedName>
    <definedName name="NEBITD_3Q20">#REF!</definedName>
    <definedName name="NEBITD_3Q21">#REF!</definedName>
    <definedName name="NEBITD_3Q22">#REF!</definedName>
    <definedName name="NEBITD_3Q23">#REF!</definedName>
    <definedName name="NEBITD_3Q24">#REF!</definedName>
    <definedName name="NEBITD_4Q00">#REF!</definedName>
    <definedName name="NEBITD_4Q01">#REF!</definedName>
    <definedName name="NEBITD_4Q02">#REF!</definedName>
    <definedName name="NEBITD_4Q03">#REF!</definedName>
    <definedName name="NEBITD_4Q04">#REF!</definedName>
    <definedName name="NEBITD_4Q05">#REF!</definedName>
    <definedName name="NEBITD_4Q06">#REF!</definedName>
    <definedName name="NEBITD_4Q07">#REF!</definedName>
    <definedName name="NEBITD_4Q08">#REF!</definedName>
    <definedName name="NEBITD_4Q09">#REF!</definedName>
    <definedName name="NEBITD_4Q10">#REF!</definedName>
    <definedName name="NEBITD_4Q11">#REF!</definedName>
    <definedName name="NEBITD_4Q12">#REF!</definedName>
    <definedName name="NEBITD_4Q13">#REF!</definedName>
    <definedName name="NEBITD_4Q14">#REF!</definedName>
    <definedName name="NEBITD_4Q15">#REF!</definedName>
    <definedName name="NEBITD_4Q16">#REF!</definedName>
    <definedName name="NEBITD_4Q17">#REF!</definedName>
    <definedName name="NEBITD_4Q18">#REF!</definedName>
    <definedName name="NEBITD_4Q19">#REF!</definedName>
    <definedName name="NEBITD_4Q20">#REF!</definedName>
    <definedName name="NEBITD_4Q21">#REF!</definedName>
    <definedName name="NEBITD_4Q22">#REF!</definedName>
    <definedName name="NEBITD_4Q23">#REF!</definedName>
    <definedName name="NEBITD_4Q24">#REF!</definedName>
    <definedName name="Net_Income_Adj_Earnings_PreAbnormal_Goodwill_Amort">#REF!</definedName>
    <definedName name="NewCheck">#REF!</definedName>
    <definedName name="NewTicker">#REF!</definedName>
    <definedName name="NINT_1995">#REF!</definedName>
    <definedName name="NINT_1996">#REF!</definedName>
    <definedName name="NINT_1997">#REF!</definedName>
    <definedName name="NINT_1998">#REF!</definedName>
    <definedName name="NINT_1999">#REF!</definedName>
    <definedName name="NINT_1Q00">#REF!</definedName>
    <definedName name="NINT_1Q01">#REF!</definedName>
    <definedName name="NINT_1Q02">#REF!</definedName>
    <definedName name="NINT_1Q03">#REF!</definedName>
    <definedName name="NINT_1Q04">#REF!</definedName>
    <definedName name="NINT_1Q05">#REF!</definedName>
    <definedName name="NINT_1Q06">#REF!</definedName>
    <definedName name="NINT_1Q07">#REF!</definedName>
    <definedName name="NINT_1Q08">#REF!</definedName>
    <definedName name="NINT_1Q09">#REF!</definedName>
    <definedName name="NINT_1Q10">#REF!</definedName>
    <definedName name="NINT_1Q11">#REF!</definedName>
    <definedName name="NINT_1Q12">#REF!</definedName>
    <definedName name="NINT_1Q13">#REF!</definedName>
    <definedName name="NINT_1Q14">#REF!</definedName>
    <definedName name="NINT_1Q15">#REF!</definedName>
    <definedName name="NINT_1Q16">#REF!</definedName>
    <definedName name="NINT_1Q17">#REF!</definedName>
    <definedName name="NINT_1Q18">#REF!</definedName>
    <definedName name="NINT_1Q19">#REF!</definedName>
    <definedName name="NINT_1Q20">#REF!</definedName>
    <definedName name="NINT_1Q21">#REF!</definedName>
    <definedName name="NINT_1Q22">#REF!</definedName>
    <definedName name="NINT_1Q23">#REF!</definedName>
    <definedName name="NINT_1Q24">#REF!</definedName>
    <definedName name="NINT_2000">#REF!</definedName>
    <definedName name="NINT_2001">#REF!</definedName>
    <definedName name="NINT_2002">#REF!</definedName>
    <definedName name="NINT_2003">#REF!</definedName>
    <definedName name="NINT_2004">#REF!</definedName>
    <definedName name="NINT_2005">#REF!</definedName>
    <definedName name="NINT_2006">#REF!</definedName>
    <definedName name="NINT_2007">#REF!</definedName>
    <definedName name="NINT_2008">#REF!</definedName>
    <definedName name="NINT_2009">#REF!</definedName>
    <definedName name="NINT_2010">#REF!</definedName>
    <definedName name="NINT_2011">#REF!</definedName>
    <definedName name="NINT_2012">#REF!</definedName>
    <definedName name="NINT_2013">#REF!</definedName>
    <definedName name="NINT_2014">#REF!</definedName>
    <definedName name="NINT_2015">#REF!</definedName>
    <definedName name="NINT_2016">#REF!</definedName>
    <definedName name="NINT_2017">#REF!</definedName>
    <definedName name="NINT_2018">#REF!</definedName>
    <definedName name="NINT_2019">#REF!</definedName>
    <definedName name="NINT_2020">#REF!</definedName>
    <definedName name="NINT_2021">#REF!</definedName>
    <definedName name="NINT_2022">#REF!</definedName>
    <definedName name="NINT_2023">#REF!</definedName>
    <definedName name="NINT_2024">#REF!</definedName>
    <definedName name="NINT_2Q00">#REF!</definedName>
    <definedName name="NINT_2Q01">#REF!</definedName>
    <definedName name="NINT_2Q02">#REF!</definedName>
    <definedName name="NINT_2Q03">#REF!</definedName>
    <definedName name="NINT_2Q04">#REF!</definedName>
    <definedName name="NINT_2Q05">#REF!</definedName>
    <definedName name="NINT_2Q06">#REF!</definedName>
    <definedName name="NINT_2Q07">#REF!</definedName>
    <definedName name="NINT_2Q08">#REF!</definedName>
    <definedName name="NINT_2Q09">#REF!</definedName>
    <definedName name="NINT_2Q10">#REF!</definedName>
    <definedName name="NINT_2Q11">#REF!</definedName>
    <definedName name="NINT_2Q12">#REF!</definedName>
    <definedName name="NINT_2Q13">#REF!</definedName>
    <definedName name="NINT_2Q14">#REF!</definedName>
    <definedName name="NINT_2Q15">#REF!</definedName>
    <definedName name="NINT_2Q16">#REF!</definedName>
    <definedName name="NINT_2Q17">#REF!</definedName>
    <definedName name="NINT_2Q18">#REF!</definedName>
    <definedName name="NINT_2Q19">#REF!</definedName>
    <definedName name="NINT_2Q20">#REF!</definedName>
    <definedName name="NINT_2Q21">#REF!</definedName>
    <definedName name="NINT_2Q22">#REF!</definedName>
    <definedName name="NINT_2Q23">#REF!</definedName>
    <definedName name="NINT_2Q24">#REF!</definedName>
    <definedName name="NINT_3Q00">#REF!</definedName>
    <definedName name="NINT_3Q01">#REF!</definedName>
    <definedName name="NINT_3Q02">#REF!</definedName>
    <definedName name="NINT_3Q03">#REF!</definedName>
    <definedName name="NINT_3Q04">#REF!</definedName>
    <definedName name="NINT_3Q05">#REF!</definedName>
    <definedName name="NINT_3Q06">#REF!</definedName>
    <definedName name="NINT_3Q07">#REF!</definedName>
    <definedName name="NINT_3Q08">#REF!</definedName>
    <definedName name="NINT_3Q09">#REF!</definedName>
    <definedName name="NINT_3Q10">#REF!</definedName>
    <definedName name="NINT_3Q11">#REF!</definedName>
    <definedName name="NINT_3Q12">#REF!</definedName>
    <definedName name="NINT_3Q13">#REF!</definedName>
    <definedName name="NINT_3Q14">#REF!</definedName>
    <definedName name="NINT_3Q15">#REF!</definedName>
    <definedName name="NINT_3Q16">#REF!</definedName>
    <definedName name="NINT_3Q17">#REF!</definedName>
    <definedName name="NINT_3Q18">#REF!</definedName>
    <definedName name="NINT_3Q19">#REF!</definedName>
    <definedName name="NINT_3Q20">#REF!</definedName>
    <definedName name="NINT_3Q21">#REF!</definedName>
    <definedName name="NINT_3Q22">#REF!</definedName>
    <definedName name="NINT_3Q23">#REF!</definedName>
    <definedName name="NINT_3Q24">#REF!</definedName>
    <definedName name="NINT_4Q00">#REF!</definedName>
    <definedName name="NINT_4Q01">#REF!</definedName>
    <definedName name="NINT_4Q02">#REF!</definedName>
    <definedName name="NINT_4Q03">#REF!</definedName>
    <definedName name="NINT_4Q04">#REF!</definedName>
    <definedName name="NINT_4Q05">#REF!</definedName>
    <definedName name="NINT_4Q06">#REF!</definedName>
    <definedName name="NINT_4Q07">#REF!</definedName>
    <definedName name="NINT_4Q08">#REF!</definedName>
    <definedName name="NINT_4Q09">#REF!</definedName>
    <definedName name="NINT_4Q10">#REF!</definedName>
    <definedName name="NINT_4Q11">#REF!</definedName>
    <definedName name="NINT_4Q12">#REF!</definedName>
    <definedName name="NINT_4Q13">#REF!</definedName>
    <definedName name="NINT_4Q14">#REF!</definedName>
    <definedName name="NINT_4Q15">#REF!</definedName>
    <definedName name="NINT_4Q16">#REF!</definedName>
    <definedName name="NINT_4Q17">#REF!</definedName>
    <definedName name="NINT_4Q18">#REF!</definedName>
    <definedName name="NINT_4Q19">#REF!</definedName>
    <definedName name="NINT_4Q20">#REF!</definedName>
    <definedName name="NINT_4Q21">#REF!</definedName>
    <definedName name="NINT_4Q22">#REF!</definedName>
    <definedName name="NINT_4Q23">#REF!</definedName>
    <definedName name="NINT_4Q24">#REF!</definedName>
    <definedName name="NPENAS_1995">#REF!</definedName>
    <definedName name="NPENAS_1996">#REF!</definedName>
    <definedName name="NPENAS_1997">#REF!</definedName>
    <definedName name="NPENAS_1998">#REF!</definedName>
    <definedName name="NPENAS_1999">#REF!</definedName>
    <definedName name="NPENAS_1Q00">#REF!</definedName>
    <definedName name="NPENAS_1Q01">#REF!</definedName>
    <definedName name="NPENAS_1Q02">#REF!</definedName>
    <definedName name="NPENAS_1Q03">#REF!</definedName>
    <definedName name="NPENAS_1Q04">#REF!</definedName>
    <definedName name="NPENAS_1Q05">#REF!</definedName>
    <definedName name="NPENAS_1Q06">#REF!</definedName>
    <definedName name="NPENAS_1Q07">#REF!</definedName>
    <definedName name="NPENAS_1Q08">#REF!</definedName>
    <definedName name="NPENAS_1Q09">#REF!</definedName>
    <definedName name="NPENAS_1Q10">#REF!</definedName>
    <definedName name="NPENAS_1Q11">#REF!</definedName>
    <definedName name="NPENAS_1Q12">#REF!</definedName>
    <definedName name="NPENAS_1Q13">#REF!</definedName>
    <definedName name="NPENAS_1Q14">#REF!</definedName>
    <definedName name="NPENAS_1Q15">#REF!</definedName>
    <definedName name="NPENAS_1Q16">#REF!</definedName>
    <definedName name="NPENAS_1Q17">#REF!</definedName>
    <definedName name="NPENAS_1Q18">#REF!</definedName>
    <definedName name="NPENAS_1Q19">#REF!</definedName>
    <definedName name="NPENAS_1Q20">#REF!</definedName>
    <definedName name="NPENAS_1Q21">#REF!</definedName>
    <definedName name="NPENAS_1Q22">#REF!</definedName>
    <definedName name="NPENAS_1Q23">#REF!</definedName>
    <definedName name="NPENAS_1Q24">#REF!</definedName>
    <definedName name="NPENAS_2000">#REF!</definedName>
    <definedName name="NPENAS_2001">#REF!</definedName>
    <definedName name="NPENAS_2002">#REF!</definedName>
    <definedName name="NPENAS_2003">#REF!</definedName>
    <definedName name="NPENAS_2004">#REF!</definedName>
    <definedName name="NPENAS_2005">#REF!</definedName>
    <definedName name="NPENAS_2006">#REF!</definedName>
    <definedName name="NPENAS_2007">#REF!</definedName>
    <definedName name="NPENAS_2008">#REF!</definedName>
    <definedName name="NPENAS_2009">#REF!</definedName>
    <definedName name="NPENAS_2010">#REF!</definedName>
    <definedName name="NPENAS_2011">#REF!</definedName>
    <definedName name="NPENAS_2012">#REF!</definedName>
    <definedName name="NPENAS_2013">#REF!</definedName>
    <definedName name="NPENAS_2014">#REF!</definedName>
    <definedName name="NPENAS_2015">#REF!</definedName>
    <definedName name="NPENAS_2016">#REF!</definedName>
    <definedName name="NPENAS_2017">#REF!</definedName>
    <definedName name="NPENAS_2018">#REF!</definedName>
    <definedName name="NPENAS_2019">#REF!</definedName>
    <definedName name="NPENAS_2020">#REF!</definedName>
    <definedName name="NPENAS_2021">#REF!</definedName>
    <definedName name="NPENAS_2022">#REF!</definedName>
    <definedName name="NPENAS_2023">#REF!</definedName>
    <definedName name="NPENAS_2024">#REF!</definedName>
    <definedName name="NPENAS_2Q00">#REF!</definedName>
    <definedName name="NPENAS_2Q01">#REF!</definedName>
    <definedName name="NPENAS_2Q02">#REF!</definedName>
    <definedName name="NPENAS_2Q03">#REF!</definedName>
    <definedName name="NPENAS_2Q04">#REF!</definedName>
    <definedName name="NPENAS_2Q05">#REF!</definedName>
    <definedName name="NPENAS_2Q06">#REF!</definedName>
    <definedName name="NPENAS_2Q07">#REF!</definedName>
    <definedName name="NPENAS_2Q08">#REF!</definedName>
    <definedName name="NPENAS_2Q09">#REF!</definedName>
    <definedName name="NPENAS_2Q10">#REF!</definedName>
    <definedName name="NPENAS_2Q11">#REF!</definedName>
    <definedName name="NPENAS_2Q12">#REF!</definedName>
    <definedName name="NPENAS_2Q13">#REF!</definedName>
    <definedName name="NPENAS_2Q14">#REF!</definedName>
    <definedName name="NPENAS_2Q15">#REF!</definedName>
    <definedName name="NPENAS_2Q16">#REF!</definedName>
    <definedName name="NPENAS_2Q17">#REF!</definedName>
    <definedName name="NPENAS_2Q18">#REF!</definedName>
    <definedName name="NPENAS_2Q19">#REF!</definedName>
    <definedName name="NPENAS_2Q20">#REF!</definedName>
    <definedName name="NPENAS_2Q21">#REF!</definedName>
    <definedName name="NPENAS_2Q22">#REF!</definedName>
    <definedName name="NPENAS_2Q23">#REF!</definedName>
    <definedName name="NPENAS_2Q24">#REF!</definedName>
    <definedName name="NPENAS_3Q00">#REF!</definedName>
    <definedName name="NPENAS_3Q01">#REF!</definedName>
    <definedName name="NPENAS_3Q02">#REF!</definedName>
    <definedName name="NPENAS_3Q03">#REF!</definedName>
    <definedName name="NPENAS_3Q04">#REF!</definedName>
    <definedName name="NPENAS_3Q05">#REF!</definedName>
    <definedName name="NPENAS_3Q06">#REF!</definedName>
    <definedName name="NPENAS_3Q07">#REF!</definedName>
    <definedName name="NPENAS_3Q08">#REF!</definedName>
    <definedName name="NPENAS_3Q09">#REF!</definedName>
    <definedName name="NPENAS_3Q10">#REF!</definedName>
    <definedName name="NPENAS_3Q11">#REF!</definedName>
    <definedName name="NPENAS_3Q12">#REF!</definedName>
    <definedName name="NPENAS_3Q13">#REF!</definedName>
    <definedName name="NPENAS_3Q14">#REF!</definedName>
    <definedName name="NPENAS_3Q15">#REF!</definedName>
    <definedName name="NPENAS_3Q16">#REF!</definedName>
    <definedName name="NPENAS_3Q17">#REF!</definedName>
    <definedName name="NPENAS_3Q18">#REF!</definedName>
    <definedName name="NPENAS_3Q19">#REF!</definedName>
    <definedName name="NPENAS_3Q20">#REF!</definedName>
    <definedName name="NPENAS_3Q21">#REF!</definedName>
    <definedName name="NPENAS_3Q22">#REF!</definedName>
    <definedName name="NPENAS_3Q23">#REF!</definedName>
    <definedName name="NPENAS_3Q24">#REF!</definedName>
    <definedName name="NPENAS_4Q00">#REF!</definedName>
    <definedName name="NPENAS_4Q01">#REF!</definedName>
    <definedName name="NPENAS_4Q02">#REF!</definedName>
    <definedName name="NPENAS_4Q03">#REF!</definedName>
    <definedName name="NPENAS_4Q04">#REF!</definedName>
    <definedName name="NPENAS_4Q05">#REF!</definedName>
    <definedName name="NPENAS_4Q06">#REF!</definedName>
    <definedName name="NPENAS_4Q07">#REF!</definedName>
    <definedName name="NPENAS_4Q08">#REF!</definedName>
    <definedName name="NPENAS_4Q09">#REF!</definedName>
    <definedName name="NPENAS_4Q10">#REF!</definedName>
    <definedName name="NPENAS_4Q11">#REF!</definedName>
    <definedName name="NPENAS_4Q12">#REF!</definedName>
    <definedName name="NPENAS_4Q13">#REF!</definedName>
    <definedName name="NPENAS_4Q14">#REF!</definedName>
    <definedName name="NPENAS_4Q15">#REF!</definedName>
    <definedName name="NPENAS_4Q16">#REF!</definedName>
    <definedName name="NPENAS_4Q17">#REF!</definedName>
    <definedName name="NPENAS_4Q18">#REF!</definedName>
    <definedName name="NPENAS_4Q19">#REF!</definedName>
    <definedName name="NPENAS_4Q20">#REF!</definedName>
    <definedName name="NPENAS_4Q21">#REF!</definedName>
    <definedName name="NPENAS_4Q22">#REF!</definedName>
    <definedName name="NPENAS_4Q23">#REF!</definedName>
    <definedName name="NPENAS_4Q24">#REF!</definedName>
    <definedName name="NREVS_1995">#REF!</definedName>
    <definedName name="NREVS_1996">#REF!</definedName>
    <definedName name="NREVS_1997">#REF!</definedName>
    <definedName name="NREVS_1998">#REF!</definedName>
    <definedName name="NREVS_1999">#REF!</definedName>
    <definedName name="NREVS_1Q00">#REF!</definedName>
    <definedName name="NREVS_1Q01">#REF!</definedName>
    <definedName name="NREVS_1Q02">#REF!</definedName>
    <definedName name="NREVS_1Q03">#REF!</definedName>
    <definedName name="NREVS_1Q04">#REF!</definedName>
    <definedName name="NREVS_1Q05">#REF!</definedName>
    <definedName name="NREVS_1Q06">#REF!</definedName>
    <definedName name="NREVS_1Q07">#REF!</definedName>
    <definedName name="NREVS_1Q08">#REF!</definedName>
    <definedName name="NREVS_1Q09">#REF!</definedName>
    <definedName name="NREVS_1Q10">#REF!</definedName>
    <definedName name="NREVS_1Q11">#REF!</definedName>
    <definedName name="NREVS_1Q12">#REF!</definedName>
    <definedName name="NREVS_1Q13">#REF!</definedName>
    <definedName name="NREVS_1Q14">#REF!</definedName>
    <definedName name="NREVS_1Q15">#REF!</definedName>
    <definedName name="NREVS_1Q16">#REF!</definedName>
    <definedName name="NREVS_1Q17">#REF!</definedName>
    <definedName name="NREVS_1Q18">#REF!</definedName>
    <definedName name="NREVS_1Q19">#REF!</definedName>
    <definedName name="NREVS_1Q20">#REF!</definedName>
    <definedName name="NREVS_1Q21">#REF!</definedName>
    <definedName name="NREVS_1Q22">#REF!</definedName>
    <definedName name="NREVS_1Q23">#REF!</definedName>
    <definedName name="NREVS_1Q24">#REF!</definedName>
    <definedName name="NREVS_2000">#REF!</definedName>
    <definedName name="NREVS_2001">#REF!</definedName>
    <definedName name="NREVS_2002">#REF!</definedName>
    <definedName name="NREVS_2003">#REF!</definedName>
    <definedName name="NREVS_2004">#REF!</definedName>
    <definedName name="NREVS_2005">#REF!</definedName>
    <definedName name="NREVS_2006">#REF!</definedName>
    <definedName name="NREVS_2007">#REF!</definedName>
    <definedName name="NREVS_2008">#REF!</definedName>
    <definedName name="NREVS_2009">#REF!</definedName>
    <definedName name="NREVS_2010">#REF!</definedName>
    <definedName name="NREVS_2011">#REF!</definedName>
    <definedName name="NREVS_2012">#REF!</definedName>
    <definedName name="NREVS_2013">#REF!</definedName>
    <definedName name="NREVS_2014">#REF!</definedName>
    <definedName name="NREVS_2015">#REF!</definedName>
    <definedName name="NREVS_2016">#REF!</definedName>
    <definedName name="NREVS_2017">#REF!</definedName>
    <definedName name="NREVS_2018">#REF!</definedName>
    <definedName name="NREVS_2019">#REF!</definedName>
    <definedName name="NREVS_2020">#REF!</definedName>
    <definedName name="NREVS_2021">#REF!</definedName>
    <definedName name="NREVS_2022">#REF!</definedName>
    <definedName name="NREVS_2023">#REF!</definedName>
    <definedName name="NREVS_2024">#REF!</definedName>
    <definedName name="NREVS_2Q00">#REF!</definedName>
    <definedName name="NREVS_2Q01">#REF!</definedName>
    <definedName name="NREVS_2Q02">#REF!</definedName>
    <definedName name="NREVS_2Q03">#REF!</definedName>
    <definedName name="NREVS_2Q04">#REF!</definedName>
    <definedName name="NREVS_2Q05">#REF!</definedName>
    <definedName name="NREVS_2Q06">#REF!</definedName>
    <definedName name="NREVS_2Q07">#REF!</definedName>
    <definedName name="NREVS_2Q08">#REF!</definedName>
    <definedName name="NREVS_2Q09">#REF!</definedName>
    <definedName name="NREVS_2Q10">#REF!</definedName>
    <definedName name="NREVS_2Q11">#REF!</definedName>
    <definedName name="NREVS_2Q12">#REF!</definedName>
    <definedName name="NREVS_2Q13">#REF!</definedName>
    <definedName name="NREVS_2Q14">#REF!</definedName>
    <definedName name="NREVS_2Q15">#REF!</definedName>
    <definedName name="NREVS_2Q16">#REF!</definedName>
    <definedName name="NREVS_2Q17">#REF!</definedName>
    <definedName name="NREVS_2Q18">#REF!</definedName>
    <definedName name="NREVS_2Q19">#REF!</definedName>
    <definedName name="NREVS_2Q20">#REF!</definedName>
    <definedName name="NREVS_2Q21">#REF!</definedName>
    <definedName name="NREVS_2Q22">#REF!</definedName>
    <definedName name="NREVS_2Q23">#REF!</definedName>
    <definedName name="NREVS_2Q24">#REF!</definedName>
    <definedName name="NREVS_3Q00">#REF!</definedName>
    <definedName name="NREVS_3Q01">#REF!</definedName>
    <definedName name="NREVS_3Q02">#REF!</definedName>
    <definedName name="NREVS_3Q03">#REF!</definedName>
    <definedName name="NREVS_3Q04">#REF!</definedName>
    <definedName name="NREVS_3Q05">#REF!</definedName>
    <definedName name="NREVS_3Q06">#REF!</definedName>
    <definedName name="NREVS_3Q07">#REF!</definedName>
    <definedName name="NREVS_3Q08">#REF!</definedName>
    <definedName name="NREVS_3Q09">#REF!</definedName>
    <definedName name="NREVS_3Q10">#REF!</definedName>
    <definedName name="NREVS_3Q11">#REF!</definedName>
    <definedName name="NREVS_3Q12">#REF!</definedName>
    <definedName name="NREVS_3Q13">#REF!</definedName>
    <definedName name="NREVS_3Q14">#REF!</definedName>
    <definedName name="NREVS_3Q15">#REF!</definedName>
    <definedName name="NREVS_3Q16">#REF!</definedName>
    <definedName name="NREVS_3Q17">#REF!</definedName>
    <definedName name="NREVS_3Q18">#REF!</definedName>
    <definedName name="NREVS_3Q19">#REF!</definedName>
    <definedName name="NREVS_3Q20">#REF!</definedName>
    <definedName name="NREVS_3Q21">#REF!</definedName>
    <definedName name="NREVS_3Q22">#REF!</definedName>
    <definedName name="NREVS_3Q23">#REF!</definedName>
    <definedName name="NREVS_3Q24">#REF!</definedName>
    <definedName name="NREVS_4Q00">#REF!</definedName>
    <definedName name="NREVS_4Q01">#REF!</definedName>
    <definedName name="NREVS_4Q02">#REF!</definedName>
    <definedName name="NREVS_4Q03">#REF!</definedName>
    <definedName name="NREVS_4Q04">#REF!</definedName>
    <definedName name="NREVS_4Q05">#REF!</definedName>
    <definedName name="NREVS_4Q06">#REF!</definedName>
    <definedName name="NREVS_4Q07">#REF!</definedName>
    <definedName name="NREVS_4Q08">#REF!</definedName>
    <definedName name="NREVS_4Q09">#REF!</definedName>
    <definedName name="NREVS_4Q10">#REF!</definedName>
    <definedName name="NREVS_4Q11">#REF!</definedName>
    <definedName name="NREVS_4Q12">#REF!</definedName>
    <definedName name="NREVS_4Q13">#REF!</definedName>
    <definedName name="NREVS_4Q14">#REF!</definedName>
    <definedName name="NREVS_4Q15">#REF!</definedName>
    <definedName name="NREVS_4Q16">#REF!</definedName>
    <definedName name="NREVS_4Q17">#REF!</definedName>
    <definedName name="NREVS_4Q18">#REF!</definedName>
    <definedName name="NREVS_4Q19">#REF!</definedName>
    <definedName name="NREVS_4Q20">#REF!</definedName>
    <definedName name="NREVS_4Q21">#REF!</definedName>
    <definedName name="NREVS_4Q22">#REF!</definedName>
    <definedName name="NREVS_4Q23">#REF!</definedName>
    <definedName name="NREVS_4Q24">#REF!</definedName>
    <definedName name="Num00">#REF!</definedName>
    <definedName name="OCASS_1995">#REF!</definedName>
    <definedName name="OCASS_1996">#REF!</definedName>
    <definedName name="OCASS_1997">#REF!</definedName>
    <definedName name="OCASS_1998">#REF!</definedName>
    <definedName name="OCASS_1999">#REF!</definedName>
    <definedName name="OCASS_1Q00">#REF!</definedName>
    <definedName name="OCASS_1Q01">#REF!</definedName>
    <definedName name="OCASS_1Q02">#REF!</definedName>
    <definedName name="OCASS_1Q03">#REF!</definedName>
    <definedName name="OCASS_1Q04">#REF!</definedName>
    <definedName name="OCASS_1Q05">#REF!</definedName>
    <definedName name="OCASS_1Q06">#REF!</definedName>
    <definedName name="OCASS_1Q07">#REF!</definedName>
    <definedName name="OCASS_1Q08">#REF!</definedName>
    <definedName name="OCASS_1Q09">#REF!</definedName>
    <definedName name="OCASS_1Q10">#REF!</definedName>
    <definedName name="OCASS_1Q11">#REF!</definedName>
    <definedName name="OCASS_1Q12">#REF!</definedName>
    <definedName name="OCASS_1Q13">#REF!</definedName>
    <definedName name="OCASS_1Q14">#REF!</definedName>
    <definedName name="OCASS_1Q15">#REF!</definedName>
    <definedName name="OCASS_1Q16">#REF!</definedName>
    <definedName name="OCASS_1Q17">#REF!</definedName>
    <definedName name="OCASS_1Q18">#REF!</definedName>
    <definedName name="OCASS_1Q19">#REF!</definedName>
    <definedName name="OCASS_1Q20">#REF!</definedName>
    <definedName name="OCASS_1Q21">#REF!</definedName>
    <definedName name="OCASS_1Q22">#REF!</definedName>
    <definedName name="OCASS_1Q23">#REF!</definedName>
    <definedName name="OCASS_1Q24">#REF!</definedName>
    <definedName name="OCASS_2000">#REF!</definedName>
    <definedName name="OCASS_2001">#REF!</definedName>
    <definedName name="OCASS_2002">#REF!</definedName>
    <definedName name="OCASS_2003">#REF!</definedName>
    <definedName name="OCASS_2004">#REF!</definedName>
    <definedName name="OCASS_2005">#REF!</definedName>
    <definedName name="OCASS_2006">#REF!</definedName>
    <definedName name="OCASS_2007">#REF!</definedName>
    <definedName name="OCASS_2008">#REF!</definedName>
    <definedName name="OCASS_2009">#REF!</definedName>
    <definedName name="OCASS_2010">#REF!</definedName>
    <definedName name="OCASS_2011">#REF!</definedName>
    <definedName name="OCASS_2012">#REF!</definedName>
    <definedName name="OCASS_2013">#REF!</definedName>
    <definedName name="OCASS_2014">#REF!</definedName>
    <definedName name="OCASS_2015">#REF!</definedName>
    <definedName name="OCASS_2016">#REF!</definedName>
    <definedName name="OCASS_2017">#REF!</definedName>
    <definedName name="OCASS_2018">#REF!</definedName>
    <definedName name="OCASS_2019">#REF!</definedName>
    <definedName name="OCASS_2020">#REF!</definedName>
    <definedName name="OCASS_2021">#REF!</definedName>
    <definedName name="OCASS_2022">#REF!</definedName>
    <definedName name="OCASS_2023">#REF!</definedName>
    <definedName name="OCASS_2024">#REF!</definedName>
    <definedName name="OCASS_2Q00">#REF!</definedName>
    <definedName name="OCASS_2Q01">#REF!</definedName>
    <definedName name="OCASS_2Q02">#REF!</definedName>
    <definedName name="OCASS_2Q03">#REF!</definedName>
    <definedName name="OCASS_2Q04">#REF!</definedName>
    <definedName name="OCASS_2Q05">#REF!</definedName>
    <definedName name="OCASS_2Q06">#REF!</definedName>
    <definedName name="OCASS_2Q07">#REF!</definedName>
    <definedName name="OCASS_2Q08">#REF!</definedName>
    <definedName name="OCASS_2Q09">#REF!</definedName>
    <definedName name="OCASS_2Q10">#REF!</definedName>
    <definedName name="OCASS_2Q11">#REF!</definedName>
    <definedName name="OCASS_2Q12">#REF!</definedName>
    <definedName name="OCASS_2Q13">#REF!</definedName>
    <definedName name="OCASS_2Q14">#REF!</definedName>
    <definedName name="OCASS_2Q15">#REF!</definedName>
    <definedName name="OCASS_2Q16">#REF!</definedName>
    <definedName name="OCASS_2Q17">#REF!</definedName>
    <definedName name="OCASS_2Q18">#REF!</definedName>
    <definedName name="OCASS_2Q19">#REF!</definedName>
    <definedName name="OCASS_2Q20">#REF!</definedName>
    <definedName name="OCASS_2Q21">#REF!</definedName>
    <definedName name="OCASS_2Q22">#REF!</definedName>
    <definedName name="OCASS_2Q23">#REF!</definedName>
    <definedName name="OCASS_2Q24">#REF!</definedName>
    <definedName name="OCASS_3Q00">#REF!</definedName>
    <definedName name="OCASS_3Q01">#REF!</definedName>
    <definedName name="OCASS_3Q02">#REF!</definedName>
    <definedName name="OCASS_3Q03">#REF!</definedName>
    <definedName name="OCASS_3Q04">#REF!</definedName>
    <definedName name="OCASS_3Q05">#REF!</definedName>
    <definedName name="OCASS_3Q06">#REF!</definedName>
    <definedName name="OCASS_3Q07">#REF!</definedName>
    <definedName name="OCASS_3Q08">#REF!</definedName>
    <definedName name="OCASS_3Q09">#REF!</definedName>
    <definedName name="OCASS_3Q10">#REF!</definedName>
    <definedName name="OCASS_3Q11">#REF!</definedName>
    <definedName name="OCASS_3Q12">#REF!</definedName>
    <definedName name="OCASS_3Q13">#REF!</definedName>
    <definedName name="OCASS_3Q14">#REF!</definedName>
    <definedName name="OCASS_3Q15">#REF!</definedName>
    <definedName name="OCASS_3Q16">#REF!</definedName>
    <definedName name="OCASS_3Q17">#REF!</definedName>
    <definedName name="OCASS_3Q18">#REF!</definedName>
    <definedName name="OCASS_3Q19">#REF!</definedName>
    <definedName name="OCASS_3Q20">#REF!</definedName>
    <definedName name="OCASS_3Q21">#REF!</definedName>
    <definedName name="OCASS_3Q22">#REF!</definedName>
    <definedName name="OCASS_3Q23">#REF!</definedName>
    <definedName name="OCASS_3Q24">#REF!</definedName>
    <definedName name="OCASS_4Q00">#REF!</definedName>
    <definedName name="OCASS_4Q01">#REF!</definedName>
    <definedName name="OCASS_4Q02">#REF!</definedName>
    <definedName name="OCASS_4Q03">#REF!</definedName>
    <definedName name="OCASS_4Q04">#REF!</definedName>
    <definedName name="OCASS_4Q05">#REF!</definedName>
    <definedName name="OCASS_4Q06">#REF!</definedName>
    <definedName name="OCASS_4Q07">#REF!</definedName>
    <definedName name="OCASS_4Q08">#REF!</definedName>
    <definedName name="OCASS_4Q09">#REF!</definedName>
    <definedName name="OCASS_4Q10">#REF!</definedName>
    <definedName name="OCASS_4Q11">#REF!</definedName>
    <definedName name="OCASS_4Q12">#REF!</definedName>
    <definedName name="OCASS_4Q13">#REF!</definedName>
    <definedName name="OCASS_4Q14">#REF!</definedName>
    <definedName name="OCASS_4Q15">#REF!</definedName>
    <definedName name="OCASS_4Q16">#REF!</definedName>
    <definedName name="OCASS_4Q17">#REF!</definedName>
    <definedName name="OCASS_4Q18">#REF!</definedName>
    <definedName name="OCASS_4Q19">#REF!</definedName>
    <definedName name="OCASS_4Q20">#REF!</definedName>
    <definedName name="OCASS_4Q21">#REF!</definedName>
    <definedName name="OCASS_4Q22">#REF!</definedName>
    <definedName name="OCASS_4Q23">#REF!</definedName>
    <definedName name="OCASS_4Q24">#REF!</definedName>
    <definedName name="OIFA_1995">#REF!</definedName>
    <definedName name="OIFA_1996">#REF!</definedName>
    <definedName name="OIFA_1997">#REF!</definedName>
    <definedName name="OIFA_1998">#REF!</definedName>
    <definedName name="OIFA_1999">#REF!</definedName>
    <definedName name="OIFA_1Q00">#REF!</definedName>
    <definedName name="OIFA_1Q01">#REF!</definedName>
    <definedName name="OIFA_1Q02">#REF!</definedName>
    <definedName name="OIFA_1Q03">#REF!</definedName>
    <definedName name="OIFA_1Q04">#REF!</definedName>
    <definedName name="OIFA_1Q05">#REF!</definedName>
    <definedName name="OIFA_1Q06">#REF!</definedName>
    <definedName name="OIFA_1Q07">#REF!</definedName>
    <definedName name="OIFA_1Q08">#REF!</definedName>
    <definedName name="OIFA_1Q09">#REF!</definedName>
    <definedName name="OIFA_1Q10">#REF!</definedName>
    <definedName name="OIFA_1Q11">#REF!</definedName>
    <definedName name="OIFA_1Q12">#REF!</definedName>
    <definedName name="OIFA_1Q13">#REF!</definedName>
    <definedName name="OIFA_1Q14">#REF!</definedName>
    <definedName name="OIFA_1Q15">#REF!</definedName>
    <definedName name="OIFA_1Q16">#REF!</definedName>
    <definedName name="OIFA_1Q17">#REF!</definedName>
    <definedName name="OIFA_1Q18">#REF!</definedName>
    <definedName name="OIFA_1Q19">#REF!</definedName>
    <definedName name="OIFA_1Q20">#REF!</definedName>
    <definedName name="OIFA_1Q21">#REF!</definedName>
    <definedName name="OIFA_1Q22">#REF!</definedName>
    <definedName name="OIFA_1Q23">#REF!</definedName>
    <definedName name="OIFA_1Q24">#REF!</definedName>
    <definedName name="OIFA_2000">#REF!</definedName>
    <definedName name="OIFA_2001">#REF!</definedName>
    <definedName name="OIFA_2002">#REF!</definedName>
    <definedName name="OIFA_2003">#REF!</definedName>
    <definedName name="OIFA_2004">#REF!</definedName>
    <definedName name="OIFA_2005">#REF!</definedName>
    <definedName name="OIFA_2006">#REF!</definedName>
    <definedName name="OIFA_2007">#REF!</definedName>
    <definedName name="OIFA_2008">#REF!</definedName>
    <definedName name="OIFA_2009">#REF!</definedName>
    <definedName name="OIFA_2010">#REF!</definedName>
    <definedName name="OIFA_2011">#REF!</definedName>
    <definedName name="OIFA_2012">#REF!</definedName>
    <definedName name="OIFA_2013">#REF!</definedName>
    <definedName name="OIFA_2014">#REF!</definedName>
    <definedName name="OIFA_2015">#REF!</definedName>
    <definedName name="OIFA_2016">#REF!</definedName>
    <definedName name="OIFA_2017">#REF!</definedName>
    <definedName name="OIFA_2018">#REF!</definedName>
    <definedName name="OIFA_2019">#REF!</definedName>
    <definedName name="OIFA_2020">#REF!</definedName>
    <definedName name="OIFA_2021">#REF!</definedName>
    <definedName name="OIFA_2022">#REF!</definedName>
    <definedName name="OIFA_2023">#REF!</definedName>
    <definedName name="OIFA_2024">#REF!</definedName>
    <definedName name="OIFA_2Q00">#REF!</definedName>
    <definedName name="OIFA_2Q01">#REF!</definedName>
    <definedName name="OIFA_2Q02">#REF!</definedName>
    <definedName name="OIFA_2Q03">#REF!</definedName>
    <definedName name="OIFA_2Q04">#REF!</definedName>
    <definedName name="OIFA_2Q05">#REF!</definedName>
    <definedName name="OIFA_2Q06">#REF!</definedName>
    <definedName name="OIFA_2Q07">#REF!</definedName>
    <definedName name="OIFA_2Q08">#REF!</definedName>
    <definedName name="OIFA_2Q09">#REF!</definedName>
    <definedName name="OIFA_2Q10">#REF!</definedName>
    <definedName name="OIFA_2Q11">#REF!</definedName>
    <definedName name="OIFA_2Q12">#REF!</definedName>
    <definedName name="OIFA_2Q13">#REF!</definedName>
    <definedName name="OIFA_2Q14">#REF!</definedName>
    <definedName name="OIFA_2Q15">#REF!</definedName>
    <definedName name="OIFA_2Q16">#REF!</definedName>
    <definedName name="OIFA_2Q17">#REF!</definedName>
    <definedName name="OIFA_2Q18">#REF!</definedName>
    <definedName name="OIFA_2Q19">#REF!</definedName>
    <definedName name="OIFA_2Q20">#REF!</definedName>
    <definedName name="OIFA_2Q21">#REF!</definedName>
    <definedName name="OIFA_2Q22">#REF!</definedName>
    <definedName name="OIFA_2Q23">#REF!</definedName>
    <definedName name="OIFA_2Q24">#REF!</definedName>
    <definedName name="OIFA_3Q00">#REF!</definedName>
    <definedName name="OIFA_3Q01">#REF!</definedName>
    <definedName name="OIFA_3Q02">#REF!</definedName>
    <definedName name="OIFA_3Q03">#REF!</definedName>
    <definedName name="OIFA_3Q04">#REF!</definedName>
    <definedName name="OIFA_3Q05">#REF!</definedName>
    <definedName name="OIFA_3Q06">#REF!</definedName>
    <definedName name="OIFA_3Q07">#REF!</definedName>
    <definedName name="OIFA_3Q08">#REF!</definedName>
    <definedName name="OIFA_3Q09">#REF!</definedName>
    <definedName name="OIFA_3Q10">#REF!</definedName>
    <definedName name="OIFA_3Q11">#REF!</definedName>
    <definedName name="OIFA_3Q12">#REF!</definedName>
    <definedName name="OIFA_3Q13">#REF!</definedName>
    <definedName name="OIFA_3Q14">#REF!</definedName>
    <definedName name="OIFA_3Q15">#REF!</definedName>
    <definedName name="OIFA_3Q16">#REF!</definedName>
    <definedName name="OIFA_3Q17">#REF!</definedName>
    <definedName name="OIFA_3Q18">#REF!</definedName>
    <definedName name="OIFA_3Q19">#REF!</definedName>
    <definedName name="OIFA_3Q20">#REF!</definedName>
    <definedName name="OIFA_3Q21">#REF!</definedName>
    <definedName name="OIFA_3Q22">#REF!</definedName>
    <definedName name="OIFA_3Q23">#REF!</definedName>
    <definedName name="OIFA_3Q24">#REF!</definedName>
    <definedName name="OIFA_4Q00">#REF!</definedName>
    <definedName name="OIFA_4Q01">#REF!</definedName>
    <definedName name="OIFA_4Q02">#REF!</definedName>
    <definedName name="OIFA_4Q03">#REF!</definedName>
    <definedName name="OIFA_4Q04">#REF!</definedName>
    <definedName name="OIFA_4Q05">#REF!</definedName>
    <definedName name="OIFA_4Q06">#REF!</definedName>
    <definedName name="OIFA_4Q07">#REF!</definedName>
    <definedName name="OIFA_4Q08">#REF!</definedName>
    <definedName name="OIFA_4Q09">#REF!</definedName>
    <definedName name="OIFA_4Q10">#REF!</definedName>
    <definedName name="OIFA_4Q11">#REF!</definedName>
    <definedName name="OIFA_4Q12">#REF!</definedName>
    <definedName name="OIFA_4Q13">#REF!</definedName>
    <definedName name="OIFA_4Q14">#REF!</definedName>
    <definedName name="OIFA_4Q15">#REF!</definedName>
    <definedName name="OIFA_4Q16">#REF!</definedName>
    <definedName name="OIFA_4Q17">#REF!</definedName>
    <definedName name="OIFA_4Q18">#REF!</definedName>
    <definedName name="OIFA_4Q19">#REF!</definedName>
    <definedName name="OIFA_4Q20">#REF!</definedName>
    <definedName name="OIFA_4Q21">#REF!</definedName>
    <definedName name="OIFA_4Q22">#REF!</definedName>
    <definedName name="OIFA_4Q23">#REF!</definedName>
    <definedName name="OIFA_4Q24">#REF!</definedName>
    <definedName name="OLEChartName">#REF!</definedName>
    <definedName name="OLEPosition">#REF!</definedName>
    <definedName name="OLTL_1995">#REF!</definedName>
    <definedName name="OLTL_1996">#REF!</definedName>
    <definedName name="OLTL_1997">#REF!</definedName>
    <definedName name="OLTL_1998">#REF!</definedName>
    <definedName name="OLTL_1999">#REF!</definedName>
    <definedName name="OLTL_1Q00">#REF!</definedName>
    <definedName name="OLTL_1Q01">#REF!</definedName>
    <definedName name="OLTL_1Q02">#REF!</definedName>
    <definedName name="OLTL_1Q03">#REF!</definedName>
    <definedName name="OLTL_1Q04">#REF!</definedName>
    <definedName name="OLTL_1Q05">#REF!</definedName>
    <definedName name="OLTL_1Q06">#REF!</definedName>
    <definedName name="OLTL_1Q07">#REF!</definedName>
    <definedName name="OLTL_1Q08">#REF!</definedName>
    <definedName name="OLTL_1Q09">#REF!</definedName>
    <definedName name="OLTL_1Q10">#REF!</definedName>
    <definedName name="OLTL_1Q11">#REF!</definedName>
    <definedName name="OLTL_1Q12">#REF!</definedName>
    <definedName name="OLTL_1Q13">#REF!</definedName>
    <definedName name="OLTL_1Q14">#REF!</definedName>
    <definedName name="OLTL_1Q15">#REF!</definedName>
    <definedName name="OLTL_1Q16">#REF!</definedName>
    <definedName name="OLTL_1Q17">#REF!</definedName>
    <definedName name="OLTL_1Q18">#REF!</definedName>
    <definedName name="OLTL_1Q19">#REF!</definedName>
    <definedName name="OLTL_1Q20">#REF!</definedName>
    <definedName name="OLTL_1Q21">#REF!</definedName>
    <definedName name="OLTL_1Q22">#REF!</definedName>
    <definedName name="OLTL_1Q23">#REF!</definedName>
    <definedName name="OLTL_1Q24">#REF!</definedName>
    <definedName name="OLTL_2000">#REF!</definedName>
    <definedName name="OLTL_2001">#REF!</definedName>
    <definedName name="OLTL_2002">#REF!</definedName>
    <definedName name="OLTL_2003">#REF!</definedName>
    <definedName name="OLTL_2004">#REF!</definedName>
    <definedName name="OLTL_2005">#REF!</definedName>
    <definedName name="OLTL_2006">#REF!</definedName>
    <definedName name="OLTL_2007">#REF!</definedName>
    <definedName name="OLTL_2008">#REF!</definedName>
    <definedName name="OLTL_2009">#REF!</definedName>
    <definedName name="OLTL_2010">#REF!</definedName>
    <definedName name="OLTL_2011">#REF!</definedName>
    <definedName name="OLTL_2012">#REF!</definedName>
    <definedName name="OLTL_2013">#REF!</definedName>
    <definedName name="OLTL_2014">#REF!</definedName>
    <definedName name="OLTL_2015">#REF!</definedName>
    <definedName name="OLTL_2016">#REF!</definedName>
    <definedName name="OLTL_2017">#REF!</definedName>
    <definedName name="OLTL_2018">#REF!</definedName>
    <definedName name="OLTL_2019">#REF!</definedName>
    <definedName name="OLTL_2020">#REF!</definedName>
    <definedName name="OLTL_2021">#REF!</definedName>
    <definedName name="OLTL_2022">#REF!</definedName>
    <definedName name="OLTL_2023">#REF!</definedName>
    <definedName name="OLTL_2024">#REF!</definedName>
    <definedName name="OLTL_2Q00">#REF!</definedName>
    <definedName name="OLTL_2Q01">#REF!</definedName>
    <definedName name="OLTL_2Q02">#REF!</definedName>
    <definedName name="OLTL_2Q03">#REF!</definedName>
    <definedName name="OLTL_2Q04">#REF!</definedName>
    <definedName name="OLTL_2Q05">#REF!</definedName>
    <definedName name="OLTL_2Q06">#REF!</definedName>
    <definedName name="OLTL_2Q07">#REF!</definedName>
    <definedName name="OLTL_2Q08">#REF!</definedName>
    <definedName name="OLTL_2Q09">#REF!</definedName>
    <definedName name="OLTL_2Q10">#REF!</definedName>
    <definedName name="OLTL_2Q11">#REF!</definedName>
    <definedName name="OLTL_2Q12">#REF!</definedName>
    <definedName name="OLTL_2Q13">#REF!</definedName>
    <definedName name="OLTL_2Q14">#REF!</definedName>
    <definedName name="OLTL_2Q15">#REF!</definedName>
    <definedName name="OLTL_2Q16">#REF!</definedName>
    <definedName name="OLTL_2Q17">#REF!</definedName>
    <definedName name="OLTL_2Q18">#REF!</definedName>
    <definedName name="OLTL_2Q19">#REF!</definedName>
    <definedName name="OLTL_2Q20">#REF!</definedName>
    <definedName name="OLTL_2Q21">#REF!</definedName>
    <definedName name="OLTL_2Q22">#REF!</definedName>
    <definedName name="OLTL_2Q23">#REF!</definedName>
    <definedName name="OLTL_2Q24">#REF!</definedName>
    <definedName name="OLTL_3Q00">#REF!</definedName>
    <definedName name="OLTL_3Q01">#REF!</definedName>
    <definedName name="OLTL_3Q02">#REF!</definedName>
    <definedName name="OLTL_3Q03">#REF!</definedName>
    <definedName name="OLTL_3Q04">#REF!</definedName>
    <definedName name="OLTL_3Q05">#REF!</definedName>
    <definedName name="OLTL_3Q06">#REF!</definedName>
    <definedName name="OLTL_3Q07">#REF!</definedName>
    <definedName name="OLTL_3Q08">#REF!</definedName>
    <definedName name="OLTL_3Q09">#REF!</definedName>
    <definedName name="OLTL_3Q10">#REF!</definedName>
    <definedName name="OLTL_3Q11">#REF!</definedName>
    <definedName name="OLTL_3Q12">#REF!</definedName>
    <definedName name="OLTL_3Q13">#REF!</definedName>
    <definedName name="OLTL_3Q14">#REF!</definedName>
    <definedName name="OLTL_3Q15">#REF!</definedName>
    <definedName name="OLTL_3Q16">#REF!</definedName>
    <definedName name="OLTL_3Q17">#REF!</definedName>
    <definedName name="OLTL_3Q18">#REF!</definedName>
    <definedName name="OLTL_3Q19">#REF!</definedName>
    <definedName name="OLTL_3Q20">#REF!</definedName>
    <definedName name="OLTL_3Q21">#REF!</definedName>
    <definedName name="OLTL_3Q22">#REF!</definedName>
    <definedName name="OLTL_3Q23">#REF!</definedName>
    <definedName name="OLTL_3Q24">#REF!</definedName>
    <definedName name="OLTL_4Q00">#REF!</definedName>
    <definedName name="OLTL_4Q01">#REF!</definedName>
    <definedName name="OLTL_4Q02">#REF!</definedName>
    <definedName name="OLTL_4Q03">#REF!</definedName>
    <definedName name="OLTL_4Q04">#REF!</definedName>
    <definedName name="OLTL_4Q05">#REF!</definedName>
    <definedName name="OLTL_4Q06">#REF!</definedName>
    <definedName name="OLTL_4Q07">#REF!</definedName>
    <definedName name="OLTL_4Q08">#REF!</definedName>
    <definedName name="OLTL_4Q09">#REF!</definedName>
    <definedName name="OLTL_4Q10">#REF!</definedName>
    <definedName name="OLTL_4Q11">#REF!</definedName>
    <definedName name="OLTL_4Q12">#REF!</definedName>
    <definedName name="OLTL_4Q13">#REF!</definedName>
    <definedName name="OLTL_4Q14">#REF!</definedName>
    <definedName name="OLTL_4Q15">#REF!</definedName>
    <definedName name="OLTL_4Q16">#REF!</definedName>
    <definedName name="OLTL_4Q17">#REF!</definedName>
    <definedName name="OLTL_4Q18">#REF!</definedName>
    <definedName name="OLTL_4Q19">#REF!</definedName>
    <definedName name="OLTL_4Q20">#REF!</definedName>
    <definedName name="OLTL_4Q21">#REF!</definedName>
    <definedName name="OLTL_4Q22">#REF!</definedName>
    <definedName name="OLTL_4Q23">#REF!</definedName>
    <definedName name="OLTL_4Q24">#REF!</definedName>
    <definedName name="OPCASH_1995">#REF!</definedName>
    <definedName name="OPCASH_1996">#REF!</definedName>
    <definedName name="OPCASH_1997">#REF!</definedName>
    <definedName name="OPCASH_1998">#REF!</definedName>
    <definedName name="OPCASH_1999">#REF!</definedName>
    <definedName name="OPCASH_1Q00">#REF!</definedName>
    <definedName name="OPCASH_1Q01">#REF!</definedName>
    <definedName name="OPCASH_1Q02">#REF!</definedName>
    <definedName name="OPCASH_1Q03">#REF!</definedName>
    <definedName name="OPCASH_1Q04">#REF!</definedName>
    <definedName name="OPCASH_1Q05">#REF!</definedName>
    <definedName name="OPCASH_1Q06">#REF!</definedName>
    <definedName name="OPCASH_1Q07">#REF!</definedName>
    <definedName name="OPCASH_1Q08">#REF!</definedName>
    <definedName name="OPCASH_1Q09">#REF!</definedName>
    <definedName name="OPCASH_1Q10">#REF!</definedName>
    <definedName name="OPCASH_1Q11">#REF!</definedName>
    <definedName name="OPCASH_1Q12">#REF!</definedName>
    <definedName name="OPCASH_1Q13">#REF!</definedName>
    <definedName name="OPCASH_1Q14">#REF!</definedName>
    <definedName name="OPCASH_1Q15">#REF!</definedName>
    <definedName name="OPCASH_1Q16">#REF!</definedName>
    <definedName name="OPCASH_1Q17">#REF!</definedName>
    <definedName name="OPCASH_1Q18">#REF!</definedName>
    <definedName name="OPCASH_1Q19">#REF!</definedName>
    <definedName name="OPCASH_1Q20">#REF!</definedName>
    <definedName name="OPCASH_1Q21">#REF!</definedName>
    <definedName name="OPCASH_1Q22">#REF!</definedName>
    <definedName name="OPCASH_1Q23">#REF!</definedName>
    <definedName name="OPCASH_1Q24">#REF!</definedName>
    <definedName name="OPCASH_2000">#REF!</definedName>
    <definedName name="OPCASH_2001">#REF!</definedName>
    <definedName name="OPCASH_2002">#REF!</definedName>
    <definedName name="OPCASH_2003">#REF!</definedName>
    <definedName name="OPCASH_2004">#REF!</definedName>
    <definedName name="OPCASH_2005">#REF!</definedName>
    <definedName name="OPCASH_2006">#REF!</definedName>
    <definedName name="OPCASH_2007">#REF!</definedName>
    <definedName name="OPCASH_2008">#REF!</definedName>
    <definedName name="OPCASH_2009">#REF!</definedName>
    <definedName name="OPCASH_2010">#REF!</definedName>
    <definedName name="OPCASH_2011">#REF!</definedName>
    <definedName name="OPCASH_2012">#REF!</definedName>
    <definedName name="OPCASH_2013">#REF!</definedName>
    <definedName name="OPCASH_2014">#REF!</definedName>
    <definedName name="OPCASH_2015">#REF!</definedName>
    <definedName name="OPCASH_2016">#REF!</definedName>
    <definedName name="OPCASH_2017">#REF!</definedName>
    <definedName name="OPCASH_2018">#REF!</definedName>
    <definedName name="OPCASH_2019">#REF!</definedName>
    <definedName name="OPCASH_2020">#REF!</definedName>
    <definedName name="OPCASH_2021">#REF!</definedName>
    <definedName name="OPCASH_2022">#REF!</definedName>
    <definedName name="OPCASH_2023">#REF!</definedName>
    <definedName name="OPCASH_2024">#REF!</definedName>
    <definedName name="OPCASH_2Q00">#REF!</definedName>
    <definedName name="OPCASH_2Q01">#REF!</definedName>
    <definedName name="OPCASH_2Q02">#REF!</definedName>
    <definedName name="OPCASH_2Q03">#REF!</definedName>
    <definedName name="OPCASH_2Q04">#REF!</definedName>
    <definedName name="OPCASH_2Q05">#REF!</definedName>
    <definedName name="OPCASH_2Q06">#REF!</definedName>
    <definedName name="OPCASH_2Q07">#REF!</definedName>
    <definedName name="OPCASH_2Q08">#REF!</definedName>
    <definedName name="OPCASH_2Q09">#REF!</definedName>
    <definedName name="OPCASH_2Q10">#REF!</definedName>
    <definedName name="OPCASH_2Q11">#REF!</definedName>
    <definedName name="OPCASH_2Q12">#REF!</definedName>
    <definedName name="OPCASH_2Q13">#REF!</definedName>
    <definedName name="OPCASH_2Q14">#REF!</definedName>
    <definedName name="OPCASH_2Q15">#REF!</definedName>
    <definedName name="OPCASH_2Q16">#REF!</definedName>
    <definedName name="OPCASH_2Q17">#REF!</definedName>
    <definedName name="OPCASH_2Q18">#REF!</definedName>
    <definedName name="OPCASH_2Q19">#REF!</definedName>
    <definedName name="OPCASH_2Q20">#REF!</definedName>
    <definedName name="OPCASH_2Q21">#REF!</definedName>
    <definedName name="OPCASH_2Q22">#REF!</definedName>
    <definedName name="OPCASH_2Q23">#REF!</definedName>
    <definedName name="OPCASH_2Q24">#REF!</definedName>
    <definedName name="OPCASH_3Q00">#REF!</definedName>
    <definedName name="OPCASH_3Q01">#REF!</definedName>
    <definedName name="OPCASH_3Q02">#REF!</definedName>
    <definedName name="OPCASH_3Q03">#REF!</definedName>
    <definedName name="OPCASH_3Q04">#REF!</definedName>
    <definedName name="OPCASH_3Q05">#REF!</definedName>
    <definedName name="OPCASH_3Q06">#REF!</definedName>
    <definedName name="OPCASH_3Q07">#REF!</definedName>
    <definedName name="OPCASH_3Q08">#REF!</definedName>
    <definedName name="OPCASH_3Q09">#REF!</definedName>
    <definedName name="OPCASH_3Q10">#REF!</definedName>
    <definedName name="OPCASH_3Q11">#REF!</definedName>
    <definedName name="OPCASH_3Q12">#REF!</definedName>
    <definedName name="OPCASH_3Q13">#REF!</definedName>
    <definedName name="OPCASH_3Q14">#REF!</definedName>
    <definedName name="OPCASH_3Q15">#REF!</definedName>
    <definedName name="OPCASH_3Q16">#REF!</definedName>
    <definedName name="OPCASH_3Q17">#REF!</definedName>
    <definedName name="OPCASH_3Q18">#REF!</definedName>
    <definedName name="OPCASH_3Q19">#REF!</definedName>
    <definedName name="OPCASH_3Q20">#REF!</definedName>
    <definedName name="OPCASH_3Q21">#REF!</definedName>
    <definedName name="OPCASH_3Q22">#REF!</definedName>
    <definedName name="OPCASH_3Q23">#REF!</definedName>
    <definedName name="OPCASH_3Q24">#REF!</definedName>
    <definedName name="OPCASH_4Q00">#REF!</definedName>
    <definedName name="OPCASH_4Q01">#REF!</definedName>
    <definedName name="OPCASH_4Q02">#REF!</definedName>
    <definedName name="OPCASH_4Q03">#REF!</definedName>
    <definedName name="OPCASH_4Q04">#REF!</definedName>
    <definedName name="OPCASH_4Q05">#REF!</definedName>
    <definedName name="OPCASH_4Q06">#REF!</definedName>
    <definedName name="OPCASH_4Q07">#REF!</definedName>
    <definedName name="OPCASH_4Q08">#REF!</definedName>
    <definedName name="OPCASH_4Q09">#REF!</definedName>
    <definedName name="OPCASH_4Q10">#REF!</definedName>
    <definedName name="OPCASH_4Q11">#REF!</definedName>
    <definedName name="OPCASH_4Q12">#REF!</definedName>
    <definedName name="OPCASH_4Q13">#REF!</definedName>
    <definedName name="OPCASH_4Q14">#REF!</definedName>
    <definedName name="OPCASH_4Q15">#REF!</definedName>
    <definedName name="OPCASH_4Q16">#REF!</definedName>
    <definedName name="OPCASH_4Q17">#REF!</definedName>
    <definedName name="OPCASH_4Q18">#REF!</definedName>
    <definedName name="OPCASH_4Q19">#REF!</definedName>
    <definedName name="OPCASH_4Q20">#REF!</definedName>
    <definedName name="OPCASH_4Q21">#REF!</definedName>
    <definedName name="OPCASH_4Q22">#REF!</definedName>
    <definedName name="OPCASH_4Q23">#REF!</definedName>
    <definedName name="OPCASH_4Q24">#REF!</definedName>
    <definedName name="OPENIT_1995">#REF!</definedName>
    <definedName name="OPENIT_1996">#REF!</definedName>
    <definedName name="OPENIT_1997">#REF!</definedName>
    <definedName name="OPENIT_1998">#REF!</definedName>
    <definedName name="OPENIT_1999">#REF!</definedName>
    <definedName name="OPENIT_1Q00">#REF!</definedName>
    <definedName name="OPENIT_1Q01">#REF!</definedName>
    <definedName name="OPENIT_1Q02">#REF!</definedName>
    <definedName name="OPENIT_1Q03">#REF!</definedName>
    <definedName name="OPENIT_1Q04">#REF!</definedName>
    <definedName name="OPENIT_1Q05">#REF!</definedName>
    <definedName name="OPENIT_1Q06">#REF!</definedName>
    <definedName name="OPENIT_1Q07">#REF!</definedName>
    <definedName name="OPENIT_1Q08">#REF!</definedName>
    <definedName name="OPENIT_1Q09">#REF!</definedName>
    <definedName name="OPENIT_1Q10">#REF!</definedName>
    <definedName name="OPENIT_1Q11">#REF!</definedName>
    <definedName name="OPENIT_1Q12">#REF!</definedName>
    <definedName name="OPENIT_1Q13">#REF!</definedName>
    <definedName name="OPENIT_1Q14">#REF!</definedName>
    <definedName name="OPENIT_1Q15">#REF!</definedName>
    <definedName name="OPENIT_1Q16">#REF!</definedName>
    <definedName name="OPENIT_1Q17">#REF!</definedName>
    <definedName name="OPENIT_1Q18">#REF!</definedName>
    <definedName name="OPENIT_1Q19">#REF!</definedName>
    <definedName name="OPENIT_1Q20">#REF!</definedName>
    <definedName name="OPENIT_1Q21">#REF!</definedName>
    <definedName name="OPENIT_1Q22">#REF!</definedName>
    <definedName name="OPENIT_1Q23">#REF!</definedName>
    <definedName name="OPENIT_1Q24">#REF!</definedName>
    <definedName name="OPENIT_2000">#REF!</definedName>
    <definedName name="OPENIT_2001">#REF!</definedName>
    <definedName name="OPENIT_2002">#REF!</definedName>
    <definedName name="OPENIT_2003">#REF!</definedName>
    <definedName name="OPENIT_2004">#REF!</definedName>
    <definedName name="OPENIT_2005">#REF!</definedName>
    <definedName name="OPENIT_2006">#REF!</definedName>
    <definedName name="OPENIT_2007">#REF!</definedName>
    <definedName name="OPENIT_2008">#REF!</definedName>
    <definedName name="OPENIT_2009">#REF!</definedName>
    <definedName name="OPENIT_2010">#REF!</definedName>
    <definedName name="OPENIT_2011">#REF!</definedName>
    <definedName name="OPENIT_2012">#REF!</definedName>
    <definedName name="OPENIT_2013">#REF!</definedName>
    <definedName name="OPENIT_2014">#REF!</definedName>
    <definedName name="OPENIT_2015">#REF!</definedName>
    <definedName name="OPENIT_2016">#REF!</definedName>
    <definedName name="OPENIT_2017">#REF!</definedName>
    <definedName name="OPENIT_2018">#REF!</definedName>
    <definedName name="OPENIT_2019">#REF!</definedName>
    <definedName name="OPENIT_2020">#REF!</definedName>
    <definedName name="OPENIT_2021">#REF!</definedName>
    <definedName name="OPENIT_2022">#REF!</definedName>
    <definedName name="OPENIT_2023">#REF!</definedName>
    <definedName name="OPENIT_2024">#REF!</definedName>
    <definedName name="OPENIT_2Q00">#REF!</definedName>
    <definedName name="OPENIT_2Q01">#REF!</definedName>
    <definedName name="OPENIT_2Q02">#REF!</definedName>
    <definedName name="OPENIT_2Q03">#REF!</definedName>
    <definedName name="OPENIT_2Q04">#REF!</definedName>
    <definedName name="OPENIT_2Q05">#REF!</definedName>
    <definedName name="OPENIT_2Q06">#REF!</definedName>
    <definedName name="OPENIT_2Q07">#REF!</definedName>
    <definedName name="OPENIT_2Q08">#REF!</definedName>
    <definedName name="OPENIT_2Q09">#REF!</definedName>
    <definedName name="OPENIT_2Q10">#REF!</definedName>
    <definedName name="OPENIT_2Q11">#REF!</definedName>
    <definedName name="OPENIT_2Q12">#REF!</definedName>
    <definedName name="OPENIT_2Q13">#REF!</definedName>
    <definedName name="OPENIT_2Q14">#REF!</definedName>
    <definedName name="OPENIT_2Q15">#REF!</definedName>
    <definedName name="OPENIT_2Q16">#REF!</definedName>
    <definedName name="OPENIT_2Q17">#REF!</definedName>
    <definedName name="OPENIT_2Q18">#REF!</definedName>
    <definedName name="OPENIT_2Q19">#REF!</definedName>
    <definedName name="OPENIT_2Q20">#REF!</definedName>
    <definedName name="OPENIT_2Q21">#REF!</definedName>
    <definedName name="OPENIT_2Q22">#REF!</definedName>
    <definedName name="OPENIT_2Q23">#REF!</definedName>
    <definedName name="OPENIT_2Q24">#REF!</definedName>
    <definedName name="OPENIT_3Q00">#REF!</definedName>
    <definedName name="OPENIT_3Q01">#REF!</definedName>
    <definedName name="OPENIT_3Q02">#REF!</definedName>
    <definedName name="OPENIT_3Q03">#REF!</definedName>
    <definedName name="OPENIT_3Q04">#REF!</definedName>
    <definedName name="OPENIT_3Q05">#REF!</definedName>
    <definedName name="OPENIT_3Q06">#REF!</definedName>
    <definedName name="OPENIT_3Q07">#REF!</definedName>
    <definedName name="OPENIT_3Q08">#REF!</definedName>
    <definedName name="OPENIT_3Q09">#REF!</definedName>
    <definedName name="OPENIT_3Q10">#REF!</definedName>
    <definedName name="OPENIT_3Q11">#REF!</definedName>
    <definedName name="OPENIT_3Q12">#REF!</definedName>
    <definedName name="OPENIT_3Q13">#REF!</definedName>
    <definedName name="OPENIT_3Q14">#REF!</definedName>
    <definedName name="OPENIT_3Q15">#REF!</definedName>
    <definedName name="OPENIT_3Q16">#REF!</definedName>
    <definedName name="OPENIT_3Q17">#REF!</definedName>
    <definedName name="OPENIT_3Q18">#REF!</definedName>
    <definedName name="OPENIT_3Q19">#REF!</definedName>
    <definedName name="OPENIT_3Q20">#REF!</definedName>
    <definedName name="OPENIT_3Q21">#REF!</definedName>
    <definedName name="OPENIT_3Q22">#REF!</definedName>
    <definedName name="OPENIT_3Q23">#REF!</definedName>
    <definedName name="OPENIT_3Q24">#REF!</definedName>
    <definedName name="OPENIT_4Q00">#REF!</definedName>
    <definedName name="OPENIT_4Q01">#REF!</definedName>
    <definedName name="OPENIT_4Q02">#REF!</definedName>
    <definedName name="OPENIT_4Q03">#REF!</definedName>
    <definedName name="OPENIT_4Q04">#REF!</definedName>
    <definedName name="OPENIT_4Q05">#REF!</definedName>
    <definedName name="OPENIT_4Q06">#REF!</definedName>
    <definedName name="OPENIT_4Q07">#REF!</definedName>
    <definedName name="OPENIT_4Q08">#REF!</definedName>
    <definedName name="OPENIT_4Q09">#REF!</definedName>
    <definedName name="OPENIT_4Q10">#REF!</definedName>
    <definedName name="OPENIT_4Q11">#REF!</definedName>
    <definedName name="OPENIT_4Q12">#REF!</definedName>
    <definedName name="OPENIT_4Q13">#REF!</definedName>
    <definedName name="OPENIT_4Q14">#REF!</definedName>
    <definedName name="OPENIT_4Q15">#REF!</definedName>
    <definedName name="OPENIT_4Q16">#REF!</definedName>
    <definedName name="OPENIT_4Q17">#REF!</definedName>
    <definedName name="OPENIT_4Q18">#REF!</definedName>
    <definedName name="OPENIT_4Q19">#REF!</definedName>
    <definedName name="OPENIT_4Q20">#REF!</definedName>
    <definedName name="OPENIT_4Q21">#REF!</definedName>
    <definedName name="OPENIT_4Q22">#REF!</definedName>
    <definedName name="OPENIT_4Q23">#REF!</definedName>
    <definedName name="OPENIT_4Q24">#REF!</definedName>
    <definedName name="OPLREX_1995">#REF!</definedName>
    <definedName name="OPLREX_1996">#REF!</definedName>
    <definedName name="OPLREX_1997">#REF!</definedName>
    <definedName name="OPLREX_1998">#REF!</definedName>
    <definedName name="OPLREX_1999">#REF!</definedName>
    <definedName name="OPLREX_1Q00">#REF!</definedName>
    <definedName name="OPLREX_1Q01">#REF!</definedName>
    <definedName name="OPLREX_1Q02">#REF!</definedName>
    <definedName name="OPLREX_1Q03">#REF!</definedName>
    <definedName name="OPLREX_1Q04">#REF!</definedName>
    <definedName name="OPLREX_1Q05">#REF!</definedName>
    <definedName name="OPLREX_1Q06">#REF!</definedName>
    <definedName name="OPLREX_1Q07">#REF!</definedName>
    <definedName name="OPLREX_1Q08">#REF!</definedName>
    <definedName name="OPLREX_1Q09">#REF!</definedName>
    <definedName name="OPLREX_1Q10">#REF!</definedName>
    <definedName name="OPLREX_1Q11">#REF!</definedName>
    <definedName name="OPLREX_1Q12">#REF!</definedName>
    <definedName name="OPLREX_1Q13">#REF!</definedName>
    <definedName name="OPLREX_1Q14">#REF!</definedName>
    <definedName name="OPLREX_1Q15">#REF!</definedName>
    <definedName name="OPLREX_1Q16">#REF!</definedName>
    <definedName name="OPLREX_1Q17">#REF!</definedName>
    <definedName name="OPLREX_1Q18">#REF!</definedName>
    <definedName name="OPLREX_1Q19">#REF!</definedName>
    <definedName name="OPLREX_1Q20">#REF!</definedName>
    <definedName name="OPLREX_1Q21">#REF!</definedName>
    <definedName name="OPLREX_1Q22">#REF!</definedName>
    <definedName name="OPLREX_1Q23">#REF!</definedName>
    <definedName name="OPLREX_1Q24">#REF!</definedName>
    <definedName name="OPLREX_2000">#REF!</definedName>
    <definedName name="OPLREX_2001">#REF!</definedName>
    <definedName name="OPLREX_2002">#REF!</definedName>
    <definedName name="OPLREX_2003">#REF!</definedName>
    <definedName name="OPLREX_2004">#REF!</definedName>
    <definedName name="OPLREX_2005">#REF!</definedName>
    <definedName name="OPLREX_2006">#REF!</definedName>
    <definedName name="OPLREX_2007">#REF!</definedName>
    <definedName name="OPLREX_2008">#REF!</definedName>
    <definedName name="OPLREX_2009">#REF!</definedName>
    <definedName name="OPLREX_2010">#REF!</definedName>
    <definedName name="OPLREX_2011">#REF!</definedName>
    <definedName name="OPLREX_2012">#REF!</definedName>
    <definedName name="OPLREX_2013">#REF!</definedName>
    <definedName name="OPLREX_2014">#REF!</definedName>
    <definedName name="OPLREX_2015">#REF!</definedName>
    <definedName name="OPLREX_2016">#REF!</definedName>
    <definedName name="OPLREX_2017">#REF!</definedName>
    <definedName name="OPLREX_2018">#REF!</definedName>
    <definedName name="OPLREX_2019">#REF!</definedName>
    <definedName name="OPLREX_2020">#REF!</definedName>
    <definedName name="OPLREX_2021">#REF!</definedName>
    <definedName name="OPLREX_2022">#REF!</definedName>
    <definedName name="OPLREX_2023">#REF!</definedName>
    <definedName name="OPLREX_2024">#REF!</definedName>
    <definedName name="OPLREX_2Q00">#REF!</definedName>
    <definedName name="OPLREX_2Q01">#REF!</definedName>
    <definedName name="OPLREX_2Q02">#REF!</definedName>
    <definedName name="OPLREX_2Q03">#REF!</definedName>
    <definedName name="OPLREX_2Q04">#REF!</definedName>
    <definedName name="OPLREX_2Q05">#REF!</definedName>
    <definedName name="OPLREX_2Q06">#REF!</definedName>
    <definedName name="OPLREX_2Q07">#REF!</definedName>
    <definedName name="OPLREX_2Q08">#REF!</definedName>
    <definedName name="OPLREX_2Q09">#REF!</definedName>
    <definedName name="OPLREX_2Q10">#REF!</definedName>
    <definedName name="OPLREX_2Q11">#REF!</definedName>
    <definedName name="OPLREX_2Q12">#REF!</definedName>
    <definedName name="OPLREX_2Q13">#REF!</definedName>
    <definedName name="OPLREX_2Q14">#REF!</definedName>
    <definedName name="OPLREX_2Q15">#REF!</definedName>
    <definedName name="OPLREX_2Q16">#REF!</definedName>
    <definedName name="OPLREX_2Q17">#REF!</definedName>
    <definedName name="OPLREX_2Q18">#REF!</definedName>
    <definedName name="OPLREX_2Q19">#REF!</definedName>
    <definedName name="OPLREX_2Q20">#REF!</definedName>
    <definedName name="OPLREX_2Q21">#REF!</definedName>
    <definedName name="OPLREX_2Q22">#REF!</definedName>
    <definedName name="OPLREX_2Q23">#REF!</definedName>
    <definedName name="OPLREX_2Q24">#REF!</definedName>
    <definedName name="OPLREX_3Q00">#REF!</definedName>
    <definedName name="OPLREX_3Q01">#REF!</definedName>
    <definedName name="OPLREX_3Q02">#REF!</definedName>
    <definedName name="OPLREX_3Q03">#REF!</definedName>
    <definedName name="OPLREX_3Q04">#REF!</definedName>
    <definedName name="OPLREX_3Q05">#REF!</definedName>
    <definedName name="OPLREX_3Q06">#REF!</definedName>
    <definedName name="OPLREX_3Q07">#REF!</definedName>
    <definedName name="OPLREX_3Q08">#REF!</definedName>
    <definedName name="OPLREX_3Q09">#REF!</definedName>
    <definedName name="OPLREX_3Q10">#REF!</definedName>
    <definedName name="OPLREX_3Q11">#REF!</definedName>
    <definedName name="OPLREX_3Q12">#REF!</definedName>
    <definedName name="OPLREX_3Q13">#REF!</definedName>
    <definedName name="OPLREX_3Q14">#REF!</definedName>
    <definedName name="OPLREX_3Q15">#REF!</definedName>
    <definedName name="OPLREX_3Q16">#REF!</definedName>
    <definedName name="OPLREX_3Q17">#REF!</definedName>
    <definedName name="OPLREX_3Q18">#REF!</definedName>
    <definedName name="OPLREX_3Q19">#REF!</definedName>
    <definedName name="OPLREX_3Q20">#REF!</definedName>
    <definedName name="OPLREX_3Q21">#REF!</definedName>
    <definedName name="OPLREX_3Q22">#REF!</definedName>
    <definedName name="OPLREX_3Q23">#REF!</definedName>
    <definedName name="OPLREX_3Q24">#REF!</definedName>
    <definedName name="OPLREX_4Q00">#REF!</definedName>
    <definedName name="OPLREX_4Q01">#REF!</definedName>
    <definedName name="OPLREX_4Q02">#REF!</definedName>
    <definedName name="OPLREX_4Q03">#REF!</definedName>
    <definedName name="OPLREX_4Q04">#REF!</definedName>
    <definedName name="OPLREX_4Q05">#REF!</definedName>
    <definedName name="OPLREX_4Q06">#REF!</definedName>
    <definedName name="OPLREX_4Q07">#REF!</definedName>
    <definedName name="OPLREX_4Q08">#REF!</definedName>
    <definedName name="OPLREX_4Q09">#REF!</definedName>
    <definedName name="OPLREX_4Q10">#REF!</definedName>
    <definedName name="OPLREX_4Q11">#REF!</definedName>
    <definedName name="OPLREX_4Q12">#REF!</definedName>
    <definedName name="OPLREX_4Q13">#REF!</definedName>
    <definedName name="OPLREX_4Q14">#REF!</definedName>
    <definedName name="OPLREX_4Q15">#REF!</definedName>
    <definedName name="OPLREX_4Q16">#REF!</definedName>
    <definedName name="OPLREX_4Q17">#REF!</definedName>
    <definedName name="OPLREX_4Q18">#REF!</definedName>
    <definedName name="OPLREX_4Q19">#REF!</definedName>
    <definedName name="OPLREX_4Q20">#REF!</definedName>
    <definedName name="OPLREX_4Q21">#REF!</definedName>
    <definedName name="OPLREX_4Q22">#REF!</definedName>
    <definedName name="OPLREX_4Q23">#REF!</definedName>
    <definedName name="OPLREX_4Q24">#REF!</definedName>
    <definedName name="OPTNOI_1995">#REF!</definedName>
    <definedName name="OPTNOI_1996">#REF!</definedName>
    <definedName name="OPTNOI_1997">#REF!</definedName>
    <definedName name="OPTNOI_1998">#REF!</definedName>
    <definedName name="OPTNOI_1999">#REF!</definedName>
    <definedName name="OPTNOI_1Q00">#REF!</definedName>
    <definedName name="OPTNOI_1Q01">#REF!</definedName>
    <definedName name="OPTNOI_1Q02">#REF!</definedName>
    <definedName name="OPTNOI_1Q03">#REF!</definedName>
    <definedName name="OPTNOI_1Q04">#REF!</definedName>
    <definedName name="OPTNOI_1Q05">#REF!</definedName>
    <definedName name="OPTNOI_1Q06">#REF!</definedName>
    <definedName name="OPTNOI_1Q07">#REF!</definedName>
    <definedName name="OPTNOI_1Q08">#REF!</definedName>
    <definedName name="OPTNOI_1Q09">#REF!</definedName>
    <definedName name="OPTNOI_1Q10">#REF!</definedName>
    <definedName name="OPTNOI_1Q11">#REF!</definedName>
    <definedName name="OPTNOI_1Q12">#REF!</definedName>
    <definedName name="OPTNOI_1Q13">#REF!</definedName>
    <definedName name="OPTNOI_1Q14">#REF!</definedName>
    <definedName name="OPTNOI_1Q15">#REF!</definedName>
    <definedName name="OPTNOI_1Q16">#REF!</definedName>
    <definedName name="OPTNOI_1Q17">#REF!</definedName>
    <definedName name="OPTNOI_1Q18">#REF!</definedName>
    <definedName name="OPTNOI_1Q19">#REF!</definedName>
    <definedName name="OPTNOI_1Q20">#REF!</definedName>
    <definedName name="OPTNOI_1Q21">#REF!</definedName>
    <definedName name="OPTNOI_1Q22">#REF!</definedName>
    <definedName name="OPTNOI_1Q23">#REF!</definedName>
    <definedName name="OPTNOI_1Q24">#REF!</definedName>
    <definedName name="OPTNOI_2000">#REF!</definedName>
    <definedName name="OPTNOI_2001">#REF!</definedName>
    <definedName name="OPTNOI_2002">#REF!</definedName>
    <definedName name="OPTNOI_2003">#REF!</definedName>
    <definedName name="OPTNOI_2004">#REF!</definedName>
    <definedName name="OPTNOI_2005">#REF!</definedName>
    <definedName name="OPTNOI_2006">#REF!</definedName>
    <definedName name="OPTNOI_2007">#REF!</definedName>
    <definedName name="OPTNOI_2008">#REF!</definedName>
    <definedName name="OPTNOI_2009">#REF!</definedName>
    <definedName name="OPTNOI_2010">#REF!</definedName>
    <definedName name="OPTNOI_2011">#REF!</definedName>
    <definedName name="OPTNOI_2012">#REF!</definedName>
    <definedName name="OPTNOI_2013">#REF!</definedName>
    <definedName name="OPTNOI_2014">#REF!</definedName>
    <definedName name="OPTNOI_2015">#REF!</definedName>
    <definedName name="OPTNOI_2016">#REF!</definedName>
    <definedName name="OPTNOI_2017">#REF!</definedName>
    <definedName name="OPTNOI_2018">#REF!</definedName>
    <definedName name="OPTNOI_2019">#REF!</definedName>
    <definedName name="OPTNOI_2020">#REF!</definedName>
    <definedName name="OPTNOI_2021">#REF!</definedName>
    <definedName name="OPTNOI_2022">#REF!</definedName>
    <definedName name="OPTNOI_2023">#REF!</definedName>
    <definedName name="OPTNOI_2024">#REF!</definedName>
    <definedName name="OPTNOI_2Q00">#REF!</definedName>
    <definedName name="OPTNOI_2Q01">#REF!</definedName>
    <definedName name="OPTNOI_2Q02">#REF!</definedName>
    <definedName name="OPTNOI_2Q03">#REF!</definedName>
    <definedName name="OPTNOI_2Q04">#REF!</definedName>
    <definedName name="OPTNOI_2Q05">#REF!</definedName>
    <definedName name="OPTNOI_2Q06">#REF!</definedName>
    <definedName name="OPTNOI_2Q07">#REF!</definedName>
    <definedName name="OPTNOI_2Q08">#REF!</definedName>
    <definedName name="OPTNOI_2Q09">#REF!</definedName>
    <definedName name="OPTNOI_2Q10">#REF!</definedName>
    <definedName name="OPTNOI_2Q11">#REF!</definedName>
    <definedName name="OPTNOI_2Q12">#REF!</definedName>
    <definedName name="OPTNOI_2Q13">#REF!</definedName>
    <definedName name="OPTNOI_2Q14">#REF!</definedName>
    <definedName name="OPTNOI_2Q15">#REF!</definedName>
    <definedName name="OPTNOI_2Q16">#REF!</definedName>
    <definedName name="OPTNOI_2Q17">#REF!</definedName>
    <definedName name="OPTNOI_2Q18">#REF!</definedName>
    <definedName name="OPTNOI_2Q19">#REF!</definedName>
    <definedName name="OPTNOI_2Q20">#REF!</definedName>
    <definedName name="OPTNOI_2Q21">#REF!</definedName>
    <definedName name="OPTNOI_2Q22">#REF!</definedName>
    <definedName name="OPTNOI_2Q23">#REF!</definedName>
    <definedName name="OPTNOI_2Q24">#REF!</definedName>
    <definedName name="OPTNOI_3Q00">#REF!</definedName>
    <definedName name="OPTNOI_3Q01">#REF!</definedName>
    <definedName name="OPTNOI_3Q02">#REF!</definedName>
    <definedName name="OPTNOI_3Q03">#REF!</definedName>
    <definedName name="OPTNOI_3Q04">#REF!</definedName>
    <definedName name="OPTNOI_3Q05">#REF!</definedName>
    <definedName name="OPTNOI_3Q06">#REF!</definedName>
    <definedName name="OPTNOI_3Q07">#REF!</definedName>
    <definedName name="OPTNOI_3Q08">#REF!</definedName>
    <definedName name="OPTNOI_3Q09">#REF!</definedName>
    <definedName name="OPTNOI_3Q10">#REF!</definedName>
    <definedName name="OPTNOI_3Q11">#REF!</definedName>
    <definedName name="OPTNOI_3Q12">#REF!</definedName>
    <definedName name="OPTNOI_3Q13">#REF!</definedName>
    <definedName name="OPTNOI_3Q14">#REF!</definedName>
    <definedName name="OPTNOI_3Q15">#REF!</definedName>
    <definedName name="OPTNOI_3Q16">#REF!</definedName>
    <definedName name="OPTNOI_3Q17">#REF!</definedName>
    <definedName name="OPTNOI_3Q18">#REF!</definedName>
    <definedName name="OPTNOI_3Q19">#REF!</definedName>
    <definedName name="OPTNOI_3Q20">#REF!</definedName>
    <definedName name="OPTNOI_3Q21">#REF!</definedName>
    <definedName name="OPTNOI_3Q22">#REF!</definedName>
    <definedName name="OPTNOI_3Q23">#REF!</definedName>
    <definedName name="OPTNOI_3Q24">#REF!</definedName>
    <definedName name="OPTNOI_4Q00">#REF!</definedName>
    <definedName name="OPTNOI_4Q01">#REF!</definedName>
    <definedName name="OPTNOI_4Q02">#REF!</definedName>
    <definedName name="OPTNOI_4Q03">#REF!</definedName>
    <definedName name="OPTNOI_4Q04">#REF!</definedName>
    <definedName name="OPTNOI_4Q05">#REF!</definedName>
    <definedName name="OPTNOI_4Q06">#REF!</definedName>
    <definedName name="OPTNOI_4Q07">#REF!</definedName>
    <definedName name="OPTNOI_4Q08">#REF!</definedName>
    <definedName name="OPTNOI_4Q09">#REF!</definedName>
    <definedName name="OPTNOI_4Q10">#REF!</definedName>
    <definedName name="OPTNOI_4Q11">#REF!</definedName>
    <definedName name="OPTNOI_4Q12">#REF!</definedName>
    <definedName name="OPTNOI_4Q13">#REF!</definedName>
    <definedName name="OPTNOI_4Q14">#REF!</definedName>
    <definedName name="OPTNOI_4Q15">#REF!</definedName>
    <definedName name="OPTNOI_4Q16">#REF!</definedName>
    <definedName name="OPTNOI_4Q17">#REF!</definedName>
    <definedName name="OPTNOI_4Q18">#REF!</definedName>
    <definedName name="OPTNOI_4Q19">#REF!</definedName>
    <definedName name="OPTNOI_4Q20">#REF!</definedName>
    <definedName name="OPTNOI_4Q21">#REF!</definedName>
    <definedName name="OPTNOI_4Q22">#REF!</definedName>
    <definedName name="OPTNOI_4Q23">#REF!</definedName>
    <definedName name="OPTNOI_4Q24">#REF!</definedName>
    <definedName name="ORDD_1995">#REF!</definedName>
    <definedName name="ORDD_1996">#REF!</definedName>
    <definedName name="ORDD_1997">#REF!</definedName>
    <definedName name="ORDD_1998">#REF!</definedName>
    <definedName name="ORDD_1999">#REF!</definedName>
    <definedName name="ORDD_1Q00">#REF!</definedName>
    <definedName name="ORDD_1Q01">#REF!</definedName>
    <definedName name="ORDD_1Q02">#REF!</definedName>
    <definedName name="ORDD_1Q03">#REF!</definedName>
    <definedName name="ORDD_1Q04">#REF!</definedName>
    <definedName name="ORDD_1Q05">#REF!</definedName>
    <definedName name="ORDD_1Q06">#REF!</definedName>
    <definedName name="ORDD_1Q07">#REF!</definedName>
    <definedName name="ORDD_1Q08">#REF!</definedName>
    <definedName name="ORDD_1Q09">#REF!</definedName>
    <definedName name="ORDD_1Q10">#REF!</definedName>
    <definedName name="ORDD_1Q11">#REF!</definedName>
    <definedName name="ORDD_1Q12">#REF!</definedName>
    <definedName name="ORDD_1Q13">#REF!</definedName>
    <definedName name="ORDD_1Q14">#REF!</definedName>
    <definedName name="ORDD_1Q15">#REF!</definedName>
    <definedName name="ORDD_1Q16">#REF!</definedName>
    <definedName name="ORDD_1Q17">#REF!</definedName>
    <definedName name="ORDD_1Q18">#REF!</definedName>
    <definedName name="ORDD_1Q19">#REF!</definedName>
    <definedName name="ORDD_1Q20">#REF!</definedName>
    <definedName name="ORDD_1Q21">#REF!</definedName>
    <definedName name="ORDD_1Q22">#REF!</definedName>
    <definedName name="ORDD_1Q23">#REF!</definedName>
    <definedName name="ORDD_1Q24">#REF!</definedName>
    <definedName name="ORDD_2000">#REF!</definedName>
    <definedName name="ORDD_2001">#REF!</definedName>
    <definedName name="ORDD_2002">#REF!</definedName>
    <definedName name="ORDD_2003">#REF!</definedName>
    <definedName name="ORDD_2004">#REF!</definedName>
    <definedName name="ORDD_2005">#REF!</definedName>
    <definedName name="ORDD_2006">#REF!</definedName>
    <definedName name="ORDD_2007">#REF!</definedName>
    <definedName name="ORDD_2008">#REF!</definedName>
    <definedName name="ORDD_2009">#REF!</definedName>
    <definedName name="ORDD_2010">#REF!</definedName>
    <definedName name="ORDD_2011">#REF!</definedName>
    <definedName name="ORDD_2012">#REF!</definedName>
    <definedName name="ORDD_2013">#REF!</definedName>
    <definedName name="ORDD_2014">#REF!</definedName>
    <definedName name="ORDD_2015">#REF!</definedName>
    <definedName name="ORDD_2016">#REF!</definedName>
    <definedName name="ORDD_2017">#REF!</definedName>
    <definedName name="ORDD_2018">#REF!</definedName>
    <definedName name="ORDD_2019">#REF!</definedName>
    <definedName name="ORDD_2020">#REF!</definedName>
    <definedName name="ORDD_2021">#REF!</definedName>
    <definedName name="ORDD_2022">#REF!</definedName>
    <definedName name="ORDD_2023">#REF!</definedName>
    <definedName name="ORDD_2024">#REF!</definedName>
    <definedName name="ORDD_2Q00">#REF!</definedName>
    <definedName name="ORDD_2Q01">#REF!</definedName>
    <definedName name="ORDD_2Q02">#REF!</definedName>
    <definedName name="ORDD_2Q03">#REF!</definedName>
    <definedName name="ORDD_2Q04">#REF!</definedName>
    <definedName name="ORDD_2Q05">#REF!</definedName>
    <definedName name="ORDD_2Q06">#REF!</definedName>
    <definedName name="ORDD_2Q07">#REF!</definedName>
    <definedName name="ORDD_2Q08">#REF!</definedName>
    <definedName name="ORDD_2Q09">#REF!</definedName>
    <definedName name="ORDD_2Q10">#REF!</definedName>
    <definedName name="ORDD_2Q11">#REF!</definedName>
    <definedName name="ORDD_2Q12">#REF!</definedName>
    <definedName name="ORDD_2Q13">#REF!</definedName>
    <definedName name="ORDD_2Q14">#REF!</definedName>
    <definedName name="ORDD_2Q15">#REF!</definedName>
    <definedName name="ORDD_2Q16">#REF!</definedName>
    <definedName name="ORDD_2Q17">#REF!</definedName>
    <definedName name="ORDD_2Q18">#REF!</definedName>
    <definedName name="ORDD_2Q19">#REF!</definedName>
    <definedName name="ORDD_2Q20">#REF!</definedName>
    <definedName name="ORDD_2Q21">#REF!</definedName>
    <definedName name="ORDD_2Q22">#REF!</definedName>
    <definedName name="ORDD_2Q23">#REF!</definedName>
    <definedName name="ORDD_2Q24">#REF!</definedName>
    <definedName name="ORDD_3Q00">#REF!</definedName>
    <definedName name="ORDD_3Q01">#REF!</definedName>
    <definedName name="ORDD_3Q02">#REF!</definedName>
    <definedName name="ORDD_3Q03">#REF!</definedName>
    <definedName name="ORDD_3Q04">#REF!</definedName>
    <definedName name="ORDD_3Q05">#REF!</definedName>
    <definedName name="ORDD_3Q06">#REF!</definedName>
    <definedName name="ORDD_3Q07">#REF!</definedName>
    <definedName name="ORDD_3Q08">#REF!</definedName>
    <definedName name="ORDD_3Q09">#REF!</definedName>
    <definedName name="ORDD_3Q10">#REF!</definedName>
    <definedName name="ORDD_3Q11">#REF!</definedName>
    <definedName name="ORDD_3Q12">#REF!</definedName>
    <definedName name="ORDD_3Q13">#REF!</definedName>
    <definedName name="ORDD_3Q14">#REF!</definedName>
    <definedName name="ORDD_3Q15">#REF!</definedName>
    <definedName name="ORDD_3Q16">#REF!</definedName>
    <definedName name="ORDD_3Q17">#REF!</definedName>
    <definedName name="ORDD_3Q18">#REF!</definedName>
    <definedName name="ORDD_3Q19">#REF!</definedName>
    <definedName name="ORDD_3Q20">#REF!</definedName>
    <definedName name="ORDD_3Q21">#REF!</definedName>
    <definedName name="ORDD_3Q22">#REF!</definedName>
    <definedName name="ORDD_3Q23">#REF!</definedName>
    <definedName name="ORDD_3Q24">#REF!</definedName>
    <definedName name="ORDD_4Q00">#REF!</definedName>
    <definedName name="ORDD_4Q01">#REF!</definedName>
    <definedName name="ORDD_4Q02">#REF!</definedName>
    <definedName name="ORDD_4Q03">#REF!</definedName>
    <definedName name="ORDD_4Q04">#REF!</definedName>
    <definedName name="ORDD_4Q05">#REF!</definedName>
    <definedName name="ORDD_4Q06">#REF!</definedName>
    <definedName name="ORDD_4Q07">#REF!</definedName>
    <definedName name="ORDD_4Q08">#REF!</definedName>
    <definedName name="ORDD_4Q09">#REF!</definedName>
    <definedName name="ORDD_4Q10">#REF!</definedName>
    <definedName name="ORDD_4Q11">#REF!</definedName>
    <definedName name="ORDD_4Q12">#REF!</definedName>
    <definedName name="ORDD_4Q13">#REF!</definedName>
    <definedName name="ORDD_4Q14">#REF!</definedName>
    <definedName name="ORDD_4Q15">#REF!</definedName>
    <definedName name="ORDD_4Q16">#REF!</definedName>
    <definedName name="ORDD_4Q17">#REF!</definedName>
    <definedName name="ORDD_4Q18">#REF!</definedName>
    <definedName name="ORDD_4Q19">#REF!</definedName>
    <definedName name="ORDD_4Q20">#REF!</definedName>
    <definedName name="ORDD_4Q21">#REF!</definedName>
    <definedName name="ORDD_4Q22">#REF!</definedName>
    <definedName name="ORDD_4Q23">#REF!</definedName>
    <definedName name="ORDD_4Q24">#REF!</definedName>
    <definedName name="OSTLIA_1995">#REF!</definedName>
    <definedName name="OSTLIA_1996">#REF!</definedName>
    <definedName name="OSTLIA_1997">#REF!</definedName>
    <definedName name="OSTLIA_1998">#REF!</definedName>
    <definedName name="OSTLIA_1999">#REF!</definedName>
    <definedName name="OSTLIA_1Q00">#REF!</definedName>
    <definedName name="OSTLIA_1Q01">#REF!</definedName>
    <definedName name="OSTLIA_1Q02">#REF!</definedName>
    <definedName name="OSTLIA_1Q03">#REF!</definedName>
    <definedName name="OSTLIA_1Q04">#REF!</definedName>
    <definedName name="OSTLIA_1Q05">#REF!</definedName>
    <definedName name="OSTLIA_1Q06">#REF!</definedName>
    <definedName name="OSTLIA_1Q07">#REF!</definedName>
    <definedName name="OSTLIA_1Q08">#REF!</definedName>
    <definedName name="OSTLIA_1Q09">#REF!</definedName>
    <definedName name="OSTLIA_1Q10">#REF!</definedName>
    <definedName name="OSTLIA_1Q11">#REF!</definedName>
    <definedName name="OSTLIA_1Q12">#REF!</definedName>
    <definedName name="OSTLIA_1Q13">#REF!</definedName>
    <definedName name="OSTLIA_1Q14">#REF!</definedName>
    <definedName name="OSTLIA_1Q15">#REF!</definedName>
    <definedName name="OSTLIA_1Q16">#REF!</definedName>
    <definedName name="OSTLIA_1Q17">#REF!</definedName>
    <definedName name="OSTLIA_1Q18">#REF!</definedName>
    <definedName name="OSTLIA_1Q19">#REF!</definedName>
    <definedName name="OSTLIA_1Q20">#REF!</definedName>
    <definedName name="OSTLIA_1Q21">#REF!</definedName>
    <definedName name="OSTLIA_1Q22">#REF!</definedName>
    <definedName name="OSTLIA_1Q23">#REF!</definedName>
    <definedName name="OSTLIA_1Q24">#REF!</definedName>
    <definedName name="OSTLIA_2000">#REF!</definedName>
    <definedName name="OSTLIA_2001">#REF!</definedName>
    <definedName name="OSTLIA_2002">#REF!</definedName>
    <definedName name="OSTLIA_2003">#REF!</definedName>
    <definedName name="OSTLIA_2004">#REF!</definedName>
    <definedName name="OSTLIA_2005">#REF!</definedName>
    <definedName name="OSTLIA_2006">#REF!</definedName>
    <definedName name="OSTLIA_2007">#REF!</definedName>
    <definedName name="OSTLIA_2008">#REF!</definedName>
    <definedName name="OSTLIA_2009">#REF!</definedName>
    <definedName name="OSTLIA_2010">#REF!</definedName>
    <definedName name="OSTLIA_2011">#REF!</definedName>
    <definedName name="OSTLIA_2012">#REF!</definedName>
    <definedName name="OSTLIA_2013">#REF!</definedName>
    <definedName name="OSTLIA_2014">#REF!</definedName>
    <definedName name="OSTLIA_2015">#REF!</definedName>
    <definedName name="OSTLIA_2016">#REF!</definedName>
    <definedName name="OSTLIA_2017">#REF!</definedName>
    <definedName name="OSTLIA_2018">#REF!</definedName>
    <definedName name="OSTLIA_2019">#REF!</definedName>
    <definedName name="OSTLIA_2020">#REF!</definedName>
    <definedName name="OSTLIA_2021">#REF!</definedName>
    <definedName name="OSTLIA_2022">#REF!</definedName>
    <definedName name="OSTLIA_2023">#REF!</definedName>
    <definedName name="OSTLIA_2024">#REF!</definedName>
    <definedName name="OSTLIA_2Q00">#REF!</definedName>
    <definedName name="OSTLIA_2Q01">#REF!</definedName>
    <definedName name="OSTLIA_2Q02">#REF!</definedName>
    <definedName name="OSTLIA_2Q03">#REF!</definedName>
    <definedName name="OSTLIA_2Q04">#REF!</definedName>
    <definedName name="OSTLIA_2Q05">#REF!</definedName>
    <definedName name="OSTLIA_2Q06">#REF!</definedName>
    <definedName name="OSTLIA_2Q07">#REF!</definedName>
    <definedName name="OSTLIA_2Q08">#REF!</definedName>
    <definedName name="OSTLIA_2Q09">#REF!</definedName>
    <definedName name="OSTLIA_2Q10">#REF!</definedName>
    <definedName name="OSTLIA_2Q11">#REF!</definedName>
    <definedName name="OSTLIA_2Q12">#REF!</definedName>
    <definedName name="OSTLIA_2Q13">#REF!</definedName>
    <definedName name="OSTLIA_2Q14">#REF!</definedName>
    <definedName name="OSTLIA_2Q15">#REF!</definedName>
    <definedName name="OSTLIA_2Q16">#REF!</definedName>
    <definedName name="OSTLIA_2Q17">#REF!</definedName>
    <definedName name="OSTLIA_2Q18">#REF!</definedName>
    <definedName name="OSTLIA_2Q19">#REF!</definedName>
    <definedName name="OSTLIA_2Q20">#REF!</definedName>
    <definedName name="OSTLIA_2Q21">#REF!</definedName>
    <definedName name="OSTLIA_2Q22">#REF!</definedName>
    <definedName name="OSTLIA_2Q23">#REF!</definedName>
    <definedName name="OSTLIA_2Q24">#REF!</definedName>
    <definedName name="OSTLIA_3Q00">#REF!</definedName>
    <definedName name="OSTLIA_3Q01">#REF!</definedName>
    <definedName name="OSTLIA_3Q02">#REF!</definedName>
    <definedName name="OSTLIA_3Q03">#REF!</definedName>
    <definedName name="OSTLIA_3Q04">#REF!</definedName>
    <definedName name="OSTLIA_3Q05">#REF!</definedName>
    <definedName name="OSTLIA_3Q06">#REF!</definedName>
    <definedName name="OSTLIA_3Q07">#REF!</definedName>
    <definedName name="OSTLIA_3Q08">#REF!</definedName>
    <definedName name="OSTLIA_3Q09">#REF!</definedName>
    <definedName name="OSTLIA_3Q10">#REF!</definedName>
    <definedName name="OSTLIA_3Q11">#REF!</definedName>
    <definedName name="OSTLIA_3Q12">#REF!</definedName>
    <definedName name="OSTLIA_3Q13">#REF!</definedName>
    <definedName name="OSTLIA_3Q14">#REF!</definedName>
    <definedName name="OSTLIA_3Q15">#REF!</definedName>
    <definedName name="OSTLIA_3Q16">#REF!</definedName>
    <definedName name="OSTLIA_3Q17">#REF!</definedName>
    <definedName name="OSTLIA_3Q18">#REF!</definedName>
    <definedName name="OSTLIA_3Q19">#REF!</definedName>
    <definedName name="OSTLIA_3Q20">#REF!</definedName>
    <definedName name="OSTLIA_3Q21">#REF!</definedName>
    <definedName name="OSTLIA_3Q22">#REF!</definedName>
    <definedName name="OSTLIA_3Q23">#REF!</definedName>
    <definedName name="OSTLIA_3Q24">#REF!</definedName>
    <definedName name="OSTLIA_4Q00">#REF!</definedName>
    <definedName name="OSTLIA_4Q01">#REF!</definedName>
    <definedName name="OSTLIA_4Q02">#REF!</definedName>
    <definedName name="OSTLIA_4Q03">#REF!</definedName>
    <definedName name="OSTLIA_4Q04">#REF!</definedName>
    <definedName name="OSTLIA_4Q05">#REF!</definedName>
    <definedName name="OSTLIA_4Q06">#REF!</definedName>
    <definedName name="OSTLIA_4Q07">#REF!</definedName>
    <definedName name="OSTLIA_4Q08">#REF!</definedName>
    <definedName name="OSTLIA_4Q09">#REF!</definedName>
    <definedName name="OSTLIA_4Q10">#REF!</definedName>
    <definedName name="OSTLIA_4Q11">#REF!</definedName>
    <definedName name="OSTLIA_4Q12">#REF!</definedName>
    <definedName name="OSTLIA_4Q13">#REF!</definedName>
    <definedName name="OSTLIA_4Q14">#REF!</definedName>
    <definedName name="OSTLIA_4Q15">#REF!</definedName>
    <definedName name="OSTLIA_4Q16">#REF!</definedName>
    <definedName name="OSTLIA_4Q17">#REF!</definedName>
    <definedName name="OSTLIA_4Q18">#REF!</definedName>
    <definedName name="OSTLIA_4Q19">#REF!</definedName>
    <definedName name="OSTLIA_4Q20">#REF!</definedName>
    <definedName name="OSTLIA_4Q21">#REF!</definedName>
    <definedName name="OSTLIA_4Q22">#REF!</definedName>
    <definedName name="OSTLIA_4Q23">#REF!</definedName>
    <definedName name="OSTLIA_4Q24">#REF!</definedName>
    <definedName name="OTHASS_1995">#REF!</definedName>
    <definedName name="OTHASS_1996">#REF!</definedName>
    <definedName name="OTHASS_1997">#REF!</definedName>
    <definedName name="OTHASS_1998">#REF!</definedName>
    <definedName name="OTHASS_1999">#REF!</definedName>
    <definedName name="OTHASS_1Q00">#REF!</definedName>
    <definedName name="OTHASS_1Q01">#REF!</definedName>
    <definedName name="OTHASS_1Q02">#REF!</definedName>
    <definedName name="OTHASS_1Q03">#REF!</definedName>
    <definedName name="OTHASS_1Q04">#REF!</definedName>
    <definedName name="OTHASS_1Q05">#REF!</definedName>
    <definedName name="OTHASS_1Q06">#REF!</definedName>
    <definedName name="OTHASS_1Q07">#REF!</definedName>
    <definedName name="OTHASS_1Q08">#REF!</definedName>
    <definedName name="OTHASS_1Q09">#REF!</definedName>
    <definedName name="OTHASS_1Q10">#REF!</definedName>
    <definedName name="OTHASS_1Q11">#REF!</definedName>
    <definedName name="OTHASS_1Q12">#REF!</definedName>
    <definedName name="OTHASS_1Q13">#REF!</definedName>
    <definedName name="OTHASS_1Q14">#REF!</definedName>
    <definedName name="OTHASS_1Q15">#REF!</definedName>
    <definedName name="OTHASS_1Q16">#REF!</definedName>
    <definedName name="OTHASS_1Q17">#REF!</definedName>
    <definedName name="OTHASS_1Q18">#REF!</definedName>
    <definedName name="OTHASS_1Q19">#REF!</definedName>
    <definedName name="OTHASS_1Q20">#REF!</definedName>
    <definedName name="OTHASS_1Q21">#REF!</definedName>
    <definedName name="OTHASS_1Q22">#REF!</definedName>
    <definedName name="OTHASS_1Q23">#REF!</definedName>
    <definedName name="OTHASS_1Q24">#REF!</definedName>
    <definedName name="OTHASS_2000">#REF!</definedName>
    <definedName name="OTHASS_2001">#REF!</definedName>
    <definedName name="OTHASS_2002">#REF!</definedName>
    <definedName name="OTHASS_2003">#REF!</definedName>
    <definedName name="OTHASS_2004">#REF!</definedName>
    <definedName name="OTHASS_2005">#REF!</definedName>
    <definedName name="OTHASS_2006">#REF!</definedName>
    <definedName name="OTHASS_2007">#REF!</definedName>
    <definedName name="OTHASS_2008">#REF!</definedName>
    <definedName name="OTHASS_2009">#REF!</definedName>
    <definedName name="OTHASS_2010">#REF!</definedName>
    <definedName name="OTHASS_2011">#REF!</definedName>
    <definedName name="OTHASS_2012">#REF!</definedName>
    <definedName name="OTHASS_2013">#REF!</definedName>
    <definedName name="OTHASS_2014">#REF!</definedName>
    <definedName name="OTHASS_2015">#REF!</definedName>
    <definedName name="OTHASS_2016">#REF!</definedName>
    <definedName name="OTHASS_2017">#REF!</definedName>
    <definedName name="OTHASS_2018">#REF!</definedName>
    <definedName name="OTHASS_2019">#REF!</definedName>
    <definedName name="OTHASS_2020">#REF!</definedName>
    <definedName name="OTHASS_2021">#REF!</definedName>
    <definedName name="OTHASS_2022">#REF!</definedName>
    <definedName name="OTHASS_2023">#REF!</definedName>
    <definedName name="OTHASS_2024">#REF!</definedName>
    <definedName name="OTHASS_2Q00">#REF!</definedName>
    <definedName name="OTHASS_2Q01">#REF!</definedName>
    <definedName name="OTHASS_2Q02">#REF!</definedName>
    <definedName name="OTHASS_2Q03">#REF!</definedName>
    <definedName name="OTHASS_2Q04">#REF!</definedName>
    <definedName name="OTHASS_2Q05">#REF!</definedName>
    <definedName name="OTHASS_2Q06">#REF!</definedName>
    <definedName name="OTHASS_2Q07">#REF!</definedName>
    <definedName name="OTHASS_2Q08">#REF!</definedName>
    <definedName name="OTHASS_2Q09">#REF!</definedName>
    <definedName name="OTHASS_2Q10">#REF!</definedName>
    <definedName name="OTHASS_2Q11">#REF!</definedName>
    <definedName name="OTHASS_2Q12">#REF!</definedName>
    <definedName name="OTHASS_2Q13">#REF!</definedName>
    <definedName name="OTHASS_2Q14">#REF!</definedName>
    <definedName name="OTHASS_2Q15">#REF!</definedName>
    <definedName name="OTHASS_2Q16">#REF!</definedName>
    <definedName name="OTHASS_2Q17">#REF!</definedName>
    <definedName name="OTHASS_2Q18">#REF!</definedName>
    <definedName name="OTHASS_2Q19">#REF!</definedName>
    <definedName name="OTHASS_2Q20">#REF!</definedName>
    <definedName name="OTHASS_2Q21">#REF!</definedName>
    <definedName name="OTHASS_2Q22">#REF!</definedName>
    <definedName name="OTHASS_2Q23">#REF!</definedName>
    <definedName name="OTHASS_2Q24">#REF!</definedName>
    <definedName name="OTHASS_3Q00">#REF!</definedName>
    <definedName name="OTHASS_3Q01">#REF!</definedName>
    <definedName name="OTHASS_3Q02">#REF!</definedName>
    <definedName name="OTHASS_3Q03">#REF!</definedName>
    <definedName name="OTHASS_3Q04">#REF!</definedName>
    <definedName name="OTHASS_3Q05">#REF!</definedName>
    <definedName name="OTHASS_3Q06">#REF!</definedName>
    <definedName name="OTHASS_3Q07">#REF!</definedName>
    <definedName name="OTHASS_3Q08">#REF!</definedName>
    <definedName name="OTHASS_3Q09">#REF!</definedName>
    <definedName name="OTHASS_3Q10">#REF!</definedName>
    <definedName name="OTHASS_3Q11">#REF!</definedName>
    <definedName name="OTHASS_3Q12">#REF!</definedName>
    <definedName name="OTHASS_3Q13">#REF!</definedName>
    <definedName name="OTHASS_3Q14">#REF!</definedName>
    <definedName name="OTHASS_3Q15">#REF!</definedName>
    <definedName name="OTHASS_3Q16">#REF!</definedName>
    <definedName name="OTHASS_3Q17">#REF!</definedName>
    <definedName name="OTHASS_3Q18">#REF!</definedName>
    <definedName name="OTHASS_3Q19">#REF!</definedName>
    <definedName name="OTHASS_3Q20">#REF!</definedName>
    <definedName name="OTHASS_3Q21">#REF!</definedName>
    <definedName name="OTHASS_3Q22">#REF!</definedName>
    <definedName name="OTHASS_3Q23">#REF!</definedName>
    <definedName name="OTHASS_3Q24">#REF!</definedName>
    <definedName name="OTHASS_4Q00">#REF!</definedName>
    <definedName name="OTHASS_4Q01">#REF!</definedName>
    <definedName name="OTHASS_4Q02">#REF!</definedName>
    <definedName name="OTHASS_4Q03">#REF!</definedName>
    <definedName name="OTHASS_4Q04">#REF!</definedName>
    <definedName name="OTHASS_4Q05">#REF!</definedName>
    <definedName name="OTHASS_4Q06">#REF!</definedName>
    <definedName name="OTHASS_4Q07">#REF!</definedName>
    <definedName name="OTHASS_4Q08">#REF!</definedName>
    <definedName name="OTHASS_4Q09">#REF!</definedName>
    <definedName name="OTHASS_4Q10">#REF!</definedName>
    <definedName name="OTHASS_4Q11">#REF!</definedName>
    <definedName name="OTHASS_4Q12">#REF!</definedName>
    <definedName name="OTHASS_4Q13">#REF!</definedName>
    <definedName name="OTHASS_4Q14">#REF!</definedName>
    <definedName name="OTHASS_4Q15">#REF!</definedName>
    <definedName name="OTHASS_4Q16">#REF!</definedName>
    <definedName name="OTHASS_4Q17">#REF!</definedName>
    <definedName name="OTHASS_4Q18">#REF!</definedName>
    <definedName name="OTHASS_4Q19">#REF!</definedName>
    <definedName name="OTHASS_4Q20">#REF!</definedName>
    <definedName name="OTHASS_4Q21">#REF!</definedName>
    <definedName name="OTHASS_4Q22">#REF!</definedName>
    <definedName name="OTHASS_4Q23">#REF!</definedName>
    <definedName name="OTHASS_4Q24">#REF!</definedName>
    <definedName name="OTHDIV_1995">#REF!</definedName>
    <definedName name="OTHDIV_1996">#REF!</definedName>
    <definedName name="OTHDIV_1997">#REF!</definedName>
    <definedName name="OTHDIV_1998">#REF!</definedName>
    <definedName name="OTHDIV_1999">#REF!</definedName>
    <definedName name="OTHDIV_1Q00">#REF!</definedName>
    <definedName name="OTHDIV_1Q01">#REF!</definedName>
    <definedName name="OTHDIV_1Q02">#REF!</definedName>
    <definedName name="OTHDIV_1Q03">#REF!</definedName>
    <definedName name="OTHDIV_1Q04">#REF!</definedName>
    <definedName name="OTHDIV_1Q05">#REF!</definedName>
    <definedName name="OTHDIV_1Q06">#REF!</definedName>
    <definedName name="OTHDIV_1Q07">#REF!</definedName>
    <definedName name="OTHDIV_1Q08">#REF!</definedName>
    <definedName name="OTHDIV_1Q09">#REF!</definedName>
    <definedName name="OTHDIV_1Q10">#REF!</definedName>
    <definedName name="OTHDIV_1Q11">#REF!</definedName>
    <definedName name="OTHDIV_1Q12">#REF!</definedName>
    <definedName name="OTHDIV_1Q13">#REF!</definedName>
    <definedName name="OTHDIV_1Q14">#REF!</definedName>
    <definedName name="OTHDIV_1Q15">#REF!</definedName>
    <definedName name="OTHDIV_1Q16">#REF!</definedName>
    <definedName name="OTHDIV_1Q17">#REF!</definedName>
    <definedName name="OTHDIV_1Q18">#REF!</definedName>
    <definedName name="OTHDIV_1Q19">#REF!</definedName>
    <definedName name="OTHDIV_1Q20">#REF!</definedName>
    <definedName name="OTHDIV_1Q21">#REF!</definedName>
    <definedName name="OTHDIV_1Q22">#REF!</definedName>
    <definedName name="OTHDIV_1Q23">#REF!</definedName>
    <definedName name="OTHDIV_1Q24">#REF!</definedName>
    <definedName name="OTHDIV_2000">#REF!</definedName>
    <definedName name="OTHDIV_2001">#REF!</definedName>
    <definedName name="OTHDIV_2002">#REF!</definedName>
    <definedName name="OTHDIV_2003">#REF!</definedName>
    <definedName name="OTHDIV_2004">#REF!</definedName>
    <definedName name="OTHDIV_2005">#REF!</definedName>
    <definedName name="OTHDIV_2006">#REF!</definedName>
    <definedName name="OTHDIV_2007">#REF!</definedName>
    <definedName name="OTHDIV_2008">#REF!</definedName>
    <definedName name="OTHDIV_2009">#REF!</definedName>
    <definedName name="OTHDIV_2010">#REF!</definedName>
    <definedName name="OTHDIV_2011">#REF!</definedName>
    <definedName name="OTHDIV_2012">#REF!</definedName>
    <definedName name="OTHDIV_2013">#REF!</definedName>
    <definedName name="OTHDIV_2014">#REF!</definedName>
    <definedName name="OTHDIV_2015">#REF!</definedName>
    <definedName name="OTHDIV_2016">#REF!</definedName>
    <definedName name="OTHDIV_2017">#REF!</definedName>
    <definedName name="OTHDIV_2018">#REF!</definedName>
    <definedName name="OTHDIV_2019">#REF!</definedName>
    <definedName name="OTHDIV_2020">#REF!</definedName>
    <definedName name="OTHDIV_2021">#REF!</definedName>
    <definedName name="OTHDIV_2022">#REF!</definedName>
    <definedName name="OTHDIV_2023">#REF!</definedName>
    <definedName name="OTHDIV_2024">#REF!</definedName>
    <definedName name="OTHDIV_2Q00">#REF!</definedName>
    <definedName name="OTHDIV_2Q01">#REF!</definedName>
    <definedName name="OTHDIV_2Q02">#REF!</definedName>
    <definedName name="OTHDIV_2Q03">#REF!</definedName>
    <definedName name="OTHDIV_2Q04">#REF!</definedName>
    <definedName name="OTHDIV_2Q05">#REF!</definedName>
    <definedName name="OTHDIV_2Q06">#REF!</definedName>
    <definedName name="OTHDIV_2Q07">#REF!</definedName>
    <definedName name="OTHDIV_2Q08">#REF!</definedName>
    <definedName name="OTHDIV_2Q09">#REF!</definedName>
    <definedName name="OTHDIV_2Q10">#REF!</definedName>
    <definedName name="OTHDIV_2Q11">#REF!</definedName>
    <definedName name="OTHDIV_2Q12">#REF!</definedName>
    <definedName name="OTHDIV_2Q13">#REF!</definedName>
    <definedName name="OTHDIV_2Q14">#REF!</definedName>
    <definedName name="OTHDIV_2Q15">#REF!</definedName>
    <definedName name="OTHDIV_2Q16">#REF!</definedName>
    <definedName name="OTHDIV_2Q17">#REF!</definedName>
    <definedName name="OTHDIV_2Q18">#REF!</definedName>
    <definedName name="OTHDIV_2Q19">#REF!</definedName>
    <definedName name="OTHDIV_2Q20">#REF!</definedName>
    <definedName name="OTHDIV_2Q21">#REF!</definedName>
    <definedName name="OTHDIV_2Q22">#REF!</definedName>
    <definedName name="OTHDIV_2Q23">#REF!</definedName>
    <definedName name="OTHDIV_2Q24">#REF!</definedName>
    <definedName name="OTHDIV_3Q00">#REF!</definedName>
    <definedName name="OTHDIV_3Q01">#REF!</definedName>
    <definedName name="OTHDIV_3Q02">#REF!</definedName>
    <definedName name="OTHDIV_3Q03">#REF!</definedName>
    <definedName name="OTHDIV_3Q04">#REF!</definedName>
    <definedName name="OTHDIV_3Q05">#REF!</definedName>
    <definedName name="OTHDIV_3Q06">#REF!</definedName>
    <definedName name="OTHDIV_3Q07">#REF!</definedName>
    <definedName name="OTHDIV_3Q08">#REF!</definedName>
    <definedName name="OTHDIV_3Q09">#REF!</definedName>
    <definedName name="OTHDIV_3Q10">#REF!</definedName>
    <definedName name="OTHDIV_3Q11">#REF!</definedName>
    <definedName name="OTHDIV_3Q12">#REF!</definedName>
    <definedName name="OTHDIV_3Q13">#REF!</definedName>
    <definedName name="OTHDIV_3Q14">#REF!</definedName>
    <definedName name="OTHDIV_3Q15">#REF!</definedName>
    <definedName name="OTHDIV_3Q16">#REF!</definedName>
    <definedName name="OTHDIV_3Q17">#REF!</definedName>
    <definedName name="OTHDIV_3Q18">#REF!</definedName>
    <definedName name="OTHDIV_3Q19">#REF!</definedName>
    <definedName name="OTHDIV_3Q20">#REF!</definedName>
    <definedName name="OTHDIV_3Q21">#REF!</definedName>
    <definedName name="OTHDIV_3Q22">#REF!</definedName>
    <definedName name="OTHDIV_3Q23">#REF!</definedName>
    <definedName name="OTHDIV_3Q24">#REF!</definedName>
    <definedName name="OTHDIV_4Q00">#REF!</definedName>
    <definedName name="OTHDIV_4Q01">#REF!</definedName>
    <definedName name="OTHDIV_4Q02">#REF!</definedName>
    <definedName name="OTHDIV_4Q03">#REF!</definedName>
    <definedName name="OTHDIV_4Q04">#REF!</definedName>
    <definedName name="OTHDIV_4Q05">#REF!</definedName>
    <definedName name="OTHDIV_4Q06">#REF!</definedName>
    <definedName name="OTHDIV_4Q07">#REF!</definedName>
    <definedName name="OTHDIV_4Q08">#REF!</definedName>
    <definedName name="OTHDIV_4Q09">#REF!</definedName>
    <definedName name="OTHDIV_4Q10">#REF!</definedName>
    <definedName name="OTHDIV_4Q11">#REF!</definedName>
    <definedName name="OTHDIV_4Q12">#REF!</definedName>
    <definedName name="OTHDIV_4Q13">#REF!</definedName>
    <definedName name="OTHDIV_4Q14">#REF!</definedName>
    <definedName name="OTHDIV_4Q15">#REF!</definedName>
    <definedName name="OTHDIV_4Q16">#REF!</definedName>
    <definedName name="OTHDIV_4Q17">#REF!</definedName>
    <definedName name="OTHDIV_4Q18">#REF!</definedName>
    <definedName name="OTHDIV_4Q19">#REF!</definedName>
    <definedName name="OTHDIV_4Q20">#REF!</definedName>
    <definedName name="OTHDIV_4Q21">#REF!</definedName>
    <definedName name="OTHDIV_4Q22">#REF!</definedName>
    <definedName name="OTHDIV_4Q23">#REF!</definedName>
    <definedName name="OTHDIV_4Q24">#REF!</definedName>
    <definedName name="Other_Cash_From_Financing_1995">#REF!</definedName>
    <definedName name="Other_Cash_From_Financing_1996">#REF!</definedName>
    <definedName name="Other_Cash_From_Financing_1997">#REF!</definedName>
    <definedName name="Other_Cash_From_Financing_1998">#REF!</definedName>
    <definedName name="Other_Cash_From_Financing_1999">#REF!</definedName>
    <definedName name="Other_Cash_From_Financing_1Q00">#REF!</definedName>
    <definedName name="Other_Cash_From_Financing_1Q01">#REF!</definedName>
    <definedName name="Other_Cash_From_Financing_1Q02">#REF!</definedName>
    <definedName name="Other_Cash_From_Financing_1Q03">#REF!</definedName>
    <definedName name="Other_Cash_From_Financing_1Q04">#REF!</definedName>
    <definedName name="Other_Cash_From_Financing_1Q05">#REF!</definedName>
    <definedName name="Other_Cash_From_Financing_1Q06">#REF!</definedName>
    <definedName name="Other_Cash_From_Financing_1Q07">#REF!</definedName>
    <definedName name="Other_Cash_From_Financing_1Q08">#REF!</definedName>
    <definedName name="Other_Cash_From_Financing_1Q09">#REF!</definedName>
    <definedName name="Other_Cash_From_Financing_1Q10">#REF!</definedName>
    <definedName name="Other_Cash_From_Financing_1Q11">#REF!</definedName>
    <definedName name="Other_Cash_From_Financing_1Q12">#REF!</definedName>
    <definedName name="Other_Cash_From_Financing_1Q13">#REF!</definedName>
    <definedName name="Other_Cash_From_Financing_1Q14">#REF!</definedName>
    <definedName name="Other_Cash_From_Financing_1Q15">#REF!</definedName>
    <definedName name="Other_Cash_From_Financing_1Q16">#REF!</definedName>
    <definedName name="Other_Cash_From_Financing_1Q17">#REF!</definedName>
    <definedName name="Other_Cash_From_Financing_1Q18">#REF!</definedName>
    <definedName name="Other_Cash_From_Financing_1Q19">#REF!</definedName>
    <definedName name="Other_Cash_From_Financing_1Q20">#REF!</definedName>
    <definedName name="OTHER_CASH_FROM_FINANCING_1Q21">#REF!</definedName>
    <definedName name="OTHER_CASH_FROM_FINANCING_1Q22">#REF!</definedName>
    <definedName name="OTHER_CASH_FROM_FINANCING_1Q23">#REF!</definedName>
    <definedName name="OTHER_CASH_FROM_FINANCING_1Q24">#REF!</definedName>
    <definedName name="Other_Cash_From_Financing_2000">#REF!</definedName>
    <definedName name="Other_Cash_From_Financing_2001">#REF!</definedName>
    <definedName name="Other_Cash_From_Financing_2002">#REF!</definedName>
    <definedName name="Other_Cash_From_Financing_2003">#REF!</definedName>
    <definedName name="Other_Cash_From_Financing_2004">#REF!</definedName>
    <definedName name="Other_Cash_From_Financing_2005">#REF!</definedName>
    <definedName name="Other_Cash_From_Financing_2006">#REF!</definedName>
    <definedName name="Other_Cash_From_Financing_2007">#REF!</definedName>
    <definedName name="Other_Cash_From_Financing_2008">#REF!</definedName>
    <definedName name="Other_Cash_From_Financing_2009">#REF!</definedName>
    <definedName name="Other_Cash_From_Financing_2010">#REF!</definedName>
    <definedName name="Other_Cash_From_Financing_2011">#REF!</definedName>
    <definedName name="Other_Cash_From_Financing_2012">#REF!</definedName>
    <definedName name="Other_Cash_From_Financing_2013">#REF!</definedName>
    <definedName name="Other_Cash_From_Financing_2014">#REF!</definedName>
    <definedName name="Other_Cash_From_Financing_2015">#REF!</definedName>
    <definedName name="Other_Cash_From_Financing_2016">#REF!</definedName>
    <definedName name="Other_Cash_From_Financing_2017">#REF!</definedName>
    <definedName name="Other_Cash_From_Financing_2018">#REF!</definedName>
    <definedName name="Other_Cash_From_Financing_2019">#REF!</definedName>
    <definedName name="Other_Cash_From_Financing_2020">#REF!</definedName>
    <definedName name="OTHER_CASH_FROM_FINANCING_2021">#REF!</definedName>
    <definedName name="OTHER_CASH_FROM_FINANCING_2022">#REF!</definedName>
    <definedName name="OTHER_CASH_FROM_FINANCING_2023">#REF!</definedName>
    <definedName name="OTHER_CASH_FROM_FINANCING_2024">#REF!</definedName>
    <definedName name="Other_Cash_From_Financing_2Q00">#REF!</definedName>
    <definedName name="Other_Cash_From_Financing_2Q01">#REF!</definedName>
    <definedName name="Other_Cash_From_Financing_2Q02">#REF!</definedName>
    <definedName name="Other_Cash_From_Financing_2Q03">#REF!</definedName>
    <definedName name="Other_Cash_From_Financing_2Q04">#REF!</definedName>
    <definedName name="Other_Cash_From_Financing_2Q05">#REF!</definedName>
    <definedName name="Other_Cash_From_Financing_2Q06">#REF!</definedName>
    <definedName name="Other_Cash_From_Financing_2Q07">#REF!</definedName>
    <definedName name="Other_Cash_From_Financing_2Q08">#REF!</definedName>
    <definedName name="Other_Cash_From_Financing_2Q09">#REF!</definedName>
    <definedName name="Other_Cash_From_Financing_2Q10">#REF!</definedName>
    <definedName name="Other_Cash_From_Financing_2Q11">#REF!</definedName>
    <definedName name="Other_Cash_From_Financing_2Q12">#REF!</definedName>
    <definedName name="Other_Cash_From_Financing_2Q13">#REF!</definedName>
    <definedName name="Other_Cash_From_Financing_2Q14">#REF!</definedName>
    <definedName name="Other_Cash_From_Financing_2Q15">#REF!</definedName>
    <definedName name="Other_Cash_From_Financing_2Q16">#REF!</definedName>
    <definedName name="Other_Cash_From_Financing_2Q17">#REF!</definedName>
    <definedName name="Other_Cash_From_Financing_2Q18">#REF!</definedName>
    <definedName name="Other_Cash_From_Financing_2Q19">#REF!</definedName>
    <definedName name="Other_Cash_From_Financing_2Q20">#REF!</definedName>
    <definedName name="OTHER_CASH_FROM_FINANCING_2Q21">#REF!</definedName>
    <definedName name="OTHER_CASH_FROM_FINANCING_2Q22">#REF!</definedName>
    <definedName name="OTHER_CASH_FROM_FINANCING_2Q23">#REF!</definedName>
    <definedName name="OTHER_CASH_FROM_FINANCING_2Q24">#REF!</definedName>
    <definedName name="Other_Cash_From_Financing_3Q00">#REF!</definedName>
    <definedName name="Other_Cash_From_Financing_3Q01">#REF!</definedName>
    <definedName name="Other_Cash_From_Financing_3Q02">#REF!</definedName>
    <definedName name="Other_Cash_From_Financing_3Q03">#REF!</definedName>
    <definedName name="Other_Cash_From_Financing_3Q04">#REF!</definedName>
    <definedName name="Other_Cash_From_Financing_3Q05">#REF!</definedName>
    <definedName name="Other_Cash_From_Financing_3Q06">#REF!</definedName>
    <definedName name="Other_Cash_From_Financing_3Q07">#REF!</definedName>
    <definedName name="Other_Cash_From_Financing_3Q08">#REF!</definedName>
    <definedName name="Other_Cash_From_Financing_3Q09">#REF!</definedName>
    <definedName name="Other_Cash_From_Financing_3Q10">#REF!</definedName>
    <definedName name="Other_Cash_From_Financing_3Q11">#REF!</definedName>
    <definedName name="Other_Cash_From_Financing_3Q12">#REF!</definedName>
    <definedName name="Other_Cash_From_Financing_3Q13">#REF!</definedName>
    <definedName name="Other_Cash_From_Financing_3Q14">#REF!</definedName>
    <definedName name="Other_Cash_From_Financing_3Q15">#REF!</definedName>
    <definedName name="Other_Cash_From_Financing_3Q16">#REF!</definedName>
    <definedName name="Other_Cash_From_Financing_3Q17">#REF!</definedName>
    <definedName name="Other_Cash_From_Financing_3Q18">#REF!</definedName>
    <definedName name="Other_Cash_From_Financing_3Q19">#REF!</definedName>
    <definedName name="Other_Cash_From_Financing_3Q20">#REF!</definedName>
    <definedName name="OTHER_CASH_FROM_FINANCING_3Q21">#REF!</definedName>
    <definedName name="OTHER_CASH_FROM_FINANCING_3Q22">#REF!</definedName>
    <definedName name="OTHER_CASH_FROM_FINANCING_3Q23">#REF!</definedName>
    <definedName name="OTHER_CASH_FROM_FINANCING_3Q24">#REF!</definedName>
    <definedName name="Other_Cash_From_Financing_4Q00">#REF!</definedName>
    <definedName name="Other_Cash_From_Financing_4Q01">#REF!</definedName>
    <definedName name="Other_Cash_From_Financing_4Q02">#REF!</definedName>
    <definedName name="Other_Cash_From_Financing_4Q03">#REF!</definedName>
    <definedName name="Other_Cash_From_Financing_4Q04">#REF!</definedName>
    <definedName name="Other_Cash_From_Financing_4Q05">#REF!</definedName>
    <definedName name="Other_Cash_From_Financing_4Q06">#REF!</definedName>
    <definedName name="Other_Cash_From_Financing_4Q07">#REF!</definedName>
    <definedName name="Other_Cash_From_Financing_4Q08">#REF!</definedName>
    <definedName name="Other_Cash_From_Financing_4Q09">#REF!</definedName>
    <definedName name="Other_Cash_From_Financing_4Q10">#REF!</definedName>
    <definedName name="Other_Cash_From_Financing_4Q11">#REF!</definedName>
    <definedName name="Other_Cash_From_Financing_4Q12">#REF!</definedName>
    <definedName name="Other_Cash_From_Financing_4Q13">#REF!</definedName>
    <definedName name="Other_Cash_From_Financing_4Q14">#REF!</definedName>
    <definedName name="Other_Cash_From_Financing_4Q15">#REF!</definedName>
    <definedName name="Other_Cash_From_Financing_4Q16">#REF!</definedName>
    <definedName name="Other_Cash_From_Financing_4Q17">#REF!</definedName>
    <definedName name="Other_Cash_From_Financing_4Q18">#REF!</definedName>
    <definedName name="Other_Cash_From_Financing_4Q19">#REF!</definedName>
    <definedName name="Other_Cash_From_Financing_4Q20">#REF!</definedName>
    <definedName name="OTHER_CASH_FROM_FINANCING_4Q21">#REF!</definedName>
    <definedName name="OTHER_CASH_FROM_FINANCING_4Q22">#REF!</definedName>
    <definedName name="OTHER_CASH_FROM_FINANCING_4Q23">#REF!</definedName>
    <definedName name="OTHER_CASH_FROM_FINANCING_4Q24">#REF!</definedName>
    <definedName name="OTHINB_1995">#REF!</definedName>
    <definedName name="OTHINB_1996">#REF!</definedName>
    <definedName name="OTHINB_1997">#REF!</definedName>
    <definedName name="OTHINB_1998">#REF!</definedName>
    <definedName name="OTHINB_1999">#REF!</definedName>
    <definedName name="OTHINB_1Q00">#REF!</definedName>
    <definedName name="OTHINB_1Q01">#REF!</definedName>
    <definedName name="OTHINB_1Q02">#REF!</definedName>
    <definedName name="OTHINB_1Q03">#REF!</definedName>
    <definedName name="OTHINB_1Q04">#REF!</definedName>
    <definedName name="OTHINB_1Q05">#REF!</definedName>
    <definedName name="OTHINB_1Q06">#REF!</definedName>
    <definedName name="OTHINB_1Q07">#REF!</definedName>
    <definedName name="OTHINB_1Q08">#REF!</definedName>
    <definedName name="OTHINB_1Q09">#REF!</definedName>
    <definedName name="OTHINB_1Q10">#REF!</definedName>
    <definedName name="OTHINB_1Q11">#REF!</definedName>
    <definedName name="OTHINB_1Q12">#REF!</definedName>
    <definedName name="OTHINB_1Q13">#REF!</definedName>
    <definedName name="OTHINB_1Q14">#REF!</definedName>
    <definedName name="OTHINB_1Q15">#REF!</definedName>
    <definedName name="OTHINB_1Q16">#REF!</definedName>
    <definedName name="OTHINB_1Q17">#REF!</definedName>
    <definedName name="OTHINB_1Q18">#REF!</definedName>
    <definedName name="OTHINB_1Q19">#REF!</definedName>
    <definedName name="OTHINB_1Q20">#REF!</definedName>
    <definedName name="OTHINB_1Q21">#REF!</definedName>
    <definedName name="OTHINB_1Q22">#REF!</definedName>
    <definedName name="OTHINB_1Q23">#REF!</definedName>
    <definedName name="OTHINB_1Q24">#REF!</definedName>
    <definedName name="OTHINB_2000">#REF!</definedName>
    <definedName name="OTHINB_2001">#REF!</definedName>
    <definedName name="OTHINB_2002">#REF!</definedName>
    <definedName name="OTHINB_2003">#REF!</definedName>
    <definedName name="OTHINB_2004">#REF!</definedName>
    <definedName name="OTHINB_2005">#REF!</definedName>
    <definedName name="OTHINB_2006">#REF!</definedName>
    <definedName name="OTHINB_2007">#REF!</definedName>
    <definedName name="OTHINB_2008">#REF!</definedName>
    <definedName name="OTHINB_2009">#REF!</definedName>
    <definedName name="OTHINB_2010">#REF!</definedName>
    <definedName name="OTHINB_2011">#REF!</definedName>
    <definedName name="OTHINB_2012">#REF!</definedName>
    <definedName name="OTHINB_2013">#REF!</definedName>
    <definedName name="OTHINB_2014">#REF!</definedName>
    <definedName name="OTHINB_2015">#REF!</definedName>
    <definedName name="OTHINB_2016">#REF!</definedName>
    <definedName name="OTHINB_2017">#REF!</definedName>
    <definedName name="OTHINB_2018">#REF!</definedName>
    <definedName name="OTHINB_2019">#REF!</definedName>
    <definedName name="OTHINB_2020">#REF!</definedName>
    <definedName name="OTHINB_2021">#REF!</definedName>
    <definedName name="OTHINB_2022">#REF!</definedName>
    <definedName name="OTHINB_2023">#REF!</definedName>
    <definedName name="OTHINB_2024">#REF!</definedName>
    <definedName name="OTHINB_2Q00">#REF!</definedName>
    <definedName name="OTHINB_2Q01">#REF!</definedName>
    <definedName name="OTHINB_2Q02">#REF!</definedName>
    <definedName name="OTHINB_2Q03">#REF!</definedName>
    <definedName name="OTHINB_2Q04">#REF!</definedName>
    <definedName name="OTHINB_2Q05">#REF!</definedName>
    <definedName name="OTHINB_2Q06">#REF!</definedName>
    <definedName name="OTHINB_2Q07">#REF!</definedName>
    <definedName name="OTHINB_2Q08">#REF!</definedName>
    <definedName name="OTHINB_2Q09">#REF!</definedName>
    <definedName name="OTHINB_2Q10">#REF!</definedName>
    <definedName name="OTHINB_2Q11">#REF!</definedName>
    <definedName name="OTHINB_2Q12">#REF!</definedName>
    <definedName name="OTHINB_2Q13">#REF!</definedName>
    <definedName name="OTHINB_2Q14">#REF!</definedName>
    <definedName name="OTHINB_2Q15">#REF!</definedName>
    <definedName name="OTHINB_2Q16">#REF!</definedName>
    <definedName name="OTHINB_2Q17">#REF!</definedName>
    <definedName name="OTHINB_2Q18">#REF!</definedName>
    <definedName name="OTHINB_2Q19">#REF!</definedName>
    <definedName name="OTHINB_2Q20">#REF!</definedName>
    <definedName name="OTHINB_2Q21">#REF!</definedName>
    <definedName name="OTHINB_2Q22">#REF!</definedName>
    <definedName name="OTHINB_2Q23">#REF!</definedName>
    <definedName name="OTHINB_2Q24">#REF!</definedName>
    <definedName name="OTHINB_3Q00">#REF!</definedName>
    <definedName name="OTHINB_3Q01">#REF!</definedName>
    <definedName name="OTHINB_3Q02">#REF!</definedName>
    <definedName name="OTHINB_3Q03">#REF!</definedName>
    <definedName name="OTHINB_3Q04">#REF!</definedName>
    <definedName name="OTHINB_3Q05">#REF!</definedName>
    <definedName name="OTHINB_3Q06">#REF!</definedName>
    <definedName name="OTHINB_3Q07">#REF!</definedName>
    <definedName name="OTHINB_3Q08">#REF!</definedName>
    <definedName name="OTHINB_3Q09">#REF!</definedName>
    <definedName name="OTHINB_3Q10">#REF!</definedName>
    <definedName name="OTHINB_3Q11">#REF!</definedName>
    <definedName name="OTHINB_3Q12">#REF!</definedName>
    <definedName name="OTHINB_3Q13">#REF!</definedName>
    <definedName name="OTHINB_3Q14">#REF!</definedName>
    <definedName name="OTHINB_3Q15">#REF!</definedName>
    <definedName name="OTHINB_3Q16">#REF!</definedName>
    <definedName name="OTHINB_3Q17">#REF!</definedName>
    <definedName name="OTHINB_3Q18">#REF!</definedName>
    <definedName name="OTHINB_3Q19">#REF!</definedName>
    <definedName name="OTHINB_3Q20">#REF!</definedName>
    <definedName name="OTHINB_3Q21">#REF!</definedName>
    <definedName name="OTHINB_3Q22">#REF!</definedName>
    <definedName name="OTHINB_3Q23">#REF!</definedName>
    <definedName name="OTHINB_3Q24">#REF!</definedName>
    <definedName name="OTHINB_4Q00">#REF!</definedName>
    <definedName name="OTHINB_4Q01">#REF!</definedName>
    <definedName name="OTHINB_4Q02">#REF!</definedName>
    <definedName name="OTHINB_4Q03">#REF!</definedName>
    <definedName name="OTHINB_4Q04">#REF!</definedName>
    <definedName name="OTHINB_4Q05">#REF!</definedName>
    <definedName name="OTHINB_4Q06">#REF!</definedName>
    <definedName name="OTHINB_4Q07">#REF!</definedName>
    <definedName name="OTHINB_4Q08">#REF!</definedName>
    <definedName name="OTHINB_4Q09">#REF!</definedName>
    <definedName name="OTHINB_4Q10">#REF!</definedName>
    <definedName name="OTHINB_4Q11">#REF!</definedName>
    <definedName name="OTHINB_4Q12">#REF!</definedName>
    <definedName name="OTHINB_4Q13">#REF!</definedName>
    <definedName name="OTHINB_4Q14">#REF!</definedName>
    <definedName name="OTHINB_4Q15">#REF!</definedName>
    <definedName name="OTHINB_4Q16">#REF!</definedName>
    <definedName name="OTHINB_4Q17">#REF!</definedName>
    <definedName name="OTHINB_4Q18">#REF!</definedName>
    <definedName name="OTHINB_4Q19">#REF!</definedName>
    <definedName name="OTHINB_4Q20">#REF!</definedName>
    <definedName name="OTHINB_4Q21">#REF!</definedName>
    <definedName name="OTHINB_4Q22">#REF!</definedName>
    <definedName name="OTHINB_4Q23">#REF!</definedName>
    <definedName name="OTHINB_4Q24">#REF!</definedName>
    <definedName name="OTHINC_1995">#REF!</definedName>
    <definedName name="OTHINC_1996">#REF!</definedName>
    <definedName name="OTHINC_1997">#REF!</definedName>
    <definedName name="OTHINC_1998">#REF!</definedName>
    <definedName name="OTHINC_1999">#REF!</definedName>
    <definedName name="OTHINC_1Q00">#REF!</definedName>
    <definedName name="OTHINC_1Q01">#REF!</definedName>
    <definedName name="OTHINC_1Q02">#REF!</definedName>
    <definedName name="OTHINC_1Q03">#REF!</definedName>
    <definedName name="OTHINC_1Q04">#REF!</definedName>
    <definedName name="OTHINC_1Q05">#REF!</definedName>
    <definedName name="OTHINC_1Q06">#REF!</definedName>
    <definedName name="OTHINC_1Q07">#REF!</definedName>
    <definedName name="OTHINC_1Q08">#REF!</definedName>
    <definedName name="OTHINC_1Q09">#REF!</definedName>
    <definedName name="OTHINC_1Q10">#REF!</definedName>
    <definedName name="OTHINC_1Q11">#REF!</definedName>
    <definedName name="OTHINC_1Q12">#REF!</definedName>
    <definedName name="OTHINC_1Q13">#REF!</definedName>
    <definedName name="OTHINC_1Q14">#REF!</definedName>
    <definedName name="OTHINC_1Q15">#REF!</definedName>
    <definedName name="OTHINC_1Q16">#REF!</definedName>
    <definedName name="OTHINC_1Q17">#REF!</definedName>
    <definedName name="OTHINC_1Q18">#REF!</definedName>
    <definedName name="OTHINC_1Q19">#REF!</definedName>
    <definedName name="OTHINC_1Q20">#REF!</definedName>
    <definedName name="OTHINC_1Q21">#REF!</definedName>
    <definedName name="OTHINC_1Q22">#REF!</definedName>
    <definedName name="OTHINC_1Q23">#REF!</definedName>
    <definedName name="OTHINC_1Q24">#REF!</definedName>
    <definedName name="OTHINC_2000">#REF!</definedName>
    <definedName name="OTHINC_2001">#REF!</definedName>
    <definedName name="OTHINC_2002">#REF!</definedName>
    <definedName name="OTHINC_2003">#REF!</definedName>
    <definedName name="OTHINC_2004">#REF!</definedName>
    <definedName name="OTHINC_2005">#REF!</definedName>
    <definedName name="OTHINC_2006">#REF!</definedName>
    <definedName name="OTHINC_2007">#REF!</definedName>
    <definedName name="OTHINC_2008">#REF!</definedName>
    <definedName name="OTHINC_2009">#REF!</definedName>
    <definedName name="OTHINC_2010">#REF!</definedName>
    <definedName name="OTHINC_2011">#REF!</definedName>
    <definedName name="OTHINC_2012">#REF!</definedName>
    <definedName name="OTHINC_2013">#REF!</definedName>
    <definedName name="OTHINC_2014">#REF!</definedName>
    <definedName name="OTHINC_2015">#REF!</definedName>
    <definedName name="OTHINC_2016">#REF!</definedName>
    <definedName name="OTHINC_2017">#REF!</definedName>
    <definedName name="OTHINC_2018">#REF!</definedName>
    <definedName name="OTHINC_2019">#REF!</definedName>
    <definedName name="OTHINC_2020">#REF!</definedName>
    <definedName name="OTHINC_2021">#REF!</definedName>
    <definedName name="OTHINC_2022">#REF!</definedName>
    <definedName name="OTHINC_2023">#REF!</definedName>
    <definedName name="OTHINC_2024">#REF!</definedName>
    <definedName name="OTHINC_2Q00">#REF!</definedName>
    <definedName name="OTHINC_2Q01">#REF!</definedName>
    <definedName name="OTHINC_2Q02">#REF!</definedName>
    <definedName name="OTHINC_2Q03">#REF!</definedName>
    <definedName name="OTHINC_2Q04">#REF!</definedName>
    <definedName name="OTHINC_2Q05">#REF!</definedName>
    <definedName name="OTHINC_2Q06">#REF!</definedName>
    <definedName name="OTHINC_2Q07">#REF!</definedName>
    <definedName name="OTHINC_2Q08">#REF!</definedName>
    <definedName name="OTHINC_2Q09">#REF!</definedName>
    <definedName name="OTHINC_2Q10">#REF!</definedName>
    <definedName name="OTHINC_2Q11">#REF!</definedName>
    <definedName name="OTHINC_2Q12">#REF!</definedName>
    <definedName name="OTHINC_2Q13">#REF!</definedName>
    <definedName name="OTHINC_2Q14">#REF!</definedName>
    <definedName name="OTHINC_2Q15">#REF!</definedName>
    <definedName name="OTHINC_2Q16">#REF!</definedName>
    <definedName name="OTHINC_2Q17">#REF!</definedName>
    <definedName name="OTHINC_2Q18">#REF!</definedName>
    <definedName name="OTHINC_2Q19">#REF!</definedName>
    <definedName name="OTHINC_2Q20">#REF!</definedName>
    <definedName name="OTHINC_2Q21">#REF!</definedName>
    <definedName name="OTHINC_2Q22">#REF!</definedName>
    <definedName name="OTHINC_2Q23">#REF!</definedName>
    <definedName name="OTHINC_2Q24">#REF!</definedName>
    <definedName name="OTHINC_3Q00">#REF!</definedName>
    <definedName name="OTHINC_3Q01">#REF!</definedName>
    <definedName name="OTHINC_3Q02">#REF!</definedName>
    <definedName name="OTHINC_3Q03">#REF!</definedName>
    <definedName name="OTHINC_3Q04">#REF!</definedName>
    <definedName name="OTHINC_3Q05">#REF!</definedName>
    <definedName name="OTHINC_3Q06">#REF!</definedName>
    <definedName name="OTHINC_3Q07">#REF!</definedName>
    <definedName name="OTHINC_3Q08">#REF!</definedName>
    <definedName name="OTHINC_3Q09">#REF!</definedName>
    <definedName name="OTHINC_3Q10">#REF!</definedName>
    <definedName name="OTHINC_3Q11">#REF!</definedName>
    <definedName name="OTHINC_3Q12">#REF!</definedName>
    <definedName name="OTHINC_3Q13">#REF!</definedName>
    <definedName name="OTHINC_3Q14">#REF!</definedName>
    <definedName name="OTHINC_3Q15">#REF!</definedName>
    <definedName name="OTHINC_3Q16">#REF!</definedName>
    <definedName name="OTHINC_3Q17">#REF!</definedName>
    <definedName name="OTHINC_3Q18">#REF!</definedName>
    <definedName name="OTHINC_3Q19">#REF!</definedName>
    <definedName name="OTHINC_3Q20">#REF!</definedName>
    <definedName name="OTHINC_3Q21">#REF!</definedName>
    <definedName name="OTHINC_3Q22">#REF!</definedName>
    <definedName name="OTHINC_3Q23">#REF!</definedName>
    <definedName name="OTHINC_3Q24">#REF!</definedName>
    <definedName name="OTHINC_4Q00">#REF!</definedName>
    <definedName name="OTHINC_4Q01">#REF!</definedName>
    <definedName name="OTHINC_4Q02">#REF!</definedName>
    <definedName name="OTHINC_4Q03">#REF!</definedName>
    <definedName name="OTHINC_4Q04">#REF!</definedName>
    <definedName name="OTHINC_4Q05">#REF!</definedName>
    <definedName name="OTHINC_4Q06">#REF!</definedName>
    <definedName name="OTHINC_4Q07">#REF!</definedName>
    <definedName name="OTHINC_4Q08">#REF!</definedName>
    <definedName name="OTHINC_4Q09">#REF!</definedName>
    <definedName name="OTHINC_4Q10">#REF!</definedName>
    <definedName name="OTHINC_4Q11">#REF!</definedName>
    <definedName name="OTHINC_4Q12">#REF!</definedName>
    <definedName name="OTHINC_4Q13">#REF!</definedName>
    <definedName name="OTHINC_4Q14">#REF!</definedName>
    <definedName name="OTHINC_4Q15">#REF!</definedName>
    <definedName name="OTHINC_4Q16">#REF!</definedName>
    <definedName name="OTHINC_4Q17">#REF!</definedName>
    <definedName name="OTHINC_4Q18">#REF!</definedName>
    <definedName name="OTHINC_4Q19">#REF!</definedName>
    <definedName name="OTHINC_4Q20">#REF!</definedName>
    <definedName name="OTHINC_4Q21">#REF!</definedName>
    <definedName name="OTHINC_4Q22">#REF!</definedName>
    <definedName name="OTHINC_4Q23">#REF!</definedName>
    <definedName name="OTHINC_4Q24">#REF!</definedName>
    <definedName name="OTHINV_1995">#REF!</definedName>
    <definedName name="OTHINV_1996">#REF!</definedName>
    <definedName name="OTHINV_1997">#REF!</definedName>
    <definedName name="OTHINV_1998">#REF!</definedName>
    <definedName name="OTHINV_1999">#REF!</definedName>
    <definedName name="OTHINV_1Q00">#REF!</definedName>
    <definedName name="OTHINV_1Q01">#REF!</definedName>
    <definedName name="OTHINV_1Q02">#REF!</definedName>
    <definedName name="OTHINV_1Q03">#REF!</definedName>
    <definedName name="OTHINV_1Q04">#REF!</definedName>
    <definedName name="OTHINV_1Q05">#REF!</definedName>
    <definedName name="OTHINV_1Q06">#REF!</definedName>
    <definedName name="OTHINV_1Q07">#REF!</definedName>
    <definedName name="OTHINV_1Q08">#REF!</definedName>
    <definedName name="OTHINV_1Q09">#REF!</definedName>
    <definedName name="OTHINV_1Q10">#REF!</definedName>
    <definedName name="OTHINV_1Q11">#REF!</definedName>
    <definedName name="OTHINV_1Q12">#REF!</definedName>
    <definedName name="OTHINV_1Q13">#REF!</definedName>
    <definedName name="OTHINV_1Q14">#REF!</definedName>
    <definedName name="OTHINV_1Q15">#REF!</definedName>
    <definedName name="OTHINV_1Q16">#REF!</definedName>
    <definedName name="OTHINV_1Q17">#REF!</definedName>
    <definedName name="OTHINV_1Q18">#REF!</definedName>
    <definedName name="OTHINV_1Q19">#REF!</definedName>
    <definedName name="OTHINV_1Q20">#REF!</definedName>
    <definedName name="OTHINV_1Q21">#REF!</definedName>
    <definedName name="OTHINV_1Q22">#REF!</definedName>
    <definedName name="OTHINV_1Q23">#REF!</definedName>
    <definedName name="OTHINV_1Q24">#REF!</definedName>
    <definedName name="OTHINV_2000">#REF!</definedName>
    <definedName name="OTHINV_2001">#REF!</definedName>
    <definedName name="OTHINV_2002">#REF!</definedName>
    <definedName name="OTHINV_2003">#REF!</definedName>
    <definedName name="OTHINV_2004">#REF!</definedName>
    <definedName name="OTHINV_2005">#REF!</definedName>
    <definedName name="OTHINV_2006">#REF!</definedName>
    <definedName name="OTHINV_2007">#REF!</definedName>
    <definedName name="OTHINV_2008">#REF!</definedName>
    <definedName name="OTHINV_2009">#REF!</definedName>
    <definedName name="OTHINV_2010">#REF!</definedName>
    <definedName name="OTHINV_2011">#REF!</definedName>
    <definedName name="OTHINV_2012">#REF!</definedName>
    <definedName name="OTHINV_2013">#REF!</definedName>
    <definedName name="OTHINV_2014">#REF!</definedName>
    <definedName name="OTHINV_2015">#REF!</definedName>
    <definedName name="OTHINV_2016">#REF!</definedName>
    <definedName name="OTHINV_2017">#REF!</definedName>
    <definedName name="OTHINV_2018">#REF!</definedName>
    <definedName name="OTHINV_2019">#REF!</definedName>
    <definedName name="OTHINV_2020">#REF!</definedName>
    <definedName name="OTHINV_2021">#REF!</definedName>
    <definedName name="OTHINV_2022">#REF!</definedName>
    <definedName name="OTHINV_2023">#REF!</definedName>
    <definedName name="OTHINV_2024">#REF!</definedName>
    <definedName name="OTHINV_2Q00">#REF!</definedName>
    <definedName name="OTHINV_2Q01">#REF!</definedName>
    <definedName name="OTHINV_2Q02">#REF!</definedName>
    <definedName name="OTHINV_2Q03">#REF!</definedName>
    <definedName name="OTHINV_2Q04">#REF!</definedName>
    <definedName name="OTHINV_2Q05">#REF!</definedName>
    <definedName name="OTHINV_2Q06">#REF!</definedName>
    <definedName name="OTHINV_2Q07">#REF!</definedName>
    <definedName name="OTHINV_2Q08">#REF!</definedName>
    <definedName name="OTHINV_2Q09">#REF!</definedName>
    <definedName name="OTHINV_2Q10">#REF!</definedName>
    <definedName name="OTHINV_2Q11">#REF!</definedName>
    <definedName name="OTHINV_2Q12">#REF!</definedName>
    <definedName name="OTHINV_2Q13">#REF!</definedName>
    <definedName name="OTHINV_2Q14">#REF!</definedName>
    <definedName name="OTHINV_2Q15">#REF!</definedName>
    <definedName name="OTHINV_2Q16">#REF!</definedName>
    <definedName name="OTHINV_2Q17">#REF!</definedName>
    <definedName name="OTHINV_2Q18">#REF!</definedName>
    <definedName name="OTHINV_2Q19">#REF!</definedName>
    <definedName name="OTHINV_2Q20">#REF!</definedName>
    <definedName name="OTHINV_2Q21">#REF!</definedName>
    <definedName name="OTHINV_2Q22">#REF!</definedName>
    <definedName name="OTHINV_2Q23">#REF!</definedName>
    <definedName name="OTHINV_2Q24">#REF!</definedName>
    <definedName name="OTHINV_3Q00">#REF!</definedName>
    <definedName name="OTHINV_3Q01">#REF!</definedName>
    <definedName name="OTHINV_3Q02">#REF!</definedName>
    <definedName name="OTHINV_3Q03">#REF!</definedName>
    <definedName name="OTHINV_3Q04">#REF!</definedName>
    <definedName name="OTHINV_3Q05">#REF!</definedName>
    <definedName name="OTHINV_3Q06">#REF!</definedName>
    <definedName name="OTHINV_3Q07">#REF!</definedName>
    <definedName name="OTHINV_3Q08">#REF!</definedName>
    <definedName name="OTHINV_3Q09">#REF!</definedName>
    <definedName name="OTHINV_3Q10">#REF!</definedName>
    <definedName name="OTHINV_3Q11">#REF!</definedName>
    <definedName name="OTHINV_3Q12">#REF!</definedName>
    <definedName name="OTHINV_3Q13">#REF!</definedName>
    <definedName name="OTHINV_3Q14">#REF!</definedName>
    <definedName name="OTHINV_3Q15">#REF!</definedName>
    <definedName name="OTHINV_3Q16">#REF!</definedName>
    <definedName name="OTHINV_3Q17">#REF!</definedName>
    <definedName name="OTHINV_3Q18">#REF!</definedName>
    <definedName name="OTHINV_3Q19">#REF!</definedName>
    <definedName name="OTHINV_3Q20">#REF!</definedName>
    <definedName name="OTHINV_3Q21">#REF!</definedName>
    <definedName name="OTHINV_3Q22">#REF!</definedName>
    <definedName name="OTHINV_3Q23">#REF!</definedName>
    <definedName name="OTHINV_3Q24">#REF!</definedName>
    <definedName name="OTHINV_4Q00">#REF!</definedName>
    <definedName name="OTHINV_4Q01">#REF!</definedName>
    <definedName name="OTHINV_4Q02">#REF!</definedName>
    <definedName name="OTHINV_4Q03">#REF!</definedName>
    <definedName name="OTHINV_4Q04">#REF!</definedName>
    <definedName name="OTHINV_4Q05">#REF!</definedName>
    <definedName name="OTHINV_4Q06">#REF!</definedName>
    <definedName name="OTHINV_4Q07">#REF!</definedName>
    <definedName name="OTHINV_4Q08">#REF!</definedName>
    <definedName name="OTHINV_4Q09">#REF!</definedName>
    <definedName name="OTHINV_4Q10">#REF!</definedName>
    <definedName name="OTHINV_4Q11">#REF!</definedName>
    <definedName name="OTHINV_4Q12">#REF!</definedName>
    <definedName name="OTHINV_4Q13">#REF!</definedName>
    <definedName name="OTHINV_4Q14">#REF!</definedName>
    <definedName name="OTHINV_4Q15">#REF!</definedName>
    <definedName name="OTHINV_4Q16">#REF!</definedName>
    <definedName name="OTHINV_4Q17">#REF!</definedName>
    <definedName name="OTHINV_4Q18">#REF!</definedName>
    <definedName name="OTHINV_4Q19">#REF!</definedName>
    <definedName name="OTHINV_4Q20">#REF!</definedName>
    <definedName name="OTHINV_4Q21">#REF!</definedName>
    <definedName name="OTHINV_4Q22">#REF!</definedName>
    <definedName name="OTHINV_4Q23">#REF!</definedName>
    <definedName name="OTHINV_4Q24">#REF!</definedName>
    <definedName name="OTHNIB_1995">#REF!</definedName>
    <definedName name="OTHNIB_1996">#REF!</definedName>
    <definedName name="OTHNIB_1997">#REF!</definedName>
    <definedName name="OTHNIB_1998">#REF!</definedName>
    <definedName name="OTHNIB_1999">#REF!</definedName>
    <definedName name="OTHNIB_1Q00">#REF!</definedName>
    <definedName name="OTHNIB_1Q01">#REF!</definedName>
    <definedName name="OTHNIB_1Q02">#REF!</definedName>
    <definedName name="OTHNIB_1Q03">#REF!</definedName>
    <definedName name="OTHNIB_1Q04">#REF!</definedName>
    <definedName name="OTHNIB_1Q05">#REF!</definedName>
    <definedName name="OTHNIB_1Q06">#REF!</definedName>
    <definedName name="OTHNIB_1Q07">#REF!</definedName>
    <definedName name="OTHNIB_1Q08">#REF!</definedName>
    <definedName name="OTHNIB_1Q09">#REF!</definedName>
    <definedName name="OTHNIB_1Q10">#REF!</definedName>
    <definedName name="OTHNIB_1Q11">#REF!</definedName>
    <definedName name="OTHNIB_1Q12">#REF!</definedName>
    <definedName name="OTHNIB_1Q13">#REF!</definedName>
    <definedName name="OTHNIB_1Q14">#REF!</definedName>
    <definedName name="OTHNIB_1Q15">#REF!</definedName>
    <definedName name="OTHNIB_1Q16">#REF!</definedName>
    <definedName name="OTHNIB_1Q17">#REF!</definedName>
    <definedName name="OTHNIB_1Q18">#REF!</definedName>
    <definedName name="OTHNIB_1Q19">#REF!</definedName>
    <definedName name="OTHNIB_1Q20">#REF!</definedName>
    <definedName name="OTHNIB_1Q21">#REF!</definedName>
    <definedName name="OTHNIB_1Q22">#REF!</definedName>
    <definedName name="OTHNIB_1Q23">#REF!</definedName>
    <definedName name="OTHNIB_1Q24">#REF!</definedName>
    <definedName name="OTHNIB_2000">#REF!</definedName>
    <definedName name="OTHNIB_2001">#REF!</definedName>
    <definedName name="OTHNIB_2002">#REF!</definedName>
    <definedName name="OTHNIB_2003">#REF!</definedName>
    <definedName name="OTHNIB_2004">#REF!</definedName>
    <definedName name="OTHNIB_2005">#REF!</definedName>
    <definedName name="OTHNIB_2006">#REF!</definedName>
    <definedName name="OTHNIB_2007">#REF!</definedName>
    <definedName name="OTHNIB_2008">#REF!</definedName>
    <definedName name="OTHNIB_2009">#REF!</definedName>
    <definedName name="OTHNIB_2010">#REF!</definedName>
    <definedName name="OTHNIB_2011">#REF!</definedName>
    <definedName name="OTHNIB_2012">#REF!</definedName>
    <definedName name="OTHNIB_2013">#REF!</definedName>
    <definedName name="OTHNIB_2014">#REF!</definedName>
    <definedName name="OTHNIB_2015">#REF!</definedName>
    <definedName name="OTHNIB_2016">#REF!</definedName>
    <definedName name="OTHNIB_2017">#REF!</definedName>
    <definedName name="OTHNIB_2018">#REF!</definedName>
    <definedName name="OTHNIB_2019">#REF!</definedName>
    <definedName name="OTHNIB_2020">#REF!</definedName>
    <definedName name="OTHNIB_2021">#REF!</definedName>
    <definedName name="OTHNIB_2022">#REF!</definedName>
    <definedName name="OTHNIB_2023">#REF!</definedName>
    <definedName name="OTHNIB_2024">#REF!</definedName>
    <definedName name="OTHNIB_2Q00">#REF!</definedName>
    <definedName name="OTHNIB_2Q01">#REF!</definedName>
    <definedName name="OTHNIB_2Q02">#REF!</definedName>
    <definedName name="OTHNIB_2Q03">#REF!</definedName>
    <definedName name="OTHNIB_2Q04">#REF!</definedName>
    <definedName name="OTHNIB_2Q05">#REF!</definedName>
    <definedName name="OTHNIB_2Q06">#REF!</definedName>
    <definedName name="OTHNIB_2Q07">#REF!</definedName>
    <definedName name="OTHNIB_2Q08">#REF!</definedName>
    <definedName name="OTHNIB_2Q09">#REF!</definedName>
    <definedName name="OTHNIB_2Q10">#REF!</definedName>
    <definedName name="OTHNIB_2Q11">#REF!</definedName>
    <definedName name="OTHNIB_2Q12">#REF!</definedName>
    <definedName name="OTHNIB_2Q13">#REF!</definedName>
    <definedName name="OTHNIB_2Q14">#REF!</definedName>
    <definedName name="OTHNIB_2Q15">#REF!</definedName>
    <definedName name="OTHNIB_2Q16">#REF!</definedName>
    <definedName name="OTHNIB_2Q17">#REF!</definedName>
    <definedName name="OTHNIB_2Q18">#REF!</definedName>
    <definedName name="OTHNIB_2Q19">#REF!</definedName>
    <definedName name="OTHNIB_2Q20">#REF!</definedName>
    <definedName name="OTHNIB_2Q21">#REF!</definedName>
    <definedName name="OTHNIB_2Q22">#REF!</definedName>
    <definedName name="OTHNIB_2Q23">#REF!</definedName>
    <definedName name="OTHNIB_2Q24">#REF!</definedName>
    <definedName name="OTHNIB_3Q00">#REF!</definedName>
    <definedName name="OTHNIB_3Q01">#REF!</definedName>
    <definedName name="OTHNIB_3Q02">#REF!</definedName>
    <definedName name="OTHNIB_3Q03">#REF!</definedName>
    <definedName name="OTHNIB_3Q04">#REF!</definedName>
    <definedName name="OTHNIB_3Q05">#REF!</definedName>
    <definedName name="OTHNIB_3Q06">#REF!</definedName>
    <definedName name="OTHNIB_3Q07">#REF!</definedName>
    <definedName name="OTHNIB_3Q08">#REF!</definedName>
    <definedName name="OTHNIB_3Q09">#REF!</definedName>
    <definedName name="OTHNIB_3Q10">#REF!</definedName>
    <definedName name="OTHNIB_3Q11">#REF!</definedName>
    <definedName name="OTHNIB_3Q12">#REF!</definedName>
    <definedName name="OTHNIB_3Q13">#REF!</definedName>
    <definedName name="OTHNIB_3Q14">#REF!</definedName>
    <definedName name="OTHNIB_3Q15">#REF!</definedName>
    <definedName name="OTHNIB_3Q16">#REF!</definedName>
    <definedName name="OTHNIB_3Q17">#REF!</definedName>
    <definedName name="OTHNIB_3Q18">#REF!</definedName>
    <definedName name="OTHNIB_3Q19">#REF!</definedName>
    <definedName name="OTHNIB_3Q20">#REF!</definedName>
    <definedName name="OTHNIB_3Q21">#REF!</definedName>
    <definedName name="OTHNIB_3Q22">#REF!</definedName>
    <definedName name="OTHNIB_3Q23">#REF!</definedName>
    <definedName name="OTHNIB_3Q24">#REF!</definedName>
    <definedName name="OTHNIB_4Q00">#REF!</definedName>
    <definedName name="OTHNIB_4Q01">#REF!</definedName>
    <definedName name="OTHNIB_4Q02">#REF!</definedName>
    <definedName name="OTHNIB_4Q03">#REF!</definedName>
    <definedName name="OTHNIB_4Q04">#REF!</definedName>
    <definedName name="OTHNIB_4Q05">#REF!</definedName>
    <definedName name="OTHNIB_4Q06">#REF!</definedName>
    <definedName name="OTHNIB_4Q07">#REF!</definedName>
    <definedName name="OTHNIB_4Q08">#REF!</definedName>
    <definedName name="OTHNIB_4Q09">#REF!</definedName>
    <definedName name="OTHNIB_4Q10">#REF!</definedName>
    <definedName name="OTHNIB_4Q11">#REF!</definedName>
    <definedName name="OTHNIB_4Q12">#REF!</definedName>
    <definedName name="OTHNIB_4Q13">#REF!</definedName>
    <definedName name="OTHNIB_4Q14">#REF!</definedName>
    <definedName name="OTHNIB_4Q15">#REF!</definedName>
    <definedName name="OTHNIB_4Q16">#REF!</definedName>
    <definedName name="OTHNIB_4Q17">#REF!</definedName>
    <definedName name="OTHNIB_4Q18">#REF!</definedName>
    <definedName name="OTHNIB_4Q19">#REF!</definedName>
    <definedName name="OTHNIB_4Q20">#REF!</definedName>
    <definedName name="OTHNIB_4Q21">#REF!</definedName>
    <definedName name="OTHNIB_4Q22">#REF!</definedName>
    <definedName name="OTHNIB_4Q23">#REF!</definedName>
    <definedName name="OTHNIB_4Q24">#REF!</definedName>
    <definedName name="OTIT_1995">#REF!</definedName>
    <definedName name="OTIT_1996">#REF!</definedName>
    <definedName name="OTIT_1997">#REF!</definedName>
    <definedName name="OTIT_1998">#REF!</definedName>
    <definedName name="OTIT_1999">#REF!</definedName>
    <definedName name="OTIT_1Q00">#REF!</definedName>
    <definedName name="OTIT_1Q01">#REF!</definedName>
    <definedName name="OTIT_1Q02">#REF!</definedName>
    <definedName name="OTIT_1Q03">#REF!</definedName>
    <definedName name="OTIT_1Q04">#REF!</definedName>
    <definedName name="OTIT_1Q05">#REF!</definedName>
    <definedName name="OTIT_1Q06">#REF!</definedName>
    <definedName name="OTIT_1Q07">#REF!</definedName>
    <definedName name="OTIT_1Q08">#REF!</definedName>
    <definedName name="OTIT_1Q09">#REF!</definedName>
    <definedName name="OTIT_1Q10">#REF!</definedName>
    <definedName name="OTIT_1Q11">#REF!</definedName>
    <definedName name="OTIT_1Q12">#REF!</definedName>
    <definedName name="OTIT_1Q13">#REF!</definedName>
    <definedName name="OTIT_1Q14">#REF!</definedName>
    <definedName name="OTIT_1Q15">#REF!</definedName>
    <definedName name="OTIT_1Q16">#REF!</definedName>
    <definedName name="OTIT_1Q17">#REF!</definedName>
    <definedName name="OTIT_1Q18">#REF!</definedName>
    <definedName name="OTIT_1Q19">#REF!</definedName>
    <definedName name="OTIT_1Q20">#REF!</definedName>
    <definedName name="OTIT_1Q21">#REF!</definedName>
    <definedName name="OTIT_1Q22">#REF!</definedName>
    <definedName name="OTIT_1Q23">#REF!</definedName>
    <definedName name="OTIT_1Q24">#REF!</definedName>
    <definedName name="OTIT_2000">#REF!</definedName>
    <definedName name="OTIT_2001">#REF!</definedName>
    <definedName name="OTIT_2002">#REF!</definedName>
    <definedName name="OTIT_2003">#REF!</definedName>
    <definedName name="OTIT_2004">#REF!</definedName>
    <definedName name="OTIT_2005">#REF!</definedName>
    <definedName name="OTIT_2006">#REF!</definedName>
    <definedName name="OTIT_2007">#REF!</definedName>
    <definedName name="OTIT_2008">#REF!</definedName>
    <definedName name="OTIT_2009">#REF!</definedName>
    <definedName name="OTIT_2010">#REF!</definedName>
    <definedName name="OTIT_2011">#REF!</definedName>
    <definedName name="OTIT_2012">#REF!</definedName>
    <definedName name="OTIT_2013">#REF!</definedName>
    <definedName name="OTIT_2014">#REF!</definedName>
    <definedName name="OTIT_2015">#REF!</definedName>
    <definedName name="OTIT_2016">#REF!</definedName>
    <definedName name="OTIT_2017">#REF!</definedName>
    <definedName name="OTIT_2018">#REF!</definedName>
    <definedName name="OTIT_2019">#REF!</definedName>
    <definedName name="OTIT_2020">#REF!</definedName>
    <definedName name="OTIT_2021">#REF!</definedName>
    <definedName name="OTIT_2022">#REF!</definedName>
    <definedName name="OTIT_2023">#REF!</definedName>
    <definedName name="OTIT_2024">#REF!</definedName>
    <definedName name="OTIT_2Q00">#REF!</definedName>
    <definedName name="OTIT_2Q01">#REF!</definedName>
    <definedName name="OTIT_2Q02">#REF!</definedName>
    <definedName name="OTIT_2Q03">#REF!</definedName>
    <definedName name="OTIT_2Q04">#REF!</definedName>
    <definedName name="OTIT_2Q05">#REF!</definedName>
    <definedName name="OTIT_2Q06">#REF!</definedName>
    <definedName name="OTIT_2Q07">#REF!</definedName>
    <definedName name="OTIT_2Q08">#REF!</definedName>
    <definedName name="OTIT_2Q09">#REF!</definedName>
    <definedName name="OTIT_2Q10">#REF!</definedName>
    <definedName name="OTIT_2Q11">#REF!</definedName>
    <definedName name="OTIT_2Q12">#REF!</definedName>
    <definedName name="OTIT_2Q13">#REF!</definedName>
    <definedName name="OTIT_2Q14">#REF!</definedName>
    <definedName name="OTIT_2Q15">#REF!</definedName>
    <definedName name="OTIT_2Q16">#REF!</definedName>
    <definedName name="OTIT_2Q17">#REF!</definedName>
    <definedName name="OTIT_2Q18">#REF!</definedName>
    <definedName name="OTIT_2Q19">#REF!</definedName>
    <definedName name="OTIT_2Q20">#REF!</definedName>
    <definedName name="OTIT_2Q21">#REF!</definedName>
    <definedName name="OTIT_2Q22">#REF!</definedName>
    <definedName name="OTIT_2Q23">#REF!</definedName>
    <definedName name="OTIT_2Q24">#REF!</definedName>
    <definedName name="OTIT_3Q00">#REF!</definedName>
    <definedName name="OTIT_3Q01">#REF!</definedName>
    <definedName name="OTIT_3Q02">#REF!</definedName>
    <definedName name="OTIT_3Q03">#REF!</definedName>
    <definedName name="OTIT_3Q04">#REF!</definedName>
    <definedName name="OTIT_3Q05">#REF!</definedName>
    <definedName name="OTIT_3Q06">#REF!</definedName>
    <definedName name="OTIT_3Q07">#REF!</definedName>
    <definedName name="OTIT_3Q08">#REF!</definedName>
    <definedName name="OTIT_3Q09">#REF!</definedName>
    <definedName name="OTIT_3Q10">#REF!</definedName>
    <definedName name="OTIT_3Q11">#REF!</definedName>
    <definedName name="OTIT_3Q12">#REF!</definedName>
    <definedName name="OTIT_3Q13">#REF!</definedName>
    <definedName name="OTIT_3Q14">#REF!</definedName>
    <definedName name="OTIT_3Q15">#REF!</definedName>
    <definedName name="OTIT_3Q16">#REF!</definedName>
    <definedName name="OTIT_3Q17">#REF!</definedName>
    <definedName name="OTIT_3Q18">#REF!</definedName>
    <definedName name="OTIT_3Q19">#REF!</definedName>
    <definedName name="OTIT_3Q20">#REF!</definedName>
    <definedName name="OTIT_3Q21">#REF!</definedName>
    <definedName name="OTIT_3Q22">#REF!</definedName>
    <definedName name="OTIT_3Q23">#REF!</definedName>
    <definedName name="OTIT_3Q24">#REF!</definedName>
    <definedName name="OTIT_4Q00">#REF!</definedName>
    <definedName name="OTIT_4Q01">#REF!</definedName>
    <definedName name="OTIT_4Q02">#REF!</definedName>
    <definedName name="OTIT_4Q03">#REF!</definedName>
    <definedName name="OTIT_4Q04">#REF!</definedName>
    <definedName name="OTIT_4Q05">#REF!</definedName>
    <definedName name="OTIT_4Q06">#REF!</definedName>
    <definedName name="OTIT_4Q07">#REF!</definedName>
    <definedName name="OTIT_4Q08">#REF!</definedName>
    <definedName name="OTIT_4Q09">#REF!</definedName>
    <definedName name="OTIT_4Q10">#REF!</definedName>
    <definedName name="OTIT_4Q11">#REF!</definedName>
    <definedName name="OTIT_4Q12">#REF!</definedName>
    <definedName name="OTIT_4Q13">#REF!</definedName>
    <definedName name="OTIT_4Q14">#REF!</definedName>
    <definedName name="OTIT_4Q15">#REF!</definedName>
    <definedName name="OTIT_4Q16">#REF!</definedName>
    <definedName name="OTIT_4Q17">#REF!</definedName>
    <definedName name="OTIT_4Q18">#REF!</definedName>
    <definedName name="OTIT_4Q19">#REF!</definedName>
    <definedName name="OTIT_4Q20">#REF!</definedName>
    <definedName name="OTIT_4Q21">#REF!</definedName>
    <definedName name="OTIT_4Q22">#REF!</definedName>
    <definedName name="OTIT_4Q23">#REF!</definedName>
    <definedName name="OTIT_4Q24">#REF!</definedName>
    <definedName name="PasteSpecial">#REF!</definedName>
    <definedName name="pbFileName">MID(CELL("filename"),FIND("[",CELL("FILENAME"))+1,(FIND("]",CELL("FILENAME"))) - (FIND("[",CELL("FILENAME"))+1))</definedName>
    <definedName name="pbPrinterFormat">"Acrobat PDFWriter on LPT1:"</definedName>
    <definedName name="pbStartPageNumber">1</definedName>
    <definedName name="pbUpdatePageNumbering">TRUE</definedName>
    <definedName name="PEBEAS_1995">#REF!</definedName>
    <definedName name="PEBEAS_1996">#REF!</definedName>
    <definedName name="PEBEAS_1997">#REF!</definedName>
    <definedName name="PEBEAS_1998">#REF!</definedName>
    <definedName name="PEBEAS_1999">#REF!</definedName>
    <definedName name="PEBEAS_1Q00">#REF!</definedName>
    <definedName name="PEBEAS_1Q01">#REF!</definedName>
    <definedName name="PEBEAS_1Q02">#REF!</definedName>
    <definedName name="PEBEAS_1Q03">#REF!</definedName>
    <definedName name="PEBEAS_1Q04">#REF!</definedName>
    <definedName name="PEBEAS_1Q05">#REF!</definedName>
    <definedName name="PEBEAS_1Q06">#REF!</definedName>
    <definedName name="PEBEAS_1Q07">#REF!</definedName>
    <definedName name="PEBEAS_1Q08">#REF!</definedName>
    <definedName name="PEBEAS_1Q09">#REF!</definedName>
    <definedName name="PEBEAS_1Q10">#REF!</definedName>
    <definedName name="PEBEAS_1Q11">#REF!</definedName>
    <definedName name="PEBEAS_1Q12">#REF!</definedName>
    <definedName name="PEBEAS_1Q13">#REF!</definedName>
    <definedName name="PEBEAS_1Q14">#REF!</definedName>
    <definedName name="PEBEAS_1Q15">#REF!</definedName>
    <definedName name="PEBEAS_1Q16">#REF!</definedName>
    <definedName name="PEBEAS_1Q17">#REF!</definedName>
    <definedName name="PEBEAS_1Q18">#REF!</definedName>
    <definedName name="PEBEAS_1Q19">#REF!</definedName>
    <definedName name="PEBEAS_1Q20">#REF!</definedName>
    <definedName name="PEBEAS_1Q21">#REF!</definedName>
    <definedName name="PEBEAS_1Q22">#REF!</definedName>
    <definedName name="PEBEAS_1Q23">#REF!</definedName>
    <definedName name="PEBEAS_1Q24">#REF!</definedName>
    <definedName name="PEBEAS_2000">#REF!</definedName>
    <definedName name="PEBEAS_2001">#REF!</definedName>
    <definedName name="PEBEAS_2002">#REF!</definedName>
    <definedName name="PEBEAS_2003">#REF!</definedName>
    <definedName name="PEBEAS_2004">#REF!</definedName>
    <definedName name="PEBEAS_2005">#REF!</definedName>
    <definedName name="PEBEAS_2006">#REF!</definedName>
    <definedName name="PEBEAS_2007">#REF!</definedName>
    <definedName name="PEBEAS_2008">#REF!</definedName>
    <definedName name="PEBEAS_2009">#REF!</definedName>
    <definedName name="PEBEAS_2010">#REF!</definedName>
    <definedName name="PEBEAS_2011">#REF!</definedName>
    <definedName name="PEBEAS_2012">#REF!</definedName>
    <definedName name="PEBEAS_2013">#REF!</definedName>
    <definedName name="PEBEAS_2014">#REF!</definedName>
    <definedName name="PEBEAS_2015">#REF!</definedName>
    <definedName name="PEBEAS_2016">#REF!</definedName>
    <definedName name="PEBEAS_2017">#REF!</definedName>
    <definedName name="PEBEAS_2018">#REF!</definedName>
    <definedName name="PEBEAS_2019">#REF!</definedName>
    <definedName name="PEBEAS_2020">#REF!</definedName>
    <definedName name="PEBEAS_2021">#REF!</definedName>
    <definedName name="PEBEAS_2022">#REF!</definedName>
    <definedName name="PEBEAS_2023">#REF!</definedName>
    <definedName name="PEBEAS_2024">#REF!</definedName>
    <definedName name="PEBEAS_2Q00">#REF!</definedName>
    <definedName name="PEBEAS_2Q01">#REF!</definedName>
    <definedName name="PEBEAS_2Q02">#REF!</definedName>
    <definedName name="PEBEAS_2Q03">#REF!</definedName>
    <definedName name="PEBEAS_2Q04">#REF!</definedName>
    <definedName name="PEBEAS_2Q05">#REF!</definedName>
    <definedName name="PEBEAS_2Q06">#REF!</definedName>
    <definedName name="PEBEAS_2Q07">#REF!</definedName>
    <definedName name="PEBEAS_2Q08">#REF!</definedName>
    <definedName name="PEBEAS_2Q09">#REF!</definedName>
    <definedName name="PEBEAS_2Q10">#REF!</definedName>
    <definedName name="PEBEAS_2Q11">#REF!</definedName>
    <definedName name="PEBEAS_2Q12">#REF!</definedName>
    <definedName name="PEBEAS_2Q13">#REF!</definedName>
    <definedName name="PEBEAS_2Q14">#REF!</definedName>
    <definedName name="PEBEAS_2Q15">#REF!</definedName>
    <definedName name="PEBEAS_2Q16">#REF!</definedName>
    <definedName name="PEBEAS_2Q17">#REF!</definedName>
    <definedName name="PEBEAS_2Q18">#REF!</definedName>
    <definedName name="PEBEAS_2Q19">#REF!</definedName>
    <definedName name="PEBEAS_2Q20">#REF!</definedName>
    <definedName name="PEBEAS_2Q21">#REF!</definedName>
    <definedName name="PEBEAS_2Q22">#REF!</definedName>
    <definedName name="PEBEAS_2Q23">#REF!</definedName>
    <definedName name="PEBEAS_2Q24">#REF!</definedName>
    <definedName name="PEBEAS_3Q00">#REF!</definedName>
    <definedName name="PEBEAS_3Q01">#REF!</definedName>
    <definedName name="PEBEAS_3Q02">#REF!</definedName>
    <definedName name="PEBEAS_3Q03">#REF!</definedName>
    <definedName name="PEBEAS_3Q04">#REF!</definedName>
    <definedName name="PEBEAS_3Q05">#REF!</definedName>
    <definedName name="PEBEAS_3Q06">#REF!</definedName>
    <definedName name="PEBEAS_3Q07">#REF!</definedName>
    <definedName name="PEBEAS_3Q08">#REF!</definedName>
    <definedName name="PEBEAS_3Q09">#REF!</definedName>
    <definedName name="PEBEAS_3Q10">#REF!</definedName>
    <definedName name="PEBEAS_3Q11">#REF!</definedName>
    <definedName name="PEBEAS_3Q12">#REF!</definedName>
    <definedName name="PEBEAS_3Q13">#REF!</definedName>
    <definedName name="PEBEAS_3Q14">#REF!</definedName>
    <definedName name="PEBEAS_3Q15">#REF!</definedName>
    <definedName name="PEBEAS_3Q16">#REF!</definedName>
    <definedName name="PEBEAS_3Q17">#REF!</definedName>
    <definedName name="PEBEAS_3Q18">#REF!</definedName>
    <definedName name="PEBEAS_3Q19">#REF!</definedName>
    <definedName name="PEBEAS_3Q20">#REF!</definedName>
    <definedName name="PEBEAS_3Q21">#REF!</definedName>
    <definedName name="PEBEAS_3Q22">#REF!</definedName>
    <definedName name="PEBEAS_3Q23">#REF!</definedName>
    <definedName name="PEBEAS_3Q24">#REF!</definedName>
    <definedName name="PEBEAS_4Q00">#REF!</definedName>
    <definedName name="PEBEAS_4Q01">#REF!</definedName>
    <definedName name="PEBEAS_4Q02">#REF!</definedName>
    <definedName name="PEBEAS_4Q03">#REF!</definedName>
    <definedName name="PEBEAS_4Q04">#REF!</definedName>
    <definedName name="PEBEAS_4Q05">#REF!</definedName>
    <definedName name="PEBEAS_4Q06">#REF!</definedName>
    <definedName name="PEBEAS_4Q07">#REF!</definedName>
    <definedName name="PEBEAS_4Q08">#REF!</definedName>
    <definedName name="PEBEAS_4Q09">#REF!</definedName>
    <definedName name="PEBEAS_4Q10">#REF!</definedName>
    <definedName name="PEBEAS_4Q11">#REF!</definedName>
    <definedName name="PEBEAS_4Q12">#REF!</definedName>
    <definedName name="PEBEAS_4Q13">#REF!</definedName>
    <definedName name="PEBEAS_4Q14">#REF!</definedName>
    <definedName name="PEBEAS_4Q15">#REF!</definedName>
    <definedName name="PEBEAS_4Q16">#REF!</definedName>
    <definedName name="PEBEAS_4Q17">#REF!</definedName>
    <definedName name="PEBEAS_4Q18">#REF!</definedName>
    <definedName name="PEBEAS_4Q19">#REF!</definedName>
    <definedName name="PEBEAS_4Q20">#REF!</definedName>
    <definedName name="PEBEAS_4Q21">#REF!</definedName>
    <definedName name="PEBEAS_4Q22">#REF!</definedName>
    <definedName name="PEBEAS_4Q23">#REF!</definedName>
    <definedName name="PEBEAS_4Q24">#REF!</definedName>
    <definedName name="PEBELI_1995">#REF!</definedName>
    <definedName name="PEBELI_1996">#REF!</definedName>
    <definedName name="PEBELI_1997">#REF!</definedName>
    <definedName name="PEBELI_1998">#REF!</definedName>
    <definedName name="PEBELI_1999">#REF!</definedName>
    <definedName name="PEBELI_1Q00">#REF!</definedName>
    <definedName name="PEBELI_1Q01">#REF!</definedName>
    <definedName name="PEBELI_1Q02">#REF!</definedName>
    <definedName name="PEBELI_1Q03">#REF!</definedName>
    <definedName name="PEBELI_1Q04">#REF!</definedName>
    <definedName name="PEBELI_1Q05">#REF!</definedName>
    <definedName name="PEBELI_1Q06">#REF!</definedName>
    <definedName name="PEBELI_1Q07">#REF!</definedName>
    <definedName name="PEBELI_1Q08">#REF!</definedName>
    <definedName name="PEBELI_1Q09">#REF!</definedName>
    <definedName name="PEBELI_1Q10">#REF!</definedName>
    <definedName name="PEBELI_1Q11">#REF!</definedName>
    <definedName name="PEBELI_1Q12">#REF!</definedName>
    <definedName name="PEBELI_1Q13">#REF!</definedName>
    <definedName name="PEBELI_1Q14">#REF!</definedName>
    <definedName name="PEBELI_1Q15">#REF!</definedName>
    <definedName name="PEBELI_1Q16">#REF!</definedName>
    <definedName name="PEBELI_1Q17">#REF!</definedName>
    <definedName name="PEBELI_1Q18">#REF!</definedName>
    <definedName name="PEBELI_1Q19">#REF!</definedName>
    <definedName name="PEBELI_1Q20">#REF!</definedName>
    <definedName name="PEBELI_1Q21">#REF!</definedName>
    <definedName name="PEBELI_1Q22">#REF!</definedName>
    <definedName name="PEBELI_1Q23">#REF!</definedName>
    <definedName name="PEBELI_1Q24">#REF!</definedName>
    <definedName name="PEBELI_2000">#REF!</definedName>
    <definedName name="PEBELI_2001">#REF!</definedName>
    <definedName name="PEBELI_2002">#REF!</definedName>
    <definedName name="PEBELI_2003">#REF!</definedName>
    <definedName name="PEBELI_2004">#REF!</definedName>
    <definedName name="PEBELI_2005">#REF!</definedName>
    <definedName name="PEBELI_2006">#REF!</definedName>
    <definedName name="PEBELI_2007">#REF!</definedName>
    <definedName name="PEBELI_2008">#REF!</definedName>
    <definedName name="PEBELI_2009">#REF!</definedName>
    <definedName name="PEBELI_2010">#REF!</definedName>
    <definedName name="PEBELI_2011">#REF!</definedName>
    <definedName name="PEBELI_2012">#REF!</definedName>
    <definedName name="PEBELI_2013">#REF!</definedName>
    <definedName name="PEBELI_2014">#REF!</definedName>
    <definedName name="PEBELI_2015">#REF!</definedName>
    <definedName name="PEBELI_2016">#REF!</definedName>
    <definedName name="PEBELI_2017">#REF!</definedName>
    <definedName name="PEBELI_2018">#REF!</definedName>
    <definedName name="PEBELI_2019">#REF!</definedName>
    <definedName name="PEBELI_2020">#REF!</definedName>
    <definedName name="PEBELI_2021">#REF!</definedName>
    <definedName name="PEBELI_2022">#REF!</definedName>
    <definedName name="PEBELI_2023">#REF!</definedName>
    <definedName name="PEBELI_2024">#REF!</definedName>
    <definedName name="PEBELI_2Q00">#REF!</definedName>
    <definedName name="PEBELI_2Q01">#REF!</definedName>
    <definedName name="PEBELI_2Q02">#REF!</definedName>
    <definedName name="PEBELI_2Q03">#REF!</definedName>
    <definedName name="PEBELI_2Q04">#REF!</definedName>
    <definedName name="PEBELI_2Q05">#REF!</definedName>
    <definedName name="PEBELI_2Q06">#REF!</definedName>
    <definedName name="PEBELI_2Q07">#REF!</definedName>
    <definedName name="PEBELI_2Q08">#REF!</definedName>
    <definedName name="PEBELI_2Q09">#REF!</definedName>
    <definedName name="PEBELI_2Q10">#REF!</definedName>
    <definedName name="PEBELI_2Q11">#REF!</definedName>
    <definedName name="PEBELI_2Q12">#REF!</definedName>
    <definedName name="PEBELI_2Q13">#REF!</definedName>
    <definedName name="PEBELI_2Q14">#REF!</definedName>
    <definedName name="PEBELI_2Q15">#REF!</definedName>
    <definedName name="PEBELI_2Q16">#REF!</definedName>
    <definedName name="PEBELI_2Q17">#REF!</definedName>
    <definedName name="PEBELI_2Q18">#REF!</definedName>
    <definedName name="PEBELI_2Q19">#REF!</definedName>
    <definedName name="PEBELI_2Q20">#REF!</definedName>
    <definedName name="PEBELI_2Q21">#REF!</definedName>
    <definedName name="PEBELI_2Q22">#REF!</definedName>
    <definedName name="PEBELI_2Q23">#REF!</definedName>
    <definedName name="PEBELI_2Q24">#REF!</definedName>
    <definedName name="PEBELI_3Q00">#REF!</definedName>
    <definedName name="PEBELI_3Q01">#REF!</definedName>
    <definedName name="PEBELI_3Q02">#REF!</definedName>
    <definedName name="PEBELI_3Q03">#REF!</definedName>
    <definedName name="PEBELI_3Q04">#REF!</definedName>
    <definedName name="PEBELI_3Q05">#REF!</definedName>
    <definedName name="PEBELI_3Q06">#REF!</definedName>
    <definedName name="PEBELI_3Q07">#REF!</definedName>
    <definedName name="PEBELI_3Q08">#REF!</definedName>
    <definedName name="PEBELI_3Q09">#REF!</definedName>
    <definedName name="PEBELI_3Q10">#REF!</definedName>
    <definedName name="PEBELI_3Q11">#REF!</definedName>
    <definedName name="PEBELI_3Q12">#REF!</definedName>
    <definedName name="PEBELI_3Q13">#REF!</definedName>
    <definedName name="PEBELI_3Q14">#REF!</definedName>
    <definedName name="PEBELI_3Q15">#REF!</definedName>
    <definedName name="PEBELI_3Q16">#REF!</definedName>
    <definedName name="PEBELI_3Q17">#REF!</definedName>
    <definedName name="PEBELI_3Q18">#REF!</definedName>
    <definedName name="PEBELI_3Q19">#REF!</definedName>
    <definedName name="PEBELI_3Q20">#REF!</definedName>
    <definedName name="PEBELI_3Q21">#REF!</definedName>
    <definedName name="PEBELI_3Q22">#REF!</definedName>
    <definedName name="PEBELI_3Q23">#REF!</definedName>
    <definedName name="PEBELI_3Q24">#REF!</definedName>
    <definedName name="PEBELI_4Q00">#REF!</definedName>
    <definedName name="PEBELI_4Q01">#REF!</definedName>
    <definedName name="PEBELI_4Q02">#REF!</definedName>
    <definedName name="PEBELI_4Q03">#REF!</definedName>
    <definedName name="PEBELI_4Q04">#REF!</definedName>
    <definedName name="PEBELI_4Q05">#REF!</definedName>
    <definedName name="PEBELI_4Q06">#REF!</definedName>
    <definedName name="PEBELI_4Q07">#REF!</definedName>
    <definedName name="PEBELI_4Q08">#REF!</definedName>
    <definedName name="PEBELI_4Q09">#REF!</definedName>
    <definedName name="PEBELI_4Q10">#REF!</definedName>
    <definedName name="PEBELI_4Q11">#REF!</definedName>
    <definedName name="PEBELI_4Q12">#REF!</definedName>
    <definedName name="PEBELI_4Q13">#REF!</definedName>
    <definedName name="PEBELI_4Q14">#REF!</definedName>
    <definedName name="PEBELI_4Q15">#REF!</definedName>
    <definedName name="PEBELI_4Q16">#REF!</definedName>
    <definedName name="PEBELI_4Q17">#REF!</definedName>
    <definedName name="PEBELI_4Q18">#REF!</definedName>
    <definedName name="PEBELI_4Q19">#REF!</definedName>
    <definedName name="PEBELI_4Q20">#REF!</definedName>
    <definedName name="PEBELI_4Q21">#REF!</definedName>
    <definedName name="PEBELI_4Q22">#REF!</definedName>
    <definedName name="PEBELI_4Q23">#REF!</definedName>
    <definedName name="PEBELI_4Q24">#REF!</definedName>
    <definedName name="pedro" localSheetId="4" hidden="1">{#N/A,"30% Success",TRUE,"Sales Forecast";#N/A,#N/A,TRUE,"Sheet2"}</definedName>
    <definedName name="pedro" localSheetId="6" hidden="1">{#N/A,"30% Success",TRUE,"Sales Forecast";#N/A,#N/A,TRUE,"Sheet2"}</definedName>
    <definedName name="pedro" localSheetId="0" hidden="1">{#N/A,"30% Success",TRUE,"Sales Forecast";#N/A,#N/A,TRUE,"Sheet2"}</definedName>
    <definedName name="pedro" hidden="1">{#N/A,"30% Success",TRUE,"Sales Forecast";#N/A,#N/A,TRUE,"Sheet2"}</definedName>
    <definedName name="PeerNames">#REF!</definedName>
    <definedName name="PeerTickers">#REF!</definedName>
    <definedName name="PEFIRE_1995">#REF!</definedName>
    <definedName name="PEFIRE_1996">#REF!</definedName>
    <definedName name="PEFIRE_1997">#REF!</definedName>
    <definedName name="PEFIRE_1998">#REF!</definedName>
    <definedName name="PEFIRE_1999">#REF!</definedName>
    <definedName name="PEFIRE_1Q00">#REF!</definedName>
    <definedName name="PEFIRE_1Q01">#REF!</definedName>
    <definedName name="PEFIRE_1Q02">#REF!</definedName>
    <definedName name="PEFIRE_1Q03">#REF!</definedName>
    <definedName name="PEFIRE_1Q04">#REF!</definedName>
    <definedName name="PEFIRE_1Q05">#REF!</definedName>
    <definedName name="PEFIRE_1Q06">#REF!</definedName>
    <definedName name="PEFIRE_1Q07">#REF!</definedName>
    <definedName name="PEFIRE_1Q08">#REF!</definedName>
    <definedName name="PEFIRE_1Q09">#REF!</definedName>
    <definedName name="PEFIRE_1Q10">#REF!</definedName>
    <definedName name="PEFIRE_1Q11">#REF!</definedName>
    <definedName name="PEFIRE_1Q12">#REF!</definedName>
    <definedName name="PEFIRE_1Q13">#REF!</definedName>
    <definedName name="PEFIRE_1Q14">#REF!</definedName>
    <definedName name="PEFIRE_1Q15">#REF!</definedName>
    <definedName name="PEFIRE_1Q16">#REF!</definedName>
    <definedName name="PEFIRE_1Q17">#REF!</definedName>
    <definedName name="PEFIRE_1Q18">#REF!</definedName>
    <definedName name="PEFIRE_1Q19">#REF!</definedName>
    <definedName name="PEFIRE_1Q20">#REF!</definedName>
    <definedName name="PEFIRE_1Q21">#REF!</definedName>
    <definedName name="PEFIRE_1Q22">#REF!</definedName>
    <definedName name="PEFIRE_1Q23">#REF!</definedName>
    <definedName name="PEFIRE_1Q24">#REF!</definedName>
    <definedName name="PEFIRE_2000">#REF!</definedName>
    <definedName name="PEFIRE_2001">#REF!</definedName>
    <definedName name="PEFIRE_2002">#REF!</definedName>
    <definedName name="PEFIRE_2003">#REF!</definedName>
    <definedName name="PEFIRE_2004">#REF!</definedName>
    <definedName name="PEFIRE_2005">#REF!</definedName>
    <definedName name="PEFIRE_2006">#REF!</definedName>
    <definedName name="PEFIRE_2007">#REF!</definedName>
    <definedName name="PEFIRE_2008">#REF!</definedName>
    <definedName name="PEFIRE_2009">#REF!</definedName>
    <definedName name="PEFIRE_2010">#REF!</definedName>
    <definedName name="PEFIRE_2011">#REF!</definedName>
    <definedName name="PEFIRE_2012">#REF!</definedName>
    <definedName name="PEFIRE_2013">#REF!</definedName>
    <definedName name="PEFIRE_2014">#REF!</definedName>
    <definedName name="PEFIRE_2015">#REF!</definedName>
    <definedName name="PEFIRE_2016">#REF!</definedName>
    <definedName name="PEFIRE_2017">#REF!</definedName>
    <definedName name="PEFIRE_2018">#REF!</definedName>
    <definedName name="PEFIRE_2019">#REF!</definedName>
    <definedName name="PEFIRE_2020">#REF!</definedName>
    <definedName name="PEFIRE_2021">#REF!</definedName>
    <definedName name="PEFIRE_2022">#REF!</definedName>
    <definedName name="PEFIRE_2023">#REF!</definedName>
    <definedName name="PEFIRE_2024">#REF!</definedName>
    <definedName name="PEFIRE_2Q00">#REF!</definedName>
    <definedName name="PEFIRE_2Q01">#REF!</definedName>
    <definedName name="PEFIRE_2Q02">#REF!</definedName>
    <definedName name="PEFIRE_2Q03">#REF!</definedName>
    <definedName name="PEFIRE_2Q04">#REF!</definedName>
    <definedName name="PEFIRE_2Q05">#REF!</definedName>
    <definedName name="PEFIRE_2Q06">#REF!</definedName>
    <definedName name="PEFIRE_2Q07">#REF!</definedName>
    <definedName name="PEFIRE_2Q08">#REF!</definedName>
    <definedName name="PEFIRE_2Q09">#REF!</definedName>
    <definedName name="PEFIRE_2Q10">#REF!</definedName>
    <definedName name="PEFIRE_2Q11">#REF!</definedName>
    <definedName name="PEFIRE_2Q12">#REF!</definedName>
    <definedName name="PEFIRE_2Q13">#REF!</definedName>
    <definedName name="PEFIRE_2Q14">#REF!</definedName>
    <definedName name="PEFIRE_2Q15">#REF!</definedName>
    <definedName name="PEFIRE_2Q16">#REF!</definedName>
    <definedName name="PEFIRE_2Q17">#REF!</definedName>
    <definedName name="PEFIRE_2Q18">#REF!</definedName>
    <definedName name="PEFIRE_2Q19">#REF!</definedName>
    <definedName name="PEFIRE_2Q20">#REF!</definedName>
    <definedName name="PEFIRE_2Q21">#REF!</definedName>
    <definedName name="PEFIRE_2Q22">#REF!</definedName>
    <definedName name="PEFIRE_2Q23">#REF!</definedName>
    <definedName name="PEFIRE_2Q24">#REF!</definedName>
    <definedName name="PEFIRE_3Q00">#REF!</definedName>
    <definedName name="PEFIRE_3Q01">#REF!</definedName>
    <definedName name="PEFIRE_3Q02">#REF!</definedName>
    <definedName name="PEFIRE_3Q03">#REF!</definedName>
    <definedName name="PEFIRE_3Q04">#REF!</definedName>
    <definedName name="PEFIRE_3Q05">#REF!</definedName>
    <definedName name="PEFIRE_3Q06">#REF!</definedName>
    <definedName name="PEFIRE_3Q07">#REF!</definedName>
    <definedName name="PEFIRE_3Q08">#REF!</definedName>
    <definedName name="PEFIRE_3Q09">#REF!</definedName>
    <definedName name="PEFIRE_3Q10">#REF!</definedName>
    <definedName name="PEFIRE_3Q11">#REF!</definedName>
    <definedName name="PEFIRE_3Q12">#REF!</definedName>
    <definedName name="PEFIRE_3Q13">#REF!</definedName>
    <definedName name="PEFIRE_3Q14">#REF!</definedName>
    <definedName name="PEFIRE_3Q15">#REF!</definedName>
    <definedName name="PEFIRE_3Q16">#REF!</definedName>
    <definedName name="PEFIRE_3Q17">#REF!</definedName>
    <definedName name="PEFIRE_3Q18">#REF!</definedName>
    <definedName name="PEFIRE_3Q19">#REF!</definedName>
    <definedName name="PEFIRE_3Q20">#REF!</definedName>
    <definedName name="PEFIRE_3Q21">#REF!</definedName>
    <definedName name="PEFIRE_3Q22">#REF!</definedName>
    <definedName name="PEFIRE_3Q23">#REF!</definedName>
    <definedName name="PEFIRE_3Q24">#REF!</definedName>
    <definedName name="PEFIRE_4Q00">#REF!</definedName>
    <definedName name="PEFIRE_4Q01">#REF!</definedName>
    <definedName name="PEFIRE_4Q02">#REF!</definedName>
    <definedName name="PEFIRE_4Q03">#REF!</definedName>
    <definedName name="PEFIRE_4Q04">#REF!</definedName>
    <definedName name="PEFIRE_4Q05">#REF!</definedName>
    <definedName name="PEFIRE_4Q06">#REF!</definedName>
    <definedName name="PEFIRE_4Q07">#REF!</definedName>
    <definedName name="PEFIRE_4Q08">#REF!</definedName>
    <definedName name="PEFIRE_4Q09">#REF!</definedName>
    <definedName name="PEFIRE_4Q10">#REF!</definedName>
    <definedName name="PEFIRE_4Q11">#REF!</definedName>
    <definedName name="PEFIRE_4Q12">#REF!</definedName>
    <definedName name="PEFIRE_4Q13">#REF!</definedName>
    <definedName name="PEFIRE_4Q14">#REF!</definedName>
    <definedName name="PEFIRE_4Q15">#REF!</definedName>
    <definedName name="PEFIRE_4Q16">#REF!</definedName>
    <definedName name="PEFIRE_4Q17">#REF!</definedName>
    <definedName name="PEFIRE_4Q18">#REF!</definedName>
    <definedName name="PEFIRE_4Q19">#REF!</definedName>
    <definedName name="PEFIRE_4Q20">#REF!</definedName>
    <definedName name="PEFIRE_4Q21">#REF!</definedName>
    <definedName name="PEFIRE_4Q22">#REF!</definedName>
    <definedName name="PEFIRE_4Q23">#REF!</definedName>
    <definedName name="PEFIRE_4Q24">#REF!</definedName>
    <definedName name="PERCOS_1995">#REF!</definedName>
    <definedName name="PERCOS_1996">#REF!</definedName>
    <definedName name="PERCOS_1997">#REF!</definedName>
    <definedName name="PERCOS_1998">#REF!</definedName>
    <definedName name="PERCOS_1999">#REF!</definedName>
    <definedName name="PERCOS_1Q00">#REF!</definedName>
    <definedName name="PERCOS_1Q01">#REF!</definedName>
    <definedName name="PERCOS_1Q02">#REF!</definedName>
    <definedName name="PERCOS_1Q03">#REF!</definedName>
    <definedName name="PERCOS_1Q04">#REF!</definedName>
    <definedName name="PERCOS_1Q05">#REF!</definedName>
    <definedName name="PERCOS_1Q06">#REF!</definedName>
    <definedName name="PERCOS_1Q07">#REF!</definedName>
    <definedName name="PERCOS_1Q08">#REF!</definedName>
    <definedName name="PERCOS_1Q09">#REF!</definedName>
    <definedName name="PERCOS_1Q10">#REF!</definedName>
    <definedName name="PERCOS_1Q11">#REF!</definedName>
    <definedName name="PERCOS_1Q12">#REF!</definedName>
    <definedName name="PERCOS_1Q13">#REF!</definedName>
    <definedName name="PERCOS_1Q14">#REF!</definedName>
    <definedName name="PERCOS_1Q15">#REF!</definedName>
    <definedName name="PERCOS_1Q16">#REF!</definedName>
    <definedName name="PERCOS_1Q17">#REF!</definedName>
    <definedName name="PERCOS_1Q18">#REF!</definedName>
    <definedName name="PERCOS_1Q19">#REF!</definedName>
    <definedName name="PERCOS_1Q20">#REF!</definedName>
    <definedName name="PERCOS_1Q21">#REF!</definedName>
    <definedName name="PERCOS_1Q22">#REF!</definedName>
    <definedName name="PERCOS_1Q23">#REF!</definedName>
    <definedName name="PERCOS_1Q24">#REF!</definedName>
    <definedName name="PERCOS_2000">#REF!</definedName>
    <definedName name="PERCOS_2001">#REF!</definedName>
    <definedName name="PERCOS_2002">#REF!</definedName>
    <definedName name="PERCOS_2003">#REF!</definedName>
    <definedName name="PERCOS_2004">#REF!</definedName>
    <definedName name="PERCOS_2005">#REF!</definedName>
    <definedName name="PERCOS_2006">#REF!</definedName>
    <definedName name="PERCOS_2007">#REF!</definedName>
    <definedName name="PERCOS_2008">#REF!</definedName>
    <definedName name="PERCOS_2009">#REF!</definedName>
    <definedName name="PERCOS_2010">#REF!</definedName>
    <definedName name="PERCOS_2011">#REF!</definedName>
    <definedName name="PERCOS_2012">#REF!</definedName>
    <definedName name="PERCOS_2013">#REF!</definedName>
    <definedName name="PERCOS_2014">#REF!</definedName>
    <definedName name="PERCOS_2015">#REF!</definedName>
    <definedName name="PERCOS_2016">#REF!</definedName>
    <definedName name="PERCOS_2017">#REF!</definedName>
    <definedName name="PERCOS_2018">#REF!</definedName>
    <definedName name="PERCOS_2019">#REF!</definedName>
    <definedName name="PERCOS_2020">#REF!</definedName>
    <definedName name="PERCOS_2021">#REF!</definedName>
    <definedName name="PERCOS_2022">#REF!</definedName>
    <definedName name="PERCOS_2023">#REF!</definedName>
    <definedName name="PERCOS_2024">#REF!</definedName>
    <definedName name="PERCOS_2Q00">#REF!</definedName>
    <definedName name="PERCOS_2Q01">#REF!</definedName>
    <definedName name="PERCOS_2Q02">#REF!</definedName>
    <definedName name="PERCOS_2Q03">#REF!</definedName>
    <definedName name="PERCOS_2Q04">#REF!</definedName>
    <definedName name="PERCOS_2Q05">#REF!</definedName>
    <definedName name="PERCOS_2Q06">#REF!</definedName>
    <definedName name="PERCOS_2Q07">#REF!</definedName>
    <definedName name="PERCOS_2Q08">#REF!</definedName>
    <definedName name="PERCOS_2Q09">#REF!</definedName>
    <definedName name="PERCOS_2Q10">#REF!</definedName>
    <definedName name="PERCOS_2Q11">#REF!</definedName>
    <definedName name="PERCOS_2Q12">#REF!</definedName>
    <definedName name="PERCOS_2Q13">#REF!</definedName>
    <definedName name="PERCOS_2Q14">#REF!</definedName>
    <definedName name="PERCOS_2Q15">#REF!</definedName>
    <definedName name="PERCOS_2Q16">#REF!</definedName>
    <definedName name="PERCOS_2Q17">#REF!</definedName>
    <definedName name="PERCOS_2Q18">#REF!</definedName>
    <definedName name="PERCOS_2Q19">#REF!</definedName>
    <definedName name="PERCOS_2Q20">#REF!</definedName>
    <definedName name="PERCOS_2Q21">#REF!</definedName>
    <definedName name="PERCOS_2Q22">#REF!</definedName>
    <definedName name="PERCOS_2Q23">#REF!</definedName>
    <definedName name="PERCOS_2Q24">#REF!</definedName>
    <definedName name="PERCOS_3Q00">#REF!</definedName>
    <definedName name="PERCOS_3Q01">#REF!</definedName>
    <definedName name="PERCOS_3Q02">#REF!</definedName>
    <definedName name="PERCOS_3Q03">#REF!</definedName>
    <definedName name="PERCOS_3Q04">#REF!</definedName>
    <definedName name="PERCOS_3Q05">#REF!</definedName>
    <definedName name="PERCOS_3Q06">#REF!</definedName>
    <definedName name="PERCOS_3Q07">#REF!</definedName>
    <definedName name="PERCOS_3Q08">#REF!</definedName>
    <definedName name="PERCOS_3Q09">#REF!</definedName>
    <definedName name="PERCOS_3Q10">#REF!</definedName>
    <definedName name="PERCOS_3Q11">#REF!</definedName>
    <definedName name="PERCOS_3Q12">#REF!</definedName>
    <definedName name="PERCOS_3Q13">#REF!</definedName>
    <definedName name="PERCOS_3Q14">#REF!</definedName>
    <definedName name="PERCOS_3Q15">#REF!</definedName>
    <definedName name="PERCOS_3Q16">#REF!</definedName>
    <definedName name="PERCOS_3Q17">#REF!</definedName>
    <definedName name="PERCOS_3Q18">#REF!</definedName>
    <definedName name="PERCOS_3Q19">#REF!</definedName>
    <definedName name="PERCOS_3Q20">#REF!</definedName>
    <definedName name="PERCOS_3Q21">#REF!</definedName>
    <definedName name="PERCOS_3Q22">#REF!</definedName>
    <definedName name="PERCOS_3Q23">#REF!</definedName>
    <definedName name="PERCOS_3Q24">#REF!</definedName>
    <definedName name="PERCOS_4Q00">#REF!</definedName>
    <definedName name="PERCOS_4Q01">#REF!</definedName>
    <definedName name="PERCOS_4Q02">#REF!</definedName>
    <definedName name="PERCOS_4Q03">#REF!</definedName>
    <definedName name="PERCOS_4Q04">#REF!</definedName>
    <definedName name="PERCOS_4Q05">#REF!</definedName>
    <definedName name="PERCOS_4Q06">#REF!</definedName>
    <definedName name="PERCOS_4Q07">#REF!</definedName>
    <definedName name="PERCOS_4Q08">#REF!</definedName>
    <definedName name="PERCOS_4Q09">#REF!</definedName>
    <definedName name="PERCOS_4Q10">#REF!</definedName>
    <definedName name="PERCOS_4Q11">#REF!</definedName>
    <definedName name="PERCOS_4Q12">#REF!</definedName>
    <definedName name="PERCOS_4Q13">#REF!</definedName>
    <definedName name="PERCOS_4Q14">#REF!</definedName>
    <definedName name="PERCOS_4Q15">#REF!</definedName>
    <definedName name="PERCOS_4Q16">#REF!</definedName>
    <definedName name="PERCOS_4Q17">#REF!</definedName>
    <definedName name="PERCOS_4Q18">#REF!</definedName>
    <definedName name="PERCOS_4Q19">#REF!</definedName>
    <definedName name="PERCOS_4Q20">#REF!</definedName>
    <definedName name="PERCOS_4Q21">#REF!</definedName>
    <definedName name="PERCOS_4Q22">#REF!</definedName>
    <definedName name="PERCOS_4Q23">#REF!</definedName>
    <definedName name="PERCOS_4Q24">#REF!</definedName>
    <definedName name="PerEndDateSerial">#REF!</definedName>
    <definedName name="Pie">Word</definedName>
    <definedName name="PPtMatrix">#REF!</definedName>
    <definedName name="Pre_Tax_Income">#REF!</definedName>
    <definedName name="PREFDV_1995">#REF!</definedName>
    <definedName name="PREFDV_1996">#REF!</definedName>
    <definedName name="PREFDV_1997">#REF!</definedName>
    <definedName name="PREFDV_1998">#REF!</definedName>
    <definedName name="PREFDV_1999">#REF!</definedName>
    <definedName name="PREFDV_1Q00">#REF!</definedName>
    <definedName name="PREFDV_1Q01">#REF!</definedName>
    <definedName name="PREFDV_1Q02">#REF!</definedName>
    <definedName name="PREFDV_1Q03">#REF!</definedName>
    <definedName name="PREFDV_1Q04">#REF!</definedName>
    <definedName name="PREFDV_1Q05">#REF!</definedName>
    <definedName name="PREFDV_1Q06">#REF!</definedName>
    <definedName name="PREFDV_1Q07">#REF!</definedName>
    <definedName name="PREFDV_1Q08">#REF!</definedName>
    <definedName name="PREFDV_1Q09">#REF!</definedName>
    <definedName name="PREFDV_1Q10">#REF!</definedName>
    <definedName name="PREFDV_1Q11">#REF!</definedName>
    <definedName name="PREFDV_1Q12">#REF!</definedName>
    <definedName name="PREFDV_1Q13">#REF!</definedName>
    <definedName name="PREFDV_1Q14">#REF!</definedName>
    <definedName name="PREFDV_1Q15">#REF!</definedName>
    <definedName name="PREFDV_1Q16">#REF!</definedName>
    <definedName name="PREFDV_1Q17">#REF!</definedName>
    <definedName name="PREFDV_1Q18">#REF!</definedName>
    <definedName name="PREFDV_1Q19">#REF!</definedName>
    <definedName name="PREFDV_1Q20">#REF!</definedName>
    <definedName name="PREFDV_1Q21">#REF!</definedName>
    <definedName name="PREFDV_1Q22">#REF!</definedName>
    <definedName name="PREFDV_1Q23">#REF!</definedName>
    <definedName name="PREFDV_1Q24">#REF!</definedName>
    <definedName name="PREFDV_2000">#REF!</definedName>
    <definedName name="PREFDV_2001">#REF!</definedName>
    <definedName name="PREFDV_2002">#REF!</definedName>
    <definedName name="PREFDV_2003">#REF!</definedName>
    <definedName name="PREFDV_2004">#REF!</definedName>
    <definedName name="PREFDV_2005">#REF!</definedName>
    <definedName name="PREFDV_2006">#REF!</definedName>
    <definedName name="PREFDV_2007">#REF!</definedName>
    <definedName name="PREFDV_2008">#REF!</definedName>
    <definedName name="PREFDV_2009">#REF!</definedName>
    <definedName name="PREFDV_2010">#REF!</definedName>
    <definedName name="PREFDV_2011">#REF!</definedName>
    <definedName name="PREFDV_2012">#REF!</definedName>
    <definedName name="PREFDV_2013">#REF!</definedName>
    <definedName name="PREFDV_2014">#REF!</definedName>
    <definedName name="PREFDV_2015">#REF!</definedName>
    <definedName name="PREFDV_2016">#REF!</definedName>
    <definedName name="PREFDV_2017">#REF!</definedName>
    <definedName name="PREFDV_2018">#REF!</definedName>
    <definedName name="PREFDV_2019">#REF!</definedName>
    <definedName name="PREFDV_2020">#REF!</definedName>
    <definedName name="PREFDV_2021">#REF!</definedName>
    <definedName name="PREFDV_2022">#REF!</definedName>
    <definedName name="PREFDV_2023">#REF!</definedName>
    <definedName name="PREFDV_2024">#REF!</definedName>
    <definedName name="PREFDV_2Q00">#REF!</definedName>
    <definedName name="PREFDV_2Q01">#REF!</definedName>
    <definedName name="PREFDV_2Q02">#REF!</definedName>
    <definedName name="PREFDV_2Q03">#REF!</definedName>
    <definedName name="PREFDV_2Q04">#REF!</definedName>
    <definedName name="PREFDV_2Q05">#REF!</definedName>
    <definedName name="PREFDV_2Q06">#REF!</definedName>
    <definedName name="PREFDV_2Q07">#REF!</definedName>
    <definedName name="PREFDV_2Q08">#REF!</definedName>
    <definedName name="PREFDV_2Q09">#REF!</definedName>
    <definedName name="PREFDV_2Q10">#REF!</definedName>
    <definedName name="PREFDV_2Q11">#REF!</definedName>
    <definedName name="PREFDV_2Q12">#REF!</definedName>
    <definedName name="PREFDV_2Q13">#REF!</definedName>
    <definedName name="PREFDV_2Q14">#REF!</definedName>
    <definedName name="PREFDV_2Q15">#REF!</definedName>
    <definedName name="PREFDV_2Q16">#REF!</definedName>
    <definedName name="PREFDV_2Q17">#REF!</definedName>
    <definedName name="PREFDV_2Q18">#REF!</definedName>
    <definedName name="PREFDV_2Q19">#REF!</definedName>
    <definedName name="PREFDV_2Q20">#REF!</definedName>
    <definedName name="PREFDV_2Q21">#REF!</definedName>
    <definedName name="PREFDV_2Q22">#REF!</definedName>
    <definedName name="PREFDV_2Q23">#REF!</definedName>
    <definedName name="PREFDV_2Q24">#REF!</definedName>
    <definedName name="PREFDV_3Q00">#REF!</definedName>
    <definedName name="PREFDV_3Q01">#REF!</definedName>
    <definedName name="PREFDV_3Q02">#REF!</definedName>
    <definedName name="PREFDV_3Q03">#REF!</definedName>
    <definedName name="PREFDV_3Q04">#REF!</definedName>
    <definedName name="PREFDV_3Q05">#REF!</definedName>
    <definedName name="PREFDV_3Q06">#REF!</definedName>
    <definedName name="PREFDV_3Q07">#REF!</definedName>
    <definedName name="PREFDV_3Q08">#REF!</definedName>
    <definedName name="PREFDV_3Q09">#REF!</definedName>
    <definedName name="PREFDV_3Q10">#REF!</definedName>
    <definedName name="PREFDV_3Q11">#REF!</definedName>
    <definedName name="PREFDV_3Q12">#REF!</definedName>
    <definedName name="PREFDV_3Q13">#REF!</definedName>
    <definedName name="PREFDV_3Q14">#REF!</definedName>
    <definedName name="PREFDV_3Q15">#REF!</definedName>
    <definedName name="PREFDV_3Q16">#REF!</definedName>
    <definedName name="PREFDV_3Q17">#REF!</definedName>
    <definedName name="PREFDV_3Q18">#REF!</definedName>
    <definedName name="PREFDV_3Q19">#REF!</definedName>
    <definedName name="PREFDV_3Q20">#REF!</definedName>
    <definedName name="PREFDV_3Q21">#REF!</definedName>
    <definedName name="PREFDV_3Q22">#REF!</definedName>
    <definedName name="PREFDV_3Q23">#REF!</definedName>
    <definedName name="PREFDV_3Q24">#REF!</definedName>
    <definedName name="PREFDV_4Q00">#REF!</definedName>
    <definedName name="PREFDV_4Q01">#REF!</definedName>
    <definedName name="PREFDV_4Q02">#REF!</definedName>
    <definedName name="PREFDV_4Q03">#REF!</definedName>
    <definedName name="PREFDV_4Q04">#REF!</definedName>
    <definedName name="PREFDV_4Q05">#REF!</definedName>
    <definedName name="PREFDV_4Q06">#REF!</definedName>
    <definedName name="PREFDV_4Q07">#REF!</definedName>
    <definedName name="PREFDV_4Q08">#REF!</definedName>
    <definedName name="PREFDV_4Q09">#REF!</definedName>
    <definedName name="PREFDV_4Q10">#REF!</definedName>
    <definedName name="PREFDV_4Q11">#REF!</definedName>
    <definedName name="PREFDV_4Q12">#REF!</definedName>
    <definedName name="PREFDV_4Q13">#REF!</definedName>
    <definedName name="PREFDV_4Q14">#REF!</definedName>
    <definedName name="PREFDV_4Q15">#REF!</definedName>
    <definedName name="PREFDV_4Q16">#REF!</definedName>
    <definedName name="PREFDV_4Q17">#REF!</definedName>
    <definedName name="PREFDV_4Q18">#REF!</definedName>
    <definedName name="PREFDV_4Q19">#REF!</definedName>
    <definedName name="PREFDV_4Q20">#REF!</definedName>
    <definedName name="PREFDV_4Q21">#REF!</definedName>
    <definedName name="PREFDV_4Q22">#REF!</definedName>
    <definedName name="PREFDV_4Q23">#REF!</definedName>
    <definedName name="PREFDV_4Q24">#REF!</definedName>
    <definedName name="PREFSC_1995">#REF!</definedName>
    <definedName name="PREFSC_1996">#REF!</definedName>
    <definedName name="PREFSC_1997">#REF!</definedName>
    <definedName name="PREFSC_1998">#REF!</definedName>
    <definedName name="PREFSC_1999">#REF!</definedName>
    <definedName name="PREFSC_1Q00">#REF!</definedName>
    <definedName name="PREFSC_1Q01">#REF!</definedName>
    <definedName name="PREFSC_1Q02">#REF!</definedName>
    <definedName name="PREFSC_1Q03">#REF!</definedName>
    <definedName name="PREFSC_1Q04">#REF!</definedName>
    <definedName name="PREFSC_1Q05">#REF!</definedName>
    <definedName name="PREFSC_1Q06">#REF!</definedName>
    <definedName name="PREFSC_1Q07">#REF!</definedName>
    <definedName name="PREFSC_1Q08">#REF!</definedName>
    <definedName name="PREFSC_1Q09">#REF!</definedName>
    <definedName name="PREFSC_1Q10">#REF!</definedName>
    <definedName name="PREFSC_1Q11">#REF!</definedName>
    <definedName name="PREFSC_1Q12">#REF!</definedName>
    <definedName name="PREFSC_1Q13">#REF!</definedName>
    <definedName name="PREFSC_1Q14">#REF!</definedName>
    <definedName name="PREFSC_1Q15">#REF!</definedName>
    <definedName name="PREFSC_1Q16">#REF!</definedName>
    <definedName name="PREFSC_1Q17">#REF!</definedName>
    <definedName name="PREFSC_1Q18">#REF!</definedName>
    <definedName name="PREFSC_1Q19">#REF!</definedName>
    <definedName name="PREFSC_1Q20">#REF!</definedName>
    <definedName name="PREFSC_1Q21">#REF!</definedName>
    <definedName name="PREFSC_1Q22">#REF!</definedName>
    <definedName name="PREFSC_1Q23">#REF!</definedName>
    <definedName name="PREFSC_1Q24">#REF!</definedName>
    <definedName name="PREFSC_2000">#REF!</definedName>
    <definedName name="PREFSC_2001">#REF!</definedName>
    <definedName name="PREFSC_2002">#REF!</definedName>
    <definedName name="PREFSC_2003">#REF!</definedName>
    <definedName name="PREFSC_2004">#REF!</definedName>
    <definedName name="PREFSC_2005">#REF!</definedName>
    <definedName name="PREFSC_2006">#REF!</definedName>
    <definedName name="PREFSC_2007">#REF!</definedName>
    <definedName name="PREFSC_2008">#REF!</definedName>
    <definedName name="PREFSC_2009">#REF!</definedName>
    <definedName name="PREFSC_2010">#REF!</definedName>
    <definedName name="PREFSC_2011">#REF!</definedName>
    <definedName name="PREFSC_2012">#REF!</definedName>
    <definedName name="PREFSC_2013">#REF!</definedName>
    <definedName name="PREFSC_2014">#REF!</definedName>
    <definedName name="PREFSC_2015">#REF!</definedName>
    <definedName name="PREFSC_2016">#REF!</definedName>
    <definedName name="PREFSC_2017">#REF!</definedName>
    <definedName name="PREFSC_2018">#REF!</definedName>
    <definedName name="PREFSC_2019">#REF!</definedName>
    <definedName name="PREFSC_2020">#REF!</definedName>
    <definedName name="PREFSC_2021">#REF!</definedName>
    <definedName name="PREFSC_2022">#REF!</definedName>
    <definedName name="PREFSC_2023">#REF!</definedName>
    <definedName name="PREFSC_2024">#REF!</definedName>
    <definedName name="PREFSC_2Q00">#REF!</definedName>
    <definedName name="PREFSC_2Q01">#REF!</definedName>
    <definedName name="PREFSC_2Q02">#REF!</definedName>
    <definedName name="PREFSC_2Q03">#REF!</definedName>
    <definedName name="PREFSC_2Q04">#REF!</definedName>
    <definedName name="PREFSC_2Q05">#REF!</definedName>
    <definedName name="PREFSC_2Q06">#REF!</definedName>
    <definedName name="PREFSC_2Q07">#REF!</definedName>
    <definedName name="PREFSC_2Q08">#REF!</definedName>
    <definedName name="PREFSC_2Q09">#REF!</definedName>
    <definedName name="PREFSC_2Q10">#REF!</definedName>
    <definedName name="PREFSC_2Q11">#REF!</definedName>
    <definedName name="PREFSC_2Q12">#REF!</definedName>
    <definedName name="PREFSC_2Q13">#REF!</definedName>
    <definedName name="PREFSC_2Q14">#REF!</definedName>
    <definedName name="PREFSC_2Q15">#REF!</definedName>
    <definedName name="PREFSC_2Q16">#REF!</definedName>
    <definedName name="PREFSC_2Q17">#REF!</definedName>
    <definedName name="PREFSC_2Q18">#REF!</definedName>
    <definedName name="PREFSC_2Q19">#REF!</definedName>
    <definedName name="PREFSC_2Q20">#REF!</definedName>
    <definedName name="PREFSC_2Q21">#REF!</definedName>
    <definedName name="PREFSC_2Q22">#REF!</definedName>
    <definedName name="PREFSC_2Q23">#REF!</definedName>
    <definedName name="PREFSC_2Q24">#REF!</definedName>
    <definedName name="PREFSC_3Q00">#REF!</definedName>
    <definedName name="PREFSC_3Q01">#REF!</definedName>
    <definedName name="PREFSC_3Q02">#REF!</definedName>
    <definedName name="PREFSC_3Q03">#REF!</definedName>
    <definedName name="PREFSC_3Q04">#REF!</definedName>
    <definedName name="PREFSC_3Q05">#REF!</definedName>
    <definedName name="PREFSC_3Q06">#REF!</definedName>
    <definedName name="PREFSC_3Q07">#REF!</definedName>
    <definedName name="PREFSC_3Q08">#REF!</definedName>
    <definedName name="PREFSC_3Q09">#REF!</definedName>
    <definedName name="PREFSC_3Q10">#REF!</definedName>
    <definedName name="PREFSC_3Q11">#REF!</definedName>
    <definedName name="PREFSC_3Q12">#REF!</definedName>
    <definedName name="PREFSC_3Q13">#REF!</definedName>
    <definedName name="PREFSC_3Q14">#REF!</definedName>
    <definedName name="PREFSC_3Q15">#REF!</definedName>
    <definedName name="PREFSC_3Q16">#REF!</definedName>
    <definedName name="PREFSC_3Q17">#REF!</definedName>
    <definedName name="PREFSC_3Q18">#REF!</definedName>
    <definedName name="PREFSC_3Q19">#REF!</definedName>
    <definedName name="PREFSC_3Q20">#REF!</definedName>
    <definedName name="PREFSC_3Q21">#REF!</definedName>
    <definedName name="PREFSC_3Q22">#REF!</definedName>
    <definedName name="PREFSC_3Q23">#REF!</definedName>
    <definedName name="PREFSC_3Q24">#REF!</definedName>
    <definedName name="PREFSC_4Q00">#REF!</definedName>
    <definedName name="PREFSC_4Q01">#REF!</definedName>
    <definedName name="PREFSC_4Q02">#REF!</definedName>
    <definedName name="PREFSC_4Q03">#REF!</definedName>
    <definedName name="PREFSC_4Q04">#REF!</definedName>
    <definedName name="PREFSC_4Q05">#REF!</definedName>
    <definedName name="PREFSC_4Q06">#REF!</definedName>
    <definedName name="PREFSC_4Q07">#REF!</definedName>
    <definedName name="PREFSC_4Q08">#REF!</definedName>
    <definedName name="PREFSC_4Q09">#REF!</definedName>
    <definedName name="PREFSC_4Q10">#REF!</definedName>
    <definedName name="PREFSC_4Q11">#REF!</definedName>
    <definedName name="PREFSC_4Q12">#REF!</definedName>
    <definedName name="PREFSC_4Q13">#REF!</definedName>
    <definedName name="PREFSC_4Q14">#REF!</definedName>
    <definedName name="PREFSC_4Q15">#REF!</definedName>
    <definedName name="PREFSC_4Q16">#REF!</definedName>
    <definedName name="PREFSC_4Q17">#REF!</definedName>
    <definedName name="PREFSC_4Q18">#REF!</definedName>
    <definedName name="PREFSC_4Q19">#REF!</definedName>
    <definedName name="PREFSC_4Q20">#REF!</definedName>
    <definedName name="PREFSC_4Q21">#REF!</definedName>
    <definedName name="PREFSC_4Q22">#REF!</definedName>
    <definedName name="PREFSC_4Q23">#REF!</definedName>
    <definedName name="PREFSC_4Q24">#REF!</definedName>
    <definedName name="PreTax_Income_Adj">#REF!</definedName>
    <definedName name="_xlnm.Print_Area" localSheetId="2">'Balance Sheet'!$A$2:$BX$57</definedName>
    <definedName name="_xlnm.Print_Area" localSheetId="3">Forecasts!$A$2:$BX$53</definedName>
    <definedName name="_xlnm.Print_Area" localSheetId="1">'Income Statement'!$A$2:$BX$75</definedName>
    <definedName name="_xlnm.Print_Area">#REF!</definedName>
    <definedName name="PrintGraph">#REF!</definedName>
    <definedName name="PrintTitle1">#REF!</definedName>
    <definedName name="ProImportExport.ImportFile">[0]!ProImportExport.ImportFile</definedName>
    <definedName name="ProImportExport.SaveNewFile">[0]!ProImportExport.SaveNewFile</definedName>
    <definedName name="ProjectName">#REF!</definedName>
    <definedName name="PROVBL_1995">#REF!</definedName>
    <definedName name="PROVBL_1996">#REF!</definedName>
    <definedName name="PROVBL_1997">#REF!</definedName>
    <definedName name="PROVBL_1998">#REF!</definedName>
    <definedName name="PROVBL_1999">#REF!</definedName>
    <definedName name="PROVBL_1Q00">#REF!</definedName>
    <definedName name="PROVBL_1Q01">#REF!</definedName>
    <definedName name="PROVBL_1Q02">#REF!</definedName>
    <definedName name="PROVBL_1Q03">#REF!</definedName>
    <definedName name="PROVBL_1Q04">#REF!</definedName>
    <definedName name="PROVBL_1Q05">#REF!</definedName>
    <definedName name="PROVBL_1Q06">#REF!</definedName>
    <definedName name="PROVBL_1Q07">#REF!</definedName>
    <definedName name="PROVBL_1Q08">#REF!</definedName>
    <definedName name="PROVBL_1Q09">#REF!</definedName>
    <definedName name="PROVBL_1Q10">#REF!</definedName>
    <definedName name="PROVBL_1Q11">#REF!</definedName>
    <definedName name="PROVBL_1Q12">#REF!</definedName>
    <definedName name="PROVBL_1Q13">#REF!</definedName>
    <definedName name="PROVBL_1Q14">#REF!</definedName>
    <definedName name="PROVBL_1Q15">#REF!</definedName>
    <definedName name="PROVBL_1Q16">#REF!</definedName>
    <definedName name="PROVBL_1Q17">#REF!</definedName>
    <definedName name="PROVBL_1Q18">#REF!</definedName>
    <definedName name="PROVBL_1Q19">#REF!</definedName>
    <definedName name="PROVBL_1Q20">#REF!</definedName>
    <definedName name="PROVBL_1Q21">#REF!</definedName>
    <definedName name="PROVBL_1Q22">#REF!</definedName>
    <definedName name="PROVBL_1Q23">#REF!</definedName>
    <definedName name="PROVBL_1Q24">#REF!</definedName>
    <definedName name="PROVBL_2000">#REF!</definedName>
    <definedName name="PROVBL_2001">#REF!</definedName>
    <definedName name="PROVBL_2002">#REF!</definedName>
    <definedName name="PROVBL_2003">#REF!</definedName>
    <definedName name="PROVBL_2004">#REF!</definedName>
    <definedName name="PROVBL_2005">#REF!</definedName>
    <definedName name="PROVBL_2006">#REF!</definedName>
    <definedName name="PROVBL_2007">#REF!</definedName>
    <definedName name="PROVBL_2008">#REF!</definedName>
    <definedName name="PROVBL_2009">#REF!</definedName>
    <definedName name="PROVBL_2010">#REF!</definedName>
    <definedName name="PROVBL_2011">#REF!</definedName>
    <definedName name="PROVBL_2012">#REF!</definedName>
    <definedName name="PROVBL_2013">#REF!</definedName>
    <definedName name="PROVBL_2014">#REF!</definedName>
    <definedName name="PROVBL_2015">#REF!</definedName>
    <definedName name="PROVBL_2016">#REF!</definedName>
    <definedName name="PROVBL_2017">#REF!</definedName>
    <definedName name="PROVBL_2018">#REF!</definedName>
    <definedName name="PROVBL_2019">#REF!</definedName>
    <definedName name="PROVBL_2020">#REF!</definedName>
    <definedName name="PROVBL_2021">#REF!</definedName>
    <definedName name="PROVBL_2022">#REF!</definedName>
    <definedName name="PROVBL_2023">#REF!</definedName>
    <definedName name="PROVBL_2024">#REF!</definedName>
    <definedName name="PROVBL_2Q00">#REF!</definedName>
    <definedName name="PROVBL_2Q01">#REF!</definedName>
    <definedName name="PROVBL_2Q02">#REF!</definedName>
    <definedName name="PROVBL_2Q03">#REF!</definedName>
    <definedName name="PROVBL_2Q04">#REF!</definedName>
    <definedName name="PROVBL_2Q05">#REF!</definedName>
    <definedName name="PROVBL_2Q06">#REF!</definedName>
    <definedName name="PROVBL_2Q07">#REF!</definedName>
    <definedName name="PROVBL_2Q08">#REF!</definedName>
    <definedName name="PROVBL_2Q09">#REF!</definedName>
    <definedName name="PROVBL_2Q10">#REF!</definedName>
    <definedName name="PROVBL_2Q11">#REF!</definedName>
    <definedName name="PROVBL_2Q12">#REF!</definedName>
    <definedName name="PROVBL_2Q13">#REF!</definedName>
    <definedName name="PROVBL_2Q14">#REF!</definedName>
    <definedName name="PROVBL_2Q15">#REF!</definedName>
    <definedName name="PROVBL_2Q16">#REF!</definedName>
    <definedName name="PROVBL_2Q17">#REF!</definedName>
    <definedName name="PROVBL_2Q18">#REF!</definedName>
    <definedName name="PROVBL_2Q19">#REF!</definedName>
    <definedName name="PROVBL_2Q20">#REF!</definedName>
    <definedName name="PROVBL_2Q21">#REF!</definedName>
    <definedName name="PROVBL_2Q22">#REF!</definedName>
    <definedName name="PROVBL_2Q23">#REF!</definedName>
    <definedName name="PROVBL_2Q24">#REF!</definedName>
    <definedName name="PROVBL_3Q00">#REF!</definedName>
    <definedName name="PROVBL_3Q01">#REF!</definedName>
    <definedName name="PROVBL_3Q02">#REF!</definedName>
    <definedName name="PROVBL_3Q03">#REF!</definedName>
    <definedName name="PROVBL_3Q04">#REF!</definedName>
    <definedName name="PROVBL_3Q05">#REF!</definedName>
    <definedName name="PROVBL_3Q06">#REF!</definedName>
    <definedName name="PROVBL_3Q07">#REF!</definedName>
    <definedName name="PROVBL_3Q08">#REF!</definedName>
    <definedName name="PROVBL_3Q09">#REF!</definedName>
    <definedName name="PROVBL_3Q10">#REF!</definedName>
    <definedName name="PROVBL_3Q11">#REF!</definedName>
    <definedName name="PROVBL_3Q12">#REF!</definedName>
    <definedName name="PROVBL_3Q13">#REF!</definedName>
    <definedName name="PROVBL_3Q14">#REF!</definedName>
    <definedName name="PROVBL_3Q15">#REF!</definedName>
    <definedName name="PROVBL_3Q16">#REF!</definedName>
    <definedName name="PROVBL_3Q17">#REF!</definedName>
    <definedName name="PROVBL_3Q18">#REF!</definedName>
    <definedName name="PROVBL_3Q19">#REF!</definedName>
    <definedName name="PROVBL_3Q20">#REF!</definedName>
    <definedName name="PROVBL_3Q21">#REF!</definedName>
    <definedName name="PROVBL_3Q22">#REF!</definedName>
    <definedName name="PROVBL_3Q23">#REF!</definedName>
    <definedName name="PROVBL_3Q24">#REF!</definedName>
    <definedName name="PROVBL_4Q00">#REF!</definedName>
    <definedName name="PROVBL_4Q01">#REF!</definedName>
    <definedName name="PROVBL_4Q02">#REF!</definedName>
    <definedName name="PROVBL_4Q03">#REF!</definedName>
    <definedName name="PROVBL_4Q04">#REF!</definedName>
    <definedName name="PROVBL_4Q05">#REF!</definedName>
    <definedName name="PROVBL_4Q06">#REF!</definedName>
    <definedName name="PROVBL_4Q07">#REF!</definedName>
    <definedName name="PROVBL_4Q08">#REF!</definedName>
    <definedName name="PROVBL_4Q09">#REF!</definedName>
    <definedName name="PROVBL_4Q10">#REF!</definedName>
    <definedName name="PROVBL_4Q11">#REF!</definedName>
    <definedName name="PROVBL_4Q12">#REF!</definedName>
    <definedName name="PROVBL_4Q13">#REF!</definedName>
    <definedName name="PROVBL_4Q14">#REF!</definedName>
    <definedName name="PROVBL_4Q15">#REF!</definedName>
    <definedName name="PROVBL_4Q16">#REF!</definedName>
    <definedName name="PROVBL_4Q17">#REF!</definedName>
    <definedName name="PROVBL_4Q18">#REF!</definedName>
    <definedName name="PROVBL_4Q19">#REF!</definedName>
    <definedName name="PROVBL_4Q20">#REF!</definedName>
    <definedName name="PROVBL_4Q21">#REF!</definedName>
    <definedName name="PROVBL_4Q22">#REF!</definedName>
    <definedName name="PROVBL_4Q23">#REF!</definedName>
    <definedName name="PROVBL_4Q24">#REF!</definedName>
    <definedName name="PSCH_1995">#REF!</definedName>
    <definedName name="PSCH_1996">#REF!</definedName>
    <definedName name="PSCH_1997">#REF!</definedName>
    <definedName name="PSCH_1998">#REF!</definedName>
    <definedName name="PSCH_1999">#REF!</definedName>
    <definedName name="PSCH_1Q00">#REF!</definedName>
    <definedName name="PSCH_1Q01">#REF!</definedName>
    <definedName name="PSCH_1Q02">#REF!</definedName>
    <definedName name="PSCH_1Q03">#REF!</definedName>
    <definedName name="PSCH_1Q04">#REF!</definedName>
    <definedName name="PSCH_1Q05">#REF!</definedName>
    <definedName name="PSCH_1Q06">#REF!</definedName>
    <definedName name="PSCH_1Q07">#REF!</definedName>
    <definedName name="PSCH_1Q08">#REF!</definedName>
    <definedName name="PSCH_1Q09">#REF!</definedName>
    <definedName name="PSCH_1Q10">#REF!</definedName>
    <definedName name="PSCH_1Q11">#REF!</definedName>
    <definedName name="PSCH_1Q12">#REF!</definedName>
    <definedName name="PSCH_1Q13">#REF!</definedName>
    <definedName name="PSCH_1Q14">#REF!</definedName>
    <definedName name="PSCH_1Q15">#REF!</definedName>
    <definedName name="PSCH_1Q16">#REF!</definedName>
    <definedName name="PSCH_1Q17">#REF!</definedName>
    <definedName name="PSCH_1Q18">#REF!</definedName>
    <definedName name="PSCH_1Q19">#REF!</definedName>
    <definedName name="PSCH_1Q20">#REF!</definedName>
    <definedName name="PSCH_1Q21">#REF!</definedName>
    <definedName name="PSCH_1Q22">#REF!</definedName>
    <definedName name="PSCH_1Q23">#REF!</definedName>
    <definedName name="PSCH_1Q24">#REF!</definedName>
    <definedName name="PSCH_2000">#REF!</definedName>
    <definedName name="PSCH_2001">#REF!</definedName>
    <definedName name="PSCH_2002">#REF!</definedName>
    <definedName name="PSCH_2003">#REF!</definedName>
    <definedName name="PSCH_2004">#REF!</definedName>
    <definedName name="PSCH_2005">#REF!</definedName>
    <definedName name="PSCH_2006">#REF!</definedName>
    <definedName name="PSCH_2007">#REF!</definedName>
    <definedName name="PSCH_2008">#REF!</definedName>
    <definedName name="PSCH_2009">#REF!</definedName>
    <definedName name="PSCH_2010">#REF!</definedName>
    <definedName name="PSCH_2011">#REF!</definedName>
    <definedName name="PSCH_2012">#REF!</definedName>
    <definedName name="PSCH_2013">#REF!</definedName>
    <definedName name="PSCH_2014">#REF!</definedName>
    <definedName name="PSCH_2015">#REF!</definedName>
    <definedName name="PSCH_2016">#REF!</definedName>
    <definedName name="PSCH_2017">#REF!</definedName>
    <definedName name="PSCH_2018">#REF!</definedName>
    <definedName name="PSCH_2019">#REF!</definedName>
    <definedName name="PSCH_2020">#REF!</definedName>
    <definedName name="PSCH_2021">#REF!</definedName>
    <definedName name="PSCH_2022">#REF!</definedName>
    <definedName name="PSCH_2023">#REF!</definedName>
    <definedName name="PSCH_2024">#REF!</definedName>
    <definedName name="PSCH_2Q00">#REF!</definedName>
    <definedName name="PSCH_2Q01">#REF!</definedName>
    <definedName name="PSCH_2Q02">#REF!</definedName>
    <definedName name="PSCH_2Q03">#REF!</definedName>
    <definedName name="PSCH_2Q04">#REF!</definedName>
    <definedName name="PSCH_2Q05">#REF!</definedName>
    <definedName name="PSCH_2Q06">#REF!</definedName>
    <definedName name="PSCH_2Q07">#REF!</definedName>
    <definedName name="PSCH_2Q08">#REF!</definedName>
    <definedName name="PSCH_2Q09">#REF!</definedName>
    <definedName name="PSCH_2Q10">#REF!</definedName>
    <definedName name="PSCH_2Q11">#REF!</definedName>
    <definedName name="PSCH_2Q12">#REF!</definedName>
    <definedName name="PSCH_2Q13">#REF!</definedName>
    <definedName name="PSCH_2Q14">#REF!</definedName>
    <definedName name="PSCH_2Q15">#REF!</definedName>
    <definedName name="PSCH_2Q16">#REF!</definedName>
    <definedName name="PSCH_2Q17">#REF!</definedName>
    <definedName name="PSCH_2Q18">#REF!</definedName>
    <definedName name="PSCH_2Q19">#REF!</definedName>
    <definedName name="PSCH_2Q20">#REF!</definedName>
    <definedName name="PSCH_2Q21">#REF!</definedName>
    <definedName name="PSCH_2Q22">#REF!</definedName>
    <definedName name="PSCH_2Q23">#REF!</definedName>
    <definedName name="PSCH_2Q24">#REF!</definedName>
    <definedName name="PSCH_3Q00">#REF!</definedName>
    <definedName name="PSCH_3Q01">#REF!</definedName>
    <definedName name="PSCH_3Q02">#REF!</definedName>
    <definedName name="PSCH_3Q03">#REF!</definedName>
    <definedName name="PSCH_3Q04">#REF!</definedName>
    <definedName name="PSCH_3Q05">#REF!</definedName>
    <definedName name="PSCH_3Q06">#REF!</definedName>
    <definedName name="PSCH_3Q07">#REF!</definedName>
    <definedName name="PSCH_3Q08">#REF!</definedName>
    <definedName name="PSCH_3Q09">#REF!</definedName>
    <definedName name="PSCH_3Q10">#REF!</definedName>
    <definedName name="PSCH_3Q11">#REF!</definedName>
    <definedName name="PSCH_3Q12">#REF!</definedName>
    <definedName name="PSCH_3Q13">#REF!</definedName>
    <definedName name="PSCH_3Q14">#REF!</definedName>
    <definedName name="PSCH_3Q15">#REF!</definedName>
    <definedName name="PSCH_3Q16">#REF!</definedName>
    <definedName name="PSCH_3Q17">#REF!</definedName>
    <definedName name="PSCH_3Q18">#REF!</definedName>
    <definedName name="PSCH_3Q19">#REF!</definedName>
    <definedName name="PSCH_3Q20">#REF!</definedName>
    <definedName name="PSCH_3Q21">#REF!</definedName>
    <definedName name="PSCH_3Q22">#REF!</definedName>
    <definedName name="PSCH_3Q23">#REF!</definedName>
    <definedName name="PSCH_3Q24">#REF!</definedName>
    <definedName name="PSCH_4Q00">#REF!</definedName>
    <definedName name="PSCH_4Q01">#REF!</definedName>
    <definedName name="PSCH_4Q02">#REF!</definedName>
    <definedName name="PSCH_4Q03">#REF!</definedName>
    <definedName name="PSCH_4Q04">#REF!</definedName>
    <definedName name="PSCH_4Q05">#REF!</definedName>
    <definedName name="PSCH_4Q06">#REF!</definedName>
    <definedName name="PSCH_4Q07">#REF!</definedName>
    <definedName name="PSCH_4Q08">#REF!</definedName>
    <definedName name="PSCH_4Q09">#REF!</definedName>
    <definedName name="PSCH_4Q10">#REF!</definedName>
    <definedName name="PSCH_4Q11">#REF!</definedName>
    <definedName name="PSCH_4Q12">#REF!</definedName>
    <definedName name="PSCH_4Q13">#REF!</definedName>
    <definedName name="PSCH_4Q14">#REF!</definedName>
    <definedName name="PSCH_4Q15">#REF!</definedName>
    <definedName name="PSCH_4Q16">#REF!</definedName>
    <definedName name="PSCH_4Q17">#REF!</definedName>
    <definedName name="PSCH_4Q18">#REF!</definedName>
    <definedName name="PSCH_4Q19">#REF!</definedName>
    <definedName name="PSCH_4Q20">#REF!</definedName>
    <definedName name="PSCH_4Q21">#REF!</definedName>
    <definedName name="PSCH_4Q22">#REF!</definedName>
    <definedName name="PSCH_4Q23">#REF!</definedName>
    <definedName name="PSCH_4Q24">#REF!</definedName>
    <definedName name="Q1.2008.03">#REF!</definedName>
    <definedName name="Q1.2009.03">#REF!</definedName>
    <definedName name="Q2.2008.06">#REF!</definedName>
    <definedName name="Q2.2009.06">#REF!</definedName>
    <definedName name="Q3.2008.09">#REF!</definedName>
    <definedName name="Q3.2009.09">#REF!</definedName>
    <definedName name="Q4.2008.12">#REF!</definedName>
    <definedName name="Q4.2009.12">#REF!</definedName>
    <definedName name="QtrDate">#REF!</definedName>
    <definedName name="QtrShares">#REF!</definedName>
    <definedName name="Ratioswitch">#REF!</definedName>
    <definedName name="rCSPresetsPPt">#REF!</definedName>
    <definedName name="Recomᗭendation">#REF!</definedName>
    <definedName name="renato">#REF!</definedName>
    <definedName name="Reported_Net_Income">#REF!</definedName>
    <definedName name="RESDEV_1995">#REF!</definedName>
    <definedName name="RESDEV_1996">#REF!</definedName>
    <definedName name="RESDEV_1997">#REF!</definedName>
    <definedName name="RESDEV_1998">#REF!</definedName>
    <definedName name="RESDEV_1999">#REF!</definedName>
    <definedName name="RESDEV_1Q00">#REF!</definedName>
    <definedName name="RESDEV_1Q01">#REF!</definedName>
    <definedName name="RESDEV_1Q02">#REF!</definedName>
    <definedName name="RESDEV_1Q03">#REF!</definedName>
    <definedName name="RESDEV_1Q04">#REF!</definedName>
    <definedName name="RESDEV_1Q05">#REF!</definedName>
    <definedName name="RESDEV_1Q06">#REF!</definedName>
    <definedName name="RESDEV_1Q07">#REF!</definedName>
    <definedName name="RESDEV_1Q08">#REF!</definedName>
    <definedName name="RESDEV_1Q09">#REF!</definedName>
    <definedName name="RESDEV_1Q10">#REF!</definedName>
    <definedName name="RESDEV_1Q11">#REF!</definedName>
    <definedName name="RESDEV_1Q12">#REF!</definedName>
    <definedName name="RESDEV_1Q13">#REF!</definedName>
    <definedName name="RESDEV_1Q14">#REF!</definedName>
    <definedName name="RESDEV_1Q15">#REF!</definedName>
    <definedName name="RESDEV_1Q16">#REF!</definedName>
    <definedName name="RESDEV_1Q17">#REF!</definedName>
    <definedName name="RESDEV_1Q18">#REF!</definedName>
    <definedName name="RESDEV_1Q19">#REF!</definedName>
    <definedName name="RESDEV_1Q20">#REF!</definedName>
    <definedName name="RESDEV_1Q21">#REF!</definedName>
    <definedName name="RESDEV_1Q22">#REF!</definedName>
    <definedName name="RESDEV_1Q23">#REF!</definedName>
    <definedName name="RESDEV_1Q24">#REF!</definedName>
    <definedName name="RESDEV_2000">#REF!</definedName>
    <definedName name="RESDEV_2001">#REF!</definedName>
    <definedName name="RESDEV_2002">#REF!</definedName>
    <definedName name="RESDEV_2003">#REF!</definedName>
    <definedName name="RESDEV_2004">#REF!</definedName>
    <definedName name="RESDEV_2005">#REF!</definedName>
    <definedName name="RESDEV_2006">#REF!</definedName>
    <definedName name="RESDEV_2007">#REF!</definedName>
    <definedName name="RESDEV_2008">#REF!</definedName>
    <definedName name="RESDEV_2009">#REF!</definedName>
    <definedName name="RESDEV_2010">#REF!</definedName>
    <definedName name="RESDEV_2011">#REF!</definedName>
    <definedName name="RESDEV_2012">#REF!</definedName>
    <definedName name="RESDEV_2013">#REF!</definedName>
    <definedName name="RESDEV_2014">#REF!</definedName>
    <definedName name="RESDEV_2015">#REF!</definedName>
    <definedName name="RESDEV_2016">#REF!</definedName>
    <definedName name="RESDEV_2017">#REF!</definedName>
    <definedName name="RESDEV_2018">#REF!</definedName>
    <definedName name="RESDEV_2019">#REF!</definedName>
    <definedName name="RESDEV_2020">#REF!</definedName>
    <definedName name="RESDEV_2021">#REF!</definedName>
    <definedName name="RESDEV_2022">#REF!</definedName>
    <definedName name="RESDEV_2023">#REF!</definedName>
    <definedName name="RESDEV_2024">#REF!</definedName>
    <definedName name="RESDEV_2Q00">#REF!</definedName>
    <definedName name="RESDEV_2Q01">#REF!</definedName>
    <definedName name="RESDEV_2Q02">#REF!</definedName>
    <definedName name="RESDEV_2Q03">#REF!</definedName>
    <definedName name="RESDEV_2Q04">#REF!</definedName>
    <definedName name="RESDEV_2Q05">#REF!</definedName>
    <definedName name="RESDEV_2Q06">#REF!</definedName>
    <definedName name="RESDEV_2Q07">#REF!</definedName>
    <definedName name="RESDEV_2Q08">#REF!</definedName>
    <definedName name="RESDEV_2Q09">#REF!</definedName>
    <definedName name="RESDEV_2Q10">#REF!</definedName>
    <definedName name="RESDEV_2Q11">#REF!</definedName>
    <definedName name="RESDEV_2Q12">#REF!</definedName>
    <definedName name="RESDEV_2Q13">#REF!</definedName>
    <definedName name="RESDEV_2Q14">#REF!</definedName>
    <definedName name="RESDEV_2Q15">#REF!</definedName>
    <definedName name="RESDEV_2Q16">#REF!</definedName>
    <definedName name="RESDEV_2Q17">#REF!</definedName>
    <definedName name="RESDEV_2Q18">#REF!</definedName>
    <definedName name="RESDEV_2Q19">#REF!</definedName>
    <definedName name="RESDEV_2Q20">#REF!</definedName>
    <definedName name="RESDEV_2Q21">#REF!</definedName>
    <definedName name="RESDEV_2Q22">#REF!</definedName>
    <definedName name="RESDEV_2Q23">#REF!</definedName>
    <definedName name="RESDEV_2Q24">#REF!</definedName>
    <definedName name="RESDEV_3Q00">#REF!</definedName>
    <definedName name="RESDEV_3Q01">#REF!</definedName>
    <definedName name="RESDEV_3Q02">#REF!</definedName>
    <definedName name="RESDEV_3Q03">#REF!</definedName>
    <definedName name="RESDEV_3Q04">#REF!</definedName>
    <definedName name="RESDEV_3Q05">#REF!</definedName>
    <definedName name="RESDEV_3Q06">#REF!</definedName>
    <definedName name="RESDEV_3Q07">#REF!</definedName>
    <definedName name="RESDEV_3Q08">#REF!</definedName>
    <definedName name="RESDEV_3Q09">#REF!</definedName>
    <definedName name="RESDEV_3Q10">#REF!</definedName>
    <definedName name="RESDEV_3Q11">#REF!</definedName>
    <definedName name="RESDEV_3Q12">#REF!</definedName>
    <definedName name="RESDEV_3Q13">#REF!</definedName>
    <definedName name="RESDEV_3Q14">#REF!</definedName>
    <definedName name="RESDEV_3Q15">#REF!</definedName>
    <definedName name="RESDEV_3Q16">#REF!</definedName>
    <definedName name="RESDEV_3Q17">#REF!</definedName>
    <definedName name="RESDEV_3Q18">#REF!</definedName>
    <definedName name="RESDEV_3Q19">#REF!</definedName>
    <definedName name="RESDEV_3Q20">#REF!</definedName>
    <definedName name="RESDEV_3Q21">#REF!</definedName>
    <definedName name="RESDEV_3Q22">#REF!</definedName>
    <definedName name="RESDEV_3Q23">#REF!</definedName>
    <definedName name="RESDEV_3Q24">#REF!</definedName>
    <definedName name="RESDEV_4Q00">#REF!</definedName>
    <definedName name="RESDEV_4Q01">#REF!</definedName>
    <definedName name="RESDEV_4Q02">#REF!</definedName>
    <definedName name="RESDEV_4Q03">#REF!</definedName>
    <definedName name="RESDEV_4Q04">#REF!</definedName>
    <definedName name="RESDEV_4Q05">#REF!</definedName>
    <definedName name="RESDEV_4Q06">#REF!</definedName>
    <definedName name="RESDEV_4Q07">#REF!</definedName>
    <definedName name="RESDEV_4Q08">#REF!</definedName>
    <definedName name="RESDEV_4Q09">#REF!</definedName>
    <definedName name="RESDEV_4Q10">#REF!</definedName>
    <definedName name="RESDEV_4Q11">#REF!</definedName>
    <definedName name="RESDEV_4Q12">#REF!</definedName>
    <definedName name="RESDEV_4Q13">#REF!</definedName>
    <definedName name="RESDEV_4Q14">#REF!</definedName>
    <definedName name="RESDEV_4Q15">#REF!</definedName>
    <definedName name="RESDEV_4Q16">#REF!</definedName>
    <definedName name="RESDEV_4Q17">#REF!</definedName>
    <definedName name="RESDEV_4Q18">#REF!</definedName>
    <definedName name="RESDEV_4Q19">#REF!</definedName>
    <definedName name="RESDEV_4Q20">#REF!</definedName>
    <definedName name="RESDEV_4Q21">#REF!</definedName>
    <definedName name="RESDEV_4Q22">#REF!</definedName>
    <definedName name="RESDEV_4Q23">#REF!</definedName>
    <definedName name="RESDEV_4Q24">#REF!</definedName>
    <definedName name="restaure">[0]!restaure</definedName>
    <definedName name="restaure2">[0]!restaure2</definedName>
    <definedName name="rFSPresets">#REF!</definedName>
    <definedName name="RMT_DataBridge_Template_File">""</definedName>
    <definedName name="RMT_DataBridge_Template_Sheet">""</definedName>
    <definedName name="RMT_DataBridge_Template_Type">""</definedName>
    <definedName name="rng_Refresh">#REF!</definedName>
    <definedName name="s">Word</definedName>
    <definedName name="SaveNewFile">[0]!SaveNewFile</definedName>
    <definedName name="sbenini" localSheetId="4" hidden="1">{#N/A,#N/A,FALSE,"Plan1";#N/A,#N/A,FALSE,"Plan2"}</definedName>
    <definedName name="sbenini" localSheetId="6" hidden="1">{#N/A,#N/A,FALSE,"Plan1";#N/A,#N/A,FALSE,"Plan2"}</definedName>
    <definedName name="sbenini" localSheetId="3" hidden="1">{#N/A,#N/A,FALSE,"Plan1";#N/A,#N/A,FALSE,"Plan2"}</definedName>
    <definedName name="sbenini" hidden="1">{#N/A,#N/A,FALSE,"Plan1";#N/A,#N/A,FALSE,"Plan2"}</definedName>
    <definedName name="SGA_1995">#REF!</definedName>
    <definedName name="SGA_1996">#REF!</definedName>
    <definedName name="SGA_1997">#REF!</definedName>
    <definedName name="SGA_1998">#REF!</definedName>
    <definedName name="SGA_1999">#REF!</definedName>
    <definedName name="SGA_1Q00">#REF!</definedName>
    <definedName name="SGA_1Q01">#REF!</definedName>
    <definedName name="SGA_1Q02">#REF!</definedName>
    <definedName name="SGA_1Q03">#REF!</definedName>
    <definedName name="SGA_1Q04">#REF!</definedName>
    <definedName name="SGA_1Q05">#REF!</definedName>
    <definedName name="SGA_1Q06">#REF!</definedName>
    <definedName name="SGA_1Q07">#REF!</definedName>
    <definedName name="SGA_1Q08">#REF!</definedName>
    <definedName name="SGA_1Q09">#REF!</definedName>
    <definedName name="SGA_1Q10">#REF!</definedName>
    <definedName name="SGA_1Q11">#REF!</definedName>
    <definedName name="SGA_1Q12">#REF!</definedName>
    <definedName name="SGA_1Q13">#REF!</definedName>
    <definedName name="SGA_1Q14">#REF!</definedName>
    <definedName name="SGA_1Q15">#REF!</definedName>
    <definedName name="SGA_1Q16">#REF!</definedName>
    <definedName name="SGA_1Q17">#REF!</definedName>
    <definedName name="SGA_1Q18">#REF!</definedName>
    <definedName name="SGA_1Q19">#REF!</definedName>
    <definedName name="SGA_1Q20">#REF!</definedName>
    <definedName name="SGA_1Q21">#REF!</definedName>
    <definedName name="SGA_1Q22">#REF!</definedName>
    <definedName name="SGA_1Q23">#REF!</definedName>
    <definedName name="SGA_1Q24">#REF!</definedName>
    <definedName name="SGA_2000">#REF!</definedName>
    <definedName name="SGA_2001">#REF!</definedName>
    <definedName name="SGA_2002">#REF!</definedName>
    <definedName name="SGA_2003">#REF!</definedName>
    <definedName name="SGA_2004">#REF!</definedName>
    <definedName name="SGA_2005">#REF!</definedName>
    <definedName name="SGA_2006">#REF!</definedName>
    <definedName name="SGA_2007">#REF!</definedName>
    <definedName name="SGA_2008">#REF!</definedName>
    <definedName name="SGA_2009">#REF!</definedName>
    <definedName name="SGA_2010">#REF!</definedName>
    <definedName name="SGA_2011">#REF!</definedName>
    <definedName name="SGA_2012">#REF!</definedName>
    <definedName name="SGA_2013">#REF!</definedName>
    <definedName name="SGA_2014">#REF!</definedName>
    <definedName name="SGA_2015">#REF!</definedName>
    <definedName name="SGA_2016">#REF!</definedName>
    <definedName name="SGA_2017">#REF!</definedName>
    <definedName name="SGA_2018">#REF!</definedName>
    <definedName name="SGA_2019">#REF!</definedName>
    <definedName name="SGA_2020">#REF!</definedName>
    <definedName name="SGA_2021">#REF!</definedName>
    <definedName name="SGA_2022">#REF!</definedName>
    <definedName name="SGA_2023">#REF!</definedName>
    <definedName name="SGA_2024">#REF!</definedName>
    <definedName name="SGA_2Q00">#REF!</definedName>
    <definedName name="SGA_2Q01">#REF!</definedName>
    <definedName name="SGA_2Q02">#REF!</definedName>
    <definedName name="SGA_2Q03">#REF!</definedName>
    <definedName name="SGA_2Q04">#REF!</definedName>
    <definedName name="SGA_2Q05">#REF!</definedName>
    <definedName name="SGA_2Q06">#REF!</definedName>
    <definedName name="SGA_2Q07">#REF!</definedName>
    <definedName name="SGA_2Q08">#REF!</definedName>
    <definedName name="SGA_2Q09">#REF!</definedName>
    <definedName name="SGA_2Q10">#REF!</definedName>
    <definedName name="SGA_2Q11">#REF!</definedName>
    <definedName name="SGA_2Q12">#REF!</definedName>
    <definedName name="SGA_2Q13">#REF!</definedName>
    <definedName name="SGA_2Q14">#REF!</definedName>
    <definedName name="SGA_2Q15">#REF!</definedName>
    <definedName name="SGA_2Q16">#REF!</definedName>
    <definedName name="SGA_2Q17">#REF!</definedName>
    <definedName name="SGA_2Q18">#REF!</definedName>
    <definedName name="SGA_2Q19">#REF!</definedName>
    <definedName name="SGA_2Q20">#REF!</definedName>
    <definedName name="SGA_2Q21">#REF!</definedName>
    <definedName name="SGA_2Q22">#REF!</definedName>
    <definedName name="SGA_2Q23">#REF!</definedName>
    <definedName name="SGA_2Q24">#REF!</definedName>
    <definedName name="SGA_3Q00">#REF!</definedName>
    <definedName name="SGA_3Q01">#REF!</definedName>
    <definedName name="SGA_3Q02">#REF!</definedName>
    <definedName name="SGA_3Q03">#REF!</definedName>
    <definedName name="SGA_3Q04">#REF!</definedName>
    <definedName name="SGA_3Q05">#REF!</definedName>
    <definedName name="SGA_3Q06">#REF!</definedName>
    <definedName name="SGA_3Q07">#REF!</definedName>
    <definedName name="SGA_3Q08">#REF!</definedName>
    <definedName name="SGA_3Q09">#REF!</definedName>
    <definedName name="SGA_3Q10">#REF!</definedName>
    <definedName name="SGA_3Q11">#REF!</definedName>
    <definedName name="SGA_3Q12">#REF!</definedName>
    <definedName name="SGA_3Q13">#REF!</definedName>
    <definedName name="SGA_3Q14">#REF!</definedName>
    <definedName name="SGA_3Q15">#REF!</definedName>
    <definedName name="SGA_3Q16">#REF!</definedName>
    <definedName name="SGA_3Q17">#REF!</definedName>
    <definedName name="SGA_3Q18">#REF!</definedName>
    <definedName name="SGA_3Q19">#REF!</definedName>
    <definedName name="SGA_3Q20">#REF!</definedName>
    <definedName name="SGA_3Q21">#REF!</definedName>
    <definedName name="SGA_3Q22">#REF!</definedName>
    <definedName name="SGA_3Q23">#REF!</definedName>
    <definedName name="SGA_3Q24">#REF!</definedName>
    <definedName name="SGA_4Q00">#REF!</definedName>
    <definedName name="SGA_4Q01">#REF!</definedName>
    <definedName name="SGA_4Q02">#REF!</definedName>
    <definedName name="SGA_4Q03">#REF!</definedName>
    <definedName name="SGA_4Q04">#REF!</definedName>
    <definedName name="SGA_4Q05">#REF!</definedName>
    <definedName name="SGA_4Q06">#REF!</definedName>
    <definedName name="SGA_4Q07">#REF!</definedName>
    <definedName name="SGA_4Q08">#REF!</definedName>
    <definedName name="SGA_4Q09">#REF!</definedName>
    <definedName name="SGA_4Q10">#REF!</definedName>
    <definedName name="SGA_4Q11">#REF!</definedName>
    <definedName name="SGA_4Q12">#REF!</definedName>
    <definedName name="SGA_4Q13">#REF!</definedName>
    <definedName name="SGA_4Q14">#REF!</definedName>
    <definedName name="SGA_4Q15">#REF!</definedName>
    <definedName name="SGA_4Q16">#REF!</definedName>
    <definedName name="SGA_4Q17">#REF!</definedName>
    <definedName name="SGA_4Q18">#REF!</definedName>
    <definedName name="SGA_4Q19">#REF!</definedName>
    <definedName name="SGA_4Q20">#REF!</definedName>
    <definedName name="SGA_4Q21">#REF!</definedName>
    <definedName name="SGA_4Q22">#REF!</definedName>
    <definedName name="SGA_4Q23">#REF!</definedName>
    <definedName name="SGA_4Q24">#REF!</definedName>
    <definedName name="SOEEAT_1995">#REF!</definedName>
    <definedName name="SOEEAT_1996">#REF!</definedName>
    <definedName name="SOEEAT_1997">#REF!</definedName>
    <definedName name="SOEEAT_1998">#REF!</definedName>
    <definedName name="SOEEAT_1999">#REF!</definedName>
    <definedName name="SOEEAT_1Q00">#REF!</definedName>
    <definedName name="SOEEAT_1Q01">#REF!</definedName>
    <definedName name="SOEEAT_1Q02">#REF!</definedName>
    <definedName name="SOEEAT_1Q03">#REF!</definedName>
    <definedName name="SOEEAT_1Q04">#REF!</definedName>
    <definedName name="SOEEAT_1Q05">#REF!</definedName>
    <definedName name="SOEEAT_1Q06">#REF!</definedName>
    <definedName name="SOEEAT_1Q07">#REF!</definedName>
    <definedName name="SOEEAT_1Q08">#REF!</definedName>
    <definedName name="SOEEAT_1Q09">#REF!</definedName>
    <definedName name="SOEEAT_1Q10">#REF!</definedName>
    <definedName name="SOEEAT_1Q11">#REF!</definedName>
    <definedName name="SOEEAT_1Q12">#REF!</definedName>
    <definedName name="SOEEAT_1Q13">#REF!</definedName>
    <definedName name="SOEEAT_1Q14">#REF!</definedName>
    <definedName name="SOEEAT_1Q15">#REF!</definedName>
    <definedName name="SOEEAT_1Q16">#REF!</definedName>
    <definedName name="SOEEAT_1Q17">#REF!</definedName>
    <definedName name="SOEEAT_1Q18">#REF!</definedName>
    <definedName name="SOEEAT_1Q19">#REF!</definedName>
    <definedName name="SOEEAT_1Q20">#REF!</definedName>
    <definedName name="SOEEAT_1Q21">#REF!</definedName>
    <definedName name="SOEEAT_1Q22">#REF!</definedName>
    <definedName name="SOEEAT_1Q23">#REF!</definedName>
    <definedName name="SOEEAT_1Q24">#REF!</definedName>
    <definedName name="SOEEAT_2000">#REF!</definedName>
    <definedName name="SOEEAT_2001">#REF!</definedName>
    <definedName name="SOEEAT_2002">#REF!</definedName>
    <definedName name="SOEEAT_2003">#REF!</definedName>
    <definedName name="SOEEAT_2004">#REF!</definedName>
    <definedName name="SOEEAT_2005">#REF!</definedName>
    <definedName name="SOEEAT_2006">#REF!</definedName>
    <definedName name="SOEEAT_2007">#REF!</definedName>
    <definedName name="SOEEAT_2008">#REF!</definedName>
    <definedName name="SOEEAT_2009">#REF!</definedName>
    <definedName name="SOEEAT_2010">#REF!</definedName>
    <definedName name="SOEEAT_2011">#REF!</definedName>
    <definedName name="SOEEAT_2012">#REF!</definedName>
    <definedName name="SOEEAT_2013">#REF!</definedName>
    <definedName name="SOEEAT_2014">#REF!</definedName>
    <definedName name="SOEEAT_2015">#REF!</definedName>
    <definedName name="SOEEAT_2016">#REF!</definedName>
    <definedName name="SOEEAT_2017">#REF!</definedName>
    <definedName name="SOEEAT_2018">#REF!</definedName>
    <definedName name="SOEEAT_2019">#REF!</definedName>
    <definedName name="SOEEAT_2020">#REF!</definedName>
    <definedName name="SOEEAT_2021">#REF!</definedName>
    <definedName name="SOEEAT_2022">#REF!</definedName>
    <definedName name="SOEEAT_2023">#REF!</definedName>
    <definedName name="SOEEAT_2024">#REF!</definedName>
    <definedName name="SOEEAT_2Q00">#REF!</definedName>
    <definedName name="SOEEAT_2Q01">#REF!</definedName>
    <definedName name="SOEEAT_2Q02">#REF!</definedName>
    <definedName name="SOEEAT_2Q03">#REF!</definedName>
    <definedName name="SOEEAT_2Q04">#REF!</definedName>
    <definedName name="SOEEAT_2Q05">#REF!</definedName>
    <definedName name="SOEEAT_2Q06">#REF!</definedName>
    <definedName name="SOEEAT_2Q07">#REF!</definedName>
    <definedName name="SOEEAT_2Q08">#REF!</definedName>
    <definedName name="SOEEAT_2Q09">#REF!</definedName>
    <definedName name="SOEEAT_2Q10">#REF!</definedName>
    <definedName name="SOEEAT_2Q11">#REF!</definedName>
    <definedName name="SOEEAT_2Q12">#REF!</definedName>
    <definedName name="SOEEAT_2Q13">#REF!</definedName>
    <definedName name="SOEEAT_2Q14">#REF!</definedName>
    <definedName name="SOEEAT_2Q15">#REF!</definedName>
    <definedName name="SOEEAT_2Q16">#REF!</definedName>
    <definedName name="SOEEAT_2Q17">#REF!</definedName>
    <definedName name="SOEEAT_2Q18">#REF!</definedName>
    <definedName name="SOEEAT_2Q19">#REF!</definedName>
    <definedName name="SOEEAT_2Q20">#REF!</definedName>
    <definedName name="SOEEAT_2Q21">#REF!</definedName>
    <definedName name="SOEEAT_2Q22">#REF!</definedName>
    <definedName name="SOEEAT_2Q23">#REF!</definedName>
    <definedName name="SOEEAT_2Q24">#REF!</definedName>
    <definedName name="SOEEAT_3Q00">#REF!</definedName>
    <definedName name="SOEEAT_3Q01">#REF!</definedName>
    <definedName name="SOEEAT_3Q02">#REF!</definedName>
    <definedName name="SOEEAT_3Q03">#REF!</definedName>
    <definedName name="SOEEAT_3Q04">#REF!</definedName>
    <definedName name="SOEEAT_3Q05">#REF!</definedName>
    <definedName name="SOEEAT_3Q06">#REF!</definedName>
    <definedName name="SOEEAT_3Q07">#REF!</definedName>
    <definedName name="SOEEAT_3Q08">#REF!</definedName>
    <definedName name="SOEEAT_3Q09">#REF!</definedName>
    <definedName name="SOEEAT_3Q10">#REF!</definedName>
    <definedName name="SOEEAT_3Q11">#REF!</definedName>
    <definedName name="SOEEAT_3Q12">#REF!</definedName>
    <definedName name="SOEEAT_3Q13">#REF!</definedName>
    <definedName name="SOEEAT_3Q14">#REF!</definedName>
    <definedName name="SOEEAT_3Q15">#REF!</definedName>
    <definedName name="SOEEAT_3Q16">#REF!</definedName>
    <definedName name="SOEEAT_3Q17">#REF!</definedName>
    <definedName name="SOEEAT_3Q18">#REF!</definedName>
    <definedName name="SOEEAT_3Q19">#REF!</definedName>
    <definedName name="SOEEAT_3Q20">#REF!</definedName>
    <definedName name="SOEEAT_3Q21">#REF!</definedName>
    <definedName name="SOEEAT_3Q22">#REF!</definedName>
    <definedName name="SOEEAT_3Q23">#REF!</definedName>
    <definedName name="SOEEAT_3Q24">#REF!</definedName>
    <definedName name="SOEEAT_4Q00">#REF!</definedName>
    <definedName name="SOEEAT_4Q01">#REF!</definedName>
    <definedName name="SOEEAT_4Q02">#REF!</definedName>
    <definedName name="SOEEAT_4Q03">#REF!</definedName>
    <definedName name="SOEEAT_4Q04">#REF!</definedName>
    <definedName name="SOEEAT_4Q05">#REF!</definedName>
    <definedName name="SOEEAT_4Q06">#REF!</definedName>
    <definedName name="SOEEAT_4Q07">#REF!</definedName>
    <definedName name="SOEEAT_4Q08">#REF!</definedName>
    <definedName name="SOEEAT_4Q09">#REF!</definedName>
    <definedName name="SOEEAT_4Q10">#REF!</definedName>
    <definedName name="SOEEAT_4Q11">#REF!</definedName>
    <definedName name="SOEEAT_4Q12">#REF!</definedName>
    <definedName name="SOEEAT_4Q13">#REF!</definedName>
    <definedName name="SOEEAT_4Q14">#REF!</definedName>
    <definedName name="SOEEAT_4Q15">#REF!</definedName>
    <definedName name="SOEEAT_4Q16">#REF!</definedName>
    <definedName name="SOEEAT_4Q17">#REF!</definedName>
    <definedName name="SOEEAT_4Q18">#REF!</definedName>
    <definedName name="SOEEAT_4Q19">#REF!</definedName>
    <definedName name="SOEEAT_4Q20">#REF!</definedName>
    <definedName name="SOEEAT_4Q21">#REF!</definedName>
    <definedName name="SOEEAT_4Q22">#REF!</definedName>
    <definedName name="SOEEAT_4Q23">#REF!</definedName>
    <definedName name="SOEEAT_4Q24">#REF!</definedName>
    <definedName name="solver_lin" hidden="1">0</definedName>
    <definedName name="SPEDIV_1995">#REF!</definedName>
    <definedName name="SPEDIV_1996">#REF!</definedName>
    <definedName name="SPEDIV_1997">#REF!</definedName>
    <definedName name="SPEDIV_1998">#REF!</definedName>
    <definedName name="SPEDIV_1999">#REF!</definedName>
    <definedName name="SPEDIV_1Q00">#REF!</definedName>
    <definedName name="SPEDIV_1Q01">#REF!</definedName>
    <definedName name="SPEDIV_1Q02">#REF!</definedName>
    <definedName name="SPEDIV_1Q03">#REF!</definedName>
    <definedName name="SPEDIV_1Q04">#REF!</definedName>
    <definedName name="SPEDIV_1Q05">#REF!</definedName>
    <definedName name="SPEDIV_1Q06">#REF!</definedName>
    <definedName name="SPEDIV_1Q07">#REF!</definedName>
    <definedName name="SPEDIV_1Q08">#REF!</definedName>
    <definedName name="SPEDIV_1Q09">#REF!</definedName>
    <definedName name="SPEDIV_1Q10">#REF!</definedName>
    <definedName name="SPEDIV_1Q11">#REF!</definedName>
    <definedName name="SPEDIV_1Q12">#REF!</definedName>
    <definedName name="SPEDIV_1Q13">#REF!</definedName>
    <definedName name="SPEDIV_1Q14">#REF!</definedName>
    <definedName name="SPEDIV_1Q15">#REF!</definedName>
    <definedName name="SPEDIV_1Q16">#REF!</definedName>
    <definedName name="SPEDIV_1Q17">#REF!</definedName>
    <definedName name="SPEDIV_1Q18">#REF!</definedName>
    <definedName name="SPEDIV_1Q19">#REF!</definedName>
    <definedName name="SPEDIV_1Q20">#REF!</definedName>
    <definedName name="SPEDIV_1Q21">#REF!</definedName>
    <definedName name="SPEDIV_1Q22">#REF!</definedName>
    <definedName name="SPEDIV_1Q23">#REF!</definedName>
    <definedName name="SPEDIV_1Q24">#REF!</definedName>
    <definedName name="SPEDIV_2000">#REF!</definedName>
    <definedName name="SPEDIV_2001">#REF!</definedName>
    <definedName name="SPEDIV_2002">#REF!</definedName>
    <definedName name="SPEDIV_2003">#REF!</definedName>
    <definedName name="SPEDIV_2004">#REF!</definedName>
    <definedName name="SPEDIV_2005">#REF!</definedName>
    <definedName name="SPEDIV_2006">#REF!</definedName>
    <definedName name="SPEDIV_2007">#REF!</definedName>
    <definedName name="SPEDIV_2008">#REF!</definedName>
    <definedName name="SPEDIV_2009">#REF!</definedName>
    <definedName name="SPEDIV_2010">#REF!</definedName>
    <definedName name="SPEDIV_2011">#REF!</definedName>
    <definedName name="SPEDIV_2012">#REF!</definedName>
    <definedName name="SPEDIV_2013">#REF!</definedName>
    <definedName name="SPEDIV_2014">#REF!</definedName>
    <definedName name="SPEDIV_2015">#REF!</definedName>
    <definedName name="SPEDIV_2016">#REF!</definedName>
    <definedName name="SPEDIV_2017">#REF!</definedName>
    <definedName name="SPEDIV_2018">#REF!</definedName>
    <definedName name="SPEDIV_2019">#REF!</definedName>
    <definedName name="SPEDIV_2020">#REF!</definedName>
    <definedName name="SPEDIV_2021">#REF!</definedName>
    <definedName name="SPEDIV_2022">#REF!</definedName>
    <definedName name="SPEDIV_2023">#REF!</definedName>
    <definedName name="SPEDIV_2024">#REF!</definedName>
    <definedName name="SPEDIV_2Q00">#REF!</definedName>
    <definedName name="SPEDIV_2Q01">#REF!</definedName>
    <definedName name="SPEDIV_2Q02">#REF!</definedName>
    <definedName name="SPEDIV_2Q03">#REF!</definedName>
    <definedName name="SPEDIV_2Q04">#REF!</definedName>
    <definedName name="SPEDIV_2Q05">#REF!</definedName>
    <definedName name="SPEDIV_2Q06">#REF!</definedName>
    <definedName name="SPEDIV_2Q07">#REF!</definedName>
    <definedName name="SPEDIV_2Q08">#REF!</definedName>
    <definedName name="SPEDIV_2Q09">#REF!</definedName>
    <definedName name="SPEDIV_2Q10">#REF!</definedName>
    <definedName name="SPEDIV_2Q11">#REF!</definedName>
    <definedName name="SPEDIV_2Q12">#REF!</definedName>
    <definedName name="SPEDIV_2Q13">#REF!</definedName>
    <definedName name="SPEDIV_2Q14">#REF!</definedName>
    <definedName name="SPEDIV_2Q15">#REF!</definedName>
    <definedName name="SPEDIV_2Q16">#REF!</definedName>
    <definedName name="SPEDIV_2Q17">#REF!</definedName>
    <definedName name="SPEDIV_2Q18">#REF!</definedName>
    <definedName name="SPEDIV_2Q19">#REF!</definedName>
    <definedName name="SPEDIV_2Q20">#REF!</definedName>
    <definedName name="SPEDIV_2Q21">#REF!</definedName>
    <definedName name="SPEDIV_2Q22">#REF!</definedName>
    <definedName name="SPEDIV_2Q23">#REF!</definedName>
    <definedName name="SPEDIV_2Q24">#REF!</definedName>
    <definedName name="SPEDIV_3Q00">#REF!</definedName>
    <definedName name="SPEDIV_3Q01">#REF!</definedName>
    <definedName name="SPEDIV_3Q02">#REF!</definedName>
    <definedName name="SPEDIV_3Q03">#REF!</definedName>
    <definedName name="SPEDIV_3Q04">#REF!</definedName>
    <definedName name="SPEDIV_3Q05">#REF!</definedName>
    <definedName name="SPEDIV_3Q06">#REF!</definedName>
    <definedName name="SPEDIV_3Q07">#REF!</definedName>
    <definedName name="SPEDIV_3Q08">#REF!</definedName>
    <definedName name="SPEDIV_3Q09">#REF!</definedName>
    <definedName name="SPEDIV_3Q10">#REF!</definedName>
    <definedName name="SPEDIV_3Q11">#REF!</definedName>
    <definedName name="SPEDIV_3Q12">#REF!</definedName>
    <definedName name="SPEDIV_3Q13">#REF!</definedName>
    <definedName name="SPEDIV_3Q14">#REF!</definedName>
    <definedName name="SPEDIV_3Q15">#REF!</definedName>
    <definedName name="SPEDIV_3Q16">#REF!</definedName>
    <definedName name="SPEDIV_3Q17">#REF!</definedName>
    <definedName name="SPEDIV_3Q18">#REF!</definedName>
    <definedName name="SPEDIV_3Q19">#REF!</definedName>
    <definedName name="SPEDIV_3Q20">#REF!</definedName>
    <definedName name="SPEDIV_3Q21">#REF!</definedName>
    <definedName name="SPEDIV_3Q22">#REF!</definedName>
    <definedName name="SPEDIV_3Q23">#REF!</definedName>
    <definedName name="SPEDIV_3Q24">#REF!</definedName>
    <definedName name="SPEDIV_4Q00">#REF!</definedName>
    <definedName name="SPEDIV_4Q01">#REF!</definedName>
    <definedName name="SPEDIV_4Q02">#REF!</definedName>
    <definedName name="SPEDIV_4Q03">#REF!</definedName>
    <definedName name="SPEDIV_4Q04">#REF!</definedName>
    <definedName name="SPEDIV_4Q05">#REF!</definedName>
    <definedName name="SPEDIV_4Q06">#REF!</definedName>
    <definedName name="SPEDIV_4Q07">#REF!</definedName>
    <definedName name="SPEDIV_4Q08">#REF!</definedName>
    <definedName name="SPEDIV_4Q09">#REF!</definedName>
    <definedName name="SPEDIV_4Q10">#REF!</definedName>
    <definedName name="SPEDIV_4Q11">#REF!</definedName>
    <definedName name="SPEDIV_4Q12">#REF!</definedName>
    <definedName name="SPEDIV_4Q13">#REF!</definedName>
    <definedName name="SPEDIV_4Q14">#REF!</definedName>
    <definedName name="SPEDIV_4Q15">#REF!</definedName>
    <definedName name="SPEDIV_4Q16">#REF!</definedName>
    <definedName name="SPEDIV_4Q17">#REF!</definedName>
    <definedName name="SPEDIV_4Q18">#REF!</definedName>
    <definedName name="SPEDIV_4Q19">#REF!</definedName>
    <definedName name="SPEDIV_4Q20">#REF!</definedName>
    <definedName name="SPEDIV_4Q21">#REF!</definedName>
    <definedName name="SPEDIV_4Q22">#REF!</definedName>
    <definedName name="SPEDIV_4Q23">#REF!</definedName>
    <definedName name="SPEDIV_4Q24">#REF!</definedName>
    <definedName name="STDCH_1995">#REF!</definedName>
    <definedName name="STDCH_1996">#REF!</definedName>
    <definedName name="STDCH_1997">#REF!</definedName>
    <definedName name="STDCH_1998">#REF!</definedName>
    <definedName name="STDCH_1999">#REF!</definedName>
    <definedName name="STDCH_1Q00">#REF!</definedName>
    <definedName name="STDCH_1Q01">#REF!</definedName>
    <definedName name="STDCH_1Q02">#REF!</definedName>
    <definedName name="STDCH_1Q03">#REF!</definedName>
    <definedName name="STDCH_1Q04">#REF!</definedName>
    <definedName name="STDCH_1Q05">#REF!</definedName>
    <definedName name="STDCH_1Q06">#REF!</definedName>
    <definedName name="STDCH_1Q07">#REF!</definedName>
    <definedName name="STDCH_1Q08">#REF!</definedName>
    <definedName name="STDCH_1Q09">#REF!</definedName>
    <definedName name="STDCH_1Q10">#REF!</definedName>
    <definedName name="STDCH_1Q11">#REF!</definedName>
    <definedName name="STDCH_1Q12">#REF!</definedName>
    <definedName name="STDCH_1Q13">#REF!</definedName>
    <definedName name="STDCH_1Q14">#REF!</definedName>
    <definedName name="STDCH_1Q15">#REF!</definedName>
    <definedName name="STDCH_1Q16">#REF!</definedName>
    <definedName name="STDCH_1Q17">#REF!</definedName>
    <definedName name="STDCH_1Q18">#REF!</definedName>
    <definedName name="STDCH_1Q19">#REF!</definedName>
    <definedName name="STDCH_1Q20">#REF!</definedName>
    <definedName name="STDCH_1Q21">#REF!</definedName>
    <definedName name="STDCH_1Q22">#REF!</definedName>
    <definedName name="STDCH_1Q23">#REF!</definedName>
    <definedName name="STDCH_1Q24">#REF!</definedName>
    <definedName name="STDCH_2000">#REF!</definedName>
    <definedName name="STDCH_2001">#REF!</definedName>
    <definedName name="STDCH_2002">#REF!</definedName>
    <definedName name="STDCH_2003">#REF!</definedName>
    <definedName name="STDCH_2004">#REF!</definedName>
    <definedName name="STDCH_2005">#REF!</definedName>
    <definedName name="STDCH_2006">#REF!</definedName>
    <definedName name="STDCH_2007">#REF!</definedName>
    <definedName name="STDCH_2008">#REF!</definedName>
    <definedName name="STDCH_2009">#REF!</definedName>
    <definedName name="STDCH_2010">#REF!</definedName>
    <definedName name="STDCH_2011">#REF!</definedName>
    <definedName name="STDCH_2012">#REF!</definedName>
    <definedName name="STDCH_2013">#REF!</definedName>
    <definedName name="STDCH_2014">#REF!</definedName>
    <definedName name="STDCH_2015">#REF!</definedName>
    <definedName name="STDCH_2016">#REF!</definedName>
    <definedName name="STDCH_2017">#REF!</definedName>
    <definedName name="STDCH_2018">#REF!</definedName>
    <definedName name="STDCH_2019">#REF!</definedName>
    <definedName name="STDCH_2020">#REF!</definedName>
    <definedName name="STDCH_2021">#REF!</definedName>
    <definedName name="STDCH_2022">#REF!</definedName>
    <definedName name="STDCH_2023">#REF!</definedName>
    <definedName name="STDCH_2024">#REF!</definedName>
    <definedName name="STDCH_2Q00">#REF!</definedName>
    <definedName name="STDCH_2Q01">#REF!</definedName>
    <definedName name="STDCH_2Q02">#REF!</definedName>
    <definedName name="STDCH_2Q03">#REF!</definedName>
    <definedName name="STDCH_2Q04">#REF!</definedName>
    <definedName name="STDCH_2Q05">#REF!</definedName>
    <definedName name="STDCH_2Q06">#REF!</definedName>
    <definedName name="STDCH_2Q07">#REF!</definedName>
    <definedName name="STDCH_2Q08">#REF!</definedName>
    <definedName name="STDCH_2Q09">#REF!</definedName>
    <definedName name="STDCH_2Q10">#REF!</definedName>
    <definedName name="STDCH_2Q11">#REF!</definedName>
    <definedName name="STDCH_2Q12">#REF!</definedName>
    <definedName name="STDCH_2Q13">#REF!</definedName>
    <definedName name="STDCH_2Q14">#REF!</definedName>
    <definedName name="STDCH_2Q15">#REF!</definedName>
    <definedName name="STDCH_2Q16">#REF!</definedName>
    <definedName name="STDCH_2Q17">#REF!</definedName>
    <definedName name="STDCH_2Q18">#REF!</definedName>
    <definedName name="STDCH_2Q19">#REF!</definedName>
    <definedName name="STDCH_2Q20">#REF!</definedName>
    <definedName name="STDCH_2Q21">#REF!</definedName>
    <definedName name="STDCH_2Q22">#REF!</definedName>
    <definedName name="STDCH_2Q23">#REF!</definedName>
    <definedName name="STDCH_2Q24">#REF!</definedName>
    <definedName name="STDCH_3Q00">#REF!</definedName>
    <definedName name="STDCH_3Q01">#REF!</definedName>
    <definedName name="STDCH_3Q02">#REF!</definedName>
    <definedName name="STDCH_3Q03">#REF!</definedName>
    <definedName name="STDCH_3Q04">#REF!</definedName>
    <definedName name="STDCH_3Q05">#REF!</definedName>
    <definedName name="STDCH_3Q06">#REF!</definedName>
    <definedName name="STDCH_3Q07">#REF!</definedName>
    <definedName name="STDCH_3Q08">#REF!</definedName>
    <definedName name="STDCH_3Q09">#REF!</definedName>
    <definedName name="STDCH_3Q10">#REF!</definedName>
    <definedName name="STDCH_3Q11">#REF!</definedName>
    <definedName name="STDCH_3Q12">#REF!</definedName>
    <definedName name="STDCH_3Q13">#REF!</definedName>
    <definedName name="STDCH_3Q14">#REF!</definedName>
    <definedName name="STDCH_3Q15">#REF!</definedName>
    <definedName name="STDCH_3Q16">#REF!</definedName>
    <definedName name="STDCH_3Q17">#REF!</definedName>
    <definedName name="STDCH_3Q18">#REF!</definedName>
    <definedName name="STDCH_3Q19">#REF!</definedName>
    <definedName name="STDCH_3Q20">#REF!</definedName>
    <definedName name="STDCH_3Q21">#REF!</definedName>
    <definedName name="STDCH_3Q22">#REF!</definedName>
    <definedName name="STDCH_3Q23">#REF!</definedName>
    <definedName name="STDCH_3Q24">#REF!</definedName>
    <definedName name="STDCH_4Q00">#REF!</definedName>
    <definedName name="STDCH_4Q01">#REF!</definedName>
    <definedName name="STDCH_4Q02">#REF!</definedName>
    <definedName name="STDCH_4Q03">#REF!</definedName>
    <definedName name="STDCH_4Q04">#REF!</definedName>
    <definedName name="STDCH_4Q05">#REF!</definedName>
    <definedName name="STDCH_4Q06">#REF!</definedName>
    <definedName name="STDCH_4Q07">#REF!</definedName>
    <definedName name="STDCH_4Q08">#REF!</definedName>
    <definedName name="STDCH_4Q09">#REF!</definedName>
    <definedName name="STDCH_4Q10">#REF!</definedName>
    <definedName name="STDCH_4Q11">#REF!</definedName>
    <definedName name="STDCH_4Q12">#REF!</definedName>
    <definedName name="STDCH_4Q13">#REF!</definedName>
    <definedName name="STDCH_4Q14">#REF!</definedName>
    <definedName name="STDCH_4Q15">#REF!</definedName>
    <definedName name="STDCH_4Q16">#REF!</definedName>
    <definedName name="STDCH_4Q17">#REF!</definedName>
    <definedName name="STDCH_4Q18">#REF!</definedName>
    <definedName name="STDCH_4Q19">#REF!</definedName>
    <definedName name="STDCH_4Q20">#REF!</definedName>
    <definedName name="STDCH_4Q21">#REF!</definedName>
    <definedName name="STDCH_4Q22">#REF!</definedName>
    <definedName name="STDCH_4Q23">#REF!</definedName>
    <definedName name="STDCH_4Q24">#REF!</definedName>
    <definedName name="STDEBT_1995">#REF!</definedName>
    <definedName name="STDEBT_1996">#REF!</definedName>
    <definedName name="STDEBT_1997">#REF!</definedName>
    <definedName name="STDEBT_1998">#REF!</definedName>
    <definedName name="STDEBT_1999">#REF!</definedName>
    <definedName name="STDEBT_1Q00">#REF!</definedName>
    <definedName name="STDEBT_1Q01">#REF!</definedName>
    <definedName name="STDEBT_1Q02">#REF!</definedName>
    <definedName name="STDEBT_1Q03">#REF!</definedName>
    <definedName name="STDEBT_1Q04">#REF!</definedName>
    <definedName name="STDEBT_1Q05">#REF!</definedName>
    <definedName name="STDEBT_1Q06">#REF!</definedName>
    <definedName name="STDEBT_1Q07">#REF!</definedName>
    <definedName name="STDEBT_1Q08">#REF!</definedName>
    <definedName name="STDEBT_1Q09">#REF!</definedName>
    <definedName name="STDEBT_1Q10">#REF!</definedName>
    <definedName name="STDEBT_1Q11">#REF!</definedName>
    <definedName name="STDEBT_1Q12">#REF!</definedName>
    <definedName name="STDEBT_1Q13">#REF!</definedName>
    <definedName name="STDEBT_1Q14">#REF!</definedName>
    <definedName name="STDEBT_1Q15">#REF!</definedName>
    <definedName name="STDEBT_1Q16">#REF!</definedName>
    <definedName name="STDEBT_1Q17">#REF!</definedName>
    <definedName name="STDEBT_1Q18">#REF!</definedName>
    <definedName name="STDEBT_1Q19">#REF!</definedName>
    <definedName name="STDEBT_1Q20">#REF!</definedName>
    <definedName name="STDEBT_1Q21">#REF!</definedName>
    <definedName name="STDEBT_1Q22">#REF!</definedName>
    <definedName name="STDEBT_1Q23">#REF!</definedName>
    <definedName name="STDEBT_1Q24">#REF!</definedName>
    <definedName name="STDEBT_2000">#REF!</definedName>
    <definedName name="STDEBT_2001">#REF!</definedName>
    <definedName name="STDEBT_2002">#REF!</definedName>
    <definedName name="STDEBT_2003">#REF!</definedName>
    <definedName name="STDEBT_2004">#REF!</definedName>
    <definedName name="STDEBT_2005">#REF!</definedName>
    <definedName name="STDEBT_2006">#REF!</definedName>
    <definedName name="STDEBT_2007">#REF!</definedName>
    <definedName name="STDEBT_2008">#REF!</definedName>
    <definedName name="STDEBT_2009">#REF!</definedName>
    <definedName name="STDEBT_2010">#REF!</definedName>
    <definedName name="STDEBT_2011">#REF!</definedName>
    <definedName name="STDEBT_2012">#REF!</definedName>
    <definedName name="STDEBT_2013">#REF!</definedName>
    <definedName name="STDEBT_2014">#REF!</definedName>
    <definedName name="STDEBT_2015">#REF!</definedName>
    <definedName name="STDEBT_2016">#REF!</definedName>
    <definedName name="STDEBT_2017">#REF!</definedName>
    <definedName name="STDEBT_2018">#REF!</definedName>
    <definedName name="STDEBT_2019">#REF!</definedName>
    <definedName name="STDEBT_2020">#REF!</definedName>
    <definedName name="STDEBT_2021">#REF!</definedName>
    <definedName name="STDEBT_2022">#REF!</definedName>
    <definedName name="STDEBT_2023">#REF!</definedName>
    <definedName name="STDEBT_2024">#REF!</definedName>
    <definedName name="STDEBT_2Q00">#REF!</definedName>
    <definedName name="STDEBT_2Q01">#REF!</definedName>
    <definedName name="STDEBT_2Q02">#REF!</definedName>
    <definedName name="STDEBT_2Q03">#REF!</definedName>
    <definedName name="STDEBT_2Q04">#REF!</definedName>
    <definedName name="STDEBT_2Q05">#REF!</definedName>
    <definedName name="STDEBT_2Q06">#REF!</definedName>
    <definedName name="STDEBT_2Q07">#REF!</definedName>
    <definedName name="STDEBT_2Q08">#REF!</definedName>
    <definedName name="STDEBT_2Q09">#REF!</definedName>
    <definedName name="STDEBT_2Q10">#REF!</definedName>
    <definedName name="STDEBT_2Q11">#REF!</definedName>
    <definedName name="STDEBT_2Q12">#REF!</definedName>
    <definedName name="STDEBT_2Q13">#REF!</definedName>
    <definedName name="STDEBT_2Q14">#REF!</definedName>
    <definedName name="STDEBT_2Q15">#REF!</definedName>
    <definedName name="STDEBT_2Q16">#REF!</definedName>
    <definedName name="STDEBT_2Q17">#REF!</definedName>
    <definedName name="STDEBT_2Q18">#REF!</definedName>
    <definedName name="STDEBT_2Q19">#REF!</definedName>
    <definedName name="STDEBT_2Q20">#REF!</definedName>
    <definedName name="STDEBT_2Q21">#REF!</definedName>
    <definedName name="STDEBT_2Q22">#REF!</definedName>
    <definedName name="STDEBT_2Q23">#REF!</definedName>
    <definedName name="STDEBT_2Q24">#REF!</definedName>
    <definedName name="STDEBT_3Q00">#REF!</definedName>
    <definedName name="STDEBT_3Q01">#REF!</definedName>
    <definedName name="STDEBT_3Q02">#REF!</definedName>
    <definedName name="STDEBT_3Q03">#REF!</definedName>
    <definedName name="STDEBT_3Q04">#REF!</definedName>
    <definedName name="STDEBT_3Q05">#REF!</definedName>
    <definedName name="STDEBT_3Q06">#REF!</definedName>
    <definedName name="STDEBT_3Q07">#REF!</definedName>
    <definedName name="STDEBT_3Q08">#REF!</definedName>
    <definedName name="STDEBT_3Q09">#REF!</definedName>
    <definedName name="STDEBT_3Q10">#REF!</definedName>
    <definedName name="STDEBT_3Q11">#REF!</definedName>
    <definedName name="STDEBT_3Q12">#REF!</definedName>
    <definedName name="STDEBT_3Q13">#REF!</definedName>
    <definedName name="STDEBT_3Q14">#REF!</definedName>
    <definedName name="STDEBT_3Q15">#REF!</definedName>
    <definedName name="STDEBT_3Q16">#REF!</definedName>
    <definedName name="STDEBT_3Q17">#REF!</definedName>
    <definedName name="STDEBT_3Q18">#REF!</definedName>
    <definedName name="STDEBT_3Q19">#REF!</definedName>
    <definedName name="STDEBT_3Q20">#REF!</definedName>
    <definedName name="STDEBT_3Q21">#REF!</definedName>
    <definedName name="STDEBT_3Q22">#REF!</definedName>
    <definedName name="STDEBT_3Q23">#REF!</definedName>
    <definedName name="STDEBT_3Q24">#REF!</definedName>
    <definedName name="STDEBT_4Q00">#REF!</definedName>
    <definedName name="STDEBT_4Q01">#REF!</definedName>
    <definedName name="STDEBT_4Q02">#REF!</definedName>
    <definedName name="STDEBT_4Q03">#REF!</definedName>
    <definedName name="STDEBT_4Q04">#REF!</definedName>
    <definedName name="STDEBT_4Q05">#REF!</definedName>
    <definedName name="STDEBT_4Q06">#REF!</definedName>
    <definedName name="STDEBT_4Q07">#REF!</definedName>
    <definedName name="STDEBT_4Q08">#REF!</definedName>
    <definedName name="STDEBT_4Q09">#REF!</definedName>
    <definedName name="STDEBT_4Q10">#REF!</definedName>
    <definedName name="STDEBT_4Q11">#REF!</definedName>
    <definedName name="STDEBT_4Q12">#REF!</definedName>
    <definedName name="STDEBT_4Q13">#REF!</definedName>
    <definedName name="STDEBT_4Q14">#REF!</definedName>
    <definedName name="STDEBT_4Q15">#REF!</definedName>
    <definedName name="STDEBT_4Q16">#REF!</definedName>
    <definedName name="STDEBT_4Q17">#REF!</definedName>
    <definedName name="STDEBT_4Q18">#REF!</definedName>
    <definedName name="STDEBT_4Q19">#REF!</definedName>
    <definedName name="STDEBT_4Q20">#REF!</definedName>
    <definedName name="STDEBT_4Q21">#REF!</definedName>
    <definedName name="STDEBT_4Q22">#REF!</definedName>
    <definedName name="STDEBT_4Q23">#REF!</definedName>
    <definedName name="STDEBT_4Q24">#REF!</definedName>
    <definedName name="Suzano">#REF!</definedName>
    <definedName name="SymbolOnOff">#REF!</definedName>
    <definedName name="synch">#REF!</definedName>
    <definedName name="TAX_1995">#REF!</definedName>
    <definedName name="TAX_1996">#REF!</definedName>
    <definedName name="TAX_1997">#REF!</definedName>
    <definedName name="TAX_1998">#REF!</definedName>
    <definedName name="TAX_1999">#REF!</definedName>
    <definedName name="TAX_1Q00">#REF!</definedName>
    <definedName name="TAX_1Q01">#REF!</definedName>
    <definedName name="TAX_1Q02">#REF!</definedName>
    <definedName name="TAX_1Q03">#REF!</definedName>
    <definedName name="TAX_1Q04">#REF!</definedName>
    <definedName name="TAX_1Q05">#REF!</definedName>
    <definedName name="TAX_1Q06">#REF!</definedName>
    <definedName name="TAX_1Q07">#REF!</definedName>
    <definedName name="TAX_1Q08">#REF!</definedName>
    <definedName name="TAX_1Q09">#REF!</definedName>
    <definedName name="TAX_1Q10">#REF!</definedName>
    <definedName name="TAX_1Q11">#REF!</definedName>
    <definedName name="TAX_1Q12">#REF!</definedName>
    <definedName name="TAX_1Q13">#REF!</definedName>
    <definedName name="TAX_1Q14">#REF!</definedName>
    <definedName name="TAX_1Q15">#REF!</definedName>
    <definedName name="TAX_1Q16">#REF!</definedName>
    <definedName name="TAX_1Q17">#REF!</definedName>
    <definedName name="TAX_1Q18">#REF!</definedName>
    <definedName name="TAX_1Q19">#REF!</definedName>
    <definedName name="TAX_1Q20">#REF!</definedName>
    <definedName name="TAX_1Q21">#REF!</definedName>
    <definedName name="TAX_1Q22">#REF!</definedName>
    <definedName name="TAX_1Q23">#REF!</definedName>
    <definedName name="TAX_1Q24">#REF!</definedName>
    <definedName name="TAX_2000">#REF!</definedName>
    <definedName name="TAX_2001">#REF!</definedName>
    <definedName name="TAX_2002">#REF!</definedName>
    <definedName name="TAX_2003">#REF!</definedName>
    <definedName name="TAX_2004">#REF!</definedName>
    <definedName name="TAX_2005">#REF!</definedName>
    <definedName name="TAX_2006">#REF!</definedName>
    <definedName name="TAX_2007">#REF!</definedName>
    <definedName name="TAX_2008">#REF!</definedName>
    <definedName name="TAX_2009">#REF!</definedName>
    <definedName name="TAX_2010">#REF!</definedName>
    <definedName name="TAX_2011">#REF!</definedName>
    <definedName name="TAX_2012">#REF!</definedName>
    <definedName name="TAX_2013">#REF!</definedName>
    <definedName name="TAX_2014">#REF!</definedName>
    <definedName name="TAX_2015">#REF!</definedName>
    <definedName name="TAX_2016">#REF!</definedName>
    <definedName name="TAX_2017">#REF!</definedName>
    <definedName name="TAX_2018">#REF!</definedName>
    <definedName name="TAX_2019">#REF!</definedName>
    <definedName name="TAX_2020">#REF!</definedName>
    <definedName name="TAX_2021">#REF!</definedName>
    <definedName name="TAX_2022">#REF!</definedName>
    <definedName name="TAX_2023">#REF!</definedName>
    <definedName name="TAX_2024">#REF!</definedName>
    <definedName name="TAX_2Q00">#REF!</definedName>
    <definedName name="TAX_2Q01">#REF!</definedName>
    <definedName name="TAX_2Q02">#REF!</definedName>
    <definedName name="TAX_2Q03">#REF!</definedName>
    <definedName name="TAX_2Q04">#REF!</definedName>
    <definedName name="TAX_2Q05">#REF!</definedName>
    <definedName name="TAX_2Q06">#REF!</definedName>
    <definedName name="TAX_2Q07">#REF!</definedName>
    <definedName name="TAX_2Q08">#REF!</definedName>
    <definedName name="TAX_2Q09">#REF!</definedName>
    <definedName name="TAX_2Q10">#REF!</definedName>
    <definedName name="TAX_2Q11">#REF!</definedName>
    <definedName name="TAX_2Q12">#REF!</definedName>
    <definedName name="TAX_2Q13">#REF!</definedName>
    <definedName name="TAX_2Q14">#REF!</definedName>
    <definedName name="TAX_2Q15">#REF!</definedName>
    <definedName name="TAX_2Q16">#REF!</definedName>
    <definedName name="TAX_2Q17">#REF!</definedName>
    <definedName name="TAX_2Q18">#REF!</definedName>
    <definedName name="TAX_2Q19">#REF!</definedName>
    <definedName name="TAX_2Q20">#REF!</definedName>
    <definedName name="TAX_2Q21">#REF!</definedName>
    <definedName name="TAX_2Q22">#REF!</definedName>
    <definedName name="TAX_2Q23">#REF!</definedName>
    <definedName name="TAX_2Q24">#REF!</definedName>
    <definedName name="TAX_3Q00">#REF!</definedName>
    <definedName name="TAX_3Q01">#REF!</definedName>
    <definedName name="TAX_3Q02">#REF!</definedName>
    <definedName name="TAX_3Q03">#REF!</definedName>
    <definedName name="TAX_3Q04">#REF!</definedName>
    <definedName name="TAX_3Q05">#REF!</definedName>
    <definedName name="TAX_3Q06">#REF!</definedName>
    <definedName name="TAX_3Q07">#REF!</definedName>
    <definedName name="TAX_3Q08">#REF!</definedName>
    <definedName name="TAX_3Q09">#REF!</definedName>
    <definedName name="TAX_3Q10">#REF!</definedName>
    <definedName name="TAX_3Q11">#REF!</definedName>
    <definedName name="TAX_3Q12">#REF!</definedName>
    <definedName name="TAX_3Q13">#REF!</definedName>
    <definedName name="TAX_3Q14">#REF!</definedName>
    <definedName name="TAX_3Q15">#REF!</definedName>
    <definedName name="TAX_3Q16">#REF!</definedName>
    <definedName name="TAX_3Q17">#REF!</definedName>
    <definedName name="TAX_3Q18">#REF!</definedName>
    <definedName name="TAX_3Q19">#REF!</definedName>
    <definedName name="TAX_3Q20">#REF!</definedName>
    <definedName name="TAX_3Q21">#REF!</definedName>
    <definedName name="TAX_3Q22">#REF!</definedName>
    <definedName name="TAX_3Q23">#REF!</definedName>
    <definedName name="TAX_3Q24">#REF!</definedName>
    <definedName name="TAX_4Q00">#REF!</definedName>
    <definedName name="TAX_4Q01">#REF!</definedName>
    <definedName name="TAX_4Q02">#REF!</definedName>
    <definedName name="TAX_4Q03">#REF!</definedName>
    <definedName name="TAX_4Q04">#REF!</definedName>
    <definedName name="TAX_4Q05">#REF!</definedName>
    <definedName name="TAX_4Q06">#REF!</definedName>
    <definedName name="TAX_4Q07">#REF!</definedName>
    <definedName name="TAX_4Q08">#REF!</definedName>
    <definedName name="TAX_4Q09">#REF!</definedName>
    <definedName name="TAX_4Q10">#REF!</definedName>
    <definedName name="TAX_4Q11">#REF!</definedName>
    <definedName name="TAX_4Q12">#REF!</definedName>
    <definedName name="TAX_4Q13">#REF!</definedName>
    <definedName name="TAX_4Q14">#REF!</definedName>
    <definedName name="TAX_4Q15">#REF!</definedName>
    <definedName name="TAX_4Q16">#REF!</definedName>
    <definedName name="TAX_4Q17">#REF!</definedName>
    <definedName name="TAX_4Q18">#REF!</definedName>
    <definedName name="TAX_4Q19">#REF!</definedName>
    <definedName name="TAX_4Q20">#REF!</definedName>
    <definedName name="TAX_4Q21">#REF!</definedName>
    <definedName name="TAX_4Q22">#REF!</definedName>
    <definedName name="TAX_4Q23">#REF!</definedName>
    <definedName name="TAX_4Q24">#REF!</definedName>
    <definedName name="Tax_Summary_For_Valuation">Word</definedName>
    <definedName name="TAXPA_1995">#REF!</definedName>
    <definedName name="TAXPA_1996">#REF!</definedName>
    <definedName name="TAXPA_1997">#REF!</definedName>
    <definedName name="TAXPA_1998">#REF!</definedName>
    <definedName name="TAXPA_1999">#REF!</definedName>
    <definedName name="TAXPA_1Q00">#REF!</definedName>
    <definedName name="TAXPA_1Q01">#REF!</definedName>
    <definedName name="TAXPA_1Q02">#REF!</definedName>
    <definedName name="TAXPA_1Q03">#REF!</definedName>
    <definedName name="TAXPA_1Q04">#REF!</definedName>
    <definedName name="TAXPA_1Q05">#REF!</definedName>
    <definedName name="TAXPA_1Q06">#REF!</definedName>
    <definedName name="TAXPA_1Q07">#REF!</definedName>
    <definedName name="TAXPA_1Q08">#REF!</definedName>
    <definedName name="TAXPA_1Q09">#REF!</definedName>
    <definedName name="TAXPA_1Q10">#REF!</definedName>
    <definedName name="TAXPA_1Q11">#REF!</definedName>
    <definedName name="TAXPA_1Q12">#REF!</definedName>
    <definedName name="TAXPA_1Q13">#REF!</definedName>
    <definedName name="TAXPA_1Q14">#REF!</definedName>
    <definedName name="TAXPA_1Q15">#REF!</definedName>
    <definedName name="TAXPA_1Q16">#REF!</definedName>
    <definedName name="TAXPA_1Q17">#REF!</definedName>
    <definedName name="TAXPA_1Q18">#REF!</definedName>
    <definedName name="TAXPA_1Q19">#REF!</definedName>
    <definedName name="TAXPA_1Q20">#REF!</definedName>
    <definedName name="TAXPA_1Q21">#REF!</definedName>
    <definedName name="TAXPA_1Q22">#REF!</definedName>
    <definedName name="TAXPA_1Q23">#REF!</definedName>
    <definedName name="TAXPA_1Q24">#REF!</definedName>
    <definedName name="TAXPA_2000">#REF!</definedName>
    <definedName name="TAXPA_2001">#REF!</definedName>
    <definedName name="TAXPA_2002">#REF!</definedName>
    <definedName name="TAXPA_2003">#REF!</definedName>
    <definedName name="TAXPA_2004">#REF!</definedName>
    <definedName name="TAXPA_2005">#REF!</definedName>
    <definedName name="TAXPA_2006">#REF!</definedName>
    <definedName name="TAXPA_2007">#REF!</definedName>
    <definedName name="TAXPA_2008">#REF!</definedName>
    <definedName name="TAXPA_2009">#REF!</definedName>
    <definedName name="TAXPA_2010">#REF!</definedName>
    <definedName name="TAXPA_2011">#REF!</definedName>
    <definedName name="TAXPA_2012">#REF!</definedName>
    <definedName name="TAXPA_2013">#REF!</definedName>
    <definedName name="TAXPA_2014">#REF!</definedName>
    <definedName name="TAXPA_2015">#REF!</definedName>
    <definedName name="TAXPA_2016">#REF!</definedName>
    <definedName name="TAXPA_2017">#REF!</definedName>
    <definedName name="TAXPA_2018">#REF!</definedName>
    <definedName name="TAXPA_2019">#REF!</definedName>
    <definedName name="TAXPA_2020">#REF!</definedName>
    <definedName name="TAXPA_2021">#REF!</definedName>
    <definedName name="TAXPA_2022">#REF!</definedName>
    <definedName name="TAXPA_2023">#REF!</definedName>
    <definedName name="TAXPA_2024">#REF!</definedName>
    <definedName name="TAXPA_2Q00">#REF!</definedName>
    <definedName name="TAXPA_2Q01">#REF!</definedName>
    <definedName name="TAXPA_2Q02">#REF!</definedName>
    <definedName name="TAXPA_2Q03">#REF!</definedName>
    <definedName name="TAXPA_2Q04">#REF!</definedName>
    <definedName name="TAXPA_2Q05">#REF!</definedName>
    <definedName name="TAXPA_2Q06">#REF!</definedName>
    <definedName name="TAXPA_2Q07">#REF!</definedName>
    <definedName name="TAXPA_2Q08">#REF!</definedName>
    <definedName name="TAXPA_2Q09">#REF!</definedName>
    <definedName name="TAXPA_2Q10">#REF!</definedName>
    <definedName name="TAXPA_2Q11">#REF!</definedName>
    <definedName name="TAXPA_2Q12">#REF!</definedName>
    <definedName name="TAXPA_2Q13">#REF!</definedName>
    <definedName name="TAXPA_2Q14">#REF!</definedName>
    <definedName name="TAXPA_2Q15">#REF!</definedName>
    <definedName name="TAXPA_2Q16">#REF!</definedName>
    <definedName name="TAXPA_2Q17">#REF!</definedName>
    <definedName name="TAXPA_2Q18">#REF!</definedName>
    <definedName name="TAXPA_2Q19">#REF!</definedName>
    <definedName name="TAXPA_2Q20">#REF!</definedName>
    <definedName name="TAXPA_2Q21">#REF!</definedName>
    <definedName name="TAXPA_2Q22">#REF!</definedName>
    <definedName name="TAXPA_2Q23">#REF!</definedName>
    <definedName name="TAXPA_2Q24">#REF!</definedName>
    <definedName name="TAXPA_3Q00">#REF!</definedName>
    <definedName name="TAXPA_3Q01">#REF!</definedName>
    <definedName name="TAXPA_3Q02">#REF!</definedName>
    <definedName name="TAXPA_3Q03">#REF!</definedName>
    <definedName name="TAXPA_3Q04">#REF!</definedName>
    <definedName name="TAXPA_3Q05">#REF!</definedName>
    <definedName name="TAXPA_3Q06">#REF!</definedName>
    <definedName name="TAXPA_3Q07">#REF!</definedName>
    <definedName name="TAXPA_3Q08">#REF!</definedName>
    <definedName name="TAXPA_3Q09">#REF!</definedName>
    <definedName name="TAXPA_3Q10">#REF!</definedName>
    <definedName name="TAXPA_3Q11">#REF!</definedName>
    <definedName name="TAXPA_3Q12">#REF!</definedName>
    <definedName name="TAXPA_3Q13">#REF!</definedName>
    <definedName name="TAXPA_3Q14">#REF!</definedName>
    <definedName name="TAXPA_3Q15">#REF!</definedName>
    <definedName name="TAXPA_3Q16">#REF!</definedName>
    <definedName name="TAXPA_3Q17">#REF!</definedName>
    <definedName name="TAXPA_3Q18">#REF!</definedName>
    <definedName name="TAXPA_3Q19">#REF!</definedName>
    <definedName name="TAXPA_3Q20">#REF!</definedName>
    <definedName name="TAXPA_3Q21">#REF!</definedName>
    <definedName name="TAXPA_3Q22">#REF!</definedName>
    <definedName name="TAXPA_3Q23">#REF!</definedName>
    <definedName name="TAXPA_3Q24">#REF!</definedName>
    <definedName name="TAXPA_4Q00">#REF!</definedName>
    <definedName name="TAXPA_4Q01">#REF!</definedName>
    <definedName name="TAXPA_4Q02">#REF!</definedName>
    <definedName name="TAXPA_4Q03">#REF!</definedName>
    <definedName name="TAXPA_4Q04">#REF!</definedName>
    <definedName name="TAXPA_4Q05">#REF!</definedName>
    <definedName name="TAXPA_4Q06">#REF!</definedName>
    <definedName name="TAXPA_4Q07">#REF!</definedName>
    <definedName name="TAXPA_4Q08">#REF!</definedName>
    <definedName name="TAXPA_4Q09">#REF!</definedName>
    <definedName name="TAXPA_4Q10">#REF!</definedName>
    <definedName name="TAXPA_4Q11">#REF!</definedName>
    <definedName name="TAXPA_4Q12">#REF!</definedName>
    <definedName name="TAXPA_4Q13">#REF!</definedName>
    <definedName name="TAXPA_4Q14">#REF!</definedName>
    <definedName name="TAXPA_4Q15">#REF!</definedName>
    <definedName name="TAXPA_4Q16">#REF!</definedName>
    <definedName name="TAXPA_4Q17">#REF!</definedName>
    <definedName name="TAXPA_4Q18">#REF!</definedName>
    <definedName name="TAXPA_4Q19">#REF!</definedName>
    <definedName name="TAXPA_4Q20">#REF!</definedName>
    <definedName name="TAXPA_4Q21">#REF!</definedName>
    <definedName name="TAXPA_4Q22">#REF!</definedName>
    <definedName name="TAXPA_4Q23">#REF!</definedName>
    <definedName name="TAXPA_4Q24">#REF!</definedName>
    <definedName name="TEMPAF_1995">#REF!</definedName>
    <definedName name="TEMPAF_1996">#REF!</definedName>
    <definedName name="TEMPAF_1997">#REF!</definedName>
    <definedName name="TEMPAF_1998">#REF!</definedName>
    <definedName name="TEMPAF_1999">#REF!</definedName>
    <definedName name="TEMPAF_1Q00">#REF!</definedName>
    <definedName name="TEMPAF_1Q01">#REF!</definedName>
    <definedName name="TEMPAF_1Q02">#REF!</definedName>
    <definedName name="TEMPAF_1Q03">#REF!</definedName>
    <definedName name="TEMPAF_1Q04">#REF!</definedName>
    <definedName name="TEMPAF_1Q05">#REF!</definedName>
    <definedName name="TEMPAF_1Q06">#REF!</definedName>
    <definedName name="TEMPAF_1Q07">#REF!</definedName>
    <definedName name="TEMPAF_1Q08">#REF!</definedName>
    <definedName name="TEMPAF_1Q09">#REF!</definedName>
    <definedName name="TEMPAF_1Q10">#REF!</definedName>
    <definedName name="TEMPAF_1Q11">#REF!</definedName>
    <definedName name="TEMPAF_1Q12">#REF!</definedName>
    <definedName name="TEMPAF_1Q13">#REF!</definedName>
    <definedName name="TEMPAF_1Q14">#REF!</definedName>
    <definedName name="TEMPAF_1Q15">#REF!</definedName>
    <definedName name="TEMPAF_1Q16">#REF!</definedName>
    <definedName name="TEMPAF_1Q17">#REF!</definedName>
    <definedName name="TEMPAF_1Q18">#REF!</definedName>
    <definedName name="TEMPAF_1Q19">#REF!</definedName>
    <definedName name="TEMPAF_1Q20">#REF!</definedName>
    <definedName name="TEMPAF_1Q21">#REF!</definedName>
    <definedName name="TEMPAF_1Q22">#REF!</definedName>
    <definedName name="TEMPAF_1Q23">#REF!</definedName>
    <definedName name="TEMPAF_1Q24">#REF!</definedName>
    <definedName name="TEMPAF_2000">#REF!</definedName>
    <definedName name="TEMPAF_2001">#REF!</definedName>
    <definedName name="TEMPAF_2002">#REF!</definedName>
    <definedName name="TEMPAF_2003">#REF!</definedName>
    <definedName name="TEMPAF_2004">#REF!</definedName>
    <definedName name="TEMPAF_2005">#REF!</definedName>
    <definedName name="TEMPAF_2006">#REF!</definedName>
    <definedName name="TEMPAF_2007">#REF!</definedName>
    <definedName name="TEMPAF_2008">#REF!</definedName>
    <definedName name="TEMPAF_2009">#REF!</definedName>
    <definedName name="TEMPAF_2010">#REF!</definedName>
    <definedName name="TEMPAF_2011">#REF!</definedName>
    <definedName name="TEMPAF_2012">#REF!</definedName>
    <definedName name="TEMPAF_2013">#REF!</definedName>
    <definedName name="TEMPAF_2014">#REF!</definedName>
    <definedName name="TEMPAF_2015">#REF!</definedName>
    <definedName name="TEMPAF_2016">#REF!</definedName>
    <definedName name="TEMPAF_2017">#REF!</definedName>
    <definedName name="TEMPAF_2018">#REF!</definedName>
    <definedName name="TEMPAF_2019">#REF!</definedName>
    <definedName name="TEMPAF_2020">#REF!</definedName>
    <definedName name="TEMPAF_2021">#REF!</definedName>
    <definedName name="TEMPAF_2022">#REF!</definedName>
    <definedName name="TEMPAF_2023">#REF!</definedName>
    <definedName name="TEMPAF_2024">#REF!</definedName>
    <definedName name="TEMPAF_2Q00">#REF!</definedName>
    <definedName name="TEMPAF_2Q01">#REF!</definedName>
    <definedName name="TEMPAF_2Q02">#REF!</definedName>
    <definedName name="TEMPAF_2Q03">#REF!</definedName>
    <definedName name="TEMPAF_2Q04">#REF!</definedName>
    <definedName name="TEMPAF_2Q05">#REF!</definedName>
    <definedName name="TEMPAF_2Q06">#REF!</definedName>
    <definedName name="TEMPAF_2Q07">#REF!</definedName>
    <definedName name="TEMPAF_2Q08">#REF!</definedName>
    <definedName name="TEMPAF_2Q09">#REF!</definedName>
    <definedName name="TEMPAF_2Q10">#REF!</definedName>
    <definedName name="TEMPAF_2Q11">#REF!</definedName>
    <definedName name="TEMPAF_2Q12">#REF!</definedName>
    <definedName name="TEMPAF_2Q13">#REF!</definedName>
    <definedName name="TEMPAF_2Q14">#REF!</definedName>
    <definedName name="TEMPAF_2Q15">#REF!</definedName>
    <definedName name="TEMPAF_2Q16">#REF!</definedName>
    <definedName name="TEMPAF_2Q17">#REF!</definedName>
    <definedName name="TEMPAF_2Q18">#REF!</definedName>
    <definedName name="TEMPAF_2Q19">#REF!</definedName>
    <definedName name="TEMPAF_2Q20">#REF!</definedName>
    <definedName name="TEMPAF_2Q21">#REF!</definedName>
    <definedName name="TEMPAF_2Q22">#REF!</definedName>
    <definedName name="TEMPAF_2Q23">#REF!</definedName>
    <definedName name="TEMPAF_2Q24">#REF!</definedName>
    <definedName name="TEMPAF_3Q00">#REF!</definedName>
    <definedName name="TEMPAF_3Q01">#REF!</definedName>
    <definedName name="TEMPAF_3Q02">#REF!</definedName>
    <definedName name="TEMPAF_3Q03">#REF!</definedName>
    <definedName name="TEMPAF_3Q04">#REF!</definedName>
    <definedName name="TEMPAF_3Q05">#REF!</definedName>
    <definedName name="TEMPAF_3Q06">#REF!</definedName>
    <definedName name="TEMPAF_3Q07">#REF!</definedName>
    <definedName name="TEMPAF_3Q08">#REF!</definedName>
    <definedName name="TEMPAF_3Q09">#REF!</definedName>
    <definedName name="TEMPAF_3Q10">#REF!</definedName>
    <definedName name="TEMPAF_3Q11">#REF!</definedName>
    <definedName name="TEMPAF_3Q12">#REF!</definedName>
    <definedName name="TEMPAF_3Q13">#REF!</definedName>
    <definedName name="TEMPAF_3Q14">#REF!</definedName>
    <definedName name="TEMPAF_3Q15">#REF!</definedName>
    <definedName name="TEMPAF_3Q16">#REF!</definedName>
    <definedName name="TEMPAF_3Q17">#REF!</definedName>
    <definedName name="TEMPAF_3Q18">#REF!</definedName>
    <definedName name="TEMPAF_3Q19">#REF!</definedName>
    <definedName name="TEMPAF_3Q20">#REF!</definedName>
    <definedName name="TEMPAF_3Q21">#REF!</definedName>
    <definedName name="TEMPAF_3Q22">#REF!</definedName>
    <definedName name="TEMPAF_3Q23">#REF!</definedName>
    <definedName name="TEMPAF_3Q24">#REF!</definedName>
    <definedName name="TEMPAF_4Q00">#REF!</definedName>
    <definedName name="TEMPAF_4Q01">#REF!</definedName>
    <definedName name="TEMPAF_4Q02">#REF!</definedName>
    <definedName name="TEMPAF_4Q03">#REF!</definedName>
    <definedName name="TEMPAF_4Q04">#REF!</definedName>
    <definedName name="TEMPAF_4Q05">#REF!</definedName>
    <definedName name="TEMPAF_4Q06">#REF!</definedName>
    <definedName name="TEMPAF_4Q07">#REF!</definedName>
    <definedName name="TEMPAF_4Q08">#REF!</definedName>
    <definedName name="TEMPAF_4Q09">#REF!</definedName>
    <definedName name="TEMPAF_4Q10">#REF!</definedName>
    <definedName name="TEMPAF_4Q11">#REF!</definedName>
    <definedName name="TEMPAF_4Q12">#REF!</definedName>
    <definedName name="TEMPAF_4Q13">#REF!</definedName>
    <definedName name="TEMPAF_4Q14">#REF!</definedName>
    <definedName name="TEMPAF_4Q15">#REF!</definedName>
    <definedName name="TEMPAF_4Q16">#REF!</definedName>
    <definedName name="TEMPAF_4Q17">#REF!</definedName>
    <definedName name="TEMPAF_4Q18">#REF!</definedName>
    <definedName name="TEMPAF_4Q19">#REF!</definedName>
    <definedName name="TEMPAF_4Q20">#REF!</definedName>
    <definedName name="TEMPAF_4Q21">#REF!</definedName>
    <definedName name="TEMPAF_4Q22">#REF!</definedName>
    <definedName name="TEMPAF_4Q23">#REF!</definedName>
    <definedName name="TEMPAF_4Q24">#REF!</definedName>
    <definedName name="Template.WIRE">"DBACCESS"</definedName>
    <definedName name="teste">Word</definedName>
    <definedName name="TFA_1995">#REF!</definedName>
    <definedName name="TFA_1996">#REF!</definedName>
    <definedName name="TFA_1997">#REF!</definedName>
    <definedName name="TFA_1998">#REF!</definedName>
    <definedName name="TFA_1999">#REF!</definedName>
    <definedName name="TFA_1Q00">#REF!</definedName>
    <definedName name="TFA_1Q01">#REF!</definedName>
    <definedName name="TFA_1Q02">#REF!</definedName>
    <definedName name="TFA_1Q03">#REF!</definedName>
    <definedName name="TFA_1Q04">#REF!</definedName>
    <definedName name="TFA_1Q05">#REF!</definedName>
    <definedName name="TFA_1Q06">#REF!</definedName>
    <definedName name="TFA_1Q07">#REF!</definedName>
    <definedName name="TFA_1Q08">#REF!</definedName>
    <definedName name="TFA_1Q09">#REF!</definedName>
    <definedName name="TFA_1Q10">#REF!</definedName>
    <definedName name="TFA_1Q11">#REF!</definedName>
    <definedName name="TFA_1Q12">#REF!</definedName>
    <definedName name="TFA_1Q13">#REF!</definedName>
    <definedName name="TFA_1Q14">#REF!</definedName>
    <definedName name="TFA_1Q15">#REF!</definedName>
    <definedName name="TFA_1Q16">#REF!</definedName>
    <definedName name="TFA_1Q17">#REF!</definedName>
    <definedName name="TFA_1Q18">#REF!</definedName>
    <definedName name="TFA_1Q19">#REF!</definedName>
    <definedName name="TFA_1Q20">#REF!</definedName>
    <definedName name="TFA_1Q21">#REF!</definedName>
    <definedName name="TFA_1Q22">#REF!</definedName>
    <definedName name="TFA_1Q23">#REF!</definedName>
    <definedName name="TFA_1Q24">#REF!</definedName>
    <definedName name="TFA_2000">#REF!</definedName>
    <definedName name="TFA_2001">#REF!</definedName>
    <definedName name="TFA_2002">#REF!</definedName>
    <definedName name="TFA_2003">#REF!</definedName>
    <definedName name="TFA_2004">#REF!</definedName>
    <definedName name="TFA_2005">#REF!</definedName>
    <definedName name="TFA_2006">#REF!</definedName>
    <definedName name="TFA_2007">#REF!</definedName>
    <definedName name="TFA_2008">#REF!</definedName>
    <definedName name="TFA_2009">#REF!</definedName>
    <definedName name="TFA_2010">#REF!</definedName>
    <definedName name="TFA_2011">#REF!</definedName>
    <definedName name="TFA_2012">#REF!</definedName>
    <definedName name="TFA_2013">#REF!</definedName>
    <definedName name="TFA_2014">#REF!</definedName>
    <definedName name="TFA_2015">#REF!</definedName>
    <definedName name="TFA_2016">#REF!</definedName>
    <definedName name="TFA_2017">#REF!</definedName>
    <definedName name="TFA_2018">#REF!</definedName>
    <definedName name="TFA_2019">#REF!</definedName>
    <definedName name="TFA_2020">#REF!</definedName>
    <definedName name="TFA_2021">#REF!</definedName>
    <definedName name="TFA_2022">#REF!</definedName>
    <definedName name="TFA_2023">#REF!</definedName>
    <definedName name="TFA_2024">#REF!</definedName>
    <definedName name="TFA_2Q00">#REF!</definedName>
    <definedName name="TFA_2Q01">#REF!</definedName>
    <definedName name="TFA_2Q02">#REF!</definedName>
    <definedName name="TFA_2Q03">#REF!</definedName>
    <definedName name="TFA_2Q04">#REF!</definedName>
    <definedName name="TFA_2Q05">#REF!</definedName>
    <definedName name="TFA_2Q06">#REF!</definedName>
    <definedName name="TFA_2Q07">#REF!</definedName>
    <definedName name="TFA_2Q08">#REF!</definedName>
    <definedName name="TFA_2Q09">#REF!</definedName>
    <definedName name="TFA_2Q10">#REF!</definedName>
    <definedName name="TFA_2Q11">#REF!</definedName>
    <definedName name="TFA_2Q12">#REF!</definedName>
    <definedName name="TFA_2Q13">#REF!</definedName>
    <definedName name="TFA_2Q14">#REF!</definedName>
    <definedName name="TFA_2Q15">#REF!</definedName>
    <definedName name="TFA_2Q16">#REF!</definedName>
    <definedName name="TFA_2Q17">#REF!</definedName>
    <definedName name="TFA_2Q18">#REF!</definedName>
    <definedName name="TFA_2Q19">#REF!</definedName>
    <definedName name="TFA_2Q20">#REF!</definedName>
    <definedName name="TFA_2Q21">#REF!</definedName>
    <definedName name="TFA_2Q22">#REF!</definedName>
    <definedName name="TFA_2Q23">#REF!</definedName>
    <definedName name="TFA_2Q24">#REF!</definedName>
    <definedName name="TFA_3Q00">#REF!</definedName>
    <definedName name="TFA_3Q01">#REF!</definedName>
    <definedName name="TFA_3Q02">#REF!</definedName>
    <definedName name="TFA_3Q03">#REF!</definedName>
    <definedName name="TFA_3Q04">#REF!</definedName>
    <definedName name="TFA_3Q05">#REF!</definedName>
    <definedName name="TFA_3Q06">#REF!</definedName>
    <definedName name="TFA_3Q07">#REF!</definedName>
    <definedName name="TFA_3Q08">#REF!</definedName>
    <definedName name="TFA_3Q09">#REF!</definedName>
    <definedName name="TFA_3Q10">#REF!</definedName>
    <definedName name="TFA_3Q11">#REF!</definedName>
    <definedName name="TFA_3Q12">#REF!</definedName>
    <definedName name="TFA_3Q13">#REF!</definedName>
    <definedName name="TFA_3Q14">#REF!</definedName>
    <definedName name="TFA_3Q15">#REF!</definedName>
    <definedName name="TFA_3Q16">#REF!</definedName>
    <definedName name="TFA_3Q17">#REF!</definedName>
    <definedName name="TFA_3Q18">#REF!</definedName>
    <definedName name="TFA_3Q19">#REF!</definedName>
    <definedName name="TFA_3Q20">#REF!</definedName>
    <definedName name="TFA_3Q21">#REF!</definedName>
    <definedName name="TFA_3Q22">#REF!</definedName>
    <definedName name="TFA_3Q23">#REF!</definedName>
    <definedName name="TFA_3Q24">#REF!</definedName>
    <definedName name="TFA_4Q00">#REF!</definedName>
    <definedName name="TFA_4Q01">#REF!</definedName>
    <definedName name="TFA_4Q02">#REF!</definedName>
    <definedName name="TFA_4Q03">#REF!</definedName>
    <definedName name="TFA_4Q04">#REF!</definedName>
    <definedName name="TFA_4Q05">#REF!</definedName>
    <definedName name="TFA_4Q06">#REF!</definedName>
    <definedName name="TFA_4Q07">#REF!</definedName>
    <definedName name="TFA_4Q08">#REF!</definedName>
    <definedName name="TFA_4Q09">#REF!</definedName>
    <definedName name="TFA_4Q10">#REF!</definedName>
    <definedName name="TFA_4Q11">#REF!</definedName>
    <definedName name="TFA_4Q12">#REF!</definedName>
    <definedName name="TFA_4Q13">#REF!</definedName>
    <definedName name="TFA_4Q14">#REF!</definedName>
    <definedName name="TFA_4Q15">#REF!</definedName>
    <definedName name="TFA_4Q16">#REF!</definedName>
    <definedName name="TFA_4Q17">#REF!</definedName>
    <definedName name="TFA_4Q18">#REF!</definedName>
    <definedName name="TFA_4Q19">#REF!</definedName>
    <definedName name="TFA_4Q20">#REF!</definedName>
    <definedName name="TFA_4Q21">#REF!</definedName>
    <definedName name="TFA_4Q22">#REF!</definedName>
    <definedName name="TFA_4Q23">#REF!</definedName>
    <definedName name="TFA_4Q24">#REF!</definedName>
    <definedName name="TIBTAI_1995">#REF!</definedName>
    <definedName name="TIBTAI_1996">#REF!</definedName>
    <definedName name="TIBTAI_1997">#REF!</definedName>
    <definedName name="TIBTAI_1998">#REF!</definedName>
    <definedName name="TIBTAI_1999">#REF!</definedName>
    <definedName name="TIBTAI_1Q00">#REF!</definedName>
    <definedName name="TIBTAI_1Q01">#REF!</definedName>
    <definedName name="TIBTAI_1Q02">#REF!</definedName>
    <definedName name="TIBTAI_1Q03">#REF!</definedName>
    <definedName name="TIBTAI_1Q04">#REF!</definedName>
    <definedName name="TIBTAI_1Q05">#REF!</definedName>
    <definedName name="TIBTAI_1Q06">#REF!</definedName>
    <definedName name="TIBTAI_1Q07">#REF!</definedName>
    <definedName name="TIBTAI_1Q08">#REF!</definedName>
    <definedName name="TIBTAI_1Q09">#REF!</definedName>
    <definedName name="TIBTAI_1Q10">#REF!</definedName>
    <definedName name="TIBTAI_1Q11">#REF!</definedName>
    <definedName name="TIBTAI_1Q12">#REF!</definedName>
    <definedName name="TIBTAI_1Q13">#REF!</definedName>
    <definedName name="TIBTAI_1Q14">#REF!</definedName>
    <definedName name="TIBTAI_1Q15">#REF!</definedName>
    <definedName name="TIBTAI_1Q16">#REF!</definedName>
    <definedName name="TIBTAI_1Q17">#REF!</definedName>
    <definedName name="TIBTAI_1Q18">#REF!</definedName>
    <definedName name="TIBTAI_1Q19">#REF!</definedName>
    <definedName name="TIBTAI_1Q20">#REF!</definedName>
    <definedName name="TIBTAI_1Q21">#REF!</definedName>
    <definedName name="TIBTAI_1Q22">#REF!</definedName>
    <definedName name="TIBTAI_1Q23">#REF!</definedName>
    <definedName name="TIBTAI_1Q24">#REF!</definedName>
    <definedName name="TIBTAI_2000">#REF!</definedName>
    <definedName name="TIBTAI_2001">#REF!</definedName>
    <definedName name="TIBTAI_2002">#REF!</definedName>
    <definedName name="TIBTAI_2003">#REF!</definedName>
    <definedName name="TIBTAI_2004">#REF!</definedName>
    <definedName name="TIBTAI_2005">#REF!</definedName>
    <definedName name="TIBTAI_2006">#REF!</definedName>
    <definedName name="TIBTAI_2007">#REF!</definedName>
    <definedName name="TIBTAI_2008">#REF!</definedName>
    <definedName name="TIBTAI_2009">#REF!</definedName>
    <definedName name="TIBTAI_2010">#REF!</definedName>
    <definedName name="TIBTAI_2011">#REF!</definedName>
    <definedName name="TIBTAI_2012">#REF!</definedName>
    <definedName name="TIBTAI_2013">#REF!</definedName>
    <definedName name="TIBTAI_2014">#REF!</definedName>
    <definedName name="TIBTAI_2015">#REF!</definedName>
    <definedName name="TIBTAI_2016">#REF!</definedName>
    <definedName name="TIBTAI_2017">#REF!</definedName>
    <definedName name="TIBTAI_2018">#REF!</definedName>
    <definedName name="TIBTAI_2019">#REF!</definedName>
    <definedName name="TIBTAI_2020">#REF!</definedName>
    <definedName name="TIBTAI_2021">#REF!</definedName>
    <definedName name="TIBTAI_2022">#REF!</definedName>
    <definedName name="TIBTAI_2023">#REF!</definedName>
    <definedName name="TIBTAI_2024">#REF!</definedName>
    <definedName name="TIBTAI_2Q00">#REF!</definedName>
    <definedName name="TIBTAI_2Q01">#REF!</definedName>
    <definedName name="TIBTAI_2Q02">#REF!</definedName>
    <definedName name="TIBTAI_2Q03">#REF!</definedName>
    <definedName name="TIBTAI_2Q04">#REF!</definedName>
    <definedName name="TIBTAI_2Q05">#REF!</definedName>
    <definedName name="TIBTAI_2Q06">#REF!</definedName>
    <definedName name="TIBTAI_2Q07">#REF!</definedName>
    <definedName name="TIBTAI_2Q08">#REF!</definedName>
    <definedName name="TIBTAI_2Q09">#REF!</definedName>
    <definedName name="TIBTAI_2Q10">#REF!</definedName>
    <definedName name="TIBTAI_2Q11">#REF!</definedName>
    <definedName name="TIBTAI_2Q12">#REF!</definedName>
    <definedName name="TIBTAI_2Q13">#REF!</definedName>
    <definedName name="TIBTAI_2Q14">#REF!</definedName>
    <definedName name="TIBTAI_2Q15">#REF!</definedName>
    <definedName name="TIBTAI_2Q16">#REF!</definedName>
    <definedName name="TIBTAI_2Q17">#REF!</definedName>
    <definedName name="TIBTAI_2Q18">#REF!</definedName>
    <definedName name="TIBTAI_2Q19">#REF!</definedName>
    <definedName name="TIBTAI_2Q20">#REF!</definedName>
    <definedName name="TIBTAI_2Q21">#REF!</definedName>
    <definedName name="TIBTAI_2Q22">#REF!</definedName>
    <definedName name="TIBTAI_2Q23">#REF!</definedName>
    <definedName name="TIBTAI_2Q24">#REF!</definedName>
    <definedName name="TIBTAI_3Q00">#REF!</definedName>
    <definedName name="TIBTAI_3Q01">#REF!</definedName>
    <definedName name="TIBTAI_3Q02">#REF!</definedName>
    <definedName name="TIBTAI_3Q03">#REF!</definedName>
    <definedName name="TIBTAI_3Q04">#REF!</definedName>
    <definedName name="TIBTAI_3Q05">#REF!</definedName>
    <definedName name="TIBTAI_3Q06">#REF!</definedName>
    <definedName name="TIBTAI_3Q07">#REF!</definedName>
    <definedName name="TIBTAI_3Q08">#REF!</definedName>
    <definedName name="TIBTAI_3Q09">#REF!</definedName>
    <definedName name="TIBTAI_3Q10">#REF!</definedName>
    <definedName name="TIBTAI_3Q11">#REF!</definedName>
    <definedName name="TIBTAI_3Q12">#REF!</definedName>
    <definedName name="TIBTAI_3Q13">#REF!</definedName>
    <definedName name="TIBTAI_3Q14">#REF!</definedName>
    <definedName name="TIBTAI_3Q15">#REF!</definedName>
    <definedName name="TIBTAI_3Q16">#REF!</definedName>
    <definedName name="TIBTAI_3Q17">#REF!</definedName>
    <definedName name="TIBTAI_3Q18">#REF!</definedName>
    <definedName name="TIBTAI_3Q19">#REF!</definedName>
    <definedName name="TIBTAI_3Q20">#REF!</definedName>
    <definedName name="TIBTAI_3Q21">#REF!</definedName>
    <definedName name="TIBTAI_3Q22">#REF!</definedName>
    <definedName name="TIBTAI_3Q23">#REF!</definedName>
    <definedName name="TIBTAI_3Q24">#REF!</definedName>
    <definedName name="TIBTAI_4Q00">#REF!</definedName>
    <definedName name="TIBTAI_4Q01">#REF!</definedName>
    <definedName name="TIBTAI_4Q02">#REF!</definedName>
    <definedName name="TIBTAI_4Q03">#REF!</definedName>
    <definedName name="TIBTAI_4Q04">#REF!</definedName>
    <definedName name="TIBTAI_4Q05">#REF!</definedName>
    <definedName name="TIBTAI_4Q06">#REF!</definedName>
    <definedName name="TIBTAI_4Q07">#REF!</definedName>
    <definedName name="TIBTAI_4Q08">#REF!</definedName>
    <definedName name="TIBTAI_4Q09">#REF!</definedName>
    <definedName name="TIBTAI_4Q10">#REF!</definedName>
    <definedName name="TIBTAI_4Q11">#REF!</definedName>
    <definedName name="TIBTAI_4Q12">#REF!</definedName>
    <definedName name="TIBTAI_4Q13">#REF!</definedName>
    <definedName name="TIBTAI_4Q14">#REF!</definedName>
    <definedName name="TIBTAI_4Q15">#REF!</definedName>
    <definedName name="TIBTAI_4Q16">#REF!</definedName>
    <definedName name="TIBTAI_4Q17">#REF!</definedName>
    <definedName name="TIBTAI_4Q18">#REF!</definedName>
    <definedName name="TIBTAI_4Q19">#REF!</definedName>
    <definedName name="TIBTAI_4Q20">#REF!</definedName>
    <definedName name="TIBTAI_4Q21">#REF!</definedName>
    <definedName name="TIBTAI_4Q22">#REF!</definedName>
    <definedName name="TIBTAI_4Q23">#REF!</definedName>
    <definedName name="TIBTAI_4Q24">#REF!</definedName>
    <definedName name="TickerCell">#REF!</definedName>
    <definedName name="Title1">#REF!</definedName>
    <definedName name="Title2">#REF!</definedName>
    <definedName name="Title3">#REF!</definedName>
    <definedName name="Title4">#REF!</definedName>
    <definedName name="TotalVol">#REF!</definedName>
    <definedName name="TRAPAY_1995">#REF!</definedName>
    <definedName name="TRAPAY_1996">#REF!</definedName>
    <definedName name="TRAPAY_1997">#REF!</definedName>
    <definedName name="TRAPAY_1998">#REF!</definedName>
    <definedName name="TRAPAY_1999">#REF!</definedName>
    <definedName name="TRAPAY_1Q00">#REF!</definedName>
    <definedName name="TRAPAY_1Q01">#REF!</definedName>
    <definedName name="TRAPAY_1Q02">#REF!</definedName>
    <definedName name="TRAPAY_1Q03">#REF!</definedName>
    <definedName name="TRAPAY_1Q04">#REF!</definedName>
    <definedName name="TRAPAY_1Q05">#REF!</definedName>
    <definedName name="TRAPAY_1Q06">#REF!</definedName>
    <definedName name="TRAPAY_1Q07">#REF!</definedName>
    <definedName name="TRAPAY_1Q08">#REF!</definedName>
    <definedName name="TRAPAY_1Q09">#REF!</definedName>
    <definedName name="TRAPAY_1Q10">#REF!</definedName>
    <definedName name="TRAPAY_1Q11">#REF!</definedName>
    <definedName name="TRAPAY_1Q12">#REF!</definedName>
    <definedName name="TRAPAY_1Q13">#REF!</definedName>
    <definedName name="TRAPAY_1Q14">#REF!</definedName>
    <definedName name="TRAPAY_1Q15">#REF!</definedName>
    <definedName name="TRAPAY_1Q16">#REF!</definedName>
    <definedName name="TRAPAY_1Q17">#REF!</definedName>
    <definedName name="TRAPAY_1Q18">#REF!</definedName>
    <definedName name="TRAPAY_1Q19">#REF!</definedName>
    <definedName name="TRAPAY_1Q20">#REF!</definedName>
    <definedName name="TRAPAY_1Q21">#REF!</definedName>
    <definedName name="TRAPAY_1Q22">#REF!</definedName>
    <definedName name="TRAPAY_1Q23">#REF!</definedName>
    <definedName name="TRAPAY_1Q24">#REF!</definedName>
    <definedName name="TRAPAY_2000">#REF!</definedName>
    <definedName name="TRAPAY_2001">#REF!</definedName>
    <definedName name="TRAPAY_2002">#REF!</definedName>
    <definedName name="TRAPAY_2003">#REF!</definedName>
    <definedName name="TRAPAY_2004">#REF!</definedName>
    <definedName name="TRAPAY_2005">#REF!</definedName>
    <definedName name="TRAPAY_2006">#REF!</definedName>
    <definedName name="TRAPAY_2007">#REF!</definedName>
    <definedName name="TRAPAY_2008">#REF!</definedName>
    <definedName name="TRAPAY_2009">#REF!</definedName>
    <definedName name="TRAPAY_2010">#REF!</definedName>
    <definedName name="TRAPAY_2011">#REF!</definedName>
    <definedName name="TRAPAY_2012">#REF!</definedName>
    <definedName name="TRAPAY_2013">#REF!</definedName>
    <definedName name="TRAPAY_2014">#REF!</definedName>
    <definedName name="TRAPAY_2015">#REF!</definedName>
    <definedName name="TRAPAY_2016">#REF!</definedName>
    <definedName name="TRAPAY_2017">#REF!</definedName>
    <definedName name="TRAPAY_2018">#REF!</definedName>
    <definedName name="TRAPAY_2019">#REF!</definedName>
    <definedName name="TRAPAY_2020">#REF!</definedName>
    <definedName name="TRAPAY_2021">#REF!</definedName>
    <definedName name="TRAPAY_2022">#REF!</definedName>
    <definedName name="TRAPAY_2023">#REF!</definedName>
    <definedName name="TRAPAY_2024">#REF!</definedName>
    <definedName name="TRAPAY_2Q00">#REF!</definedName>
    <definedName name="TRAPAY_2Q01">#REF!</definedName>
    <definedName name="TRAPAY_2Q02">#REF!</definedName>
    <definedName name="TRAPAY_2Q03">#REF!</definedName>
    <definedName name="TRAPAY_2Q04">#REF!</definedName>
    <definedName name="TRAPAY_2Q05">#REF!</definedName>
    <definedName name="TRAPAY_2Q06">#REF!</definedName>
    <definedName name="TRAPAY_2Q07">#REF!</definedName>
    <definedName name="TRAPAY_2Q08">#REF!</definedName>
    <definedName name="TRAPAY_2Q09">#REF!</definedName>
    <definedName name="TRAPAY_2Q10">#REF!</definedName>
    <definedName name="TRAPAY_2Q11">#REF!</definedName>
    <definedName name="TRAPAY_2Q12">#REF!</definedName>
    <definedName name="TRAPAY_2Q13">#REF!</definedName>
    <definedName name="TRAPAY_2Q14">#REF!</definedName>
    <definedName name="TRAPAY_2Q15">#REF!</definedName>
    <definedName name="TRAPAY_2Q16">#REF!</definedName>
    <definedName name="TRAPAY_2Q17">#REF!</definedName>
    <definedName name="TRAPAY_2Q18">#REF!</definedName>
    <definedName name="TRAPAY_2Q19">#REF!</definedName>
    <definedName name="TRAPAY_2Q20">#REF!</definedName>
    <definedName name="TRAPAY_2Q21">#REF!</definedName>
    <definedName name="TRAPAY_2Q22">#REF!</definedName>
    <definedName name="TRAPAY_2Q23">#REF!</definedName>
    <definedName name="TRAPAY_2Q24">#REF!</definedName>
    <definedName name="TRAPAY_3Q00">#REF!</definedName>
    <definedName name="TRAPAY_3Q01">#REF!</definedName>
    <definedName name="TRAPAY_3Q02">#REF!</definedName>
    <definedName name="TRAPAY_3Q03">#REF!</definedName>
    <definedName name="TRAPAY_3Q04">#REF!</definedName>
    <definedName name="TRAPAY_3Q05">#REF!</definedName>
    <definedName name="TRAPAY_3Q06">#REF!</definedName>
    <definedName name="TRAPAY_3Q07">#REF!</definedName>
    <definedName name="TRAPAY_3Q08">#REF!</definedName>
    <definedName name="TRAPAY_3Q09">#REF!</definedName>
    <definedName name="TRAPAY_3Q10">#REF!</definedName>
    <definedName name="TRAPAY_3Q11">#REF!</definedName>
    <definedName name="TRAPAY_3Q12">#REF!</definedName>
    <definedName name="TRAPAY_3Q13">#REF!</definedName>
    <definedName name="TRAPAY_3Q14">#REF!</definedName>
    <definedName name="TRAPAY_3Q15">#REF!</definedName>
    <definedName name="TRAPAY_3Q16">#REF!</definedName>
    <definedName name="TRAPAY_3Q17">#REF!</definedName>
    <definedName name="TRAPAY_3Q18">#REF!</definedName>
    <definedName name="TRAPAY_3Q19">#REF!</definedName>
    <definedName name="TRAPAY_3Q20">#REF!</definedName>
    <definedName name="TRAPAY_3Q21">#REF!</definedName>
    <definedName name="TRAPAY_3Q22">#REF!</definedName>
    <definedName name="TRAPAY_3Q23">#REF!</definedName>
    <definedName name="TRAPAY_3Q24">#REF!</definedName>
    <definedName name="TRAPAY_4Q00">#REF!</definedName>
    <definedName name="TRAPAY_4Q01">#REF!</definedName>
    <definedName name="TRAPAY_4Q02">#REF!</definedName>
    <definedName name="TRAPAY_4Q03">#REF!</definedName>
    <definedName name="TRAPAY_4Q04">#REF!</definedName>
    <definedName name="TRAPAY_4Q05">#REF!</definedName>
    <definedName name="TRAPAY_4Q06">#REF!</definedName>
    <definedName name="TRAPAY_4Q07">#REF!</definedName>
    <definedName name="TRAPAY_4Q08">#REF!</definedName>
    <definedName name="TRAPAY_4Q09">#REF!</definedName>
    <definedName name="TRAPAY_4Q10">#REF!</definedName>
    <definedName name="TRAPAY_4Q11">#REF!</definedName>
    <definedName name="TRAPAY_4Q12">#REF!</definedName>
    <definedName name="TRAPAY_4Q13">#REF!</definedName>
    <definedName name="TRAPAY_4Q14">#REF!</definedName>
    <definedName name="TRAPAY_4Q15">#REF!</definedName>
    <definedName name="TRAPAY_4Q16">#REF!</definedName>
    <definedName name="TRAPAY_4Q17">#REF!</definedName>
    <definedName name="TRAPAY_4Q18">#REF!</definedName>
    <definedName name="TRAPAY_4Q19">#REF!</definedName>
    <definedName name="TRAPAY_4Q20">#REF!</definedName>
    <definedName name="TRAPAY_4Q21">#REF!</definedName>
    <definedName name="TRAPAY_4Q22">#REF!</definedName>
    <definedName name="TRAPAY_4Q23">#REF!</definedName>
    <definedName name="TRAPAY_4Q24">#REF!</definedName>
    <definedName name="TURN_1995">#REF!</definedName>
    <definedName name="TURN_1996">#REF!</definedName>
    <definedName name="TURN_1997">#REF!</definedName>
    <definedName name="TURN_1998">#REF!</definedName>
    <definedName name="TURN_1999">#REF!</definedName>
    <definedName name="TURN_1Q00">#REF!</definedName>
    <definedName name="TURN_1Q01">#REF!</definedName>
    <definedName name="TURN_1Q02">#REF!</definedName>
    <definedName name="TURN_1Q03">#REF!</definedName>
    <definedName name="TURN_1Q04">#REF!</definedName>
    <definedName name="TURN_1Q05">#REF!</definedName>
    <definedName name="TURN_1Q06">#REF!</definedName>
    <definedName name="TURN_1Q07">#REF!</definedName>
    <definedName name="TURN_1Q08">#REF!</definedName>
    <definedName name="TURN_1Q09">#REF!</definedName>
    <definedName name="TURN_1Q10">#REF!</definedName>
    <definedName name="TURN_1Q11">#REF!</definedName>
    <definedName name="TURN_1Q12">#REF!</definedName>
    <definedName name="TURN_1Q13">#REF!</definedName>
    <definedName name="TURN_1Q14">#REF!</definedName>
    <definedName name="TURN_1Q15">#REF!</definedName>
    <definedName name="TURN_1Q16">#REF!</definedName>
    <definedName name="TURN_1Q17">#REF!</definedName>
    <definedName name="TURN_1Q18">#REF!</definedName>
    <definedName name="TURN_1Q19">#REF!</definedName>
    <definedName name="TURN_1Q20">#REF!</definedName>
    <definedName name="TURN_1Q21">#REF!</definedName>
    <definedName name="TURN_1Q22">#REF!</definedName>
    <definedName name="TURN_1Q23">#REF!</definedName>
    <definedName name="TURN_1Q24">#REF!</definedName>
    <definedName name="TURN_2000">#REF!</definedName>
    <definedName name="TURN_2001">#REF!</definedName>
    <definedName name="TURN_2002">#REF!</definedName>
    <definedName name="TURN_2003">#REF!</definedName>
    <definedName name="TURN_2004">#REF!</definedName>
    <definedName name="TURN_2005">#REF!</definedName>
    <definedName name="TURN_2006">#REF!</definedName>
    <definedName name="TURN_2007">#REF!</definedName>
    <definedName name="TURN_2008">#REF!</definedName>
    <definedName name="TURN_2009">#REF!</definedName>
    <definedName name="TURN_2010">#REF!</definedName>
    <definedName name="TURN_2011">#REF!</definedName>
    <definedName name="TURN_2012">#REF!</definedName>
    <definedName name="TURN_2013">#REF!</definedName>
    <definedName name="TURN_2014">#REF!</definedName>
    <definedName name="TURN_2015">#REF!</definedName>
    <definedName name="TURN_2016">#REF!</definedName>
    <definedName name="TURN_2017">#REF!</definedName>
    <definedName name="TURN_2018">#REF!</definedName>
    <definedName name="TURN_2019">#REF!</definedName>
    <definedName name="TURN_2020">#REF!</definedName>
    <definedName name="TURN_2021">#REF!</definedName>
    <definedName name="TURN_2022">#REF!</definedName>
    <definedName name="TURN_2023">#REF!</definedName>
    <definedName name="TURN_2024">#REF!</definedName>
    <definedName name="TURN_2Q00">#REF!</definedName>
    <definedName name="TURN_2Q01">#REF!</definedName>
    <definedName name="TURN_2Q02">#REF!</definedName>
    <definedName name="TURN_2Q03">#REF!</definedName>
    <definedName name="TURN_2Q04">#REF!</definedName>
    <definedName name="TURN_2Q05">#REF!</definedName>
    <definedName name="TURN_2Q06">#REF!</definedName>
    <definedName name="TURN_2Q07">#REF!</definedName>
    <definedName name="TURN_2Q08">#REF!</definedName>
    <definedName name="TURN_2Q09">#REF!</definedName>
    <definedName name="TURN_2Q10">#REF!</definedName>
    <definedName name="TURN_2Q11">#REF!</definedName>
    <definedName name="TURN_2Q12">#REF!</definedName>
    <definedName name="TURN_2Q13">#REF!</definedName>
    <definedName name="TURN_2Q14">#REF!</definedName>
    <definedName name="TURN_2Q15">#REF!</definedName>
    <definedName name="TURN_2Q16">#REF!</definedName>
    <definedName name="TURN_2Q17">#REF!</definedName>
    <definedName name="TURN_2Q18">#REF!</definedName>
    <definedName name="TURN_2Q19">#REF!</definedName>
    <definedName name="TURN_2Q20">#REF!</definedName>
    <definedName name="TURN_2Q21">#REF!</definedName>
    <definedName name="TURN_2Q22">#REF!</definedName>
    <definedName name="TURN_2Q23">#REF!</definedName>
    <definedName name="TURN_2Q24">#REF!</definedName>
    <definedName name="TURN_3Q00">#REF!</definedName>
    <definedName name="TURN_3Q01">#REF!</definedName>
    <definedName name="TURN_3Q02">#REF!</definedName>
    <definedName name="TURN_3Q03">#REF!</definedName>
    <definedName name="TURN_3Q04">#REF!</definedName>
    <definedName name="TURN_3Q05">#REF!</definedName>
    <definedName name="TURN_3Q06">#REF!</definedName>
    <definedName name="TURN_3Q07">#REF!</definedName>
    <definedName name="TURN_3Q08">#REF!</definedName>
    <definedName name="TURN_3Q09">#REF!</definedName>
    <definedName name="TURN_3Q10">#REF!</definedName>
    <definedName name="TURN_3Q11">#REF!</definedName>
    <definedName name="TURN_3Q12">#REF!</definedName>
    <definedName name="TURN_3Q13">#REF!</definedName>
    <definedName name="TURN_3Q14">#REF!</definedName>
    <definedName name="TURN_3Q15">#REF!</definedName>
    <definedName name="TURN_3Q16">#REF!</definedName>
    <definedName name="TURN_3Q17">#REF!</definedName>
    <definedName name="TURN_3Q18">#REF!</definedName>
    <definedName name="TURN_3Q19">#REF!</definedName>
    <definedName name="TURN_3Q20">#REF!</definedName>
    <definedName name="TURN_3Q21">#REF!</definedName>
    <definedName name="TURN_3Q22">#REF!</definedName>
    <definedName name="TURN_3Q23">#REF!</definedName>
    <definedName name="TURN_3Q24">#REF!</definedName>
    <definedName name="TURN_4Q00">#REF!</definedName>
    <definedName name="TURN_4Q01">#REF!</definedName>
    <definedName name="TURN_4Q02">#REF!</definedName>
    <definedName name="TURN_4Q03">#REF!</definedName>
    <definedName name="TURN_4Q04">#REF!</definedName>
    <definedName name="TURN_4Q05">#REF!</definedName>
    <definedName name="TURN_4Q06">#REF!</definedName>
    <definedName name="TURN_4Q07">#REF!</definedName>
    <definedName name="TURN_4Q08">#REF!</definedName>
    <definedName name="TURN_4Q09">#REF!</definedName>
    <definedName name="TURN_4Q10">#REF!</definedName>
    <definedName name="TURN_4Q11">#REF!</definedName>
    <definedName name="TURN_4Q12">#REF!</definedName>
    <definedName name="TURN_4Q13">#REF!</definedName>
    <definedName name="TURN_4Q14">#REF!</definedName>
    <definedName name="TURN_4Q15">#REF!</definedName>
    <definedName name="TURN_4Q16">#REF!</definedName>
    <definedName name="TURN_4Q17">#REF!</definedName>
    <definedName name="TURN_4Q18">#REF!</definedName>
    <definedName name="TURN_4Q19">#REF!</definedName>
    <definedName name="TURN_4Q20">#REF!</definedName>
    <definedName name="TURN_4Q21">#REF!</definedName>
    <definedName name="TURN_4Q22">#REF!</definedName>
    <definedName name="TURN_4Q23">#REF!</definedName>
    <definedName name="TURN_4Q24">#REF!</definedName>
    <definedName name="UAVSHA_1995">#REF!</definedName>
    <definedName name="UAVSHA_1996">#REF!</definedName>
    <definedName name="UAVSHA_1997">#REF!</definedName>
    <definedName name="UAVSHA_1998">#REF!</definedName>
    <definedName name="UAVSHA_1999">#REF!</definedName>
    <definedName name="UAVSHA_1Q00">#REF!</definedName>
    <definedName name="UAVSHA_1Q01">#REF!</definedName>
    <definedName name="UAVSHA_1Q02">#REF!</definedName>
    <definedName name="UAVSHA_1Q03">#REF!</definedName>
    <definedName name="UAVSHA_1Q04">#REF!</definedName>
    <definedName name="UAVSHA_1Q05">#REF!</definedName>
    <definedName name="UAVSHA_1Q06">#REF!</definedName>
    <definedName name="UAVSHA_1Q07">#REF!</definedName>
    <definedName name="UAVSHA_1Q08">#REF!</definedName>
    <definedName name="UAVSHA_1Q09">#REF!</definedName>
    <definedName name="UAVSHA_1Q10">#REF!</definedName>
    <definedName name="UAVSHA_1Q11">#REF!</definedName>
    <definedName name="UAVSHA_1Q12">#REF!</definedName>
    <definedName name="UAVSHA_1Q13">#REF!</definedName>
    <definedName name="UAVSHA_1Q14">#REF!</definedName>
    <definedName name="UAVSHA_1Q15">#REF!</definedName>
    <definedName name="UAVSHA_1Q16">#REF!</definedName>
    <definedName name="UAVSHA_1Q17">#REF!</definedName>
    <definedName name="UAVSHA_1Q18">#REF!</definedName>
    <definedName name="UAVSHA_1Q19">#REF!</definedName>
    <definedName name="UAVSHA_1Q20">#REF!</definedName>
    <definedName name="UAVSHA_1Q21">#REF!</definedName>
    <definedName name="UAVSHA_1Q22">#REF!</definedName>
    <definedName name="UAVSHA_1Q23">#REF!</definedName>
    <definedName name="UAVSHA_1Q24">#REF!</definedName>
    <definedName name="UAVSHA_2000">#REF!</definedName>
    <definedName name="UAVSHA_2001">#REF!</definedName>
    <definedName name="UAVSHA_2002">#REF!</definedName>
    <definedName name="UAVSHA_2003">#REF!</definedName>
    <definedName name="UAVSHA_2004">#REF!</definedName>
    <definedName name="UAVSHA_2005">#REF!</definedName>
    <definedName name="UAVSHA_2006">#REF!</definedName>
    <definedName name="UAVSHA_2007">#REF!</definedName>
    <definedName name="UAVSHA_2008">#REF!</definedName>
    <definedName name="UAVSHA_2009">#REF!</definedName>
    <definedName name="UAVSHA_2010">#REF!</definedName>
    <definedName name="UAVSHA_2011">#REF!</definedName>
    <definedName name="UAVSHA_2012">#REF!</definedName>
    <definedName name="UAVSHA_2013">#REF!</definedName>
    <definedName name="UAVSHA_2014">#REF!</definedName>
    <definedName name="UAVSHA_2015">#REF!</definedName>
    <definedName name="UAVSHA_2016">#REF!</definedName>
    <definedName name="UAVSHA_2017">#REF!</definedName>
    <definedName name="UAVSHA_2018">#REF!</definedName>
    <definedName name="UAVSHA_2019">#REF!</definedName>
    <definedName name="UAVSHA_2020">#REF!</definedName>
    <definedName name="UAVSHA_2021">#REF!</definedName>
    <definedName name="UAVSHA_2022">#REF!</definedName>
    <definedName name="UAVSHA_2023">#REF!</definedName>
    <definedName name="UAVSHA_2024">#REF!</definedName>
    <definedName name="UAVSHA_2Q00">#REF!</definedName>
    <definedName name="UAVSHA_2Q01">#REF!</definedName>
    <definedName name="UAVSHA_2Q02">#REF!</definedName>
    <definedName name="UAVSHA_2Q03">#REF!</definedName>
    <definedName name="UAVSHA_2Q04">#REF!</definedName>
    <definedName name="UAVSHA_2Q05">#REF!</definedName>
    <definedName name="UAVSHA_2Q06">#REF!</definedName>
    <definedName name="UAVSHA_2Q07">#REF!</definedName>
    <definedName name="UAVSHA_2Q08">#REF!</definedName>
    <definedName name="UAVSHA_2Q09">#REF!</definedName>
    <definedName name="UAVSHA_2Q10">#REF!</definedName>
    <definedName name="UAVSHA_2Q11">#REF!</definedName>
    <definedName name="UAVSHA_2Q12">#REF!</definedName>
    <definedName name="UAVSHA_2Q13">#REF!</definedName>
    <definedName name="UAVSHA_2Q14">#REF!</definedName>
    <definedName name="UAVSHA_2Q15">#REF!</definedName>
    <definedName name="UAVSHA_2Q16">#REF!</definedName>
    <definedName name="UAVSHA_2Q17">#REF!</definedName>
    <definedName name="UAVSHA_2Q18">#REF!</definedName>
    <definedName name="UAVSHA_2Q19">#REF!</definedName>
    <definedName name="UAVSHA_2Q20">#REF!</definedName>
    <definedName name="UAVSHA_2Q21">#REF!</definedName>
    <definedName name="UAVSHA_2Q22">#REF!</definedName>
    <definedName name="UAVSHA_2Q23">#REF!</definedName>
    <definedName name="UAVSHA_2Q24">#REF!</definedName>
    <definedName name="UAVSHA_3Q00">#REF!</definedName>
    <definedName name="UAVSHA_3Q01">#REF!</definedName>
    <definedName name="UAVSHA_3Q02">#REF!</definedName>
    <definedName name="UAVSHA_3Q03">#REF!</definedName>
    <definedName name="UAVSHA_3Q04">#REF!</definedName>
    <definedName name="UAVSHA_3Q05">#REF!</definedName>
    <definedName name="UAVSHA_3Q06">#REF!</definedName>
    <definedName name="UAVSHA_3Q07">#REF!</definedName>
    <definedName name="UAVSHA_3Q08">#REF!</definedName>
    <definedName name="UAVSHA_3Q09">#REF!</definedName>
    <definedName name="UAVSHA_3Q10">#REF!</definedName>
    <definedName name="UAVSHA_3Q11">#REF!</definedName>
    <definedName name="UAVSHA_3Q12">#REF!</definedName>
    <definedName name="UAVSHA_3Q13">#REF!</definedName>
    <definedName name="UAVSHA_3Q14">#REF!</definedName>
    <definedName name="UAVSHA_3Q15">#REF!</definedName>
    <definedName name="UAVSHA_3Q16">#REF!</definedName>
    <definedName name="UAVSHA_3Q17">#REF!</definedName>
    <definedName name="UAVSHA_3Q18">#REF!</definedName>
    <definedName name="UAVSHA_3Q19">#REF!</definedName>
    <definedName name="UAVSHA_3Q20">#REF!</definedName>
    <definedName name="UAVSHA_3Q21">#REF!</definedName>
    <definedName name="UAVSHA_3Q22">#REF!</definedName>
    <definedName name="UAVSHA_3Q23">#REF!</definedName>
    <definedName name="UAVSHA_3Q24">#REF!</definedName>
    <definedName name="UAVSHA_4Q00">#REF!</definedName>
    <definedName name="UAVSHA_4Q01">#REF!</definedName>
    <definedName name="UAVSHA_4Q02">#REF!</definedName>
    <definedName name="UAVSHA_4Q03">#REF!</definedName>
    <definedName name="UAVSHA_4Q04">#REF!</definedName>
    <definedName name="UAVSHA_4Q05">#REF!</definedName>
    <definedName name="UAVSHA_4Q06">#REF!</definedName>
    <definedName name="UAVSHA_4Q07">#REF!</definedName>
    <definedName name="UAVSHA_4Q08">#REF!</definedName>
    <definedName name="UAVSHA_4Q09">#REF!</definedName>
    <definedName name="UAVSHA_4Q10">#REF!</definedName>
    <definedName name="UAVSHA_4Q11">#REF!</definedName>
    <definedName name="UAVSHA_4Q12">#REF!</definedName>
    <definedName name="UAVSHA_4Q13">#REF!</definedName>
    <definedName name="UAVSHA_4Q14">#REF!</definedName>
    <definedName name="UAVSHA_4Q15">#REF!</definedName>
    <definedName name="UAVSHA_4Q16">#REF!</definedName>
    <definedName name="UAVSHA_4Q17">#REF!</definedName>
    <definedName name="UAVSHA_4Q18">#REF!</definedName>
    <definedName name="UAVSHA_4Q19">#REF!</definedName>
    <definedName name="UAVSHA_4Q20">#REF!</definedName>
    <definedName name="UAVSHA_4Q21">#REF!</definedName>
    <definedName name="UAVSHA_4Q22">#REF!</definedName>
    <definedName name="UAVSHA_4Q23">#REF!</definedName>
    <definedName name="UAVSHA_4Q24">#REF!</definedName>
    <definedName name="UBSHAR_1995">#REF!</definedName>
    <definedName name="UBSHAR_1996">#REF!</definedName>
    <definedName name="UBSHAR_1997">#REF!</definedName>
    <definedName name="UBSHAR_1998">#REF!</definedName>
    <definedName name="UBSHAR_1999">#REF!</definedName>
    <definedName name="UBSHAR_1Q00">#REF!</definedName>
    <definedName name="UBSHAR_1Q01">#REF!</definedName>
    <definedName name="UBSHAR_1Q02">#REF!</definedName>
    <definedName name="UBSHAR_1Q03">#REF!</definedName>
    <definedName name="UBSHAR_1Q04">#REF!</definedName>
    <definedName name="UBSHAR_1Q05">#REF!</definedName>
    <definedName name="UBSHAR_1Q06">#REF!</definedName>
    <definedName name="UBSHAR_1Q07">#REF!</definedName>
    <definedName name="UBSHAR_1Q08">#REF!</definedName>
    <definedName name="UBSHAR_1Q09">#REF!</definedName>
    <definedName name="UBSHAR_1Q10">#REF!</definedName>
    <definedName name="UBSHAR_1Q11">#REF!</definedName>
    <definedName name="UBSHAR_1Q12">#REF!</definedName>
    <definedName name="UBSHAR_1Q13">#REF!</definedName>
    <definedName name="UBSHAR_1Q14">#REF!</definedName>
    <definedName name="UBSHAR_1Q15">#REF!</definedName>
    <definedName name="UBSHAR_1Q16">#REF!</definedName>
    <definedName name="UBSHAR_1Q17">#REF!</definedName>
    <definedName name="UBSHAR_1Q18">#REF!</definedName>
    <definedName name="UBSHAR_1Q19">#REF!</definedName>
    <definedName name="UBSHAR_1Q20">#REF!</definedName>
    <definedName name="UBSHAR_1Q21">#REF!</definedName>
    <definedName name="UBSHAR_1Q22">#REF!</definedName>
    <definedName name="UBSHAR_1Q23">#REF!</definedName>
    <definedName name="UBSHAR_1Q24">#REF!</definedName>
    <definedName name="UBSHAR_2000">#REF!</definedName>
    <definedName name="UBSHAR_2001">#REF!</definedName>
    <definedName name="UBSHAR_2002">#REF!</definedName>
    <definedName name="UBSHAR_2003">#REF!</definedName>
    <definedName name="UBSHAR_2004">#REF!</definedName>
    <definedName name="UBSHAR_2005">#REF!</definedName>
    <definedName name="UBSHAR_2006">#REF!</definedName>
    <definedName name="UBSHAR_2007">#REF!</definedName>
    <definedName name="UBSHAR_2008">#REF!</definedName>
    <definedName name="UBSHAR_2009">#REF!</definedName>
    <definedName name="UBSHAR_2010">#REF!</definedName>
    <definedName name="UBSHAR_2011">#REF!</definedName>
    <definedName name="UBSHAR_2012">#REF!</definedName>
    <definedName name="UBSHAR_2013">#REF!</definedName>
    <definedName name="UBSHAR_2014">#REF!</definedName>
    <definedName name="UBSHAR_2015">#REF!</definedName>
    <definedName name="UBSHAR_2016">#REF!</definedName>
    <definedName name="UBSHAR_2017">#REF!</definedName>
    <definedName name="UBSHAR_2018">#REF!</definedName>
    <definedName name="UBSHAR_2019">#REF!</definedName>
    <definedName name="UBSHAR_2020">#REF!</definedName>
    <definedName name="UBSHAR_2021">#REF!</definedName>
    <definedName name="UBSHAR_2022">#REF!</definedName>
    <definedName name="UBSHAR_2023">#REF!</definedName>
    <definedName name="UBSHAR_2024">#REF!</definedName>
    <definedName name="UBSHAR_2Q00">#REF!</definedName>
    <definedName name="UBSHAR_2Q01">#REF!</definedName>
    <definedName name="UBSHAR_2Q02">#REF!</definedName>
    <definedName name="UBSHAR_2Q03">#REF!</definedName>
    <definedName name="UBSHAR_2Q04">#REF!</definedName>
    <definedName name="UBSHAR_2Q05">#REF!</definedName>
    <definedName name="UBSHAR_2Q06">#REF!</definedName>
    <definedName name="UBSHAR_2Q07">#REF!</definedName>
    <definedName name="UBSHAR_2Q08">#REF!</definedName>
    <definedName name="UBSHAR_2Q09">#REF!</definedName>
    <definedName name="UBSHAR_2Q10">#REF!</definedName>
    <definedName name="UBSHAR_2Q11">#REF!</definedName>
    <definedName name="UBSHAR_2Q12">#REF!</definedName>
    <definedName name="UBSHAR_2Q13">#REF!</definedName>
    <definedName name="UBSHAR_2Q14">#REF!</definedName>
    <definedName name="UBSHAR_2Q15">#REF!</definedName>
    <definedName name="UBSHAR_2Q16">#REF!</definedName>
    <definedName name="UBSHAR_2Q17">#REF!</definedName>
    <definedName name="UBSHAR_2Q18">#REF!</definedName>
    <definedName name="UBSHAR_2Q19">#REF!</definedName>
    <definedName name="UBSHAR_2Q20">#REF!</definedName>
    <definedName name="UBSHAR_2Q21">#REF!</definedName>
    <definedName name="UBSHAR_2Q22">#REF!</definedName>
    <definedName name="UBSHAR_2Q23">#REF!</definedName>
    <definedName name="UBSHAR_2Q24">#REF!</definedName>
    <definedName name="UBSHAR_3Q00">#REF!</definedName>
    <definedName name="UBSHAR_3Q01">#REF!</definedName>
    <definedName name="UBSHAR_3Q02">#REF!</definedName>
    <definedName name="UBSHAR_3Q03">#REF!</definedName>
    <definedName name="UBSHAR_3Q04">#REF!</definedName>
    <definedName name="UBSHAR_3Q05">#REF!</definedName>
    <definedName name="UBSHAR_3Q06">#REF!</definedName>
    <definedName name="UBSHAR_3Q07">#REF!</definedName>
    <definedName name="UBSHAR_3Q08">#REF!</definedName>
    <definedName name="UBSHAR_3Q09">#REF!</definedName>
    <definedName name="UBSHAR_3Q10">#REF!</definedName>
    <definedName name="UBSHAR_3Q11">#REF!</definedName>
    <definedName name="UBSHAR_3Q12">#REF!</definedName>
    <definedName name="UBSHAR_3Q13">#REF!</definedName>
    <definedName name="UBSHAR_3Q14">#REF!</definedName>
    <definedName name="UBSHAR_3Q15">#REF!</definedName>
    <definedName name="UBSHAR_3Q16">#REF!</definedName>
    <definedName name="UBSHAR_3Q17">#REF!</definedName>
    <definedName name="UBSHAR_3Q18">#REF!</definedName>
    <definedName name="UBSHAR_3Q19">#REF!</definedName>
    <definedName name="UBSHAR_3Q20">#REF!</definedName>
    <definedName name="UBSHAR_3Q21">#REF!</definedName>
    <definedName name="UBSHAR_3Q22">#REF!</definedName>
    <definedName name="UBSHAR_3Q23">#REF!</definedName>
    <definedName name="UBSHAR_3Q24">#REF!</definedName>
    <definedName name="UBSHAR_4Q00">#REF!</definedName>
    <definedName name="UBSHAR_4Q01">#REF!</definedName>
    <definedName name="UBSHAR_4Q02">#REF!</definedName>
    <definedName name="UBSHAR_4Q03">#REF!</definedName>
    <definedName name="UBSHAR_4Q04">#REF!</definedName>
    <definedName name="UBSHAR_4Q05">#REF!</definedName>
    <definedName name="UBSHAR_4Q06">#REF!</definedName>
    <definedName name="UBSHAR_4Q07">#REF!</definedName>
    <definedName name="UBSHAR_4Q08">#REF!</definedName>
    <definedName name="UBSHAR_4Q09">#REF!</definedName>
    <definedName name="UBSHAR_4Q10">#REF!</definedName>
    <definedName name="UBSHAR_4Q11">#REF!</definedName>
    <definedName name="UBSHAR_4Q12">#REF!</definedName>
    <definedName name="UBSHAR_4Q13">#REF!</definedName>
    <definedName name="UBSHAR_4Q14">#REF!</definedName>
    <definedName name="UBSHAR_4Q15">#REF!</definedName>
    <definedName name="UBSHAR_4Q16">#REF!</definedName>
    <definedName name="UBSHAR_4Q17">#REF!</definedName>
    <definedName name="UBSHAR_4Q18">#REF!</definedName>
    <definedName name="UBSHAR_4Q19">#REF!</definedName>
    <definedName name="UBSHAR_4Q20">#REF!</definedName>
    <definedName name="UBSHAR_4Q21">#REF!</definedName>
    <definedName name="UBSHAR_4Q22">#REF!</definedName>
    <definedName name="UBSHAR_4Q23">#REF!</definedName>
    <definedName name="UBSHAR_4Q24">#REF!</definedName>
    <definedName name="ufg">#REF!</definedName>
    <definedName name="UFSHAR_1995">#REF!</definedName>
    <definedName name="UFSHAR_1996">#REF!</definedName>
    <definedName name="UFSHAR_1997">#REF!</definedName>
    <definedName name="UFSHAR_1998">#REF!</definedName>
    <definedName name="UFSHAR_1999">#REF!</definedName>
    <definedName name="UFSHAR_1Q00">#REF!</definedName>
    <definedName name="UFSHAR_1Q01">#REF!</definedName>
    <definedName name="UFSHAR_1Q02">#REF!</definedName>
    <definedName name="UFSHAR_1Q03">#REF!</definedName>
    <definedName name="UFSHAR_1Q04">#REF!</definedName>
    <definedName name="UFSHAR_1Q05">#REF!</definedName>
    <definedName name="UFSHAR_1Q06">#REF!</definedName>
    <definedName name="UFSHAR_1Q07">#REF!</definedName>
    <definedName name="UFSHAR_1Q08">#REF!</definedName>
    <definedName name="UFSHAR_1Q09">#REF!</definedName>
    <definedName name="UFSHAR_1Q10">#REF!</definedName>
    <definedName name="UFSHAR_1Q11">#REF!</definedName>
    <definedName name="UFSHAR_1Q12">#REF!</definedName>
    <definedName name="UFSHAR_1Q13">#REF!</definedName>
    <definedName name="UFSHAR_1Q14">#REF!</definedName>
    <definedName name="UFSHAR_1Q15">#REF!</definedName>
    <definedName name="UFSHAR_1Q16">#REF!</definedName>
    <definedName name="UFSHAR_1Q17">#REF!</definedName>
    <definedName name="UFSHAR_1Q18">#REF!</definedName>
    <definedName name="UFSHAR_1Q19">#REF!</definedName>
    <definedName name="UFSHAR_1Q20">#REF!</definedName>
    <definedName name="UFSHAR_1Q21">#REF!</definedName>
    <definedName name="UFSHAR_1Q22">#REF!</definedName>
    <definedName name="UFSHAR_1Q23">#REF!</definedName>
    <definedName name="UFSHAR_1Q24">#REF!</definedName>
    <definedName name="UFSHAR_2000">#REF!</definedName>
    <definedName name="UFSHAR_2001">#REF!</definedName>
    <definedName name="UFSHAR_2002">#REF!</definedName>
    <definedName name="UFSHAR_2003">#REF!</definedName>
    <definedName name="UFSHAR_2004">#REF!</definedName>
    <definedName name="UFSHAR_2005">#REF!</definedName>
    <definedName name="UFSHAR_2006">#REF!</definedName>
    <definedName name="UFSHAR_2007">#REF!</definedName>
    <definedName name="UFSHAR_2008">#REF!</definedName>
    <definedName name="UFSHAR_2009">#REF!</definedName>
    <definedName name="UFSHAR_2010">#REF!</definedName>
    <definedName name="UFSHAR_2011">#REF!</definedName>
    <definedName name="UFSHAR_2012">#REF!</definedName>
    <definedName name="UFSHAR_2013">#REF!</definedName>
    <definedName name="UFSHAR_2014">#REF!</definedName>
    <definedName name="UFSHAR_2015">#REF!</definedName>
    <definedName name="UFSHAR_2016">#REF!</definedName>
    <definedName name="UFSHAR_2017">#REF!</definedName>
    <definedName name="UFSHAR_2018">#REF!</definedName>
    <definedName name="UFSHAR_2019">#REF!</definedName>
    <definedName name="UFSHAR_2020">#REF!</definedName>
    <definedName name="UFSHAR_2021">#REF!</definedName>
    <definedName name="UFSHAR_2022">#REF!</definedName>
    <definedName name="UFSHAR_2023">#REF!</definedName>
    <definedName name="UFSHAR_2024">#REF!</definedName>
    <definedName name="UFSHAR_2Q00">#REF!</definedName>
    <definedName name="UFSHAR_2Q01">#REF!</definedName>
    <definedName name="UFSHAR_2Q02">#REF!</definedName>
    <definedName name="UFSHAR_2Q03">#REF!</definedName>
    <definedName name="UFSHAR_2Q04">#REF!</definedName>
    <definedName name="UFSHAR_2Q05">#REF!</definedName>
    <definedName name="UFSHAR_2Q06">#REF!</definedName>
    <definedName name="UFSHAR_2Q07">#REF!</definedName>
    <definedName name="UFSHAR_2Q08">#REF!</definedName>
    <definedName name="UFSHAR_2Q09">#REF!</definedName>
    <definedName name="UFSHAR_2Q10">#REF!</definedName>
    <definedName name="UFSHAR_2Q11">#REF!</definedName>
    <definedName name="UFSHAR_2Q12">#REF!</definedName>
    <definedName name="UFSHAR_2Q13">#REF!</definedName>
    <definedName name="UFSHAR_2Q14">#REF!</definedName>
    <definedName name="UFSHAR_2Q15">#REF!</definedName>
    <definedName name="UFSHAR_2Q16">#REF!</definedName>
    <definedName name="UFSHAR_2Q17">#REF!</definedName>
    <definedName name="UFSHAR_2Q18">#REF!</definedName>
    <definedName name="UFSHAR_2Q19">#REF!</definedName>
    <definedName name="UFSHAR_2Q20">#REF!</definedName>
    <definedName name="UFSHAR_2Q21">#REF!</definedName>
    <definedName name="UFSHAR_2Q22">#REF!</definedName>
    <definedName name="UFSHAR_2Q23">#REF!</definedName>
    <definedName name="UFSHAR_2Q24">#REF!</definedName>
    <definedName name="UFSHAR_3Q00">#REF!</definedName>
    <definedName name="UFSHAR_3Q01">#REF!</definedName>
    <definedName name="UFSHAR_3Q02">#REF!</definedName>
    <definedName name="UFSHAR_3Q03">#REF!</definedName>
    <definedName name="UFSHAR_3Q04">#REF!</definedName>
    <definedName name="UFSHAR_3Q05">#REF!</definedName>
    <definedName name="UFSHAR_3Q06">#REF!</definedName>
    <definedName name="UFSHAR_3Q07">#REF!</definedName>
    <definedName name="UFSHAR_3Q08">#REF!</definedName>
    <definedName name="UFSHAR_3Q09">#REF!</definedName>
    <definedName name="UFSHAR_3Q10">#REF!</definedName>
    <definedName name="UFSHAR_3Q11">#REF!</definedName>
    <definedName name="UFSHAR_3Q12">#REF!</definedName>
    <definedName name="UFSHAR_3Q13">#REF!</definedName>
    <definedName name="UFSHAR_3Q14">#REF!</definedName>
    <definedName name="UFSHAR_3Q15">#REF!</definedName>
    <definedName name="UFSHAR_3Q16">#REF!</definedName>
    <definedName name="UFSHAR_3Q17">#REF!</definedName>
    <definedName name="UFSHAR_3Q18">#REF!</definedName>
    <definedName name="UFSHAR_3Q19">#REF!</definedName>
    <definedName name="UFSHAR_3Q20">#REF!</definedName>
    <definedName name="UFSHAR_3Q21">#REF!</definedName>
    <definedName name="UFSHAR_3Q22">#REF!</definedName>
    <definedName name="UFSHAR_3Q23">#REF!</definedName>
    <definedName name="UFSHAR_3Q24">#REF!</definedName>
    <definedName name="UFSHAR_4Q00">#REF!</definedName>
    <definedName name="UFSHAR_4Q01">#REF!</definedName>
    <definedName name="UFSHAR_4Q02">#REF!</definedName>
    <definedName name="UFSHAR_4Q03">#REF!</definedName>
    <definedName name="UFSHAR_4Q04">#REF!</definedName>
    <definedName name="UFSHAR_4Q05">#REF!</definedName>
    <definedName name="UFSHAR_4Q06">#REF!</definedName>
    <definedName name="UFSHAR_4Q07">#REF!</definedName>
    <definedName name="UFSHAR_4Q08">#REF!</definedName>
    <definedName name="UFSHAR_4Q09">#REF!</definedName>
    <definedName name="UFSHAR_4Q10">#REF!</definedName>
    <definedName name="UFSHAR_4Q11">#REF!</definedName>
    <definedName name="UFSHAR_4Q12">#REF!</definedName>
    <definedName name="UFSHAR_4Q13">#REF!</definedName>
    <definedName name="UFSHAR_4Q14">#REF!</definedName>
    <definedName name="UFSHAR_4Q15">#REF!</definedName>
    <definedName name="UFSHAR_4Q16">#REF!</definedName>
    <definedName name="UFSHAR_4Q17">#REF!</definedName>
    <definedName name="UFSHAR_4Q18">#REF!</definedName>
    <definedName name="UFSHAR_4Q19">#REF!</definedName>
    <definedName name="UFSHAR_4Q20">#REF!</definedName>
    <definedName name="UFSHAR_4Q21">#REF!</definedName>
    <definedName name="UFSHAR_4Q22">#REF!</definedName>
    <definedName name="UFSHAR_4Q23">#REF!</definedName>
    <definedName name="UFSHAR_4Q24">#REF!</definedName>
    <definedName name="UNDPS_1995">#REF!</definedName>
    <definedName name="UNDPS_1996">#REF!</definedName>
    <definedName name="UNDPS_1997">#REF!</definedName>
    <definedName name="UNDPS_1998">#REF!</definedName>
    <definedName name="UNDPS_1999">#REF!</definedName>
    <definedName name="UNDPS_1Q00">#REF!</definedName>
    <definedName name="UNDPS_1Q01">#REF!</definedName>
    <definedName name="UNDPS_1Q02">#REF!</definedName>
    <definedName name="UNDPS_1Q03">#REF!</definedName>
    <definedName name="UNDPS_1Q04">#REF!</definedName>
    <definedName name="UNDPS_1Q05">#REF!</definedName>
    <definedName name="UNDPS_1Q06">#REF!</definedName>
    <definedName name="UNDPS_1Q07">#REF!</definedName>
    <definedName name="UNDPS_1Q08">#REF!</definedName>
    <definedName name="UNDPS_1Q09">#REF!</definedName>
    <definedName name="UNDPS_1Q10">#REF!</definedName>
    <definedName name="UNDPS_1Q11">#REF!</definedName>
    <definedName name="UNDPS_1Q12">#REF!</definedName>
    <definedName name="UNDPS_1Q13">#REF!</definedName>
    <definedName name="UNDPS_1Q14">#REF!</definedName>
    <definedName name="UNDPS_1Q15">#REF!</definedName>
    <definedName name="UNDPS_1Q16">#REF!</definedName>
    <definedName name="UNDPS_1Q17">#REF!</definedName>
    <definedName name="UNDPS_1Q18">#REF!</definedName>
    <definedName name="UNDPS_1Q19">#REF!</definedName>
    <definedName name="UNDPS_1Q20">#REF!</definedName>
    <definedName name="UNDPS_1Q21">#REF!</definedName>
    <definedName name="UNDPS_1Q22">#REF!</definedName>
    <definedName name="UNDPS_1Q23">#REF!</definedName>
    <definedName name="UNDPS_1Q24">#REF!</definedName>
    <definedName name="UNDPS_2000">#REF!</definedName>
    <definedName name="UNDPS_2001">#REF!</definedName>
    <definedName name="UNDPS_2002">#REF!</definedName>
    <definedName name="UNDPS_2003">#REF!</definedName>
    <definedName name="UNDPS_2004">#REF!</definedName>
    <definedName name="UNDPS_2005">#REF!</definedName>
    <definedName name="UNDPS_2006">#REF!</definedName>
    <definedName name="UNDPS_2007">#REF!</definedName>
    <definedName name="UNDPS_2008">#REF!</definedName>
    <definedName name="UNDPS_2009">#REF!</definedName>
    <definedName name="UNDPS_2010">#REF!</definedName>
    <definedName name="UNDPS_2011">#REF!</definedName>
    <definedName name="UNDPS_2012">#REF!</definedName>
    <definedName name="UNDPS_2013">#REF!</definedName>
    <definedName name="UNDPS_2014">#REF!</definedName>
    <definedName name="UNDPS_2015">#REF!</definedName>
    <definedName name="UNDPS_2016">#REF!</definedName>
    <definedName name="UNDPS_2017">#REF!</definedName>
    <definedName name="UNDPS_2018">#REF!</definedName>
    <definedName name="UNDPS_2019">#REF!</definedName>
    <definedName name="UNDPS_2020">#REF!</definedName>
    <definedName name="UNDPS_2021">#REF!</definedName>
    <definedName name="UNDPS_2022">#REF!</definedName>
    <definedName name="UNDPS_2023">#REF!</definedName>
    <definedName name="UNDPS_2024">#REF!</definedName>
    <definedName name="UNDPS_2Q00">#REF!</definedName>
    <definedName name="UNDPS_2Q01">#REF!</definedName>
    <definedName name="UNDPS_2Q02">#REF!</definedName>
    <definedName name="UNDPS_2Q03">#REF!</definedName>
    <definedName name="UNDPS_2Q04">#REF!</definedName>
    <definedName name="UNDPS_2Q05">#REF!</definedName>
    <definedName name="UNDPS_2Q06">#REF!</definedName>
    <definedName name="UNDPS_2Q07">#REF!</definedName>
    <definedName name="UNDPS_2Q08">#REF!</definedName>
    <definedName name="UNDPS_2Q09">#REF!</definedName>
    <definedName name="UNDPS_2Q10">#REF!</definedName>
    <definedName name="UNDPS_2Q11">#REF!</definedName>
    <definedName name="UNDPS_2Q12">#REF!</definedName>
    <definedName name="UNDPS_2Q13">#REF!</definedName>
    <definedName name="UNDPS_2Q14">#REF!</definedName>
    <definedName name="UNDPS_2Q15">#REF!</definedName>
    <definedName name="UNDPS_2Q16">#REF!</definedName>
    <definedName name="UNDPS_2Q17">#REF!</definedName>
    <definedName name="UNDPS_2Q18">#REF!</definedName>
    <definedName name="UNDPS_2Q19">#REF!</definedName>
    <definedName name="UNDPS_2Q20">#REF!</definedName>
    <definedName name="UNDPS_2Q21">#REF!</definedName>
    <definedName name="UNDPS_2Q22">#REF!</definedName>
    <definedName name="UNDPS_2Q23">#REF!</definedName>
    <definedName name="UNDPS_2Q24">#REF!</definedName>
    <definedName name="UNDPS_3Q00">#REF!</definedName>
    <definedName name="UNDPS_3Q01">#REF!</definedName>
    <definedName name="UNDPS_3Q02">#REF!</definedName>
    <definedName name="UNDPS_3Q03">#REF!</definedName>
    <definedName name="UNDPS_3Q04">#REF!</definedName>
    <definedName name="UNDPS_3Q05">#REF!</definedName>
    <definedName name="UNDPS_3Q06">#REF!</definedName>
    <definedName name="UNDPS_3Q07">#REF!</definedName>
    <definedName name="UNDPS_3Q08">#REF!</definedName>
    <definedName name="UNDPS_3Q09">#REF!</definedName>
    <definedName name="UNDPS_3Q10">#REF!</definedName>
    <definedName name="UNDPS_3Q11">#REF!</definedName>
    <definedName name="UNDPS_3Q12">#REF!</definedName>
    <definedName name="UNDPS_3Q13">#REF!</definedName>
    <definedName name="UNDPS_3Q14">#REF!</definedName>
    <definedName name="UNDPS_3Q15">#REF!</definedName>
    <definedName name="UNDPS_3Q16">#REF!</definedName>
    <definedName name="UNDPS_3Q17">#REF!</definedName>
    <definedName name="UNDPS_3Q18">#REF!</definedName>
    <definedName name="UNDPS_3Q19">#REF!</definedName>
    <definedName name="UNDPS_3Q20">#REF!</definedName>
    <definedName name="UNDPS_3Q21">#REF!</definedName>
    <definedName name="UNDPS_3Q22">#REF!</definedName>
    <definedName name="UNDPS_3Q23">#REF!</definedName>
    <definedName name="UNDPS_3Q24">#REF!</definedName>
    <definedName name="UNDPS_4Q00">#REF!</definedName>
    <definedName name="UNDPS_4Q01">#REF!</definedName>
    <definedName name="UNDPS_4Q02">#REF!</definedName>
    <definedName name="UNDPS_4Q03">#REF!</definedName>
    <definedName name="UNDPS_4Q04">#REF!</definedName>
    <definedName name="UNDPS_4Q05">#REF!</definedName>
    <definedName name="UNDPS_4Q06">#REF!</definedName>
    <definedName name="UNDPS_4Q07">#REF!</definedName>
    <definedName name="UNDPS_4Q08">#REF!</definedName>
    <definedName name="UNDPS_4Q09">#REF!</definedName>
    <definedName name="UNDPS_4Q10">#REF!</definedName>
    <definedName name="UNDPS_4Q11">#REF!</definedName>
    <definedName name="UNDPS_4Q12">#REF!</definedName>
    <definedName name="UNDPS_4Q13">#REF!</definedName>
    <definedName name="UNDPS_4Q14">#REF!</definedName>
    <definedName name="UNDPS_4Q15">#REF!</definedName>
    <definedName name="UNDPS_4Q16">#REF!</definedName>
    <definedName name="UNDPS_4Q17">#REF!</definedName>
    <definedName name="UNDPS_4Q18">#REF!</definedName>
    <definedName name="UNDPS_4Q19">#REF!</definedName>
    <definedName name="UNDPS_4Q20">#REF!</definedName>
    <definedName name="UNDPS_4Q21">#REF!</definedName>
    <definedName name="UNDPS_4Q22">#REF!</definedName>
    <definedName name="UNDPS_4Q23">#REF!</definedName>
    <definedName name="UNDPS_4Q24">#REF!</definedName>
    <definedName name="USOEAT_1995">#REF!</definedName>
    <definedName name="USOEAT_1996">#REF!</definedName>
    <definedName name="USOEAT_1997">#REF!</definedName>
    <definedName name="USOEAT_1998">#REF!</definedName>
    <definedName name="USOEAT_1999">#REF!</definedName>
    <definedName name="USOEAT_1Q00">#REF!</definedName>
    <definedName name="USOEAT_1Q01">#REF!</definedName>
    <definedName name="USOEAT_1Q02">#REF!</definedName>
    <definedName name="USOEAT_1Q03">#REF!</definedName>
    <definedName name="USOEAT_1Q04">#REF!</definedName>
    <definedName name="USOEAT_1Q05">#REF!</definedName>
    <definedName name="USOEAT_1Q06">#REF!</definedName>
    <definedName name="USOEAT_1Q07">#REF!</definedName>
    <definedName name="USOEAT_1Q08">#REF!</definedName>
    <definedName name="USOEAT_1Q09">#REF!</definedName>
    <definedName name="USOEAT_1Q10">#REF!</definedName>
    <definedName name="USOEAT_1Q11">#REF!</definedName>
    <definedName name="USOEAT_1Q12">#REF!</definedName>
    <definedName name="USOEAT_1Q13">#REF!</definedName>
    <definedName name="USOEAT_1Q14">#REF!</definedName>
    <definedName name="USOEAT_1Q15">#REF!</definedName>
    <definedName name="USOEAT_1Q16">#REF!</definedName>
    <definedName name="USOEAT_1Q17">#REF!</definedName>
    <definedName name="USOEAT_1Q18">#REF!</definedName>
    <definedName name="USOEAT_1Q19">#REF!</definedName>
    <definedName name="USOEAT_1Q20">#REF!</definedName>
    <definedName name="USOEAT_1Q21">#REF!</definedName>
    <definedName name="USOEAT_1Q22">#REF!</definedName>
    <definedName name="USOEAT_1Q23">#REF!</definedName>
    <definedName name="USOEAT_1Q24">#REF!</definedName>
    <definedName name="USOEAT_2000">#REF!</definedName>
    <definedName name="USOEAT_2001">#REF!</definedName>
    <definedName name="USOEAT_2002">#REF!</definedName>
    <definedName name="USOEAT_2003">#REF!</definedName>
    <definedName name="USOEAT_2004">#REF!</definedName>
    <definedName name="USOEAT_2005">#REF!</definedName>
    <definedName name="USOEAT_2006">#REF!</definedName>
    <definedName name="USOEAT_2007">#REF!</definedName>
    <definedName name="USOEAT_2008">#REF!</definedName>
    <definedName name="USOEAT_2009">#REF!</definedName>
    <definedName name="USOEAT_2010">#REF!</definedName>
    <definedName name="USOEAT_2011">#REF!</definedName>
    <definedName name="USOEAT_2012">#REF!</definedName>
    <definedName name="USOEAT_2013">#REF!</definedName>
    <definedName name="USOEAT_2014">#REF!</definedName>
    <definedName name="USOEAT_2015">#REF!</definedName>
    <definedName name="USOEAT_2016">#REF!</definedName>
    <definedName name="USOEAT_2017">#REF!</definedName>
    <definedName name="USOEAT_2018">#REF!</definedName>
    <definedName name="USOEAT_2019">#REF!</definedName>
    <definedName name="USOEAT_2020">#REF!</definedName>
    <definedName name="USOEAT_2021">#REF!</definedName>
    <definedName name="USOEAT_2022">#REF!</definedName>
    <definedName name="USOEAT_2023">#REF!</definedName>
    <definedName name="USOEAT_2024">#REF!</definedName>
    <definedName name="USOEAT_2Q00">#REF!</definedName>
    <definedName name="USOEAT_2Q01">#REF!</definedName>
    <definedName name="USOEAT_2Q02">#REF!</definedName>
    <definedName name="USOEAT_2Q03">#REF!</definedName>
    <definedName name="USOEAT_2Q04">#REF!</definedName>
    <definedName name="USOEAT_2Q05">#REF!</definedName>
    <definedName name="USOEAT_2Q06">#REF!</definedName>
    <definedName name="USOEAT_2Q07">#REF!</definedName>
    <definedName name="USOEAT_2Q08">#REF!</definedName>
    <definedName name="USOEAT_2Q09">#REF!</definedName>
    <definedName name="USOEAT_2Q10">#REF!</definedName>
    <definedName name="USOEAT_2Q11">#REF!</definedName>
    <definedName name="USOEAT_2Q12">#REF!</definedName>
    <definedName name="USOEAT_2Q13">#REF!</definedName>
    <definedName name="USOEAT_2Q14">#REF!</definedName>
    <definedName name="USOEAT_2Q15">#REF!</definedName>
    <definedName name="USOEAT_2Q16">#REF!</definedName>
    <definedName name="USOEAT_2Q17">#REF!</definedName>
    <definedName name="USOEAT_2Q18">#REF!</definedName>
    <definedName name="USOEAT_2Q19">#REF!</definedName>
    <definedName name="USOEAT_2Q20">#REF!</definedName>
    <definedName name="USOEAT_2Q21">#REF!</definedName>
    <definedName name="USOEAT_2Q22">#REF!</definedName>
    <definedName name="USOEAT_2Q23">#REF!</definedName>
    <definedName name="USOEAT_2Q24">#REF!</definedName>
    <definedName name="USOEAT_3Q00">#REF!</definedName>
    <definedName name="USOEAT_3Q01">#REF!</definedName>
    <definedName name="USOEAT_3Q02">#REF!</definedName>
    <definedName name="USOEAT_3Q03">#REF!</definedName>
    <definedName name="USOEAT_3Q04">#REF!</definedName>
    <definedName name="USOEAT_3Q05">#REF!</definedName>
    <definedName name="USOEAT_3Q06">#REF!</definedName>
    <definedName name="USOEAT_3Q07">#REF!</definedName>
    <definedName name="USOEAT_3Q08">#REF!</definedName>
    <definedName name="USOEAT_3Q09">#REF!</definedName>
    <definedName name="USOEAT_3Q10">#REF!</definedName>
    <definedName name="USOEAT_3Q11">#REF!</definedName>
    <definedName name="USOEAT_3Q12">#REF!</definedName>
    <definedName name="USOEAT_3Q13">#REF!</definedName>
    <definedName name="USOEAT_3Q14">#REF!</definedName>
    <definedName name="USOEAT_3Q15">#REF!</definedName>
    <definedName name="USOEAT_3Q16">#REF!</definedName>
    <definedName name="USOEAT_3Q17">#REF!</definedName>
    <definedName name="USOEAT_3Q18">#REF!</definedName>
    <definedName name="USOEAT_3Q19">#REF!</definedName>
    <definedName name="USOEAT_3Q20">#REF!</definedName>
    <definedName name="USOEAT_3Q21">#REF!</definedName>
    <definedName name="USOEAT_3Q22">#REF!</definedName>
    <definedName name="USOEAT_3Q23">#REF!</definedName>
    <definedName name="USOEAT_3Q24">#REF!</definedName>
    <definedName name="USOEAT_4Q00">#REF!</definedName>
    <definedName name="USOEAT_4Q01">#REF!</definedName>
    <definedName name="USOEAT_4Q02">#REF!</definedName>
    <definedName name="USOEAT_4Q03">#REF!</definedName>
    <definedName name="USOEAT_4Q04">#REF!</definedName>
    <definedName name="USOEAT_4Q05">#REF!</definedName>
    <definedName name="USOEAT_4Q06">#REF!</definedName>
    <definedName name="USOEAT_4Q07">#REF!</definedName>
    <definedName name="USOEAT_4Q08">#REF!</definedName>
    <definedName name="USOEAT_4Q09">#REF!</definedName>
    <definedName name="USOEAT_4Q10">#REF!</definedName>
    <definedName name="USOEAT_4Q11">#REF!</definedName>
    <definedName name="USOEAT_4Q12">#REF!</definedName>
    <definedName name="USOEAT_4Q13">#REF!</definedName>
    <definedName name="USOEAT_4Q14">#REF!</definedName>
    <definedName name="USOEAT_4Q15">#REF!</definedName>
    <definedName name="USOEAT_4Q16">#REF!</definedName>
    <definedName name="USOEAT_4Q17">#REF!</definedName>
    <definedName name="USOEAT_4Q18">#REF!</definedName>
    <definedName name="USOEAT_4Q19">#REF!</definedName>
    <definedName name="USOEAT_4Q20">#REF!</definedName>
    <definedName name="USOEAT_4Q21">#REF!</definedName>
    <definedName name="USOEAT_4Q22">#REF!</definedName>
    <definedName name="USOEAT_4Q23">#REF!</definedName>
    <definedName name="USOEAT_4Q24">#REF!</definedName>
    <definedName name="Vail" localSheetId="4" hidden="1">{"PVGraph2",#N/A,FALSE,"PV Data"}</definedName>
    <definedName name="Vail" localSheetId="6" hidden="1">{"PVGraph2",#N/A,FALSE,"PV Data"}</definedName>
    <definedName name="Vail" localSheetId="0" hidden="1">{"PVGraph2",#N/A,FALSE,"PV Data"}</definedName>
    <definedName name="Vail" hidden="1">{"PVGraph2",#N/A,FALSE,"PV Data"}</definedName>
    <definedName name="VCP">#REF!</definedName>
    <definedName name="VCPADR">#REF!</definedName>
    <definedName name="Version.WIRE">1</definedName>
    <definedName name="VertPos">#REF!</definedName>
    <definedName name="VolumeCell">#REF!</definedName>
    <definedName name="VolumeComplement">#REF!</definedName>
    <definedName name="WACC_1995">#REF!</definedName>
    <definedName name="WACC_1996">#REF!</definedName>
    <definedName name="WACC_1997">#REF!</definedName>
    <definedName name="WACC_1998">#REF!</definedName>
    <definedName name="WACC_1999">#REF!</definedName>
    <definedName name="WACC_1Q00">#REF!</definedName>
    <definedName name="WACC_1Q01">#REF!</definedName>
    <definedName name="WACC_1Q02">#REF!</definedName>
    <definedName name="WACC_1Q03">#REF!</definedName>
    <definedName name="WACC_1Q04">#REF!</definedName>
    <definedName name="WACC_1Q05">#REF!</definedName>
    <definedName name="WACC_1Q06">#REF!</definedName>
    <definedName name="WACC_1Q07">#REF!</definedName>
    <definedName name="WACC_1Q08">#REF!</definedName>
    <definedName name="WACC_1Q09">#REF!</definedName>
    <definedName name="WACC_1Q10">#REF!</definedName>
    <definedName name="WACC_1Q11">#REF!</definedName>
    <definedName name="WACC_1Q12">#REF!</definedName>
    <definedName name="WACC_1Q13">#REF!</definedName>
    <definedName name="WACC_1Q14">#REF!</definedName>
    <definedName name="WACC_1Q15">#REF!</definedName>
    <definedName name="WACC_1Q16">#REF!</definedName>
    <definedName name="WACC_1Q17">#REF!</definedName>
    <definedName name="WACC_1Q18">#REF!</definedName>
    <definedName name="WACC_1Q19">#REF!</definedName>
    <definedName name="WACC_1Q20">#REF!</definedName>
    <definedName name="WACC_1Q21">#REF!</definedName>
    <definedName name="WACC_1Q22">#REF!</definedName>
    <definedName name="WACC_1Q23">#REF!</definedName>
    <definedName name="WACC_1Q24">#REF!</definedName>
    <definedName name="WACC_2000">#REF!</definedName>
    <definedName name="WACC_2001">#REF!</definedName>
    <definedName name="WACC_2002">#REF!</definedName>
    <definedName name="WACC_2003">#REF!</definedName>
    <definedName name="WACC_2004">#REF!</definedName>
    <definedName name="WACC_2005">#REF!</definedName>
    <definedName name="WACC_2006">#REF!</definedName>
    <definedName name="WACC_2007">#REF!</definedName>
    <definedName name="WACC_2008">#REF!</definedName>
    <definedName name="WACC_2009">#REF!</definedName>
    <definedName name="WACC_2010">#REF!</definedName>
    <definedName name="WACC_2011">#REF!</definedName>
    <definedName name="WACC_2012">#REF!</definedName>
    <definedName name="WACC_2013">#REF!</definedName>
    <definedName name="WACC_2014">#REF!</definedName>
    <definedName name="WACC_2015">#REF!</definedName>
    <definedName name="WACC_2016">#REF!</definedName>
    <definedName name="WACC_2017">#REF!</definedName>
    <definedName name="WACC_2018">#REF!</definedName>
    <definedName name="WACC_2019">#REF!</definedName>
    <definedName name="WACC_2020">#REF!</definedName>
    <definedName name="WACC_2021">#REF!</definedName>
    <definedName name="WACC_2022">#REF!</definedName>
    <definedName name="WACC_2023">#REF!</definedName>
    <definedName name="WACC_2024">#REF!</definedName>
    <definedName name="WACC_2Q00">#REF!</definedName>
    <definedName name="WACC_2Q01">#REF!</definedName>
    <definedName name="WACC_2Q02">#REF!</definedName>
    <definedName name="WACC_2Q03">#REF!</definedName>
    <definedName name="WACC_2Q04">#REF!</definedName>
    <definedName name="WACC_2Q05">#REF!</definedName>
    <definedName name="WACC_2Q06">#REF!</definedName>
    <definedName name="WACC_2Q07">#REF!</definedName>
    <definedName name="WACC_2Q08">#REF!</definedName>
    <definedName name="WACC_2Q09">#REF!</definedName>
    <definedName name="WACC_2Q10">#REF!</definedName>
    <definedName name="WACC_2Q11">#REF!</definedName>
    <definedName name="WACC_2Q12">#REF!</definedName>
    <definedName name="WACC_2Q13">#REF!</definedName>
    <definedName name="WACC_2Q14">#REF!</definedName>
    <definedName name="WACC_2Q15">#REF!</definedName>
    <definedName name="WACC_2Q16">#REF!</definedName>
    <definedName name="WACC_2Q17">#REF!</definedName>
    <definedName name="WACC_2Q18">#REF!</definedName>
    <definedName name="WACC_2Q19">#REF!</definedName>
    <definedName name="WACC_2Q20">#REF!</definedName>
    <definedName name="WACC_2Q21">#REF!</definedName>
    <definedName name="WACC_2Q22">#REF!</definedName>
    <definedName name="WACC_2Q23">#REF!</definedName>
    <definedName name="WACC_2Q24">#REF!</definedName>
    <definedName name="WACC_3Q00">#REF!</definedName>
    <definedName name="WACC_3Q01">#REF!</definedName>
    <definedName name="WACC_3Q02">#REF!</definedName>
    <definedName name="WACC_3Q03">#REF!</definedName>
    <definedName name="WACC_3Q04">#REF!</definedName>
    <definedName name="WACC_3Q05">#REF!</definedName>
    <definedName name="WACC_3Q06">#REF!</definedName>
    <definedName name="WACC_3Q07">#REF!</definedName>
    <definedName name="WACC_3Q08">#REF!</definedName>
    <definedName name="WACC_3Q09">#REF!</definedName>
    <definedName name="WACC_3Q10">#REF!</definedName>
    <definedName name="WACC_3Q11">#REF!</definedName>
    <definedName name="WACC_3Q12">#REF!</definedName>
    <definedName name="WACC_3Q13">#REF!</definedName>
    <definedName name="WACC_3Q14">#REF!</definedName>
    <definedName name="WACC_3Q15">#REF!</definedName>
    <definedName name="WACC_3Q16">#REF!</definedName>
    <definedName name="WACC_3Q17">#REF!</definedName>
    <definedName name="WACC_3Q18">#REF!</definedName>
    <definedName name="WACC_3Q19">#REF!</definedName>
    <definedName name="WACC_3Q20">#REF!</definedName>
    <definedName name="WACC_3Q21">#REF!</definedName>
    <definedName name="WACC_3Q22">#REF!</definedName>
    <definedName name="WACC_3Q23">#REF!</definedName>
    <definedName name="WACC_3Q24">#REF!</definedName>
    <definedName name="WACC_4Q00">#REF!</definedName>
    <definedName name="WACC_4Q01">#REF!</definedName>
    <definedName name="WACC_4Q02">#REF!</definedName>
    <definedName name="WACC_4Q03">#REF!</definedName>
    <definedName name="WACC_4Q04">#REF!</definedName>
    <definedName name="WACC_4Q05">#REF!</definedName>
    <definedName name="WACC_4Q06">#REF!</definedName>
    <definedName name="WACC_4Q07">#REF!</definedName>
    <definedName name="WACC_4Q08">#REF!</definedName>
    <definedName name="WACC_4Q09">#REF!</definedName>
    <definedName name="WACC_4Q10">#REF!</definedName>
    <definedName name="WACC_4Q11">#REF!</definedName>
    <definedName name="WACC_4Q12">#REF!</definedName>
    <definedName name="WACC_4Q13">#REF!</definedName>
    <definedName name="WACC_4Q14">#REF!</definedName>
    <definedName name="WACC_4Q15">#REF!</definedName>
    <definedName name="WACC_4Q16">#REF!</definedName>
    <definedName name="WACC_4Q17">#REF!</definedName>
    <definedName name="WACC_4Q18">#REF!</definedName>
    <definedName name="WACC_4Q19">#REF!</definedName>
    <definedName name="WACC_4Q20">#REF!</definedName>
    <definedName name="WACC_4Q21">#REF!</definedName>
    <definedName name="WACC_4Q22">#REF!</definedName>
    <definedName name="WACC_4Q23">#REF!</definedName>
    <definedName name="WACC_4Q24">#REF!</definedName>
    <definedName name="WCAPCH_1995">#REF!</definedName>
    <definedName name="WCAPCH_1996">#REF!</definedName>
    <definedName name="WCAPCH_1997">#REF!</definedName>
    <definedName name="WCAPCH_1998">#REF!</definedName>
    <definedName name="WCAPCH_1999">#REF!</definedName>
    <definedName name="WCAPCH_1Q00">#REF!</definedName>
    <definedName name="WCAPCH_1Q01">#REF!</definedName>
    <definedName name="WCAPCH_1Q02">#REF!</definedName>
    <definedName name="WCAPCH_1Q03">#REF!</definedName>
    <definedName name="WCAPCH_1Q04">#REF!</definedName>
    <definedName name="WCAPCH_1Q05">#REF!</definedName>
    <definedName name="WCAPCH_1Q06">#REF!</definedName>
    <definedName name="WCAPCH_1Q07">#REF!</definedName>
    <definedName name="WCAPCH_1Q08">#REF!</definedName>
    <definedName name="WCAPCH_1Q09">#REF!</definedName>
    <definedName name="WCAPCH_1Q10">#REF!</definedName>
    <definedName name="WCAPCH_1Q11">#REF!</definedName>
    <definedName name="WCAPCH_1Q12">#REF!</definedName>
    <definedName name="WCAPCH_1Q13">#REF!</definedName>
    <definedName name="WCAPCH_1Q14">#REF!</definedName>
    <definedName name="WCAPCH_1Q15">#REF!</definedName>
    <definedName name="WCAPCH_1Q16">#REF!</definedName>
    <definedName name="WCAPCH_1Q17">#REF!</definedName>
    <definedName name="WCAPCH_1Q18">#REF!</definedName>
    <definedName name="WCAPCH_1Q19">#REF!</definedName>
    <definedName name="WCAPCH_1Q20">#REF!</definedName>
    <definedName name="WCAPCH_1Q21">#REF!</definedName>
    <definedName name="WCAPCH_1Q22">#REF!</definedName>
    <definedName name="WCAPCH_1Q23">#REF!</definedName>
    <definedName name="WCAPCH_1Q24">#REF!</definedName>
    <definedName name="WCAPCH_2000">#REF!</definedName>
    <definedName name="WCAPCH_2001">#REF!</definedName>
    <definedName name="WCAPCH_2002">#REF!</definedName>
    <definedName name="WCAPCH_2003">#REF!</definedName>
    <definedName name="WCAPCH_2004">#REF!</definedName>
    <definedName name="WCAPCH_2005">#REF!</definedName>
    <definedName name="WCAPCH_2006">#REF!</definedName>
    <definedName name="WCAPCH_2007">#REF!</definedName>
    <definedName name="WCAPCH_2008">#REF!</definedName>
    <definedName name="WCAPCH_2009">#REF!</definedName>
    <definedName name="WCAPCH_2010">#REF!</definedName>
    <definedName name="WCAPCH_2011">#REF!</definedName>
    <definedName name="WCAPCH_2012">#REF!</definedName>
    <definedName name="WCAPCH_2013">#REF!</definedName>
    <definedName name="WCAPCH_2014">#REF!</definedName>
    <definedName name="WCAPCH_2015">#REF!</definedName>
    <definedName name="WCAPCH_2016">#REF!</definedName>
    <definedName name="WCAPCH_2017">#REF!</definedName>
    <definedName name="WCAPCH_2018">#REF!</definedName>
    <definedName name="WCAPCH_2019">#REF!</definedName>
    <definedName name="WCAPCH_2020">#REF!</definedName>
    <definedName name="WCAPCH_2021">#REF!</definedName>
    <definedName name="WCAPCH_2022">#REF!</definedName>
    <definedName name="WCAPCH_2023">#REF!</definedName>
    <definedName name="WCAPCH_2024">#REF!</definedName>
    <definedName name="WCAPCH_2Q00">#REF!</definedName>
    <definedName name="WCAPCH_2Q01">#REF!</definedName>
    <definedName name="WCAPCH_2Q02">#REF!</definedName>
    <definedName name="WCAPCH_2Q03">#REF!</definedName>
    <definedName name="WCAPCH_2Q04">#REF!</definedName>
    <definedName name="WCAPCH_2Q05">#REF!</definedName>
    <definedName name="WCAPCH_2Q06">#REF!</definedName>
    <definedName name="WCAPCH_2Q07">#REF!</definedName>
    <definedName name="WCAPCH_2Q08">#REF!</definedName>
    <definedName name="WCAPCH_2Q09">#REF!</definedName>
    <definedName name="WCAPCH_2Q10">#REF!</definedName>
    <definedName name="WCAPCH_2Q11">#REF!</definedName>
    <definedName name="WCAPCH_2Q12">#REF!</definedName>
    <definedName name="WCAPCH_2Q13">#REF!</definedName>
    <definedName name="WCAPCH_2Q14">#REF!</definedName>
    <definedName name="WCAPCH_2Q15">#REF!</definedName>
    <definedName name="WCAPCH_2Q16">#REF!</definedName>
    <definedName name="WCAPCH_2Q17">#REF!</definedName>
    <definedName name="WCAPCH_2Q18">#REF!</definedName>
    <definedName name="WCAPCH_2Q19">#REF!</definedName>
    <definedName name="WCAPCH_2Q20">#REF!</definedName>
    <definedName name="WCAPCH_2Q21">#REF!</definedName>
    <definedName name="WCAPCH_2Q22">#REF!</definedName>
    <definedName name="WCAPCH_2Q23">#REF!</definedName>
    <definedName name="WCAPCH_2Q24">#REF!</definedName>
    <definedName name="WCAPCH_3Q00">#REF!</definedName>
    <definedName name="WCAPCH_3Q01">#REF!</definedName>
    <definedName name="WCAPCH_3Q02">#REF!</definedName>
    <definedName name="WCAPCH_3Q03">#REF!</definedName>
    <definedName name="WCAPCH_3Q04">#REF!</definedName>
    <definedName name="WCAPCH_3Q05">#REF!</definedName>
    <definedName name="WCAPCH_3Q06">#REF!</definedName>
    <definedName name="WCAPCH_3Q07">#REF!</definedName>
    <definedName name="WCAPCH_3Q08">#REF!</definedName>
    <definedName name="WCAPCH_3Q09">#REF!</definedName>
    <definedName name="WCAPCH_3Q10">#REF!</definedName>
    <definedName name="WCAPCH_3Q11">#REF!</definedName>
    <definedName name="WCAPCH_3Q12">#REF!</definedName>
    <definedName name="WCAPCH_3Q13">#REF!</definedName>
    <definedName name="WCAPCH_3Q14">#REF!</definedName>
    <definedName name="WCAPCH_3Q15">#REF!</definedName>
    <definedName name="WCAPCH_3Q16">#REF!</definedName>
    <definedName name="WCAPCH_3Q17">#REF!</definedName>
    <definedName name="WCAPCH_3Q18">#REF!</definedName>
    <definedName name="WCAPCH_3Q19">#REF!</definedName>
    <definedName name="WCAPCH_3Q20">#REF!</definedName>
    <definedName name="WCAPCH_3Q21">#REF!</definedName>
    <definedName name="WCAPCH_3Q22">#REF!</definedName>
    <definedName name="WCAPCH_3Q23">#REF!</definedName>
    <definedName name="WCAPCH_3Q24">#REF!</definedName>
    <definedName name="WCAPCH_4Q00">#REF!</definedName>
    <definedName name="WCAPCH_4Q01">#REF!</definedName>
    <definedName name="WCAPCH_4Q02">#REF!</definedName>
    <definedName name="WCAPCH_4Q03">#REF!</definedName>
    <definedName name="WCAPCH_4Q04">#REF!</definedName>
    <definedName name="WCAPCH_4Q05">#REF!</definedName>
    <definedName name="WCAPCH_4Q06">#REF!</definedName>
    <definedName name="WCAPCH_4Q07">#REF!</definedName>
    <definedName name="WCAPCH_4Q08">#REF!</definedName>
    <definedName name="WCAPCH_4Q09">#REF!</definedName>
    <definedName name="WCAPCH_4Q10">#REF!</definedName>
    <definedName name="WCAPCH_4Q11">#REF!</definedName>
    <definedName name="WCAPCH_4Q12">#REF!</definedName>
    <definedName name="WCAPCH_4Q13">#REF!</definedName>
    <definedName name="WCAPCH_4Q14">#REF!</definedName>
    <definedName name="WCAPCH_4Q15">#REF!</definedName>
    <definedName name="WCAPCH_4Q16">#REF!</definedName>
    <definedName name="WCAPCH_4Q17">#REF!</definedName>
    <definedName name="WCAPCH_4Q18">#REF!</definedName>
    <definedName name="WCAPCH_4Q19">#REF!</definedName>
    <definedName name="WCAPCH_4Q20">#REF!</definedName>
    <definedName name="WCAPCH_4Q21">#REF!</definedName>
    <definedName name="WCAPCH_4Q22">#REF!</definedName>
    <definedName name="WCAPCH_4Q23">#REF!</definedName>
    <definedName name="WCAPCH_4Q24">#REF!</definedName>
    <definedName name="Weight">#REF!</definedName>
    <definedName name="Weight_List">#REF!</definedName>
    <definedName name="Wellpont">Word</definedName>
    <definedName name="WordMatrix">#REF!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6" hidden="1">{"cover",#N/A,TRUE,"Cover";"toc1",#N/A,TRUE,"TOC";"ts1",#N/A,TRUE,"Transaction Summary";"ei",#N/A,TRUE,"Earnings Impact";"ad",#N/A,TRUE,"accretion dilution"}</definedName>
    <definedName name="wrn.1." localSheetId="0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6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4" hidden="1">{#N/A,"10% Success",FALSE,"Sales Forecast";#N/A,#N/A,FALSE,"Sheet2"}</definedName>
    <definedName name="wrn.10._.Per._.Cent._.Success." localSheetId="6" hidden="1">{#N/A,"10% Success",FALSE,"Sales Forecast";#N/A,#N/A,FALSE,"Sheet2"}</definedName>
    <definedName name="wrn.10._.Per._.Cent._.Success." localSheetId="0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4" hidden="1">{#N/A,"100% Success",TRUE,"Sales Forecast";#N/A,#N/A,TRUE,"Sheet2"}</definedName>
    <definedName name="wrn.100._.Per._.Cent._.Success." localSheetId="6" hidden="1">{#N/A,"100% Success",TRUE,"Sales Forecast";#N/A,#N/A,TRUE,"Sheet2"}</definedName>
    <definedName name="wrn.100._.Per._.Cent._.Success." localSheetId="0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6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6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6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6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6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6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6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6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6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6" hidden="1">{"cover",#N/A,TRUE,"Cover";"toc1",#N/A,TRUE,"TOC";"ts1",#N/A,TRUE,"Transaction Summary";"ei1",#N/A,TRUE,"Earnings Impact";"ad1",#N/A,TRUE,"accretion dilution"}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6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6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6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6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6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6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6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6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6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6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6" hidden="1">{"cover",#N/A,TRUE,"Cover";"toc1",#N/A,TRUE,"TOC";"ts1",#N/A,TRUE,"Transaction Summary";"ei2",#N/A,TRUE,"Earnings Impact";"ad2",#N/A,TRUE,"accretion dilution"}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6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4" hidden="1">{#N/A,"30% Success",TRUE,"Sales Forecast";#N/A,#N/A,TRUE,"Sheet2"}</definedName>
    <definedName name="wrn.30._.Per._.Cent." localSheetId="6" hidden="1">{#N/A,"30% Success",TRUE,"Sales Forecast";#N/A,#N/A,TRUE,"Sheet2"}</definedName>
    <definedName name="wrn.30._.Per._.Cent." localSheetId="0" hidden="1">{#N/A,"30% Success",TRUE,"Sales Forecast";#N/A,#N/A,TRUE,"Sheet2"}</definedName>
    <definedName name="wrn.30._.Per._.Cent." hidden="1">{#N/A,"30% Success",TRUE,"Sales Forecast";#N/A,#N/A,TRUE,"Sheet2"}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6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6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6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6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6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6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6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6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6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6" hidden="1">{"toc1",#N/A,FALSE,"TOC";"cover",#N/A,FALSE,"Cover";"ts1",#N/A,FALSE,"Transaction Summary";"ei3",#N/A,FALSE,"Earnings Impact";"ad3",#N/A,FALSE,"accretion dilution"}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6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6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6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6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6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6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6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6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6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6" hidden="1">{"cover",#N/A,TRUE,"Cover";"toc2",#N/A,TRUE,"TOC";"ts1",#N/A,TRUE,"Transaction Summary";"ei",#N/A,TRUE,"Earnings Impact";"ad",#N/A,TRUE,"accretion dilution";"hg",#N/A,TRUE,"Has-Gets"}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6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6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6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6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6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6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6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6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6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6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6" hidden="1">{"cover",#N/A,TRUE,"Cover";"toc2",#N/A,TRUE,"TOC";"ts1",#N/A,TRUE,"Transaction Summary";"ei1",#N/A,TRUE,"Earnings Impact";"ad1",#N/A,TRUE,"accretion dilution";"hg1",#N/A,TRUE,"Has-Gets"}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6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6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6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6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6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6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6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6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6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6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6" hidden="1">{"cover",#N/A,TRUE,"Cover";"toc2",#N/A,TRUE,"TOC";"ts1",#N/A,TRUE,"Transaction Summary";"ei2c",#N/A,TRUE,"Earnings Impact";"ad2",#N/A,TRUE,"accretion dilution";"hg2",#N/A,TRUE,"Has-Gets"}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6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4" hidden="1">{#N/A,"70% Success",FALSE,"Sales Forecast";#N/A,#N/A,FALSE,"Sheet2"}</definedName>
    <definedName name="wrn.70._.Per._.Cent._.Success." localSheetId="6" hidden="1">{#N/A,"70% Success",FALSE,"Sales Forecast";#N/A,#N/A,FALSE,"Sheet2"}</definedName>
    <definedName name="wrn.70._.Per._.Cent._.Success." localSheetId="0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6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6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6" hidden="1">{"cover",#N/A,TRUE,"Cover";"toc2",#N/A,TRUE,"TOC";"ts1",#N/A,TRUE,"Transaction Summary";"ei3",#N/A,TRUE,"Earnings Impact";"ad3",#N/A,TRUE,"accretion dilution";"hg3",#N/A,TRUE,"Has-Gets"}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6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6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IMPRESSO." localSheetId="4" hidden="1">{#N/A,#N/A,FALSE,"Plan1";#N/A,#N/A,FALSE,"Plan2"}</definedName>
    <definedName name="wrn.IMPRESSO." localSheetId="6" hidden="1">{#N/A,#N/A,FALSE,"Plan1";#N/A,#N/A,FALSE,"Plan2"}</definedName>
    <definedName name="wrn.IMPRESSO." localSheetId="3" hidden="1">{#N/A,#N/A,FALSE,"Plan1";#N/A,#N/A,FALSE,"Plan2"}</definedName>
    <definedName name="wrn.IMPRESSO." hidden="1">{#N/A,#N/A,FALSE,"Plan1";#N/A,#N/A,FALSE,"Plan2"}</definedName>
    <definedName name="wrn.MergerModel." localSheetId="4" hidden="1">{"Deal",#N/A,FALSE,"Deal";"acquiror",#N/A,FALSE,"Acquiror";"Target",#N/A,FALSE,"Target"}</definedName>
    <definedName name="wrn.MergerModel." localSheetId="6" hidden="1">{"Deal",#N/A,FALSE,"Deal";"acquiror",#N/A,FALSE,"Acquiror";"Target",#N/A,FALSE,"Target"}</definedName>
    <definedName name="wrn.MergerModel." localSheetId="0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Nico." localSheetId="4" hidden="1">{#N/A,#N/A,TRUE,"Cover";#N/A,#N/A,TRUE,"Transaction Summary";#N/A,#N/A,TRUE,"Earnings Impact";#N/A,#N/A,TRUE,"accretion dilution"}</definedName>
    <definedName name="wrn.Nico." localSheetId="6" hidden="1">{#N/A,#N/A,TRUE,"Cover";#N/A,#N/A,TRUE,"Transaction Summary";#N/A,#N/A,TRUE,"Earnings Impact";#N/A,#N/A,TRUE,"accretion dilution"}</definedName>
    <definedName name="wrn.Nico." localSheetId="0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Year00">#REF!</definedName>
    <definedName name="Year0000">#REF!</definedName>
    <definedName name="Year01">#REF!</definedName>
    <definedName name="Year0101">#REF!</definedName>
    <definedName name="Year9797">#REF!</definedName>
    <definedName name="Year9898">#REF!</definedName>
    <definedName name="Year99">#REF!</definedName>
    <definedName name="Year9999">#REF!</definedName>
  </definedNames>
  <calcPr calcId="191029" calcMode="manual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" i="1" l="1"/>
  <c r="DI49" i="1"/>
  <c r="DI42" i="9" l="1"/>
  <c r="DI33" i="9"/>
  <c r="DI109" i="1"/>
  <c r="DI110" i="1" s="1"/>
  <c r="DI103" i="1"/>
  <c r="DI100" i="1"/>
  <c r="DI97" i="1"/>
  <c r="DI91" i="1"/>
  <c r="DI84" i="1"/>
  <c r="DI83" i="1"/>
  <c r="DI79" i="1"/>
  <c r="DI77" i="1"/>
  <c r="DI75" i="1"/>
  <c r="DI76" i="1" s="1"/>
  <c r="DI44" i="1"/>
  <c r="DI43" i="1" s="1"/>
  <c r="DI40" i="1"/>
  <c r="DI39" i="1"/>
  <c r="DI37" i="1"/>
  <c r="DI35" i="1"/>
  <c r="DI87" i="1" s="1"/>
  <c r="DI30" i="1"/>
  <c r="DI29" i="1" s="1"/>
  <c r="DI18" i="1"/>
  <c r="DI12" i="1"/>
  <c r="DI13" i="1" s="1"/>
  <c r="DI9" i="1"/>
  <c r="DI6" i="1"/>
  <c r="DI19" i="1"/>
  <c r="DI33" i="2"/>
  <c r="DI21" i="2"/>
  <c r="DI13" i="2"/>
  <c r="DI12" i="2" s="1"/>
  <c r="DI5" i="2"/>
  <c r="DI61" i="1" s="1"/>
  <c r="DI88" i="2"/>
  <c r="DI87" i="2"/>
  <c r="DI78" i="2"/>
  <c r="DI72" i="2"/>
  <c r="DI68" i="2"/>
  <c r="DI92" i="1" s="1"/>
  <c r="DI95" i="1" s="1"/>
  <c r="DI65" i="2"/>
  <c r="DI64" i="2"/>
  <c r="DI61" i="2"/>
  <c r="DI32" i="2"/>
  <c r="DI29" i="2"/>
  <c r="DI8" i="2"/>
  <c r="DN87" i="2"/>
  <c r="DO87" i="2" s="1"/>
  <c r="DP87" i="2" s="1"/>
  <c r="DR41" i="2"/>
  <c r="DR43" i="2"/>
  <c r="DR10" i="2"/>
  <c r="DI28" i="9"/>
  <c r="DI30" i="9" s="1"/>
  <c r="DI25" i="9"/>
  <c r="DI26" i="9" s="1"/>
  <c r="DI8" i="9"/>
  <c r="DI6" i="9"/>
  <c r="DI85" i="1" l="1"/>
  <c r="DI88" i="1"/>
  <c r="DI89" i="1"/>
  <c r="DI104" i="1"/>
  <c r="DI4" i="2"/>
  <c r="DI11" i="2" s="1"/>
  <c r="DI56" i="2"/>
  <c r="DI36" i="9"/>
  <c r="DI70" i="1"/>
  <c r="DI80" i="1" s="1"/>
  <c r="DI81" i="1" s="1"/>
  <c r="DI73" i="1"/>
  <c r="DI71" i="2"/>
  <c r="DI54" i="2"/>
  <c r="DI101" i="1"/>
  <c r="DI43" i="9"/>
  <c r="DI8" i="1"/>
  <c r="DI60" i="1" s="1"/>
  <c r="DI66" i="1"/>
  <c r="DI67" i="1" s="1"/>
  <c r="DI98" i="1"/>
  <c r="DI11" i="1"/>
  <c r="DI69" i="1" s="1"/>
  <c r="DI10" i="2"/>
  <c r="DI15" i="9"/>
  <c r="DI13" i="9"/>
  <c r="DI11" i="9"/>
  <c r="DH11" i="9"/>
  <c r="DJ1" i="9"/>
  <c r="DI62" i="1" l="1"/>
  <c r="DI71" i="1"/>
  <c r="DI43" i="2"/>
  <c r="DI19" i="2"/>
  <c r="DI22" i="2"/>
  <c r="DI16" i="2"/>
  <c r="DI53" i="2"/>
  <c r="DI55" i="2" s="1"/>
  <c r="DI16" i="9"/>
  <c r="DI17" i="9"/>
  <c r="DI20" i="2" s="1"/>
  <c r="DI57" i="2" l="1"/>
  <c r="DI70" i="2"/>
  <c r="DI29" i="9"/>
  <c r="DI74" i="2" l="1"/>
  <c r="DI58" i="2"/>
  <c r="DH42" i="9"/>
  <c r="DH33" i="9"/>
  <c r="DH160" i="1"/>
  <c r="DH150" i="1"/>
  <c r="DH142" i="1"/>
  <c r="DH109" i="1"/>
  <c r="DH110" i="1" s="1"/>
  <c r="DH103" i="1"/>
  <c r="DH100" i="1"/>
  <c r="DH97" i="1"/>
  <c r="DH83" i="1"/>
  <c r="DH79" i="1"/>
  <c r="DH77" i="1"/>
  <c r="DH44" i="1"/>
  <c r="DH43" i="1" s="1"/>
  <c r="DH40" i="1"/>
  <c r="DH39" i="1"/>
  <c r="DH37" i="1"/>
  <c r="DH148" i="1" s="1"/>
  <c r="DH35" i="1"/>
  <c r="DH147" i="1" s="1"/>
  <c r="DH18" i="1"/>
  <c r="DH144" i="1" s="1"/>
  <c r="DH12" i="1"/>
  <c r="DH13" i="1" s="1"/>
  <c r="DH75" i="1" s="1"/>
  <c r="DH76" i="1" s="1"/>
  <c r="DH9" i="1"/>
  <c r="DH8" i="1" s="1"/>
  <c r="DI20" i="9" s="1"/>
  <c r="DH6" i="1"/>
  <c r="DH51" i="1" s="1"/>
  <c r="DH30" i="1"/>
  <c r="DH19" i="1"/>
  <c r="DH143" i="1" s="1"/>
  <c r="DH78" i="2"/>
  <c r="DH72" i="2"/>
  <c r="DH68" i="2"/>
  <c r="DH92" i="1" s="1"/>
  <c r="DH65" i="2"/>
  <c r="DH64" i="2"/>
  <c r="DH61" i="2"/>
  <c r="DH21" i="2"/>
  <c r="DH13" i="2"/>
  <c r="DH12" i="2" s="1"/>
  <c r="DH5" i="2"/>
  <c r="DH61" i="1" s="1"/>
  <c r="DH32" i="2"/>
  <c r="DH31" i="2"/>
  <c r="DH8" i="2"/>
  <c r="DH48" i="9"/>
  <c r="DH25" i="9"/>
  <c r="DH15" i="9"/>
  <c r="DH16" i="9" s="1"/>
  <c r="DH6" i="9"/>
  <c r="DH13" i="9"/>
  <c r="DH8" i="9"/>
  <c r="DL2" i="9"/>
  <c r="DL1" i="9"/>
  <c r="DP10" i="2"/>
  <c r="DO10" i="2"/>
  <c r="DN10" i="2"/>
  <c r="DM10" i="2"/>
  <c r="DN43" i="2"/>
  <c r="DO43" i="2"/>
  <c r="DP43" i="2"/>
  <c r="DP41" i="2"/>
  <c r="DO41" i="2"/>
  <c r="DN41" i="2"/>
  <c r="DF33" i="9"/>
  <c r="DF109" i="1"/>
  <c r="DF110" i="1" s="1"/>
  <c r="DF103" i="1"/>
  <c r="DF100" i="1"/>
  <c r="DF97" i="1"/>
  <c r="DF84" i="1"/>
  <c r="DF83" i="1"/>
  <c r="DF79" i="1"/>
  <c r="DF77" i="1"/>
  <c r="DF44" i="1"/>
  <c r="DF43" i="1" s="1"/>
  <c r="DF37" i="1"/>
  <c r="DF40" i="1"/>
  <c r="DF39" i="1"/>
  <c r="DF35" i="1"/>
  <c r="DF87" i="1" s="1"/>
  <c r="DF30" i="1"/>
  <c r="DF29" i="1" s="1"/>
  <c r="DF18" i="1"/>
  <c r="DF12" i="1"/>
  <c r="DF73" i="1" s="1"/>
  <c r="DF9" i="1"/>
  <c r="DF8" i="1" s="1"/>
  <c r="DF60" i="1" s="1"/>
  <c r="DF6" i="1"/>
  <c r="DF19" i="1"/>
  <c r="DF88" i="2"/>
  <c r="DF78" i="2"/>
  <c r="DF46" i="2"/>
  <c r="DF65" i="2" s="1"/>
  <c r="DF42" i="2"/>
  <c r="DF40" i="2"/>
  <c r="DF36" i="2"/>
  <c r="DF34" i="2"/>
  <c r="DF68" i="2" s="1"/>
  <c r="DF92" i="1" s="1"/>
  <c r="DF26" i="2"/>
  <c r="DF24" i="2"/>
  <c r="DF18" i="2"/>
  <c r="DF15" i="2"/>
  <c r="DF14" i="2"/>
  <c r="DF9" i="2"/>
  <c r="DF8" i="2" s="1"/>
  <c r="DF7" i="2"/>
  <c r="DF42" i="9" s="1"/>
  <c r="DF29" i="2"/>
  <c r="DI73" i="2" l="1"/>
  <c r="DI40" i="9"/>
  <c r="DI35" i="9"/>
  <c r="DI37" i="9" s="1"/>
  <c r="DK21" i="2"/>
  <c r="DH81" i="2"/>
  <c r="DH139" i="1"/>
  <c r="DH140" i="1"/>
  <c r="DH71" i="2"/>
  <c r="DH66" i="1"/>
  <c r="DH67" i="1" s="1"/>
  <c r="DH120" i="1"/>
  <c r="DH149" i="1"/>
  <c r="DH88" i="1"/>
  <c r="DF66" i="1"/>
  <c r="DH87" i="1"/>
  <c r="DH4" i="2"/>
  <c r="DH10" i="2" s="1"/>
  <c r="DH54" i="2"/>
  <c r="DH56" i="2"/>
  <c r="DH73" i="1"/>
  <c r="DH74" i="1" s="1"/>
  <c r="DH26" i="9"/>
  <c r="DI18" i="9" s="1"/>
  <c r="DH60" i="1"/>
  <c r="DI63" i="1" s="1"/>
  <c r="DH70" i="1"/>
  <c r="DH52" i="1"/>
  <c r="DH57" i="1"/>
  <c r="DH36" i="9"/>
  <c r="DH29" i="1"/>
  <c r="DH28" i="1" s="1"/>
  <c r="DF85" i="1"/>
  <c r="DF104" i="1"/>
  <c r="DH121" i="1"/>
  <c r="DH11" i="1"/>
  <c r="DF72" i="2"/>
  <c r="DF61" i="2"/>
  <c r="DF98" i="1"/>
  <c r="DF101" i="1"/>
  <c r="DF64" i="2"/>
  <c r="DH17" i="9"/>
  <c r="DH14" i="9" s="1"/>
  <c r="DH34" i="9" s="1"/>
  <c r="DF95" i="1"/>
  <c r="DF28" i="1"/>
  <c r="DF27" i="1" s="1"/>
  <c r="DF26" i="1" s="1"/>
  <c r="DF13" i="1"/>
  <c r="DF28" i="9"/>
  <c r="DF30" i="9" s="1"/>
  <c r="DF25" i="9"/>
  <c r="DF26" i="9" s="1"/>
  <c r="DE25" i="9"/>
  <c r="DE26" i="9" s="1"/>
  <c r="DF48" i="9"/>
  <c r="DF74" i="1" s="1"/>
  <c r="DF15" i="9"/>
  <c r="DF13" i="9"/>
  <c r="DF11" i="9"/>
  <c r="DF8" i="9"/>
  <c r="DF6" i="9"/>
  <c r="G39" i="20"/>
  <c r="G41" i="20" s="1"/>
  <c r="DF50" i="2"/>
  <c r="DE42" i="9"/>
  <c r="DE33" i="9"/>
  <c r="DE109" i="1"/>
  <c r="DE110" i="1" s="1"/>
  <c r="DE103" i="1"/>
  <c r="DE100" i="1"/>
  <c r="DE97" i="1"/>
  <c r="DE91" i="1"/>
  <c r="DF93" i="1" s="1"/>
  <c r="DE83" i="1"/>
  <c r="DE79" i="1"/>
  <c r="DE77" i="1"/>
  <c r="DE44" i="1"/>
  <c r="DE43" i="1" s="1"/>
  <c r="DE40" i="1"/>
  <c r="DE39" i="1"/>
  <c r="DE37" i="1"/>
  <c r="DE35" i="1"/>
  <c r="DE87" i="1" s="1"/>
  <c r="DE30" i="1"/>
  <c r="DE29" i="1" s="1"/>
  <c r="DE28" i="1" s="1"/>
  <c r="DE18" i="1"/>
  <c r="DE12" i="1"/>
  <c r="DE13" i="1" s="1"/>
  <c r="DE11" i="1" s="1"/>
  <c r="DE9" i="1"/>
  <c r="DE66" i="1" s="1"/>
  <c r="DE6" i="1"/>
  <c r="DE19" i="1"/>
  <c r="DH89" i="1" l="1"/>
  <c r="DH62" i="1"/>
  <c r="DI113" i="1"/>
  <c r="DI114" i="1" s="1"/>
  <c r="DI111" i="1"/>
  <c r="DI38" i="9"/>
  <c r="DI39" i="9" s="1"/>
  <c r="DH146" i="1"/>
  <c r="DH145" i="1" s="1"/>
  <c r="DH50" i="1"/>
  <c r="DH53" i="1" s="1"/>
  <c r="DH122" i="1" s="1"/>
  <c r="DH27" i="1"/>
  <c r="DH26" i="1" s="1"/>
  <c r="DH80" i="1"/>
  <c r="DH81" i="1" s="1"/>
  <c r="DH11" i="2"/>
  <c r="DH43" i="9"/>
  <c r="DH141" i="1"/>
  <c r="DH138" i="1" s="1"/>
  <c r="DH69" i="1"/>
  <c r="DI72" i="1" s="1"/>
  <c r="DH20" i="2"/>
  <c r="DF91" i="1"/>
  <c r="DF40" i="9"/>
  <c r="DF111" i="1" s="1"/>
  <c r="DF112" i="1" s="1"/>
  <c r="DF35" i="9"/>
  <c r="DF11" i="1"/>
  <c r="DF75" i="1"/>
  <c r="DF76" i="1" s="1"/>
  <c r="DF88" i="1"/>
  <c r="DF89" i="1" s="1"/>
  <c r="DH21" i="9"/>
  <c r="DF17" i="9"/>
  <c r="DF29" i="9" s="1"/>
  <c r="DF16" i="9"/>
  <c r="DE27" i="1"/>
  <c r="DE26" i="1" s="1"/>
  <c r="DE8" i="1"/>
  <c r="DE5" i="1" s="1"/>
  <c r="DE4" i="1" s="1"/>
  <c r="DE88" i="1"/>
  <c r="DE89" i="1" s="1"/>
  <c r="DE75" i="1"/>
  <c r="DE76" i="1" s="1"/>
  <c r="DE69" i="1"/>
  <c r="DE73" i="1"/>
  <c r="DE78" i="2"/>
  <c r="DF81" i="2" s="1"/>
  <c r="DE72" i="2"/>
  <c r="DE68" i="2"/>
  <c r="DE92" i="1" s="1"/>
  <c r="DE95" i="1" s="1"/>
  <c r="DE65" i="2"/>
  <c r="DE64" i="2"/>
  <c r="DE61" i="2"/>
  <c r="DE21" i="2"/>
  <c r="DE56" i="2" s="1"/>
  <c r="DE13" i="2"/>
  <c r="DE70" i="1" s="1"/>
  <c r="DE80" i="1" s="1"/>
  <c r="DE81" i="1" s="1"/>
  <c r="DE5" i="2"/>
  <c r="DE32" i="2"/>
  <c r="DE29" i="2"/>
  <c r="DE8" i="2"/>
  <c r="DI112" i="1" l="1"/>
  <c r="DI116" i="1" s="1"/>
  <c r="DI118" i="1" s="1"/>
  <c r="DI115" i="1"/>
  <c r="DI117" i="1" s="1"/>
  <c r="DH151" i="1"/>
  <c r="DH154" i="1" s="1"/>
  <c r="DH71" i="1"/>
  <c r="DH55" i="1"/>
  <c r="DH54" i="1"/>
  <c r="DH53" i="2"/>
  <c r="DH55" i="2" s="1"/>
  <c r="DH43" i="2"/>
  <c r="DH19" i="2"/>
  <c r="DH16" i="2"/>
  <c r="DH22" i="2"/>
  <c r="DF14" i="9"/>
  <c r="DF34" i="9" s="1"/>
  <c r="DF21" i="9"/>
  <c r="DF5" i="1"/>
  <c r="DF4" i="1" s="1"/>
  <c r="DF69" i="1"/>
  <c r="DF72" i="1" s="1"/>
  <c r="DF18" i="9"/>
  <c r="DF20" i="2"/>
  <c r="DE60" i="1"/>
  <c r="DF63" i="1" s="1"/>
  <c r="DF20" i="9"/>
  <c r="DE12" i="2"/>
  <c r="DE54" i="2"/>
  <c r="DE4" i="2"/>
  <c r="DE10" i="2" s="1"/>
  <c r="DE61" i="1"/>
  <c r="DE36" i="9"/>
  <c r="DE71" i="1"/>
  <c r="DE71" i="2"/>
  <c r="DE48" i="9"/>
  <c r="DE74" i="1" s="1"/>
  <c r="DE28" i="9"/>
  <c r="DE30" i="9" s="1"/>
  <c r="DE15" i="9"/>
  <c r="DE13" i="9"/>
  <c r="DE11" i="9"/>
  <c r="DE8" i="9"/>
  <c r="DE6" i="9"/>
  <c r="DH152" i="1" l="1"/>
  <c r="DH57" i="2"/>
  <c r="DH70" i="2"/>
  <c r="DE11" i="2"/>
  <c r="DE22" i="2" s="1"/>
  <c r="DE43" i="9"/>
  <c r="DE67" i="1"/>
  <c r="DE62" i="1"/>
  <c r="DE16" i="9"/>
  <c r="DE17" i="9"/>
  <c r="DE21" i="9" s="1"/>
  <c r="BI21" i="22"/>
  <c r="BI19" i="22"/>
  <c r="BI17" i="22"/>
  <c r="BD49" i="22"/>
  <c r="BG21" i="22"/>
  <c r="BF21" i="22"/>
  <c r="BE21" i="22"/>
  <c r="BG19" i="22"/>
  <c r="BF19" i="22"/>
  <c r="BE19" i="22"/>
  <c r="BD17" i="22"/>
  <c r="BD7" i="22"/>
  <c r="C13" i="11"/>
  <c r="DH74" i="2" l="1"/>
  <c r="DH58" i="2"/>
  <c r="DE29" i="9"/>
  <c r="DE16" i="2"/>
  <c r="DE19" i="2"/>
  <c r="DE43" i="2"/>
  <c r="BA73" i="22" s="1"/>
  <c r="DE53" i="2"/>
  <c r="DE55" i="2" s="1"/>
  <c r="DE57" i="2" s="1"/>
  <c r="DE20" i="2"/>
  <c r="BA49" i="22" s="1"/>
  <c r="DE14" i="9"/>
  <c r="DE34" i="9" s="1"/>
  <c r="DM43" i="2"/>
  <c r="BI73" i="22" s="1"/>
  <c r="DM41" i="2"/>
  <c r="BI71" i="22" s="1"/>
  <c r="DK10" i="2"/>
  <c r="BG39" i="22" s="1"/>
  <c r="DJ10" i="2"/>
  <c r="BF39" i="22" s="1"/>
  <c r="BE39" i="22"/>
  <c r="BD39" i="22"/>
  <c r="BA39" i="22"/>
  <c r="BE73" i="22"/>
  <c r="DJ43" i="2"/>
  <c r="BF73" i="22" s="1"/>
  <c r="DK43" i="2"/>
  <c r="BG73" i="22" s="1"/>
  <c r="DK41" i="2"/>
  <c r="BG71" i="22" s="1"/>
  <c r="DJ41" i="2"/>
  <c r="BF71" i="22" s="1"/>
  <c r="Y64" i="24"/>
  <c r="X64" i="24"/>
  <c r="W64" i="24"/>
  <c r="Q63" i="24"/>
  <c r="P63" i="24"/>
  <c r="O63" i="24"/>
  <c r="AG57" i="24"/>
  <c r="AF57" i="24"/>
  <c r="AE57" i="24"/>
  <c r="AO56" i="24"/>
  <c r="AN56" i="24"/>
  <c r="AM56" i="24"/>
  <c r="R44" i="24"/>
  <c r="R42" i="24"/>
  <c r="J42" i="24"/>
  <c r="G39" i="24"/>
  <c r="E39" i="24"/>
  <c r="D39" i="24"/>
  <c r="F38" i="24"/>
  <c r="I38" i="24" s="1"/>
  <c r="F37" i="24"/>
  <c r="I37" i="24" s="1"/>
  <c r="F36" i="24"/>
  <c r="I36" i="24" s="1"/>
  <c r="F35" i="24"/>
  <c r="I35" i="24" s="1"/>
  <c r="F34" i="24"/>
  <c r="I34" i="24" s="1"/>
  <c r="F33" i="24"/>
  <c r="I33" i="24" s="1"/>
  <c r="F32" i="24"/>
  <c r="I32" i="24" s="1"/>
  <c r="F31" i="24"/>
  <c r="I31" i="24" s="1"/>
  <c r="F30" i="24"/>
  <c r="I30" i="24" s="1"/>
  <c r="F29" i="24"/>
  <c r="I29" i="24" s="1"/>
  <c r="F28" i="24"/>
  <c r="I28" i="24" s="1"/>
  <c r="F27" i="24"/>
  <c r="I27" i="24" s="1"/>
  <c r="F26" i="24"/>
  <c r="I26" i="24" s="1"/>
  <c r="F25" i="24"/>
  <c r="I25" i="24" s="1"/>
  <c r="F24" i="24"/>
  <c r="I24" i="24" s="1"/>
  <c r="F23" i="24"/>
  <c r="I23" i="24" s="1"/>
  <c r="F22" i="24"/>
  <c r="I22" i="24" s="1"/>
  <c r="F21" i="24"/>
  <c r="I21" i="24" s="1"/>
  <c r="F20" i="24"/>
  <c r="I20" i="24" s="1"/>
  <c r="F19" i="24"/>
  <c r="I19" i="24" s="1"/>
  <c r="F18" i="24"/>
  <c r="I18" i="24" s="1"/>
  <c r="F17" i="24"/>
  <c r="I17" i="24" s="1"/>
  <c r="F16" i="24"/>
  <c r="I16" i="24" s="1"/>
  <c r="F15" i="24"/>
  <c r="I15" i="24" s="1"/>
  <c r="F14" i="24"/>
  <c r="I14" i="24" s="1"/>
  <c r="F13" i="24"/>
  <c r="I13" i="24" s="1"/>
  <c r="F12" i="24"/>
  <c r="I12" i="24" s="1"/>
  <c r="F11" i="24"/>
  <c r="I11" i="24" s="1"/>
  <c r="F10" i="24"/>
  <c r="I10" i="24" s="1"/>
  <c r="F9" i="24"/>
  <c r="I9" i="24" s="1"/>
  <c r="F8" i="24"/>
  <c r="I8" i="24" s="1"/>
  <c r="F7" i="24"/>
  <c r="I7" i="24" s="1"/>
  <c r="F6" i="24"/>
  <c r="I6" i="24" s="1"/>
  <c r="F5" i="24"/>
  <c r="I5" i="24" s="1"/>
  <c r="F4" i="24"/>
  <c r="I4" i="24" s="1"/>
  <c r="F3" i="24"/>
  <c r="I3" i="24" s="1"/>
  <c r="B83" i="22"/>
  <c r="B82" i="22"/>
  <c r="B81" i="22"/>
  <c r="B80" i="22"/>
  <c r="B79" i="22"/>
  <c r="B78" i="22"/>
  <c r="B77" i="22"/>
  <c r="AZ76" i="22"/>
  <c r="AY76" i="22"/>
  <c r="AV76" i="22"/>
  <c r="AU76" i="22"/>
  <c r="AT76" i="22"/>
  <c r="AQ76" i="22"/>
  <c r="AP76" i="22"/>
  <c r="AO76" i="22"/>
  <c r="AL76" i="22"/>
  <c r="AK76" i="22"/>
  <c r="AJ76" i="22"/>
  <c r="AG76" i="22"/>
  <c r="AF76" i="22"/>
  <c r="AE76" i="22"/>
  <c r="AB76" i="22"/>
  <c r="AA76" i="22"/>
  <c r="Z76" i="22"/>
  <c r="W76" i="22"/>
  <c r="V76" i="22"/>
  <c r="U76" i="22"/>
  <c r="S76" i="22"/>
  <c r="R76" i="22"/>
  <c r="Q76" i="22"/>
  <c r="P76" i="22"/>
  <c r="N76" i="22"/>
  <c r="M76" i="22"/>
  <c r="L76" i="22"/>
  <c r="K76" i="22"/>
  <c r="H76" i="22"/>
  <c r="G76" i="22"/>
  <c r="F76" i="22"/>
  <c r="B76" i="22"/>
  <c r="B75" i="22"/>
  <c r="AZ74" i="22"/>
  <c r="AY74" i="22"/>
  <c r="AW74" i="22"/>
  <c r="AV74" i="22"/>
  <c r="AU74" i="22"/>
  <c r="AT74" i="22"/>
  <c r="AR74" i="22"/>
  <c r="AQ74" i="22"/>
  <c r="AP74" i="22"/>
  <c r="AO74" i="22"/>
  <c r="AM74" i="22"/>
  <c r="AL74" i="22"/>
  <c r="AK74" i="22"/>
  <c r="AJ74" i="22"/>
  <c r="AH74" i="22"/>
  <c r="AG74" i="22"/>
  <c r="AF74" i="22"/>
  <c r="AE74" i="22"/>
  <c r="AC74" i="22"/>
  <c r="AB74" i="22"/>
  <c r="AA74" i="22"/>
  <c r="Z74" i="22"/>
  <c r="X74" i="22"/>
  <c r="W74" i="22"/>
  <c r="V74" i="22"/>
  <c r="U74" i="22"/>
  <c r="S74" i="22"/>
  <c r="R74" i="22"/>
  <c r="Q74" i="22"/>
  <c r="P74" i="22"/>
  <c r="N74" i="22"/>
  <c r="M74" i="22"/>
  <c r="L74" i="22"/>
  <c r="K74" i="22"/>
  <c r="I74" i="22"/>
  <c r="H74" i="22"/>
  <c r="G74" i="22"/>
  <c r="F74" i="22"/>
  <c r="B74" i="22"/>
  <c r="B73" i="22"/>
  <c r="AZ72" i="22"/>
  <c r="AY72" i="22"/>
  <c r="AV72" i="22"/>
  <c r="AU72" i="22"/>
  <c r="AT72" i="22"/>
  <c r="AQ72" i="22"/>
  <c r="AP72" i="22"/>
  <c r="AO72" i="22"/>
  <c r="AL72" i="22"/>
  <c r="AK72" i="22"/>
  <c r="AJ72" i="22"/>
  <c r="AG72" i="22"/>
  <c r="AF72" i="22"/>
  <c r="AE72" i="22"/>
  <c r="AB72" i="22"/>
  <c r="AA72" i="22"/>
  <c r="Z72" i="22"/>
  <c r="W72" i="22"/>
  <c r="V72" i="22"/>
  <c r="U72" i="22"/>
  <c r="R72" i="22"/>
  <c r="Q72" i="22"/>
  <c r="P72" i="22"/>
  <c r="M72" i="22"/>
  <c r="L72" i="22"/>
  <c r="K72" i="22"/>
  <c r="H72" i="22"/>
  <c r="G72" i="22"/>
  <c r="F72" i="22"/>
  <c r="B72" i="22"/>
  <c r="B71" i="22"/>
  <c r="AZ70" i="22"/>
  <c r="AY70" i="22"/>
  <c r="AV70" i="22"/>
  <c r="AU70" i="22"/>
  <c r="AT70" i="22"/>
  <c r="AQ70" i="22"/>
  <c r="AP70" i="22"/>
  <c r="AO70" i="22"/>
  <c r="AL70" i="22"/>
  <c r="AK70" i="22"/>
  <c r="AJ70" i="22"/>
  <c r="AG70" i="22"/>
  <c r="AF70" i="22"/>
  <c r="AE70" i="22"/>
  <c r="AB70" i="22"/>
  <c r="AA70" i="22"/>
  <c r="Z70" i="22"/>
  <c r="W70" i="22"/>
  <c r="V70" i="22"/>
  <c r="U70" i="22"/>
  <c r="R70" i="22"/>
  <c r="Q70" i="22"/>
  <c r="P70" i="22"/>
  <c r="M70" i="22"/>
  <c r="L70" i="22"/>
  <c r="K70" i="22"/>
  <c r="H70" i="22"/>
  <c r="G70" i="22"/>
  <c r="F70" i="22"/>
  <c r="B70" i="22"/>
  <c r="B69" i="22"/>
  <c r="B68" i="22"/>
  <c r="B67" i="22"/>
  <c r="AZ66" i="22"/>
  <c r="AY66" i="22"/>
  <c r="AV66" i="22"/>
  <c r="AU66" i="22"/>
  <c r="AT66" i="22"/>
  <c r="AQ66" i="22"/>
  <c r="AP66" i="22"/>
  <c r="AO66" i="22"/>
  <c r="AL66" i="22"/>
  <c r="AK66" i="22"/>
  <c r="AJ66" i="22"/>
  <c r="AG66" i="22"/>
  <c r="AF66" i="22"/>
  <c r="AE66" i="22"/>
  <c r="AB66" i="22"/>
  <c r="AA66" i="22"/>
  <c r="Z66" i="22"/>
  <c r="W66" i="22"/>
  <c r="V66" i="22"/>
  <c r="U66" i="22"/>
  <c r="S66" i="22"/>
  <c r="R66" i="22"/>
  <c r="Q66" i="22"/>
  <c r="P66" i="22"/>
  <c r="N66" i="22"/>
  <c r="M66" i="22"/>
  <c r="L66" i="22"/>
  <c r="K66" i="22"/>
  <c r="H66" i="22"/>
  <c r="G66" i="22"/>
  <c r="F66" i="22"/>
  <c r="B66" i="22"/>
  <c r="AZ64" i="22"/>
  <c r="AY64" i="22"/>
  <c r="AW64" i="22"/>
  <c r="AV64" i="22"/>
  <c r="AU64" i="22"/>
  <c r="AT64" i="22"/>
  <c r="AR64" i="22"/>
  <c r="AQ64" i="22"/>
  <c r="AP64" i="22"/>
  <c r="AO64" i="22"/>
  <c r="AM64" i="22"/>
  <c r="AL64" i="22"/>
  <c r="AK64" i="22"/>
  <c r="AJ64" i="22"/>
  <c r="AH64" i="22"/>
  <c r="AG64" i="22"/>
  <c r="AF64" i="22"/>
  <c r="AE64" i="22"/>
  <c r="AC64" i="22"/>
  <c r="AB64" i="22"/>
  <c r="AA64" i="22"/>
  <c r="Z64" i="22"/>
  <c r="X64" i="22"/>
  <c r="W64" i="22"/>
  <c r="V64" i="22"/>
  <c r="U64" i="22"/>
  <c r="S64" i="22"/>
  <c r="R64" i="22"/>
  <c r="Q64" i="22"/>
  <c r="P64" i="22"/>
  <c r="N64" i="22"/>
  <c r="M64" i="22"/>
  <c r="L64" i="22"/>
  <c r="K64" i="22"/>
  <c r="I64" i="22"/>
  <c r="H64" i="22"/>
  <c r="G64" i="22"/>
  <c r="F64" i="22"/>
  <c r="B64" i="22"/>
  <c r="AZ63" i="22"/>
  <c r="AY63" i="22"/>
  <c r="AV63" i="22"/>
  <c r="AU63" i="22"/>
  <c r="AT63" i="22"/>
  <c r="AQ63" i="22"/>
  <c r="AP63" i="22"/>
  <c r="AO63" i="22"/>
  <c r="AL63" i="22"/>
  <c r="AK63" i="22"/>
  <c r="AJ63" i="22"/>
  <c r="AG63" i="22"/>
  <c r="AF63" i="22"/>
  <c r="AE63" i="22"/>
  <c r="AB63" i="22"/>
  <c r="AA63" i="22"/>
  <c r="Z63" i="22"/>
  <c r="W63" i="22"/>
  <c r="V63" i="22"/>
  <c r="U63" i="22"/>
  <c r="R63" i="22"/>
  <c r="Q63" i="22"/>
  <c r="P63" i="22"/>
  <c r="M63" i="22"/>
  <c r="L63" i="22"/>
  <c r="K63" i="22"/>
  <c r="I63" i="22"/>
  <c r="H63" i="22"/>
  <c r="G63" i="22"/>
  <c r="F63" i="22"/>
  <c r="B63" i="22"/>
  <c r="AY62" i="22"/>
  <c r="AV62" i="22"/>
  <c r="AT62" i="22"/>
  <c r="AQ62" i="22"/>
  <c r="AL62" i="22"/>
  <c r="AG62" i="22"/>
  <c r="R62" i="22"/>
  <c r="Q62" i="22"/>
  <c r="P62" i="22"/>
  <c r="M62" i="22"/>
  <c r="L62" i="22"/>
  <c r="K62" i="22"/>
  <c r="H62" i="22"/>
  <c r="G62" i="22"/>
  <c r="F62" i="22"/>
  <c r="B62" i="22"/>
  <c r="B61" i="22"/>
  <c r="AZ60" i="22"/>
  <c r="AW60" i="22"/>
  <c r="AV60" i="22"/>
  <c r="AU60" i="22"/>
  <c r="AR60" i="22"/>
  <c r="AQ60" i="22"/>
  <c r="AP60" i="22"/>
  <c r="AM60" i="22"/>
  <c r="AL60" i="22"/>
  <c r="AK60" i="22"/>
  <c r="AH60" i="22"/>
  <c r="AF60" i="22"/>
  <c r="AE60" i="22"/>
  <c r="AC60" i="22"/>
  <c r="AA60" i="22"/>
  <c r="Z60" i="22"/>
  <c r="X60" i="22"/>
  <c r="W60" i="22"/>
  <c r="V60" i="22"/>
  <c r="U60" i="22"/>
  <c r="S60" i="22"/>
  <c r="R60" i="22"/>
  <c r="Q60" i="22"/>
  <c r="P60" i="22"/>
  <c r="N60" i="22"/>
  <c r="M60" i="22"/>
  <c r="L60" i="22"/>
  <c r="K60" i="22"/>
  <c r="I60" i="22"/>
  <c r="H60" i="22"/>
  <c r="G60" i="22"/>
  <c r="F60" i="22"/>
  <c r="B60" i="22"/>
  <c r="AZ59" i="22"/>
  <c r="AW59" i="22"/>
  <c r="AV59" i="22"/>
  <c r="AU59" i="22"/>
  <c r="AR59" i="22"/>
  <c r="AQ59" i="22"/>
  <c r="AP59" i="22"/>
  <c r="AM59" i="22"/>
  <c r="AL59" i="22"/>
  <c r="AK59" i="22"/>
  <c r="AH59" i="22"/>
  <c r="AF59" i="22"/>
  <c r="AE59" i="22"/>
  <c r="AC59" i="22"/>
  <c r="AA59" i="22"/>
  <c r="Z59" i="22"/>
  <c r="X59" i="22"/>
  <c r="W59" i="22"/>
  <c r="V59" i="22"/>
  <c r="U59" i="22"/>
  <c r="S59" i="22"/>
  <c r="R59" i="22"/>
  <c r="Q59" i="22"/>
  <c r="P59" i="22"/>
  <c r="N59" i="22"/>
  <c r="M59" i="22"/>
  <c r="L59" i="22"/>
  <c r="K59" i="22"/>
  <c r="I59" i="22"/>
  <c r="H59" i="22"/>
  <c r="G59" i="22"/>
  <c r="F59" i="22"/>
  <c r="B59" i="22"/>
  <c r="B58" i="22"/>
  <c r="AH57" i="22"/>
  <c r="AG57" i="22"/>
  <c r="AF57" i="22"/>
  <c r="AE57" i="22"/>
  <c r="AC57" i="22"/>
  <c r="AB57" i="22"/>
  <c r="AA57" i="22"/>
  <c r="Z57" i="22"/>
  <c r="X57" i="22"/>
  <c r="W57" i="22"/>
  <c r="V57" i="22"/>
  <c r="U57" i="22"/>
  <c r="S57" i="22"/>
  <c r="R57" i="22"/>
  <c r="Q57" i="22"/>
  <c r="P57" i="22"/>
  <c r="N57" i="22"/>
  <c r="M57" i="22"/>
  <c r="L57" i="22"/>
  <c r="K57" i="22"/>
  <c r="I57" i="22"/>
  <c r="H57" i="22"/>
  <c r="G57" i="22"/>
  <c r="F57" i="22"/>
  <c r="B57" i="22"/>
  <c r="B56" i="22"/>
  <c r="AZ55" i="22"/>
  <c r="AY55" i="22"/>
  <c r="AV55" i="22"/>
  <c r="AU55" i="22"/>
  <c r="AT55" i="22"/>
  <c r="AQ55" i="22"/>
  <c r="AP55" i="22"/>
  <c r="AO55" i="22"/>
  <c r="AL55" i="22"/>
  <c r="AK55" i="22"/>
  <c r="AJ55" i="22"/>
  <c r="AG55" i="22"/>
  <c r="AF55" i="22"/>
  <c r="AE55" i="22"/>
  <c r="AB55" i="22"/>
  <c r="AA55" i="22"/>
  <c r="Z55" i="22"/>
  <c r="W55" i="22"/>
  <c r="V55" i="22"/>
  <c r="U55" i="22"/>
  <c r="R55" i="22"/>
  <c r="Q55" i="22"/>
  <c r="P55" i="22"/>
  <c r="M55" i="22"/>
  <c r="L55" i="22"/>
  <c r="K55" i="22"/>
  <c r="H55" i="22"/>
  <c r="G55" i="22"/>
  <c r="F55" i="22"/>
  <c r="B55" i="22"/>
  <c r="B54" i="22"/>
  <c r="AZ53" i="22"/>
  <c r="AY53" i="22"/>
  <c r="AV53" i="22"/>
  <c r="AU53" i="22"/>
  <c r="AT53" i="22"/>
  <c r="AQ53" i="22"/>
  <c r="AP53" i="22"/>
  <c r="AO53" i="22"/>
  <c r="AL53" i="22"/>
  <c r="AK53" i="22"/>
  <c r="AJ53" i="22"/>
  <c r="AG53" i="22"/>
  <c r="AF53" i="22"/>
  <c r="AE53" i="22"/>
  <c r="AB53" i="22"/>
  <c r="AA53" i="22"/>
  <c r="Z53" i="22"/>
  <c r="W53" i="22"/>
  <c r="V53" i="22"/>
  <c r="U53" i="22"/>
  <c r="R53" i="22"/>
  <c r="Q53" i="22"/>
  <c r="P53" i="22"/>
  <c r="M53" i="22"/>
  <c r="L53" i="22"/>
  <c r="K53" i="22"/>
  <c r="H53" i="22"/>
  <c r="G53" i="22"/>
  <c r="F53" i="22"/>
  <c r="B53" i="22"/>
  <c r="B52" i="22"/>
  <c r="B51" i="22"/>
  <c r="R50" i="22"/>
  <c r="Q50" i="22"/>
  <c r="P50" i="22"/>
  <c r="M50" i="22"/>
  <c r="L50" i="22"/>
  <c r="K50" i="22"/>
  <c r="H50" i="22"/>
  <c r="G50" i="22"/>
  <c r="F50" i="22"/>
  <c r="B50" i="22"/>
  <c r="BB49" i="22"/>
  <c r="B49" i="22"/>
  <c r="B48" i="22"/>
  <c r="AZ47" i="22"/>
  <c r="AY47" i="22"/>
  <c r="AV47" i="22"/>
  <c r="AU47" i="22"/>
  <c r="AT47" i="22"/>
  <c r="AQ47" i="22"/>
  <c r="AP47" i="22"/>
  <c r="AO47" i="22"/>
  <c r="AL47" i="22"/>
  <c r="AK47" i="22"/>
  <c r="AJ47" i="22"/>
  <c r="AG47" i="22"/>
  <c r="AF47" i="22"/>
  <c r="AE47" i="22"/>
  <c r="AB47" i="22"/>
  <c r="AA47" i="22"/>
  <c r="Z47" i="22"/>
  <c r="W47" i="22"/>
  <c r="V47" i="22"/>
  <c r="U47" i="22"/>
  <c r="R47" i="22"/>
  <c r="Q47" i="22"/>
  <c r="P47" i="22"/>
  <c r="M47" i="22"/>
  <c r="L47" i="22"/>
  <c r="K47" i="22"/>
  <c r="H47" i="22"/>
  <c r="G47" i="22"/>
  <c r="F47" i="22"/>
  <c r="B47" i="22"/>
  <c r="B46" i="22"/>
  <c r="B45" i="22"/>
  <c r="AZ44" i="22"/>
  <c r="AY44" i="22"/>
  <c r="AV44" i="22"/>
  <c r="AU44" i="22"/>
  <c r="AT44" i="22"/>
  <c r="AQ44" i="22"/>
  <c r="AP44" i="22"/>
  <c r="AO44" i="22"/>
  <c r="AL44" i="22"/>
  <c r="AK44" i="22"/>
  <c r="AJ44" i="22"/>
  <c r="AG44" i="22"/>
  <c r="AF44" i="22"/>
  <c r="AE44" i="22"/>
  <c r="AB44" i="22"/>
  <c r="AA44" i="22"/>
  <c r="Z44" i="22"/>
  <c r="W44" i="22"/>
  <c r="V44" i="22"/>
  <c r="U44" i="22"/>
  <c r="S44" i="22"/>
  <c r="R44" i="22"/>
  <c r="Q44" i="22"/>
  <c r="P44" i="22"/>
  <c r="N44" i="22"/>
  <c r="M44" i="22"/>
  <c r="L44" i="22"/>
  <c r="K44" i="22"/>
  <c r="I44" i="22"/>
  <c r="H44" i="22"/>
  <c r="G44" i="22"/>
  <c r="F44" i="22"/>
  <c r="B44" i="22"/>
  <c r="AZ43" i="22"/>
  <c r="AY43" i="22"/>
  <c r="AV43" i="22"/>
  <c r="AU43" i="22"/>
  <c r="AT43" i="22"/>
  <c r="AQ43" i="22"/>
  <c r="AP43" i="22"/>
  <c r="AO43" i="22"/>
  <c r="AL43" i="22"/>
  <c r="AK43" i="22"/>
  <c r="AJ43" i="22"/>
  <c r="AG43" i="22"/>
  <c r="AF43" i="22"/>
  <c r="AE43" i="22"/>
  <c r="AB43" i="22"/>
  <c r="AA43" i="22"/>
  <c r="Z43" i="22"/>
  <c r="W43" i="22"/>
  <c r="V43" i="22"/>
  <c r="U43" i="22"/>
  <c r="R43" i="22"/>
  <c r="Q43" i="22"/>
  <c r="P43" i="22"/>
  <c r="M43" i="22"/>
  <c r="L43" i="22"/>
  <c r="K43" i="22"/>
  <c r="I43" i="22"/>
  <c r="H43" i="22"/>
  <c r="G43" i="22"/>
  <c r="F43" i="22"/>
  <c r="B43" i="22"/>
  <c r="R42" i="22"/>
  <c r="Q42" i="22"/>
  <c r="P42" i="22"/>
  <c r="M42" i="22"/>
  <c r="L42" i="22"/>
  <c r="K42" i="22"/>
  <c r="H42" i="22"/>
  <c r="G42" i="22"/>
  <c r="F42" i="22"/>
  <c r="B42" i="22"/>
  <c r="B41" i="22"/>
  <c r="B40" i="22"/>
  <c r="B39" i="22"/>
  <c r="AZ38" i="22"/>
  <c r="AY38" i="22"/>
  <c r="AV38" i="22"/>
  <c r="AU38" i="22"/>
  <c r="AT38" i="22"/>
  <c r="AQ38" i="22"/>
  <c r="AP38" i="22"/>
  <c r="AO38" i="22"/>
  <c r="AK38" i="22"/>
  <c r="AJ38" i="22"/>
  <c r="AF38" i="22"/>
  <c r="AE38" i="22"/>
  <c r="AA38" i="22"/>
  <c r="Z38" i="22"/>
  <c r="W38" i="22"/>
  <c r="V38" i="22"/>
  <c r="U38" i="22"/>
  <c r="R38" i="22"/>
  <c r="Q38" i="22"/>
  <c r="P38" i="22"/>
  <c r="M38" i="22"/>
  <c r="L38" i="22"/>
  <c r="K38" i="22"/>
  <c r="I38" i="22"/>
  <c r="H38" i="22"/>
  <c r="G38" i="22"/>
  <c r="F38" i="22"/>
  <c r="B38" i="22"/>
  <c r="B37" i="22"/>
  <c r="AZ36" i="22"/>
  <c r="AY36" i="22"/>
  <c r="AV36" i="22"/>
  <c r="AU36" i="22"/>
  <c r="AT36" i="22"/>
  <c r="AQ36" i="22"/>
  <c r="AP36" i="22"/>
  <c r="AO36" i="22"/>
  <c r="AK36" i="22"/>
  <c r="AJ36" i="22"/>
  <c r="AF36" i="22"/>
  <c r="AE36" i="22"/>
  <c r="AA36" i="22"/>
  <c r="Z36" i="22"/>
  <c r="W36" i="22"/>
  <c r="V36" i="22"/>
  <c r="U36" i="22"/>
  <c r="R36" i="22"/>
  <c r="Q36" i="22"/>
  <c r="P36" i="22"/>
  <c r="M36" i="22"/>
  <c r="L36" i="22"/>
  <c r="K36" i="22"/>
  <c r="I36" i="22"/>
  <c r="H36" i="22"/>
  <c r="G36" i="22"/>
  <c r="F36" i="22"/>
  <c r="B36" i="22"/>
  <c r="AZ35" i="22"/>
  <c r="AY35" i="22"/>
  <c r="AW35" i="22"/>
  <c r="AV35" i="22"/>
  <c r="AU35" i="22"/>
  <c r="AT35" i="22"/>
  <c r="AR35" i="22"/>
  <c r="AQ35" i="22"/>
  <c r="AP35" i="22"/>
  <c r="AO35" i="22"/>
  <c r="AM35" i="22"/>
  <c r="AL35" i="22"/>
  <c r="AK35" i="22"/>
  <c r="AJ35" i="22"/>
  <c r="AH35" i="22"/>
  <c r="AG35" i="22"/>
  <c r="AF35" i="22"/>
  <c r="AE35" i="22"/>
  <c r="AC35" i="22"/>
  <c r="AB35" i="22"/>
  <c r="AA35" i="22"/>
  <c r="Z35" i="22"/>
  <c r="X35" i="22"/>
  <c r="W35" i="22"/>
  <c r="V35" i="22"/>
  <c r="U35" i="22"/>
  <c r="S35" i="22"/>
  <c r="R35" i="22"/>
  <c r="Q35" i="22"/>
  <c r="P35" i="22"/>
  <c r="N35" i="22"/>
  <c r="M35" i="22"/>
  <c r="L35" i="22"/>
  <c r="K35" i="22"/>
  <c r="I35" i="22"/>
  <c r="H35" i="22"/>
  <c r="G35" i="22"/>
  <c r="F35" i="22"/>
  <c r="B35" i="22"/>
  <c r="R34" i="22"/>
  <c r="Q34" i="22"/>
  <c r="P34" i="22"/>
  <c r="M34" i="22"/>
  <c r="L34" i="22"/>
  <c r="K34" i="22"/>
  <c r="H34" i="22"/>
  <c r="G34" i="22"/>
  <c r="F34" i="22"/>
  <c r="B34" i="22"/>
  <c r="B33" i="22"/>
  <c r="B30" i="22"/>
  <c r="B29" i="22"/>
  <c r="AZ28" i="22"/>
  <c r="AY28" i="22"/>
  <c r="AW28" i="22"/>
  <c r="AV28" i="22"/>
  <c r="AU28" i="22"/>
  <c r="AT28" i="22"/>
  <c r="AR28" i="22"/>
  <c r="AQ28" i="22"/>
  <c r="AP28" i="22"/>
  <c r="AO28" i="22"/>
  <c r="AM28" i="22"/>
  <c r="AL28" i="22"/>
  <c r="AK28" i="22"/>
  <c r="AJ28" i="22"/>
  <c r="AH28" i="22"/>
  <c r="AG28" i="22"/>
  <c r="AF28" i="22"/>
  <c r="AE28" i="22"/>
  <c r="AC28" i="22"/>
  <c r="AB28" i="22"/>
  <c r="AA28" i="22"/>
  <c r="W28" i="22"/>
  <c r="V28" i="22"/>
  <c r="U28" i="22"/>
  <c r="R28" i="22"/>
  <c r="Q28" i="22"/>
  <c r="P28" i="22"/>
  <c r="M28" i="22"/>
  <c r="L28" i="22"/>
  <c r="K28" i="22"/>
  <c r="H28" i="22"/>
  <c r="G28" i="22"/>
  <c r="F28" i="22"/>
  <c r="B28" i="22"/>
  <c r="W27" i="22"/>
  <c r="V27" i="22"/>
  <c r="U27" i="22"/>
  <c r="R27" i="22"/>
  <c r="Q27" i="22"/>
  <c r="P27" i="22"/>
  <c r="M27" i="22"/>
  <c r="L27" i="22"/>
  <c r="K27" i="22"/>
  <c r="H27" i="22"/>
  <c r="G27" i="22"/>
  <c r="F27" i="22"/>
  <c r="B27" i="22"/>
  <c r="AA26" i="22"/>
  <c r="W26" i="22"/>
  <c r="V26" i="22"/>
  <c r="U26" i="22"/>
  <c r="R26" i="22"/>
  <c r="Q26" i="22"/>
  <c r="P26" i="22"/>
  <c r="M26" i="22"/>
  <c r="L26" i="22"/>
  <c r="K26" i="22"/>
  <c r="H26" i="22"/>
  <c r="G26" i="22"/>
  <c r="F26" i="22"/>
  <c r="B26" i="22"/>
  <c r="AZ25" i="22"/>
  <c r="AY25" i="22"/>
  <c r="AW25" i="22"/>
  <c r="AV25" i="22"/>
  <c r="AU25" i="22"/>
  <c r="AT25" i="22"/>
  <c r="AR25" i="22"/>
  <c r="AQ25" i="22"/>
  <c r="AP25" i="22"/>
  <c r="AO25" i="22"/>
  <c r="AM25" i="22"/>
  <c r="AL25" i="22"/>
  <c r="AK25" i="22"/>
  <c r="AJ25" i="22"/>
  <c r="AH25" i="22"/>
  <c r="AG25" i="22"/>
  <c r="AF25" i="22"/>
  <c r="AE25" i="22"/>
  <c r="AC25" i="22"/>
  <c r="AB25" i="22"/>
  <c r="AA25" i="22"/>
  <c r="X25" i="22"/>
  <c r="W25" i="22"/>
  <c r="V25" i="22"/>
  <c r="U25" i="22"/>
  <c r="R25" i="22"/>
  <c r="Q25" i="22"/>
  <c r="P25" i="22"/>
  <c r="M25" i="22"/>
  <c r="L25" i="22"/>
  <c r="K25" i="22"/>
  <c r="H25" i="22"/>
  <c r="G25" i="22"/>
  <c r="F25" i="22"/>
  <c r="B25" i="22"/>
  <c r="B24" i="22"/>
  <c r="B22" i="22"/>
  <c r="BB21" i="22"/>
  <c r="B21" i="22"/>
  <c r="AZ20" i="22"/>
  <c r="AY20" i="22"/>
  <c r="AW20" i="22"/>
  <c r="AV20" i="22"/>
  <c r="AT20" i="22"/>
  <c r="AR20" i="22"/>
  <c r="AQ20" i="22"/>
  <c r="AP20" i="22"/>
  <c r="AO20" i="22"/>
  <c r="AM20" i="22"/>
  <c r="AL20" i="22"/>
  <c r="AK20" i="22"/>
  <c r="AJ20" i="22"/>
  <c r="AG20" i="22"/>
  <c r="AF20" i="22"/>
  <c r="AE20" i="22"/>
  <c r="AC20" i="22"/>
  <c r="AB20" i="22"/>
  <c r="AA20" i="22"/>
  <c r="Z20" i="22"/>
  <c r="X20" i="22"/>
  <c r="W20" i="22"/>
  <c r="V20" i="22"/>
  <c r="U20" i="22"/>
  <c r="S20" i="22"/>
  <c r="R20" i="22"/>
  <c r="Q20" i="22"/>
  <c r="P20" i="22"/>
  <c r="N20" i="22"/>
  <c r="M20" i="22"/>
  <c r="L20" i="22"/>
  <c r="K20" i="22"/>
  <c r="I20" i="22"/>
  <c r="H20" i="22"/>
  <c r="G20" i="22"/>
  <c r="F20" i="22"/>
  <c r="B20" i="22"/>
  <c r="BB19" i="22"/>
  <c r="B19" i="22"/>
  <c r="V18" i="22"/>
  <c r="U18" i="22"/>
  <c r="R18" i="22"/>
  <c r="Q18" i="22"/>
  <c r="P18" i="22"/>
  <c r="M18" i="22"/>
  <c r="L18" i="22"/>
  <c r="K18" i="22"/>
  <c r="H18" i="22"/>
  <c r="G18" i="22"/>
  <c r="F18" i="22"/>
  <c r="B18" i="22"/>
  <c r="BB17" i="22"/>
  <c r="BA17" i="22"/>
  <c r="B17" i="22"/>
  <c r="V16" i="22"/>
  <c r="U16" i="22"/>
  <c r="R16" i="22"/>
  <c r="Q16" i="22"/>
  <c r="P16" i="22"/>
  <c r="M16" i="22"/>
  <c r="L16" i="22"/>
  <c r="K16" i="22"/>
  <c r="H16" i="22"/>
  <c r="G16" i="22"/>
  <c r="F16" i="22"/>
  <c r="B16" i="22"/>
  <c r="B15" i="22"/>
  <c r="X14" i="22"/>
  <c r="S14" i="22"/>
  <c r="N14" i="22"/>
  <c r="I14" i="22"/>
  <c r="B14" i="22"/>
  <c r="AZ13" i="22"/>
  <c r="AY13" i="22"/>
  <c r="AW13" i="22"/>
  <c r="AV13" i="22"/>
  <c r="AU13" i="22"/>
  <c r="AT13" i="22"/>
  <c r="AR13" i="22"/>
  <c r="AQ13" i="22"/>
  <c r="AP13" i="22"/>
  <c r="AO13" i="22"/>
  <c r="AM13" i="22"/>
  <c r="AL13" i="22"/>
  <c r="AK13" i="22"/>
  <c r="AJ13" i="22"/>
  <c r="AH13" i="22"/>
  <c r="AG13" i="22"/>
  <c r="AF13" i="22"/>
  <c r="AE13" i="22"/>
  <c r="AC13" i="22"/>
  <c r="AB13" i="22"/>
  <c r="AA13" i="22"/>
  <c r="Z13" i="22"/>
  <c r="W13" i="22"/>
  <c r="V13" i="22"/>
  <c r="U13" i="22"/>
  <c r="R13" i="22"/>
  <c r="Q13" i="22"/>
  <c r="P13" i="22"/>
  <c r="M13" i="22"/>
  <c r="L13" i="22"/>
  <c r="K13" i="22"/>
  <c r="H13" i="22"/>
  <c r="G13" i="22"/>
  <c r="F13" i="22"/>
  <c r="B13" i="22"/>
  <c r="B12" i="22"/>
  <c r="AZ11" i="22"/>
  <c r="AY11" i="22"/>
  <c r="AW11" i="22"/>
  <c r="AV11" i="22"/>
  <c r="AU11" i="22"/>
  <c r="AT11" i="22"/>
  <c r="AR11" i="22"/>
  <c r="AQ11" i="22"/>
  <c r="AP11" i="22"/>
  <c r="AO11" i="22"/>
  <c r="AM11" i="22"/>
  <c r="AL11" i="22"/>
  <c r="AK11" i="22"/>
  <c r="AJ11" i="22"/>
  <c r="AH11" i="22"/>
  <c r="AG11" i="22"/>
  <c r="AF11" i="22"/>
  <c r="AE11" i="22"/>
  <c r="AC11" i="22"/>
  <c r="AB11" i="22"/>
  <c r="AA11" i="22"/>
  <c r="W11" i="22"/>
  <c r="V11" i="22"/>
  <c r="U11" i="22"/>
  <c r="R11" i="22"/>
  <c r="Q11" i="22"/>
  <c r="P11" i="22"/>
  <c r="M11" i="22"/>
  <c r="L11" i="22"/>
  <c r="K11" i="22"/>
  <c r="H11" i="22"/>
  <c r="G11" i="22"/>
  <c r="F11" i="22"/>
  <c r="B11" i="22"/>
  <c r="AZ10" i="22"/>
  <c r="AY10" i="22"/>
  <c r="AW10" i="22"/>
  <c r="AV10" i="22"/>
  <c r="AU10" i="22"/>
  <c r="AT10" i="22"/>
  <c r="AR10" i="22"/>
  <c r="AQ10" i="22"/>
  <c r="AP10" i="22"/>
  <c r="AO10" i="22"/>
  <c r="AM10" i="22"/>
  <c r="AL10" i="22"/>
  <c r="AK10" i="22"/>
  <c r="AJ10" i="22"/>
  <c r="AH10" i="22"/>
  <c r="AG10" i="22"/>
  <c r="AF10" i="22"/>
  <c r="AE10" i="22"/>
  <c r="AC10" i="22"/>
  <c r="AB10" i="22"/>
  <c r="AA10" i="22"/>
  <c r="Z10" i="22"/>
  <c r="W10" i="22"/>
  <c r="V10" i="22"/>
  <c r="U10" i="22"/>
  <c r="R10" i="22"/>
  <c r="Q10" i="22"/>
  <c r="P10" i="22"/>
  <c r="N10" i="22"/>
  <c r="M10" i="22"/>
  <c r="L10" i="22"/>
  <c r="K10" i="22"/>
  <c r="I10" i="22"/>
  <c r="H10" i="22"/>
  <c r="G10" i="22"/>
  <c r="F10" i="22"/>
  <c r="B10" i="22"/>
  <c r="B9" i="22"/>
  <c r="AZ8" i="22"/>
  <c r="AY8" i="22"/>
  <c r="AW8" i="22"/>
  <c r="AV8" i="22"/>
  <c r="AU8" i="22"/>
  <c r="AT8" i="22"/>
  <c r="AR8" i="22"/>
  <c r="AQ8" i="22"/>
  <c r="AP8" i="22"/>
  <c r="AO8" i="22"/>
  <c r="AM8" i="22"/>
  <c r="AL8" i="22"/>
  <c r="AK8" i="22"/>
  <c r="AJ8" i="22"/>
  <c r="AH8" i="22"/>
  <c r="AG8" i="22"/>
  <c r="AF8" i="22"/>
  <c r="AE8" i="22"/>
  <c r="AC8" i="22"/>
  <c r="AB8" i="22"/>
  <c r="AA8" i="22"/>
  <c r="Z8" i="22"/>
  <c r="W8" i="22"/>
  <c r="V8" i="22"/>
  <c r="U8" i="22"/>
  <c r="S8" i="22"/>
  <c r="R8" i="22"/>
  <c r="Q8" i="22"/>
  <c r="P8" i="22"/>
  <c r="N8" i="22"/>
  <c r="M8" i="22"/>
  <c r="L8" i="22"/>
  <c r="K8" i="22"/>
  <c r="I8" i="22"/>
  <c r="H8" i="22"/>
  <c r="G8" i="22"/>
  <c r="F8" i="22"/>
  <c r="B8" i="22"/>
  <c r="BA7" i="22"/>
  <c r="B7" i="22"/>
  <c r="AZ6" i="22"/>
  <c r="AY6" i="22"/>
  <c r="AW6" i="22"/>
  <c r="AV6" i="22"/>
  <c r="AU6" i="22"/>
  <c r="AT6" i="22"/>
  <c r="AR6" i="22"/>
  <c r="AQ6" i="22"/>
  <c r="AP6" i="22"/>
  <c r="AO6" i="22"/>
  <c r="AM6" i="22"/>
  <c r="AL6" i="22"/>
  <c r="AK6" i="22"/>
  <c r="AJ6" i="22"/>
  <c r="AH6" i="22"/>
  <c r="AG6" i="22"/>
  <c r="AF6" i="22"/>
  <c r="AE6" i="22"/>
  <c r="AC6" i="22"/>
  <c r="AB6" i="22"/>
  <c r="AA6" i="22"/>
  <c r="Z6" i="22"/>
  <c r="W6" i="22"/>
  <c r="V6" i="22"/>
  <c r="U6" i="22"/>
  <c r="R6" i="22"/>
  <c r="Q6" i="22"/>
  <c r="P6" i="22"/>
  <c r="M6" i="22"/>
  <c r="L6" i="22"/>
  <c r="K6" i="22"/>
  <c r="H6" i="22"/>
  <c r="G6" i="22"/>
  <c r="F6" i="22"/>
  <c r="B6" i="22"/>
  <c r="AZ5" i="22"/>
  <c r="AY5" i="22"/>
  <c r="AW5" i="22"/>
  <c r="AV5" i="22"/>
  <c r="AU5" i="22"/>
  <c r="AT5" i="22"/>
  <c r="AR5" i="22"/>
  <c r="AQ5" i="22"/>
  <c r="AP5" i="22"/>
  <c r="AO5" i="22"/>
  <c r="AM5" i="22"/>
  <c r="AL5" i="22"/>
  <c r="AK5" i="22"/>
  <c r="AJ5" i="22"/>
  <c r="AH5" i="22"/>
  <c r="AG5" i="22"/>
  <c r="AF5" i="22"/>
  <c r="AE5" i="22"/>
  <c r="AC5" i="22"/>
  <c r="AB5" i="22"/>
  <c r="AA5" i="22"/>
  <c r="Z5" i="22"/>
  <c r="W5" i="22"/>
  <c r="V5" i="22"/>
  <c r="U5" i="22"/>
  <c r="R5" i="22"/>
  <c r="Q5" i="22"/>
  <c r="P5" i="22"/>
  <c r="M5" i="22"/>
  <c r="L5" i="22"/>
  <c r="K5" i="22"/>
  <c r="H5" i="22"/>
  <c r="G5" i="22"/>
  <c r="F5" i="22"/>
  <c r="B5" i="22"/>
  <c r="B4" i="22"/>
  <c r="C38" i="11"/>
  <c r="C37" i="11"/>
  <c r="EF28" i="11"/>
  <c r="EA28" i="11"/>
  <c r="DV28" i="11"/>
  <c r="DQ28" i="11"/>
  <c r="DL28" i="11"/>
  <c r="DG28" i="11"/>
  <c r="DB28" i="11"/>
  <c r="CW28" i="11"/>
  <c r="CR28" i="11"/>
  <c r="CM28" i="11"/>
  <c r="CH28" i="11"/>
  <c r="CC28" i="11"/>
  <c r="BX28" i="11"/>
  <c r="BS28" i="11"/>
  <c r="BN28" i="11"/>
  <c r="BI28" i="11"/>
  <c r="BD28" i="11"/>
  <c r="AY28" i="11"/>
  <c r="AT28" i="11"/>
  <c r="AO28" i="11"/>
  <c r="AJ28" i="11"/>
  <c r="B22" i="11"/>
  <c r="EU13" i="11"/>
  <c r="ET13" i="11"/>
  <c r="ES13" i="11"/>
  <c r="ER13" i="11"/>
  <c r="EQ13" i="11"/>
  <c r="EP13" i="11"/>
  <c r="EO13" i="11"/>
  <c r="EN13" i="11"/>
  <c r="EM13" i="11"/>
  <c r="EL13" i="11"/>
  <c r="EK13" i="11"/>
  <c r="EJ13" i="11"/>
  <c r="EI13" i="11" s="1"/>
  <c r="AC6" i="11"/>
  <c r="AD5" i="11"/>
  <c r="AD6" i="11" s="1"/>
  <c r="AB5" i="11"/>
  <c r="AB6" i="11" s="1"/>
  <c r="S36" i="20"/>
  <c r="E23" i="20"/>
  <c r="C23" i="20"/>
  <c r="G14" i="20"/>
  <c r="H13" i="20" s="1"/>
  <c r="H12" i="20" s="1"/>
  <c r="E2" i="20"/>
  <c r="D2" i="20"/>
  <c r="CH22" i="15"/>
  <c r="CC22" i="15"/>
  <c r="BX22" i="15"/>
  <c r="BR22" i="15"/>
  <c r="BQ22" i="15"/>
  <c r="BP22" i="15"/>
  <c r="BM22" i="15"/>
  <c r="BL22" i="15"/>
  <c r="BK22" i="15"/>
  <c r="BH22" i="15"/>
  <c r="BG22" i="15"/>
  <c r="BF22" i="15"/>
  <c r="BC22" i="15"/>
  <c r="BB22" i="15"/>
  <c r="BA22" i="15"/>
  <c r="AX22" i="15"/>
  <c r="AW22" i="15"/>
  <c r="AT22" i="15"/>
  <c r="AO22" i="15"/>
  <c r="AJ22" i="15"/>
  <c r="AE22" i="15"/>
  <c r="Z22" i="15"/>
  <c r="U22" i="15"/>
  <c r="P22" i="15"/>
  <c r="K22" i="15"/>
  <c r="F22" i="15"/>
  <c r="BA15" i="15"/>
  <c r="AZ15" i="15"/>
  <c r="BA14" i="15" s="1"/>
  <c r="AW15" i="15"/>
  <c r="AX14" i="15" s="1"/>
  <c r="AV15" i="15"/>
  <c r="AW14" i="15" s="1"/>
  <c r="AU15" i="15"/>
  <c r="AV14" i="15" s="1"/>
  <c r="AR15" i="15"/>
  <c r="AS14" i="15" s="1"/>
  <c r="AQ15" i="15"/>
  <c r="AR14" i="15" s="1"/>
  <c r="AP15" i="15"/>
  <c r="AQ14" i="15" s="1"/>
  <c r="AM15" i="15"/>
  <c r="AN14" i="15" s="1"/>
  <c r="AL15" i="15"/>
  <c r="AM14" i="15" s="1"/>
  <c r="AK15" i="15"/>
  <c r="AL14" i="15" s="1"/>
  <c r="AH15" i="15"/>
  <c r="AI14" i="15" s="1"/>
  <c r="AG15" i="15"/>
  <c r="AH14" i="15" s="1"/>
  <c r="AF15" i="15"/>
  <c r="AG14" i="15" s="1"/>
  <c r="AD15" i="15"/>
  <c r="AC15" i="15"/>
  <c r="AD14" i="15" s="1"/>
  <c r="AB15" i="15"/>
  <c r="AC14" i="15" s="1"/>
  <c r="AA15" i="15"/>
  <c r="AB14" i="15" s="1"/>
  <c r="Y15" i="15"/>
  <c r="X15" i="15"/>
  <c r="Y14" i="15" s="1"/>
  <c r="W15" i="15"/>
  <c r="X14" i="15" s="1"/>
  <c r="V15" i="15"/>
  <c r="W14" i="15" s="1"/>
  <c r="T15" i="15"/>
  <c r="S15" i="15"/>
  <c r="R15" i="15"/>
  <c r="Q15" i="15"/>
  <c r="O15" i="15"/>
  <c r="N15" i="15"/>
  <c r="M15" i="15"/>
  <c r="L15" i="15"/>
  <c r="J15" i="15"/>
  <c r="I15" i="15"/>
  <c r="H15" i="15"/>
  <c r="G15" i="15"/>
  <c r="E15" i="15"/>
  <c r="D15" i="15"/>
  <c r="C15" i="15"/>
  <c r="B15" i="15"/>
  <c r="CB14" i="15"/>
  <c r="CA14" i="15"/>
  <c r="BZ14" i="15"/>
  <c r="BW14" i="15"/>
  <c r="BV14" i="15"/>
  <c r="BU14" i="15"/>
  <c r="BR14" i="15"/>
  <c r="BQ14" i="15"/>
  <c r="BP14" i="15"/>
  <c r="BM14" i="15"/>
  <c r="BL14" i="15"/>
  <c r="BK14" i="15"/>
  <c r="BH14" i="15"/>
  <c r="BG14" i="15"/>
  <c r="BF14" i="15"/>
  <c r="BC14" i="15"/>
  <c r="BB14" i="15"/>
  <c r="T14" i="15"/>
  <c r="S14" i="15"/>
  <c r="R14" i="15"/>
  <c r="O14" i="15"/>
  <c r="N14" i="15"/>
  <c r="M14" i="15"/>
  <c r="J14" i="15"/>
  <c r="I14" i="15"/>
  <c r="H14" i="15"/>
  <c r="F14" i="15"/>
  <c r="E14" i="15"/>
  <c r="D14" i="15"/>
  <c r="C14" i="15"/>
  <c r="B14" i="15"/>
  <c r="E10" i="15"/>
  <c r="D10" i="15"/>
  <c r="C10" i="15"/>
  <c r="B10" i="15"/>
  <c r="B12" i="15" s="1"/>
  <c r="BV5" i="15"/>
  <c r="BU5" i="15"/>
  <c r="BT5" i="15"/>
  <c r="BQ5" i="15"/>
  <c r="BP5" i="15"/>
  <c r="BO5" i="15"/>
  <c r="BL5" i="15"/>
  <c r="BK5" i="15"/>
  <c r="BJ5" i="15"/>
  <c r="BG5" i="15"/>
  <c r="BF5" i="15"/>
  <c r="BE5" i="15"/>
  <c r="BB5" i="15"/>
  <c r="BA5" i="15"/>
  <c r="AZ5" i="15"/>
  <c r="AX5" i="15"/>
  <c r="AW5" i="15"/>
  <c r="AV5" i="15"/>
  <c r="AU5" i="15"/>
  <c r="AS5" i="15"/>
  <c r="AR5" i="15"/>
  <c r="AQ5" i="15"/>
  <c r="AP5" i="15"/>
  <c r="AN5" i="15"/>
  <c r="AM5" i="15"/>
  <c r="AL5" i="15"/>
  <c r="AK5" i="15"/>
  <c r="AI5" i="15"/>
  <c r="AH5" i="15"/>
  <c r="AG5" i="15"/>
  <c r="AF5" i="15"/>
  <c r="AQ2" i="15"/>
  <c r="DK53" i="9"/>
  <c r="DJ53" i="9"/>
  <c r="DB53" i="9"/>
  <c r="CW53" i="9"/>
  <c r="CR53" i="9"/>
  <c r="CM53" i="9"/>
  <c r="CE53" i="9"/>
  <c r="CD53" i="9"/>
  <c r="CC53" i="9"/>
  <c r="BX53" i="9"/>
  <c r="BS53" i="9"/>
  <c r="BN53" i="9"/>
  <c r="BI53" i="9"/>
  <c r="BD53" i="9"/>
  <c r="AY53" i="9"/>
  <c r="AT53" i="9"/>
  <c r="AO53" i="9"/>
  <c r="AJ53" i="9"/>
  <c r="AL52" i="9"/>
  <c r="AK52" i="9"/>
  <c r="AO52" i="9" s="1"/>
  <c r="AI52" i="9"/>
  <c r="AH52" i="9"/>
  <c r="AG52" i="9"/>
  <c r="AF52" i="9"/>
  <c r="AJ52" i="9" s="1"/>
  <c r="BA50" i="9"/>
  <c r="AV50" i="9"/>
  <c r="AQ50" i="9"/>
  <c r="AL50" i="9"/>
  <c r="AG50" i="9"/>
  <c r="CB49" i="9"/>
  <c r="DD48" i="9"/>
  <c r="DC48" i="9"/>
  <c r="DA48" i="9"/>
  <c r="DB48" i="9" s="1"/>
  <c r="CZ48" i="9"/>
  <c r="CY48" i="9"/>
  <c r="CX48" i="9"/>
  <c r="CV48" i="9"/>
  <c r="CW48" i="9" s="1"/>
  <c r="CU48" i="9"/>
  <c r="CT48" i="9"/>
  <c r="CS48" i="9"/>
  <c r="CQ48" i="9"/>
  <c r="CR48" i="9" s="1"/>
  <c r="CP48" i="9"/>
  <c r="CO48" i="9"/>
  <c r="CN48" i="9"/>
  <c r="CL48" i="9"/>
  <c r="CM48" i="9" s="1"/>
  <c r="CK48" i="9"/>
  <c r="CJ48" i="9"/>
  <c r="CI48" i="9"/>
  <c r="CG48" i="9"/>
  <c r="CH48" i="9" s="1"/>
  <c r="CF48" i="9"/>
  <c r="CE48" i="9"/>
  <c r="CA48" i="9"/>
  <c r="BZ48" i="9"/>
  <c r="BY48" i="9"/>
  <c r="BW48" i="9"/>
  <c r="BX48" i="9" s="1"/>
  <c r="BV48" i="9"/>
  <c r="BU48" i="9"/>
  <c r="BT48" i="9"/>
  <c r="BR48" i="9"/>
  <c r="BS48" i="9" s="1"/>
  <c r="BQ48" i="9"/>
  <c r="BP48" i="9"/>
  <c r="BO48" i="9"/>
  <c r="BM48" i="9"/>
  <c r="BN48" i="9" s="1"/>
  <c r="BL48" i="9"/>
  <c r="BK48" i="9"/>
  <c r="BJ48" i="9"/>
  <c r="BH48" i="9"/>
  <c r="BI48" i="9" s="1"/>
  <c r="BG48" i="9"/>
  <c r="BF48" i="9"/>
  <c r="BE48" i="9"/>
  <c r="BC48" i="9"/>
  <c r="BD48" i="9" s="1"/>
  <c r="BB48" i="9"/>
  <c r="BA48" i="9"/>
  <c r="AZ48" i="9"/>
  <c r="AX48" i="9"/>
  <c r="AY48" i="9" s="1"/>
  <c r="AW48" i="9"/>
  <c r="AV48" i="9"/>
  <c r="AU48" i="9"/>
  <c r="AS48" i="9"/>
  <c r="AT48" i="9" s="1"/>
  <c r="AR48" i="9"/>
  <c r="AQ48" i="9"/>
  <c r="AP48" i="9"/>
  <c r="AN48" i="9"/>
  <c r="AO48" i="9" s="1"/>
  <c r="AM48" i="9"/>
  <c r="AL48" i="9"/>
  <c r="AK48" i="9"/>
  <c r="AI48" i="9"/>
  <c r="AJ48" i="9" s="1"/>
  <c r="AH48" i="9"/>
  <c r="AG48" i="9"/>
  <c r="AF48" i="9"/>
  <c r="AD48" i="9"/>
  <c r="AE48" i="9" s="1"/>
  <c r="AC48" i="9"/>
  <c r="AB48" i="9"/>
  <c r="AA48" i="9"/>
  <c r="Y48" i="9"/>
  <c r="Z48" i="9" s="1"/>
  <c r="X48" i="9"/>
  <c r="W48" i="9"/>
  <c r="V48" i="9"/>
  <c r="T48" i="9"/>
  <c r="U48" i="9" s="1"/>
  <c r="S48" i="9"/>
  <c r="R48" i="9"/>
  <c r="Q48" i="9"/>
  <c r="O48" i="9"/>
  <c r="P48" i="9" s="1"/>
  <c r="N48" i="9"/>
  <c r="M48" i="9"/>
  <c r="L48" i="9"/>
  <c r="J48" i="9"/>
  <c r="K48" i="9" s="1"/>
  <c r="I48" i="9"/>
  <c r="H48" i="9"/>
  <c r="G48" i="9"/>
  <c r="E48" i="9"/>
  <c r="F48" i="9" s="1"/>
  <c r="D48" i="9"/>
  <c r="C48" i="9"/>
  <c r="B48" i="9"/>
  <c r="CZ47" i="9"/>
  <c r="CY47" i="9"/>
  <c r="CX47" i="9"/>
  <c r="CU47" i="9"/>
  <c r="CT47" i="9"/>
  <c r="CS47" i="9"/>
  <c r="CP47" i="9"/>
  <c r="CO47" i="9"/>
  <c r="CN47" i="9"/>
  <c r="CK47" i="9"/>
  <c r="CJ47" i="9"/>
  <c r="CI47" i="9"/>
  <c r="CG47" i="9"/>
  <c r="CF47" i="9"/>
  <c r="CE47" i="9"/>
  <c r="BC47" i="9"/>
  <c r="BB47" i="9"/>
  <c r="BA47" i="9"/>
  <c r="AZ47" i="9"/>
  <c r="AX47" i="9"/>
  <c r="AW47" i="9"/>
  <c r="AV47" i="9"/>
  <c r="AU47" i="9"/>
  <c r="AS47" i="9"/>
  <c r="AR47" i="9"/>
  <c r="AQ47" i="9"/>
  <c r="AP47" i="9"/>
  <c r="AN47" i="9"/>
  <c r="AM47" i="9"/>
  <c r="AL47" i="9"/>
  <c r="AK47" i="9"/>
  <c r="AI47" i="9"/>
  <c r="AH47" i="9"/>
  <c r="AG47" i="9"/>
  <c r="AF47" i="9"/>
  <c r="AD47" i="9"/>
  <c r="AC47" i="9"/>
  <c r="AB47" i="9"/>
  <c r="AA47" i="9"/>
  <c r="Y47" i="9"/>
  <c r="X47" i="9"/>
  <c r="W47" i="9"/>
  <c r="V47" i="9"/>
  <c r="T47" i="9"/>
  <c r="S47" i="9"/>
  <c r="R47" i="9"/>
  <c r="Q47" i="9"/>
  <c r="O47" i="9"/>
  <c r="N47" i="9"/>
  <c r="M47" i="9"/>
  <c r="L47" i="9"/>
  <c r="J47" i="9"/>
  <c r="I47" i="9"/>
  <c r="H47" i="9"/>
  <c r="G47" i="9"/>
  <c r="E47" i="9"/>
  <c r="D47" i="9"/>
  <c r="C47" i="9"/>
  <c r="B47" i="9"/>
  <c r="DB46" i="9"/>
  <c r="CW46" i="9"/>
  <c r="CR46" i="9"/>
  <c r="CM46" i="9"/>
  <c r="CH46" i="9"/>
  <c r="CB46" i="9"/>
  <c r="BX46" i="9"/>
  <c r="BS46" i="9"/>
  <c r="BN46" i="9"/>
  <c r="BI46" i="9"/>
  <c r="BD46" i="9"/>
  <c r="AY46" i="9"/>
  <c r="AT46" i="9"/>
  <c r="AO46" i="9"/>
  <c r="AJ46" i="9"/>
  <c r="AE46" i="9"/>
  <c r="Z46" i="9"/>
  <c r="U46" i="9"/>
  <c r="P46" i="9"/>
  <c r="K46" i="9"/>
  <c r="F46" i="9"/>
  <c r="DN43" i="9"/>
  <c r="DO43" i="9" s="1"/>
  <c r="DP43" i="9" s="1"/>
  <c r="DR43" i="9" s="1"/>
  <c r="DS43" i="9" s="1"/>
  <c r="DT43" i="9" s="1"/>
  <c r="DU43" i="9" s="1"/>
  <c r="DW43" i="9" s="1"/>
  <c r="DX43" i="9" s="1"/>
  <c r="DY43" i="9" s="1"/>
  <c r="DZ43" i="9" s="1"/>
  <c r="EB43" i="9" s="1"/>
  <c r="EC43" i="9" s="1"/>
  <c r="ED43" i="9" s="1"/>
  <c r="EE43" i="9" s="1"/>
  <c r="AD43" i="9"/>
  <c r="AC43" i="9"/>
  <c r="AB43" i="9"/>
  <c r="AA43" i="9"/>
  <c r="Y43" i="9"/>
  <c r="X43" i="9"/>
  <c r="W43" i="9"/>
  <c r="V43" i="9"/>
  <c r="T43" i="9"/>
  <c r="S43" i="9"/>
  <c r="R43" i="9"/>
  <c r="Q43" i="9"/>
  <c r="O43" i="9"/>
  <c r="N43" i="9"/>
  <c r="M43" i="9"/>
  <c r="L43" i="9"/>
  <c r="J43" i="9"/>
  <c r="I43" i="9"/>
  <c r="H43" i="9"/>
  <c r="G43" i="9"/>
  <c r="E43" i="9"/>
  <c r="D43" i="9"/>
  <c r="C43" i="9"/>
  <c r="B43" i="9"/>
  <c r="DD42" i="9"/>
  <c r="DC42" i="9"/>
  <c r="CZ42" i="9"/>
  <c r="CY42" i="9"/>
  <c r="CX42" i="9"/>
  <c r="CU42" i="9"/>
  <c r="CT42" i="9"/>
  <c r="CS42" i="9"/>
  <c r="CO42" i="9"/>
  <c r="CN42" i="9"/>
  <c r="CJ42" i="9"/>
  <c r="CI42" i="9"/>
  <c r="CE42" i="9"/>
  <c r="CD42" i="9"/>
  <c r="CA42" i="9"/>
  <c r="BZ42" i="9"/>
  <c r="BY42" i="9"/>
  <c r="BV42" i="9"/>
  <c r="BU42" i="9"/>
  <c r="BT42" i="9"/>
  <c r="BQ42" i="9"/>
  <c r="BP42" i="9"/>
  <c r="BO42" i="9"/>
  <c r="BM42" i="9"/>
  <c r="BL42" i="9"/>
  <c r="BK42" i="9"/>
  <c r="BJ42" i="9"/>
  <c r="BH42" i="9"/>
  <c r="BG42" i="9"/>
  <c r="BF42" i="9"/>
  <c r="BE42" i="9"/>
  <c r="BC42" i="9"/>
  <c r="BB42" i="9"/>
  <c r="BA42" i="9"/>
  <c r="AZ42" i="9"/>
  <c r="AX42" i="9"/>
  <c r="AW42" i="9"/>
  <c r="AV42" i="9"/>
  <c r="AU42" i="9"/>
  <c r="AS42" i="9"/>
  <c r="AR42" i="9"/>
  <c r="AQ42" i="9"/>
  <c r="AP42" i="9"/>
  <c r="AN42" i="9"/>
  <c r="AM42" i="9"/>
  <c r="AL42" i="9"/>
  <c r="AK42" i="9"/>
  <c r="AI42" i="9"/>
  <c r="AH42" i="9"/>
  <c r="AG42" i="9"/>
  <c r="AF42" i="9"/>
  <c r="AE42" i="9"/>
  <c r="Z42" i="9"/>
  <c r="U42" i="9"/>
  <c r="P42" i="9"/>
  <c r="K42" i="9"/>
  <c r="F42" i="9"/>
  <c r="DN41" i="9"/>
  <c r="DO41" i="9" s="1"/>
  <c r="DP41" i="9" s="1"/>
  <c r="DR41" i="9" s="1"/>
  <c r="DS41" i="9" s="1"/>
  <c r="DT41" i="9" s="1"/>
  <c r="DU41" i="9" s="1"/>
  <c r="DW41" i="9" s="1"/>
  <c r="DX41" i="9" s="1"/>
  <c r="DY41" i="9" s="1"/>
  <c r="DZ41" i="9" s="1"/>
  <c r="EB41" i="9" s="1"/>
  <c r="EC41" i="9" s="1"/>
  <c r="ED41" i="9" s="1"/>
  <c r="EE41" i="9" s="1"/>
  <c r="DJ41" i="9"/>
  <c r="DK41" i="9" s="1"/>
  <c r="BD40" i="9"/>
  <c r="AY40" i="9"/>
  <c r="AT40" i="9"/>
  <c r="AO40" i="9"/>
  <c r="AJ40" i="9"/>
  <c r="BD38" i="9"/>
  <c r="AY38" i="9"/>
  <c r="AT38" i="9"/>
  <c r="AO38" i="9"/>
  <c r="AJ38" i="9"/>
  <c r="BV36" i="9"/>
  <c r="BU36" i="9"/>
  <c r="BT36" i="9"/>
  <c r="BQ36" i="9"/>
  <c r="BP36" i="9"/>
  <c r="BO36" i="9"/>
  <c r="BL36" i="9"/>
  <c r="BK36" i="9"/>
  <c r="BJ36" i="9"/>
  <c r="BG36" i="9"/>
  <c r="BF36" i="9"/>
  <c r="BE36" i="9"/>
  <c r="BB36" i="9"/>
  <c r="BA36" i="9"/>
  <c r="AZ36" i="9"/>
  <c r="AW36" i="9"/>
  <c r="AV36" i="9"/>
  <c r="AU36" i="9"/>
  <c r="AR36" i="9"/>
  <c r="AQ36" i="9"/>
  <c r="AP36" i="9"/>
  <c r="AM36" i="9"/>
  <c r="AL36" i="9"/>
  <c r="AK36" i="9"/>
  <c r="AH36" i="9"/>
  <c r="AG36" i="9"/>
  <c r="AF36" i="9"/>
  <c r="AE36" i="9"/>
  <c r="Z36" i="9"/>
  <c r="U36" i="9"/>
  <c r="P36" i="9"/>
  <c r="K36" i="9"/>
  <c r="F36" i="9"/>
  <c r="AE35" i="9"/>
  <c r="AE37" i="9" s="1"/>
  <c r="Z35" i="9"/>
  <c r="Z37" i="9" s="1"/>
  <c r="U35" i="9"/>
  <c r="U37" i="9" s="1"/>
  <c r="P35" i="9"/>
  <c r="P37" i="9" s="1"/>
  <c r="K35" i="9"/>
  <c r="K37" i="9" s="1"/>
  <c r="F35" i="9"/>
  <c r="F37" i="9" s="1"/>
  <c r="AD34" i="9"/>
  <c r="AD39" i="9" s="1"/>
  <c r="AC34" i="9"/>
  <c r="AC39" i="9" s="1"/>
  <c r="AB34" i="9"/>
  <c r="AB39" i="9" s="1"/>
  <c r="AA34" i="9"/>
  <c r="AA39" i="9" s="1"/>
  <c r="Y34" i="9"/>
  <c r="Y39" i="9" s="1"/>
  <c r="X34" i="9"/>
  <c r="X39" i="9" s="1"/>
  <c r="W34" i="9"/>
  <c r="W39" i="9" s="1"/>
  <c r="V34" i="9"/>
  <c r="V39" i="9" s="1"/>
  <c r="T34" i="9"/>
  <c r="T39" i="9" s="1"/>
  <c r="S34" i="9"/>
  <c r="S39" i="9" s="1"/>
  <c r="R34" i="9"/>
  <c r="R39" i="9" s="1"/>
  <c r="Q34" i="9"/>
  <c r="Q39" i="9" s="1"/>
  <c r="O34" i="9"/>
  <c r="O39" i="9" s="1"/>
  <c r="N34" i="9"/>
  <c r="N39" i="9" s="1"/>
  <c r="M34" i="9"/>
  <c r="M39" i="9" s="1"/>
  <c r="L34" i="9"/>
  <c r="L39" i="9" s="1"/>
  <c r="J34" i="9"/>
  <c r="J39" i="9" s="1"/>
  <c r="I34" i="9"/>
  <c r="I39" i="9" s="1"/>
  <c r="H34" i="9"/>
  <c r="H39" i="9" s="1"/>
  <c r="G34" i="9"/>
  <c r="G39" i="9" s="1"/>
  <c r="E34" i="9"/>
  <c r="E39" i="9" s="1"/>
  <c r="D34" i="9"/>
  <c r="D39" i="9" s="1"/>
  <c r="C34" i="9"/>
  <c r="C39" i="9" s="1"/>
  <c r="B34" i="9"/>
  <c r="B39" i="9" s="1"/>
  <c r="DD33" i="9"/>
  <c r="DC33" i="9"/>
  <c r="DD35" i="9" s="1"/>
  <c r="DA33" i="9"/>
  <c r="CZ33" i="9"/>
  <c r="CY33" i="9"/>
  <c r="CZ35" i="9" s="1"/>
  <c r="CX33" i="9"/>
  <c r="CV33" i="9"/>
  <c r="CU33" i="9"/>
  <c r="CT33" i="9"/>
  <c r="CS33" i="9"/>
  <c r="CQ33" i="9"/>
  <c r="CP33" i="9"/>
  <c r="CQ35" i="9" s="1"/>
  <c r="CO33" i="9"/>
  <c r="CN33" i="9"/>
  <c r="CL33" i="9"/>
  <c r="CK33" i="9"/>
  <c r="CJ33" i="9"/>
  <c r="CK35" i="9" s="1"/>
  <c r="CI33" i="9"/>
  <c r="CG33" i="9"/>
  <c r="CF33" i="9"/>
  <c r="CE33" i="9"/>
  <c r="CF40" i="9" s="1"/>
  <c r="CF111" i="1" s="1"/>
  <c r="CF112" i="1" s="1"/>
  <c r="CD33" i="9"/>
  <c r="CE35" i="9" s="1"/>
  <c r="CB33" i="9"/>
  <c r="CA33" i="9"/>
  <c r="CB40" i="9" s="1"/>
  <c r="CB111" i="1" s="1"/>
  <c r="BZ33" i="9"/>
  <c r="BY33" i="9"/>
  <c r="BZ35" i="9" s="1"/>
  <c r="BW33" i="9"/>
  <c r="BV33" i="9"/>
  <c r="BU33" i="9"/>
  <c r="BT33" i="9"/>
  <c r="BR33" i="9"/>
  <c r="BQ33" i="9"/>
  <c r="BR40" i="9" s="1"/>
  <c r="BR111" i="1" s="1"/>
  <c r="BP33" i="9"/>
  <c r="BO33" i="9"/>
  <c r="BM33" i="9"/>
  <c r="BL33" i="9"/>
  <c r="BK33" i="9"/>
  <c r="BJ33" i="9"/>
  <c r="BH33" i="9"/>
  <c r="BG33" i="9"/>
  <c r="BH40" i="9" s="1"/>
  <c r="BF33" i="9"/>
  <c r="BE33" i="9"/>
  <c r="BC33" i="9"/>
  <c r="BB33" i="9"/>
  <c r="BC35" i="9" s="1"/>
  <c r="BA33" i="9"/>
  <c r="BB35" i="9" s="1"/>
  <c r="AZ33" i="9"/>
  <c r="BA35" i="9" s="1"/>
  <c r="AX33" i="9"/>
  <c r="AW33" i="9"/>
  <c r="AX35" i="9" s="1"/>
  <c r="AV33" i="9"/>
  <c r="AW35" i="9" s="1"/>
  <c r="AW44" i="9" s="1"/>
  <c r="AW59" i="9" s="1"/>
  <c r="AU33" i="9"/>
  <c r="AV35" i="9" s="1"/>
  <c r="AS33" i="9"/>
  <c r="AR33" i="9"/>
  <c r="AS35" i="9" s="1"/>
  <c r="AQ33" i="9"/>
  <c r="AR35" i="9" s="1"/>
  <c r="AP33" i="9"/>
  <c r="AQ35" i="9" s="1"/>
  <c r="AQ44" i="9" s="1"/>
  <c r="AQ59" i="9" s="1"/>
  <c r="AN33" i="9"/>
  <c r="AM33" i="9"/>
  <c r="AN35" i="9" s="1"/>
  <c r="AL33" i="9"/>
  <c r="AM35" i="9" s="1"/>
  <c r="AK33" i="9"/>
  <c r="AL35" i="9" s="1"/>
  <c r="AI33" i="9"/>
  <c r="AH33" i="9"/>
  <c r="AI35" i="9" s="1"/>
  <c r="AI44" i="9" s="1"/>
  <c r="AI59" i="9" s="1"/>
  <c r="AG33" i="9"/>
  <c r="AH35" i="9" s="1"/>
  <c r="AF33" i="9"/>
  <c r="AG35" i="9" s="1"/>
  <c r="AG57" i="9" s="1"/>
  <c r="AD33" i="9"/>
  <c r="AC33" i="9"/>
  <c r="AB33" i="9"/>
  <c r="AA33" i="9"/>
  <c r="Y33" i="9"/>
  <c r="X33" i="9"/>
  <c r="W33" i="9"/>
  <c r="V33" i="9"/>
  <c r="T33" i="9"/>
  <c r="S33" i="9"/>
  <c r="R33" i="9"/>
  <c r="Q33" i="9"/>
  <c r="O33" i="9"/>
  <c r="N33" i="9"/>
  <c r="M33" i="9"/>
  <c r="L33" i="9"/>
  <c r="J33" i="9"/>
  <c r="I33" i="9"/>
  <c r="H33" i="9"/>
  <c r="G33" i="9"/>
  <c r="E33" i="9"/>
  <c r="D33" i="9"/>
  <c r="C33" i="9"/>
  <c r="B33" i="9"/>
  <c r="CB31" i="9"/>
  <c r="DD28" i="9"/>
  <c r="DA28" i="9"/>
  <c r="AW29" i="22" s="1"/>
  <c r="CZ28" i="9"/>
  <c r="CY28" i="9"/>
  <c r="CV28" i="9"/>
  <c r="CU28" i="9"/>
  <c r="CT28" i="9"/>
  <c r="CQ28" i="9"/>
  <c r="AM29" i="22" s="1"/>
  <c r="CP28" i="9"/>
  <c r="CO28" i="9"/>
  <c r="AK29" i="22" s="1"/>
  <c r="CL28" i="9"/>
  <c r="AH29" i="22" s="1"/>
  <c r="CK28" i="9"/>
  <c r="CJ28" i="9"/>
  <c r="CG28" i="9"/>
  <c r="CF28" i="9"/>
  <c r="CA28" i="9"/>
  <c r="BZ28" i="9"/>
  <c r="BV28" i="9"/>
  <c r="BU28" i="9"/>
  <c r="BQ28" i="9"/>
  <c r="BQ29" i="9" s="1"/>
  <c r="BP28" i="9"/>
  <c r="BL28" i="9"/>
  <c r="BK28" i="9"/>
  <c r="BG28" i="9"/>
  <c r="BG30" i="9" s="1"/>
  <c r="BF28" i="9"/>
  <c r="BC28" i="9"/>
  <c r="BC30" i="9" s="1"/>
  <c r="BB28" i="9"/>
  <c r="BB30" i="9" s="1"/>
  <c r="BA28" i="9"/>
  <c r="AX28" i="9"/>
  <c r="AW28" i="9"/>
  <c r="AV28" i="9"/>
  <c r="AV29" i="9" s="1"/>
  <c r="AS28" i="9"/>
  <c r="AR28" i="9"/>
  <c r="AQ28" i="9"/>
  <c r="AQ29" i="9" s="1"/>
  <c r="AN28" i="9"/>
  <c r="AM28" i="9"/>
  <c r="AM29" i="9" s="1"/>
  <c r="AL28" i="9"/>
  <c r="AI28" i="9"/>
  <c r="AH28" i="9"/>
  <c r="AG28" i="9"/>
  <c r="AE28" i="9"/>
  <c r="Z28" i="9"/>
  <c r="U28" i="9"/>
  <c r="P28" i="9"/>
  <c r="K28" i="9"/>
  <c r="F28" i="9"/>
  <c r="DB27" i="9"/>
  <c r="AX28" i="22" s="1"/>
  <c r="CW27" i="9"/>
  <c r="AS28" i="22" s="1"/>
  <c r="CR27" i="9"/>
  <c r="AN28" i="22" s="1"/>
  <c r="CM27" i="9"/>
  <c r="AI28" i="22" s="1"/>
  <c r="CH27" i="9"/>
  <c r="AD28" i="22" s="1"/>
  <c r="CB27" i="9"/>
  <c r="X28" i="22" s="1"/>
  <c r="BD27" i="9"/>
  <c r="D28" i="22" s="1"/>
  <c r="AY27" i="9"/>
  <c r="C28" i="22" s="1"/>
  <c r="AT27" i="9"/>
  <c r="AO27" i="9"/>
  <c r="AJ27" i="9"/>
  <c r="CE26" i="9"/>
  <c r="BD26" i="9"/>
  <c r="D27" i="22" s="1"/>
  <c r="AY26" i="9"/>
  <c r="C27" i="22" s="1"/>
  <c r="AT26" i="9"/>
  <c r="AO26" i="9"/>
  <c r="AJ26" i="9"/>
  <c r="DD25" i="9"/>
  <c r="DD26" i="9" s="1"/>
  <c r="AZ27" i="22" s="1"/>
  <c r="DC25" i="9"/>
  <c r="AY26" i="22" s="1"/>
  <c r="DA25" i="9"/>
  <c r="CZ25" i="9"/>
  <c r="CY25" i="9"/>
  <c r="CX25" i="9"/>
  <c r="CV25" i="9"/>
  <c r="CU25" i="9"/>
  <c r="AQ26" i="22" s="1"/>
  <c r="CT25" i="9"/>
  <c r="CS25" i="9"/>
  <c r="CQ25" i="9"/>
  <c r="CQ26" i="9" s="1"/>
  <c r="CP25" i="9"/>
  <c r="CO25" i="9"/>
  <c r="CN25" i="9"/>
  <c r="CL25" i="9"/>
  <c r="CL26" i="9" s="1"/>
  <c r="CK25" i="9"/>
  <c r="CJ25" i="9"/>
  <c r="CI25" i="9"/>
  <c r="AE26" i="22" s="1"/>
  <c r="CG25" i="9"/>
  <c r="CG26" i="9" s="1"/>
  <c r="CH26" i="9" s="1"/>
  <c r="AD27" i="22" s="1"/>
  <c r="CF25" i="9"/>
  <c r="AB26" i="22" s="1"/>
  <c r="CB25" i="9"/>
  <c r="BD25" i="9"/>
  <c r="D26" i="22" s="1"/>
  <c r="AY25" i="9"/>
  <c r="C26" i="22" s="1"/>
  <c r="AT25" i="9"/>
  <c r="AO25" i="9"/>
  <c r="AJ25" i="9"/>
  <c r="DB24" i="9"/>
  <c r="CW24" i="9"/>
  <c r="CR24" i="9"/>
  <c r="CM24" i="9"/>
  <c r="AI25" i="22" s="1"/>
  <c r="CH24" i="9"/>
  <c r="CM28" i="9" s="1"/>
  <c r="AI29" i="22" s="1"/>
  <c r="CD24" i="9"/>
  <c r="CE28" i="9" s="1"/>
  <c r="CC24" i="9"/>
  <c r="BD24" i="9"/>
  <c r="AY24" i="9"/>
  <c r="AT24" i="9"/>
  <c r="AY28" i="9" s="1"/>
  <c r="C29" i="22" s="1"/>
  <c r="AO24" i="9"/>
  <c r="AJ24" i="9"/>
  <c r="AE24" i="9"/>
  <c r="Z24" i="9"/>
  <c r="U24" i="9"/>
  <c r="P24" i="9"/>
  <c r="K24" i="9"/>
  <c r="F24" i="9"/>
  <c r="CE22" i="9"/>
  <c r="BZ21" i="9"/>
  <c r="V22" i="22" s="1"/>
  <c r="BY21" i="9"/>
  <c r="BV21" i="9"/>
  <c r="R22" i="22" s="1"/>
  <c r="BU21" i="9"/>
  <c r="Q22" i="22" s="1"/>
  <c r="BT21" i="9"/>
  <c r="P22" i="22" s="1"/>
  <c r="BQ21" i="9"/>
  <c r="M22" i="22" s="1"/>
  <c r="BP21" i="9"/>
  <c r="L22" i="22" s="1"/>
  <c r="BO21" i="9"/>
  <c r="K22" i="22" s="1"/>
  <c r="BL21" i="9"/>
  <c r="H22" i="22" s="1"/>
  <c r="BK21" i="9"/>
  <c r="G22" i="22" s="1"/>
  <c r="BJ21" i="9"/>
  <c r="F22" i="22" s="1"/>
  <c r="BG21" i="9"/>
  <c r="BF21" i="9"/>
  <c r="BE21" i="9"/>
  <c r="BC21" i="9"/>
  <c r="BB21" i="9"/>
  <c r="BA21" i="9"/>
  <c r="AZ21" i="9"/>
  <c r="AX21" i="9"/>
  <c r="AW21" i="9"/>
  <c r="AV21" i="9"/>
  <c r="AU21" i="9"/>
  <c r="AS21" i="9"/>
  <c r="AR21" i="9"/>
  <c r="AQ21" i="9"/>
  <c r="AP21" i="9"/>
  <c r="AN21" i="9"/>
  <c r="AM21" i="9"/>
  <c r="AL21" i="9"/>
  <c r="AK21" i="9"/>
  <c r="AI21" i="9"/>
  <c r="AH21" i="9"/>
  <c r="AG21" i="9"/>
  <c r="AF21" i="9"/>
  <c r="AE21" i="9"/>
  <c r="Z21" i="9"/>
  <c r="U21" i="9"/>
  <c r="P21" i="9"/>
  <c r="K21" i="9"/>
  <c r="F21" i="9"/>
  <c r="DN20" i="9"/>
  <c r="CY19" i="9"/>
  <c r="CW19" i="9"/>
  <c r="AS20" i="22" s="1"/>
  <c r="CR19" i="9"/>
  <c r="AN20" i="22" s="1"/>
  <c r="CL19" i="9"/>
  <c r="CM19" i="9" s="1"/>
  <c r="AI20" i="22" s="1"/>
  <c r="CH19" i="9"/>
  <c r="AD20" i="22" s="1"/>
  <c r="CC19" i="9"/>
  <c r="Y20" i="22" s="1"/>
  <c r="BX19" i="9"/>
  <c r="T20" i="22" s="1"/>
  <c r="BS19" i="9"/>
  <c r="BN19" i="9"/>
  <c r="BI19" i="9"/>
  <c r="BD19" i="9"/>
  <c r="D20" i="22" s="1"/>
  <c r="AY19" i="9"/>
  <c r="AT19" i="9"/>
  <c r="AO19" i="9"/>
  <c r="AJ19" i="9"/>
  <c r="AE19" i="9"/>
  <c r="Z19" i="9"/>
  <c r="U19" i="9"/>
  <c r="P19" i="9"/>
  <c r="K19" i="9"/>
  <c r="F19" i="9"/>
  <c r="F20" i="9" s="1"/>
  <c r="BZ18" i="9"/>
  <c r="V19" i="22" s="1"/>
  <c r="BV18" i="9"/>
  <c r="R19" i="22" s="1"/>
  <c r="BU18" i="9"/>
  <c r="Q19" i="22" s="1"/>
  <c r="BQ18" i="9"/>
  <c r="M19" i="22" s="1"/>
  <c r="BP18" i="9"/>
  <c r="L19" i="22" s="1"/>
  <c r="BL18" i="9"/>
  <c r="H19" i="22" s="1"/>
  <c r="BK18" i="9"/>
  <c r="G19" i="22" s="1"/>
  <c r="BG18" i="9"/>
  <c r="BF18" i="9"/>
  <c r="BC18" i="9"/>
  <c r="BB18" i="9"/>
  <c r="BA18" i="9"/>
  <c r="AX18" i="9"/>
  <c r="AW18" i="9"/>
  <c r="AV18" i="9"/>
  <c r="AS18" i="9"/>
  <c r="AR18" i="9"/>
  <c r="AQ18" i="9"/>
  <c r="AN18" i="9"/>
  <c r="AM18" i="9"/>
  <c r="AL18" i="9"/>
  <c r="AI18" i="9"/>
  <c r="AH18" i="9"/>
  <c r="AG18" i="9"/>
  <c r="BD17" i="9"/>
  <c r="AY17" i="9"/>
  <c r="AT17" i="9"/>
  <c r="AO17" i="9"/>
  <c r="AJ17" i="9"/>
  <c r="AE17" i="9"/>
  <c r="Z17" i="9"/>
  <c r="U17" i="9"/>
  <c r="P17" i="9"/>
  <c r="K17" i="9"/>
  <c r="F17" i="9"/>
  <c r="F18" i="9" s="1"/>
  <c r="BZ16" i="9"/>
  <c r="V17" i="22" s="1"/>
  <c r="BY16" i="9"/>
  <c r="U17" i="22" s="1"/>
  <c r="BV16" i="9"/>
  <c r="R17" i="22" s="1"/>
  <c r="BU16" i="9"/>
  <c r="Q17" i="22" s="1"/>
  <c r="BT16" i="9"/>
  <c r="P17" i="22" s="1"/>
  <c r="BQ16" i="9"/>
  <c r="M17" i="22" s="1"/>
  <c r="BP16" i="9"/>
  <c r="L17" i="22" s="1"/>
  <c r="BO16" i="9"/>
  <c r="K17" i="22" s="1"/>
  <c r="BL16" i="9"/>
  <c r="H17" i="22" s="1"/>
  <c r="BK16" i="9"/>
  <c r="G17" i="22" s="1"/>
  <c r="BJ16" i="9"/>
  <c r="F17" i="22" s="1"/>
  <c r="BG16" i="9"/>
  <c r="BF16" i="9"/>
  <c r="BE16" i="9"/>
  <c r="BC16" i="9"/>
  <c r="BB16" i="9"/>
  <c r="BA16" i="9"/>
  <c r="AZ16" i="9"/>
  <c r="AX16" i="9"/>
  <c r="AW16" i="9"/>
  <c r="AV16" i="9"/>
  <c r="AU16" i="9"/>
  <c r="AS16" i="9"/>
  <c r="AR16" i="9"/>
  <c r="AQ16" i="9"/>
  <c r="AP16" i="9"/>
  <c r="AN16" i="9"/>
  <c r="AM16" i="9"/>
  <c r="AL16" i="9"/>
  <c r="AK16" i="9"/>
  <c r="AI16" i="9"/>
  <c r="AH16" i="9"/>
  <c r="AG16" i="9"/>
  <c r="AF16" i="9"/>
  <c r="DD15" i="9"/>
  <c r="DD16" i="9" s="1"/>
  <c r="AZ17" i="22" s="1"/>
  <c r="DC15" i="9"/>
  <c r="DA15" i="9"/>
  <c r="CZ15" i="9"/>
  <c r="CZ16" i="9" s="1"/>
  <c r="AV17" i="22" s="1"/>
  <c r="CY15" i="9"/>
  <c r="CY16" i="9" s="1"/>
  <c r="AU17" i="22" s="1"/>
  <c r="CX15" i="9"/>
  <c r="CX17" i="9" s="1"/>
  <c r="CX20" i="2" s="1"/>
  <c r="AT49" i="22" s="1"/>
  <c r="CV15" i="9"/>
  <c r="CU15" i="9"/>
  <c r="CT15" i="9"/>
  <c r="CS15" i="9"/>
  <c r="CQ15" i="9"/>
  <c r="CQ16" i="9" s="1"/>
  <c r="AM17" i="22" s="1"/>
  <c r="CP15" i="9"/>
  <c r="CO15" i="9"/>
  <c r="AK16" i="22" s="1"/>
  <c r="CN15" i="9"/>
  <c r="CL15" i="9"/>
  <c r="CK15" i="9"/>
  <c r="CJ15" i="9"/>
  <c r="CI15" i="9"/>
  <c r="CI16" i="9" s="1"/>
  <c r="AE17" i="22" s="1"/>
  <c r="CG15" i="9"/>
  <c r="CF15" i="9"/>
  <c r="CE15" i="9"/>
  <c r="CE16" i="9" s="1"/>
  <c r="AA17" i="22" s="1"/>
  <c r="CD15" i="9"/>
  <c r="CD17" i="9" s="1"/>
  <c r="CA15" i="9"/>
  <c r="W16" i="22" s="1"/>
  <c r="BD15" i="9"/>
  <c r="AY15" i="9"/>
  <c r="C16" i="22" s="1"/>
  <c r="AT15" i="9"/>
  <c r="AO15" i="9"/>
  <c r="AJ15" i="9"/>
  <c r="AE15" i="9"/>
  <c r="Z15" i="9"/>
  <c r="U15" i="9"/>
  <c r="P15" i="9"/>
  <c r="K15" i="9"/>
  <c r="F15" i="9"/>
  <c r="BZ14" i="9"/>
  <c r="BY14" i="9"/>
  <c r="BV14" i="9"/>
  <c r="BU14" i="9"/>
  <c r="BT14" i="9"/>
  <c r="BQ14" i="9"/>
  <c r="BP14" i="9"/>
  <c r="L15" i="22" s="1"/>
  <c r="BO14" i="9"/>
  <c r="K15" i="22" s="1"/>
  <c r="BL14" i="9"/>
  <c r="BK14" i="9"/>
  <c r="BJ14" i="9"/>
  <c r="F15" i="22" s="1"/>
  <c r="BG14" i="9"/>
  <c r="BG34" i="9" s="1"/>
  <c r="BF14" i="9"/>
  <c r="BF34" i="9" s="1"/>
  <c r="BE14" i="9"/>
  <c r="BC14" i="9"/>
  <c r="BC34" i="9" s="1"/>
  <c r="BC39" i="9" s="1"/>
  <c r="BB14" i="9"/>
  <c r="BB34" i="9" s="1"/>
  <c r="BB39" i="9" s="1"/>
  <c r="BA14" i="9"/>
  <c r="BA34" i="9" s="1"/>
  <c r="BA39" i="9" s="1"/>
  <c r="AZ14" i="9"/>
  <c r="AX14" i="9"/>
  <c r="AX34" i="9" s="1"/>
  <c r="AX39" i="9" s="1"/>
  <c r="AW14" i="9"/>
  <c r="AW34" i="9" s="1"/>
  <c r="AW39" i="9" s="1"/>
  <c r="AV14" i="9"/>
  <c r="AV34" i="9" s="1"/>
  <c r="AV39" i="9" s="1"/>
  <c r="AU14" i="9"/>
  <c r="AS14" i="9"/>
  <c r="AS34" i="9" s="1"/>
  <c r="AS39" i="9" s="1"/>
  <c r="AR14" i="9"/>
  <c r="AR34" i="9" s="1"/>
  <c r="AR39" i="9" s="1"/>
  <c r="AQ14" i="9"/>
  <c r="AP14" i="9"/>
  <c r="AP34" i="9" s="1"/>
  <c r="AP39" i="9" s="1"/>
  <c r="AN14" i="9"/>
  <c r="AN34" i="9" s="1"/>
  <c r="AN39" i="9" s="1"/>
  <c r="AM14" i="9"/>
  <c r="AM34" i="9" s="1"/>
  <c r="AM39" i="9" s="1"/>
  <c r="AL14" i="9"/>
  <c r="AK14" i="9"/>
  <c r="AK34" i="9" s="1"/>
  <c r="AK39" i="9" s="1"/>
  <c r="AI14" i="9"/>
  <c r="AI34" i="9" s="1"/>
  <c r="AI39" i="9" s="1"/>
  <c r="AH14" i="9"/>
  <c r="AH34" i="9" s="1"/>
  <c r="AH39" i="9" s="1"/>
  <c r="AG14" i="9"/>
  <c r="AF14" i="9"/>
  <c r="AF34" i="9" s="1"/>
  <c r="AF39" i="9" s="1"/>
  <c r="AE14" i="9"/>
  <c r="AE34" i="9" s="1"/>
  <c r="AE39" i="9" s="1"/>
  <c r="Z14" i="9"/>
  <c r="Z34" i="9" s="1"/>
  <c r="Z39" i="9" s="1"/>
  <c r="U14" i="9"/>
  <c r="U34" i="9" s="1"/>
  <c r="U39" i="9" s="1"/>
  <c r="P14" i="9"/>
  <c r="P34" i="9" s="1"/>
  <c r="P39" i="9" s="1"/>
  <c r="K14" i="9"/>
  <c r="K34" i="9" s="1"/>
  <c r="K39" i="9" s="1"/>
  <c r="F14" i="9"/>
  <c r="F34" i="9" s="1"/>
  <c r="F39" i="9" s="1"/>
  <c r="DD13" i="9"/>
  <c r="AZ14" i="22" s="1"/>
  <c r="DC13" i="9"/>
  <c r="AY14" i="22" s="1"/>
  <c r="DA13" i="9"/>
  <c r="AW14" i="22" s="1"/>
  <c r="CZ13" i="9"/>
  <c r="AV14" i="22" s="1"/>
  <c r="CY13" i="9"/>
  <c r="AU14" i="22" s="1"/>
  <c r="CX13" i="9"/>
  <c r="AT14" i="22" s="1"/>
  <c r="CV13" i="9"/>
  <c r="AR14" i="22" s="1"/>
  <c r="CU13" i="9"/>
  <c r="AQ14" i="22" s="1"/>
  <c r="CT13" i="9"/>
  <c r="AP14" i="22" s="1"/>
  <c r="CS13" i="9"/>
  <c r="AO14" i="22" s="1"/>
  <c r="CQ13" i="9"/>
  <c r="AM14" i="22" s="1"/>
  <c r="CP13" i="9"/>
  <c r="AL14" i="22" s="1"/>
  <c r="CO13" i="9"/>
  <c r="AK14" i="22" s="1"/>
  <c r="CN13" i="9"/>
  <c r="AJ14" i="22" s="1"/>
  <c r="CL13" i="9"/>
  <c r="AH14" i="22" s="1"/>
  <c r="CK13" i="9"/>
  <c r="AG14" i="22" s="1"/>
  <c r="CJ13" i="9"/>
  <c r="AF14" i="22" s="1"/>
  <c r="CI13" i="9"/>
  <c r="AE14" i="22" s="1"/>
  <c r="CG13" i="9"/>
  <c r="AC14" i="22" s="1"/>
  <c r="CF13" i="9"/>
  <c r="AB14" i="22" s="1"/>
  <c r="CE13" i="9"/>
  <c r="AA14" i="22" s="1"/>
  <c r="CD13" i="9"/>
  <c r="Z14" i="22" s="1"/>
  <c r="CA13" i="9"/>
  <c r="W14" i="22" s="1"/>
  <c r="BG13" i="9"/>
  <c r="BF13" i="9"/>
  <c r="BE13" i="9"/>
  <c r="BC13" i="9"/>
  <c r="BB13" i="9"/>
  <c r="BA13" i="9"/>
  <c r="AZ13" i="9"/>
  <c r="AX13" i="9"/>
  <c r="AW13" i="9"/>
  <c r="AV13" i="9"/>
  <c r="AU13" i="9"/>
  <c r="AS13" i="9"/>
  <c r="AR13" i="9"/>
  <c r="AQ13" i="9"/>
  <c r="AP13" i="9"/>
  <c r="AN13" i="9"/>
  <c r="AM13" i="9"/>
  <c r="AL13" i="9"/>
  <c r="AK13" i="9"/>
  <c r="AI13" i="9"/>
  <c r="AH13" i="9"/>
  <c r="AG13" i="9"/>
  <c r="AF13" i="9"/>
  <c r="AD13" i="9"/>
  <c r="AC13" i="9"/>
  <c r="AB13" i="9"/>
  <c r="AA13" i="9"/>
  <c r="Y13" i="9"/>
  <c r="X13" i="9"/>
  <c r="W13" i="9"/>
  <c r="V13" i="9"/>
  <c r="T13" i="9"/>
  <c r="S13" i="9"/>
  <c r="R13" i="9"/>
  <c r="Q13" i="9"/>
  <c r="O13" i="9"/>
  <c r="N13" i="9"/>
  <c r="M13" i="9"/>
  <c r="L13" i="9"/>
  <c r="J13" i="9"/>
  <c r="I13" i="9"/>
  <c r="H13" i="9"/>
  <c r="G13" i="9"/>
  <c r="E13" i="9"/>
  <c r="D13" i="9"/>
  <c r="C13" i="9"/>
  <c r="B13" i="9"/>
  <c r="DB12" i="9"/>
  <c r="CW12" i="9"/>
  <c r="AS13" i="22" s="1"/>
  <c r="CR12" i="9"/>
  <c r="AN13" i="22" s="1"/>
  <c r="CM12" i="9"/>
  <c r="AI13" i="22" s="1"/>
  <c r="CH12" i="9"/>
  <c r="AD13" i="22" s="1"/>
  <c r="BR12" i="9"/>
  <c r="BM12" i="9"/>
  <c r="I13" i="22" s="1"/>
  <c r="BH12" i="9"/>
  <c r="BI12" i="9" s="1"/>
  <c r="E13" i="22" s="1"/>
  <c r="BD12" i="9"/>
  <c r="D13" i="22" s="1"/>
  <c r="AY12" i="9"/>
  <c r="C13" i="22" s="1"/>
  <c r="AT12" i="9"/>
  <c r="AO12" i="9"/>
  <c r="AJ12" i="9"/>
  <c r="DD11" i="9"/>
  <c r="AZ12" i="22" s="1"/>
  <c r="DC11" i="9"/>
  <c r="AY12" i="22" s="1"/>
  <c r="DA11" i="9"/>
  <c r="AW12" i="22" s="1"/>
  <c r="CZ11" i="9"/>
  <c r="AV12" i="22" s="1"/>
  <c r="CY11" i="9"/>
  <c r="AU12" i="22" s="1"/>
  <c r="CX11" i="9"/>
  <c r="AT12" i="22" s="1"/>
  <c r="CV11" i="9"/>
  <c r="AR12" i="22" s="1"/>
  <c r="CU11" i="9"/>
  <c r="AQ12" i="22" s="1"/>
  <c r="CT11" i="9"/>
  <c r="AP12" i="22" s="1"/>
  <c r="CS11" i="9"/>
  <c r="AO12" i="22" s="1"/>
  <c r="CQ11" i="9"/>
  <c r="AM12" i="22" s="1"/>
  <c r="CP11" i="9"/>
  <c r="AL12" i="22" s="1"/>
  <c r="CO11" i="9"/>
  <c r="AK12" i="22" s="1"/>
  <c r="CN11" i="9"/>
  <c r="AJ12" i="22" s="1"/>
  <c r="CL11" i="9"/>
  <c r="AH12" i="22" s="1"/>
  <c r="CK11" i="9"/>
  <c r="AG12" i="22" s="1"/>
  <c r="CJ11" i="9"/>
  <c r="AF12" i="22" s="1"/>
  <c r="CI11" i="9"/>
  <c r="AE12" i="22" s="1"/>
  <c r="CG11" i="9"/>
  <c r="AC12" i="22" s="1"/>
  <c r="CF11" i="9"/>
  <c r="AB12" i="22" s="1"/>
  <c r="CE11" i="9"/>
  <c r="AA12" i="22" s="1"/>
  <c r="BG11" i="9"/>
  <c r="BF11" i="9"/>
  <c r="BE11" i="9"/>
  <c r="BC11" i="9"/>
  <c r="BB11" i="9"/>
  <c r="BA11" i="9"/>
  <c r="AZ11" i="9"/>
  <c r="AX11" i="9"/>
  <c r="AW11" i="9"/>
  <c r="AV11" i="9"/>
  <c r="AU11" i="9"/>
  <c r="AS11" i="9"/>
  <c r="AR11" i="9"/>
  <c r="AQ11" i="9"/>
  <c r="AP11" i="9"/>
  <c r="AN11" i="9"/>
  <c r="AM11" i="9"/>
  <c r="AL11" i="9"/>
  <c r="AK11" i="9"/>
  <c r="AI11" i="9"/>
  <c r="AH11" i="9"/>
  <c r="AG11" i="9"/>
  <c r="AF11" i="9"/>
  <c r="AD11" i="9"/>
  <c r="AC11" i="9"/>
  <c r="AB11" i="9"/>
  <c r="AA11" i="9"/>
  <c r="Y11" i="9"/>
  <c r="X11" i="9"/>
  <c r="W11" i="9"/>
  <c r="V11" i="9"/>
  <c r="T11" i="9"/>
  <c r="S11" i="9"/>
  <c r="R11" i="9"/>
  <c r="Q11" i="9"/>
  <c r="O11" i="9"/>
  <c r="N11" i="9"/>
  <c r="M11" i="9"/>
  <c r="L11" i="9"/>
  <c r="J11" i="9"/>
  <c r="I11" i="9"/>
  <c r="H11" i="9"/>
  <c r="G11" i="9"/>
  <c r="E11" i="9"/>
  <c r="D11" i="9"/>
  <c r="C11" i="9"/>
  <c r="B11" i="9"/>
  <c r="DB10" i="9"/>
  <c r="CW10" i="9"/>
  <c r="CZ84" i="1" s="1"/>
  <c r="CR10" i="9"/>
  <c r="CM10" i="9"/>
  <c r="CD10" i="9"/>
  <c r="CH10" i="9" s="1"/>
  <c r="BR10" i="9"/>
  <c r="BR84" i="1" s="1"/>
  <c r="BM10" i="9"/>
  <c r="BH10" i="9"/>
  <c r="BD10" i="9"/>
  <c r="BD84" i="1" s="1"/>
  <c r="AY10" i="9"/>
  <c r="BB84" i="1" s="1"/>
  <c r="AT10" i="9"/>
  <c r="AT84" i="1" s="1"/>
  <c r="AO10" i="9"/>
  <c r="AP84" i="1" s="1"/>
  <c r="AJ10" i="9"/>
  <c r="AK84" i="1" s="1"/>
  <c r="AE10" i="9"/>
  <c r="Z10" i="9"/>
  <c r="Z84" i="1" s="1"/>
  <c r="U10" i="9"/>
  <c r="P10" i="9"/>
  <c r="K10" i="9"/>
  <c r="K84" i="1" s="1"/>
  <c r="F10" i="9"/>
  <c r="F13" i="9" s="1"/>
  <c r="DB9" i="9"/>
  <c r="CW9" i="9"/>
  <c r="AS10" i="22" s="1"/>
  <c r="CR9" i="9"/>
  <c r="AN10" i="22" s="1"/>
  <c r="CM9" i="9"/>
  <c r="CH9" i="9"/>
  <c r="CB9" i="9"/>
  <c r="BW9" i="9"/>
  <c r="S10" i="22" s="1"/>
  <c r="BS9" i="9"/>
  <c r="O10" i="22" s="1"/>
  <c r="BN9" i="9"/>
  <c r="J10" i="22" s="1"/>
  <c r="BI9" i="9"/>
  <c r="BD9" i="9"/>
  <c r="D10" i="22" s="1"/>
  <c r="AY9" i="9"/>
  <c r="C10" i="22" s="1"/>
  <c r="AT9" i="9"/>
  <c r="AO9" i="9"/>
  <c r="AJ9" i="9"/>
  <c r="AE9" i="9"/>
  <c r="Z9" i="9"/>
  <c r="U9" i="9"/>
  <c r="P9" i="9"/>
  <c r="K9" i="9"/>
  <c r="F9" i="9"/>
  <c r="DD8" i="9"/>
  <c r="AZ9" i="22" s="1"/>
  <c r="DC8" i="9"/>
  <c r="AY9" i="22" s="1"/>
  <c r="DA8" i="9"/>
  <c r="AW9" i="22" s="1"/>
  <c r="CZ8" i="9"/>
  <c r="CY8" i="9"/>
  <c r="AU9" i="22" s="1"/>
  <c r="CX8" i="9"/>
  <c r="CV8" i="9"/>
  <c r="AR9" i="22" s="1"/>
  <c r="CU8" i="9"/>
  <c r="AQ9" i="22" s="1"/>
  <c r="CT8" i="9"/>
  <c r="AP9" i="22" s="1"/>
  <c r="CS8" i="9"/>
  <c r="CQ8" i="9"/>
  <c r="AM9" i="22" s="1"/>
  <c r="CP8" i="9"/>
  <c r="CO8" i="9"/>
  <c r="AK9" i="22" s="1"/>
  <c r="CN8" i="9"/>
  <c r="CL8" i="9"/>
  <c r="CK8" i="9"/>
  <c r="AG9" i="22" s="1"/>
  <c r="CJ8" i="9"/>
  <c r="AF9" i="22" s="1"/>
  <c r="CI8" i="9"/>
  <c r="CG8" i="9"/>
  <c r="CF8" i="9"/>
  <c r="AB9" i="22" s="1"/>
  <c r="CE8" i="9"/>
  <c r="AA9" i="22" s="1"/>
  <c r="CD8" i="9"/>
  <c r="BG8" i="9"/>
  <c r="BF8" i="9"/>
  <c r="BE8" i="9"/>
  <c r="BM52" i="9" s="1"/>
  <c r="BC8" i="9"/>
  <c r="BB8" i="9"/>
  <c r="BA8" i="9"/>
  <c r="AZ8" i="9"/>
  <c r="BH52" i="9" s="1"/>
  <c r="AX8" i="9"/>
  <c r="BF52" i="9" s="1"/>
  <c r="AW8" i="9"/>
  <c r="AV8" i="9"/>
  <c r="AU8" i="9"/>
  <c r="AS8" i="9"/>
  <c r="AR8" i="9"/>
  <c r="AQ8" i="9"/>
  <c r="AP8" i="9"/>
  <c r="AX52" i="9" s="1"/>
  <c r="AN8" i="9"/>
  <c r="AZ52" i="9" s="1"/>
  <c r="BD52" i="9" s="1"/>
  <c r="AM8" i="9"/>
  <c r="AL8" i="9"/>
  <c r="AK8" i="9"/>
  <c r="AS52" i="9" s="1"/>
  <c r="AI8" i="9"/>
  <c r="AH8" i="9"/>
  <c r="AG8" i="9"/>
  <c r="AF8" i="9"/>
  <c r="AM52" i="9" s="1"/>
  <c r="DB7" i="9"/>
  <c r="AX8" i="22" s="1"/>
  <c r="CW7" i="9"/>
  <c r="AS8" i="22" s="1"/>
  <c r="CR7" i="9"/>
  <c r="AN8" i="22" s="1"/>
  <c r="CM7" i="9"/>
  <c r="AI8" i="22" s="1"/>
  <c r="CH7" i="9"/>
  <c r="AD8" i="22" s="1"/>
  <c r="CB7" i="9"/>
  <c r="X8" i="22" s="1"/>
  <c r="BX7" i="9"/>
  <c r="T8" i="22" s="1"/>
  <c r="BS7" i="9"/>
  <c r="O8" i="22" s="1"/>
  <c r="BN7" i="9"/>
  <c r="J8" i="22" s="1"/>
  <c r="BI7" i="9"/>
  <c r="E8" i="22" s="1"/>
  <c r="BD7" i="9"/>
  <c r="D8" i="22" s="1"/>
  <c r="AY7" i="9"/>
  <c r="C8" i="22" s="1"/>
  <c r="AT7" i="9"/>
  <c r="AO7" i="9"/>
  <c r="AJ7" i="9"/>
  <c r="BE7" i="22"/>
  <c r="DD6" i="9"/>
  <c r="DC6" i="9"/>
  <c r="AY7" i="22" s="1"/>
  <c r="DA6" i="9"/>
  <c r="AW7" i="22" s="1"/>
  <c r="CZ6" i="9"/>
  <c r="AV7" i="22" s="1"/>
  <c r="CY6" i="9"/>
  <c r="AU7" i="22" s="1"/>
  <c r="CX6" i="9"/>
  <c r="AT7" i="22" s="1"/>
  <c r="CV6" i="9"/>
  <c r="AR7" i="22" s="1"/>
  <c r="CU6" i="9"/>
  <c r="AQ7" i="22" s="1"/>
  <c r="CT6" i="9"/>
  <c r="AP7" i="22" s="1"/>
  <c r="CS6" i="9"/>
  <c r="AO7" i="22" s="1"/>
  <c r="CQ6" i="9"/>
  <c r="AM7" i="22" s="1"/>
  <c r="CP6" i="9"/>
  <c r="AL7" i="22" s="1"/>
  <c r="CO6" i="9"/>
  <c r="AK7" i="22" s="1"/>
  <c r="CN6" i="9"/>
  <c r="AJ7" i="22" s="1"/>
  <c r="CL6" i="9"/>
  <c r="AH7" i="22" s="1"/>
  <c r="CK6" i="9"/>
  <c r="AG7" i="22" s="1"/>
  <c r="CJ6" i="9"/>
  <c r="AF7" i="22" s="1"/>
  <c r="CI6" i="9"/>
  <c r="AE7" i="22" s="1"/>
  <c r="CG6" i="9"/>
  <c r="AC7" i="22" s="1"/>
  <c r="CF6" i="9"/>
  <c r="AB7" i="22" s="1"/>
  <c r="CE6" i="9"/>
  <c r="AA7" i="22" s="1"/>
  <c r="CD6" i="9"/>
  <c r="Z7" i="22" s="1"/>
  <c r="BC6" i="9"/>
  <c r="BB6" i="9"/>
  <c r="BA6" i="9"/>
  <c r="AZ6" i="9"/>
  <c r="AX6" i="9"/>
  <c r="AW6" i="9"/>
  <c r="AV6" i="9"/>
  <c r="AU6" i="9"/>
  <c r="AS6" i="9"/>
  <c r="AR6" i="9"/>
  <c r="AQ6" i="9"/>
  <c r="AP6" i="9"/>
  <c r="AN6" i="9"/>
  <c r="AM6" i="9"/>
  <c r="AL6" i="9"/>
  <c r="AK6" i="9"/>
  <c r="AI6" i="9"/>
  <c r="AH6" i="9"/>
  <c r="AG6" i="9"/>
  <c r="AF6" i="9"/>
  <c r="AD6" i="9"/>
  <c r="AC6" i="9"/>
  <c r="AB6" i="9"/>
  <c r="AA6" i="9"/>
  <c r="Y6" i="9"/>
  <c r="X6" i="9"/>
  <c r="W6" i="9"/>
  <c r="V6" i="9"/>
  <c r="T6" i="9"/>
  <c r="S6" i="9"/>
  <c r="R6" i="9"/>
  <c r="Q6" i="9"/>
  <c r="O6" i="9"/>
  <c r="N6" i="9"/>
  <c r="M6" i="9"/>
  <c r="L6" i="9"/>
  <c r="J6" i="9"/>
  <c r="I6" i="9"/>
  <c r="H6" i="9"/>
  <c r="G6" i="9"/>
  <c r="E6" i="9"/>
  <c r="D6" i="9"/>
  <c r="C6" i="9"/>
  <c r="B6" i="9"/>
  <c r="DB5" i="9"/>
  <c r="CW5" i="9"/>
  <c r="CR5" i="9"/>
  <c r="CM5" i="9"/>
  <c r="CH5" i="9"/>
  <c r="BD5" i="9"/>
  <c r="AY5" i="9"/>
  <c r="AT5" i="9"/>
  <c r="AO5" i="9"/>
  <c r="AJ5" i="9"/>
  <c r="AE5" i="9"/>
  <c r="Z5" i="9"/>
  <c r="U5" i="9"/>
  <c r="P5" i="9"/>
  <c r="K5" i="9"/>
  <c r="F5" i="9"/>
  <c r="DB4" i="9"/>
  <c r="CW4" i="9"/>
  <c r="CR4" i="9"/>
  <c r="CM4" i="9"/>
  <c r="CH4" i="9"/>
  <c r="AD5" i="22" s="1"/>
  <c r="CB4" i="9"/>
  <c r="BW4" i="9"/>
  <c r="BR4" i="9"/>
  <c r="BM4" i="9"/>
  <c r="BM15" i="9" s="1"/>
  <c r="BH4" i="9"/>
  <c r="BD4" i="9"/>
  <c r="AY4" i="9"/>
  <c r="AT4" i="9"/>
  <c r="AO4" i="9"/>
  <c r="AJ4" i="9"/>
  <c r="AE4" i="9"/>
  <c r="AE8" i="9" s="1"/>
  <c r="Z4" i="9"/>
  <c r="U4" i="9"/>
  <c r="P4" i="9"/>
  <c r="K4" i="9"/>
  <c r="F4" i="9"/>
  <c r="F6" i="9" s="1"/>
  <c r="EE164" i="1"/>
  <c r="EF164" i="1" s="1"/>
  <c r="ED164" i="1"/>
  <c r="EC164" i="1"/>
  <c r="EB164" i="1"/>
  <c r="DZ164" i="1"/>
  <c r="EA164" i="1" s="1"/>
  <c r="DY164" i="1"/>
  <c r="DX164" i="1"/>
  <c r="DW164" i="1"/>
  <c r="DU164" i="1"/>
  <c r="DV164" i="1" s="1"/>
  <c r="DT164" i="1"/>
  <c r="DS164" i="1"/>
  <c r="DR164" i="1"/>
  <c r="DP164" i="1"/>
  <c r="DQ164" i="1" s="1"/>
  <c r="DO164" i="1"/>
  <c r="DN164" i="1"/>
  <c r="DM164" i="1"/>
  <c r="DK164" i="1"/>
  <c r="DL164" i="1" s="1"/>
  <c r="DJ164" i="1"/>
  <c r="DI164" i="1"/>
  <c r="DH164" i="1"/>
  <c r="DF164" i="1"/>
  <c r="DG164" i="1" s="1"/>
  <c r="DE164" i="1"/>
  <c r="DD164" i="1"/>
  <c r="DC164" i="1"/>
  <c r="DA164" i="1"/>
  <c r="DB164" i="1" s="1"/>
  <c r="CZ164" i="1"/>
  <c r="CY164" i="1"/>
  <c r="CX164" i="1"/>
  <c r="CV164" i="1"/>
  <c r="CW164" i="1" s="1"/>
  <c r="CU164" i="1"/>
  <c r="CT164" i="1"/>
  <c r="CS164" i="1"/>
  <c r="CQ164" i="1"/>
  <c r="CR164" i="1" s="1"/>
  <c r="CP164" i="1"/>
  <c r="CO164" i="1"/>
  <c r="CN164" i="1"/>
  <c r="CL164" i="1"/>
  <c r="CM164" i="1" s="1"/>
  <c r="CK164" i="1"/>
  <c r="CJ164" i="1"/>
  <c r="CI164" i="1"/>
  <c r="CG164" i="1"/>
  <c r="CH164" i="1" s="1"/>
  <c r="CF164" i="1"/>
  <c r="CE164" i="1"/>
  <c r="CD164" i="1"/>
  <c r="CB164" i="1"/>
  <c r="CC164" i="1" s="1"/>
  <c r="CA164" i="1"/>
  <c r="BZ164" i="1"/>
  <c r="BY164" i="1"/>
  <c r="BW164" i="1"/>
  <c r="BX164" i="1" s="1"/>
  <c r="BV164" i="1"/>
  <c r="BU164" i="1"/>
  <c r="BT164" i="1"/>
  <c r="BR164" i="1"/>
  <c r="BS164" i="1" s="1"/>
  <c r="BQ164" i="1"/>
  <c r="BP164" i="1"/>
  <c r="BO164" i="1"/>
  <c r="BM164" i="1"/>
  <c r="BN164" i="1" s="1"/>
  <c r="BL164" i="1"/>
  <c r="BK164" i="1"/>
  <c r="BJ164" i="1"/>
  <c r="BH164" i="1"/>
  <c r="BI164" i="1" s="1"/>
  <c r="BG164" i="1"/>
  <c r="BF164" i="1"/>
  <c r="BE164" i="1"/>
  <c r="BC164" i="1"/>
  <c r="BD164" i="1" s="1"/>
  <c r="BB164" i="1"/>
  <c r="BA164" i="1"/>
  <c r="AZ164" i="1"/>
  <c r="AX164" i="1"/>
  <c r="AY164" i="1" s="1"/>
  <c r="AW164" i="1"/>
  <c r="AV164" i="1"/>
  <c r="AU164" i="1"/>
  <c r="AS164" i="1"/>
  <c r="AT164" i="1" s="1"/>
  <c r="AR164" i="1"/>
  <c r="AQ164" i="1"/>
  <c r="AP164" i="1"/>
  <c r="AN164" i="1"/>
  <c r="AO164" i="1" s="1"/>
  <c r="AM164" i="1"/>
  <c r="AL164" i="1"/>
  <c r="AK164" i="1"/>
  <c r="AI164" i="1"/>
  <c r="AJ164" i="1" s="1"/>
  <c r="AH164" i="1"/>
  <c r="AG164" i="1"/>
  <c r="AF164" i="1"/>
  <c r="DD160" i="1"/>
  <c r="DC160" i="1"/>
  <c r="CZ160" i="1"/>
  <c r="CY160" i="1"/>
  <c r="CX160" i="1"/>
  <c r="CU160" i="1"/>
  <c r="CT160" i="1"/>
  <c r="CS160" i="1"/>
  <c r="CP160" i="1"/>
  <c r="CO160" i="1"/>
  <c r="CN160" i="1"/>
  <c r="CK160" i="1"/>
  <c r="CJ160" i="1"/>
  <c r="CI160" i="1"/>
  <c r="CF160" i="1"/>
  <c r="CE160" i="1"/>
  <c r="CD160" i="1"/>
  <c r="CA160" i="1"/>
  <c r="BZ160" i="1"/>
  <c r="BW160" i="1"/>
  <c r="BV160" i="1"/>
  <c r="BU160" i="1"/>
  <c r="BR160" i="1"/>
  <c r="BQ160" i="1"/>
  <c r="BP160" i="1"/>
  <c r="BL160" i="1"/>
  <c r="BK160" i="1"/>
  <c r="BJ160" i="1"/>
  <c r="BG160" i="1"/>
  <c r="BF160" i="1"/>
  <c r="BE160" i="1"/>
  <c r="BB160" i="1"/>
  <c r="BA160" i="1"/>
  <c r="AZ160" i="1"/>
  <c r="AW160" i="1"/>
  <c r="AV160" i="1"/>
  <c r="AU160" i="1"/>
  <c r="AR160" i="1"/>
  <c r="AQ160" i="1"/>
  <c r="AP160" i="1"/>
  <c r="AN160" i="1"/>
  <c r="AM160" i="1"/>
  <c r="AL160" i="1"/>
  <c r="AK160" i="1"/>
  <c r="AI160" i="1"/>
  <c r="AH160" i="1"/>
  <c r="AG160" i="1"/>
  <c r="AF160" i="1"/>
  <c r="AD159" i="1"/>
  <c r="AC159" i="1"/>
  <c r="AB159" i="1"/>
  <c r="AA159" i="1"/>
  <c r="Y159" i="1"/>
  <c r="X159" i="1"/>
  <c r="W159" i="1"/>
  <c r="V159" i="1"/>
  <c r="T159" i="1"/>
  <c r="S159" i="1"/>
  <c r="R159" i="1"/>
  <c r="Q159" i="1"/>
  <c r="O159" i="1"/>
  <c r="N159" i="1"/>
  <c r="M159" i="1"/>
  <c r="L159" i="1"/>
  <c r="J159" i="1"/>
  <c r="I159" i="1"/>
  <c r="H159" i="1"/>
  <c r="G159" i="1"/>
  <c r="E159" i="1"/>
  <c r="D159" i="1"/>
  <c r="C159" i="1"/>
  <c r="B159" i="1"/>
  <c r="DD158" i="1"/>
  <c r="DA158" i="1"/>
  <c r="CZ158" i="1"/>
  <c r="CY158" i="1"/>
  <c r="CV158" i="1"/>
  <c r="CU158" i="1"/>
  <c r="CT158" i="1"/>
  <c r="CQ158" i="1"/>
  <c r="CP158" i="1"/>
  <c r="CO158" i="1"/>
  <c r="CL158" i="1"/>
  <c r="CK158" i="1"/>
  <c r="CJ158" i="1"/>
  <c r="CG158" i="1"/>
  <c r="CF158" i="1"/>
  <c r="CE158" i="1"/>
  <c r="CA158" i="1"/>
  <c r="BZ158" i="1"/>
  <c r="BV158" i="1"/>
  <c r="BU158" i="1"/>
  <c r="BQ158" i="1"/>
  <c r="BP158" i="1"/>
  <c r="BL158" i="1"/>
  <c r="BK158" i="1"/>
  <c r="BG158" i="1"/>
  <c r="BF158" i="1"/>
  <c r="BB158" i="1"/>
  <c r="BA158" i="1"/>
  <c r="AW158" i="1"/>
  <c r="AV158" i="1"/>
  <c r="AR158" i="1"/>
  <c r="AQ158" i="1"/>
  <c r="AM158" i="1"/>
  <c r="AL158" i="1"/>
  <c r="AH158" i="1"/>
  <c r="AG158" i="1"/>
  <c r="AF158" i="1"/>
  <c r="DD157" i="1"/>
  <c r="DA157" i="1"/>
  <c r="CZ157" i="1"/>
  <c r="CY157" i="1"/>
  <c r="CV157" i="1"/>
  <c r="CU157" i="1"/>
  <c r="CT157" i="1"/>
  <c r="CQ157" i="1"/>
  <c r="CP157" i="1"/>
  <c r="CO157" i="1"/>
  <c r="CL157" i="1"/>
  <c r="CK157" i="1"/>
  <c r="CJ157" i="1"/>
  <c r="CG157" i="1"/>
  <c r="CF157" i="1"/>
  <c r="CE157" i="1"/>
  <c r="CA157" i="1"/>
  <c r="BZ157" i="1"/>
  <c r="BV157" i="1"/>
  <c r="BU157" i="1"/>
  <c r="BQ157" i="1"/>
  <c r="BP157" i="1"/>
  <c r="BL157" i="1"/>
  <c r="BK157" i="1"/>
  <c r="BG157" i="1"/>
  <c r="BF157" i="1"/>
  <c r="BB157" i="1"/>
  <c r="BA157" i="1"/>
  <c r="AW157" i="1"/>
  <c r="AV157" i="1"/>
  <c r="AR157" i="1"/>
  <c r="AQ157" i="1"/>
  <c r="AM157" i="1"/>
  <c r="AL157" i="1"/>
  <c r="AH157" i="1"/>
  <c r="AG157" i="1"/>
  <c r="AF157" i="1"/>
  <c r="DD150" i="1"/>
  <c r="DC150" i="1"/>
  <c r="DA150" i="1"/>
  <c r="CZ150" i="1"/>
  <c r="CY150" i="1"/>
  <c r="CX150" i="1"/>
  <c r="CV150" i="1"/>
  <c r="CU150" i="1"/>
  <c r="CT150" i="1"/>
  <c r="CS150" i="1"/>
  <c r="CQ150" i="1"/>
  <c r="CP150" i="1"/>
  <c r="CO150" i="1"/>
  <c r="CN150" i="1"/>
  <c r="CL150" i="1"/>
  <c r="CK150" i="1"/>
  <c r="CJ150" i="1"/>
  <c r="CI150" i="1"/>
  <c r="CG150" i="1"/>
  <c r="CF150" i="1"/>
  <c r="CE150" i="1"/>
  <c r="CD150" i="1"/>
  <c r="CB150" i="1"/>
  <c r="CA150" i="1"/>
  <c r="BZ150" i="1"/>
  <c r="BY150" i="1"/>
  <c r="BV150" i="1"/>
  <c r="BU150" i="1"/>
  <c r="BT150" i="1"/>
  <c r="BQ150" i="1"/>
  <c r="BP150" i="1"/>
  <c r="BO150" i="1"/>
  <c r="BM150" i="1"/>
  <c r="BL150" i="1"/>
  <c r="BK150" i="1"/>
  <c r="BJ150" i="1"/>
  <c r="BH150" i="1"/>
  <c r="BG150" i="1"/>
  <c r="BF150" i="1"/>
  <c r="BE150" i="1"/>
  <c r="BC150" i="1"/>
  <c r="BB150" i="1"/>
  <c r="BA150" i="1"/>
  <c r="AZ150" i="1"/>
  <c r="AX150" i="1"/>
  <c r="AW150" i="1"/>
  <c r="AV150" i="1"/>
  <c r="AU150" i="1"/>
  <c r="AS150" i="1"/>
  <c r="AR150" i="1"/>
  <c r="AQ150" i="1"/>
  <c r="AP150" i="1"/>
  <c r="AN150" i="1"/>
  <c r="AM150" i="1"/>
  <c r="AL150" i="1"/>
  <c r="AK150" i="1"/>
  <c r="AI150" i="1"/>
  <c r="AH150" i="1"/>
  <c r="AG150" i="1"/>
  <c r="AF150" i="1"/>
  <c r="AD150" i="1"/>
  <c r="AC150" i="1"/>
  <c r="AB150" i="1"/>
  <c r="AA150" i="1"/>
  <c r="Y150" i="1"/>
  <c r="X150" i="1"/>
  <c r="W150" i="1"/>
  <c r="V150" i="1"/>
  <c r="T150" i="1"/>
  <c r="S150" i="1"/>
  <c r="R150" i="1"/>
  <c r="Q150" i="1"/>
  <c r="O150" i="1"/>
  <c r="N150" i="1"/>
  <c r="M150" i="1"/>
  <c r="L150" i="1"/>
  <c r="J150" i="1"/>
  <c r="I150" i="1"/>
  <c r="H150" i="1"/>
  <c r="G150" i="1"/>
  <c r="E150" i="1"/>
  <c r="D150" i="1"/>
  <c r="C150" i="1"/>
  <c r="B150" i="1"/>
  <c r="CA149" i="1"/>
  <c r="BZ149" i="1"/>
  <c r="BY149" i="1"/>
  <c r="BV149" i="1"/>
  <c r="BU149" i="1"/>
  <c r="BT149" i="1"/>
  <c r="BQ149" i="1"/>
  <c r="BP149" i="1"/>
  <c r="BO149" i="1"/>
  <c r="BL149" i="1"/>
  <c r="BK149" i="1"/>
  <c r="BJ149" i="1"/>
  <c r="BG149" i="1"/>
  <c r="BF149" i="1"/>
  <c r="BE149" i="1"/>
  <c r="BB149" i="1"/>
  <c r="BA149" i="1"/>
  <c r="AZ149" i="1"/>
  <c r="AW149" i="1"/>
  <c r="AV149" i="1"/>
  <c r="AU149" i="1"/>
  <c r="AR149" i="1"/>
  <c r="AQ149" i="1"/>
  <c r="AP149" i="1"/>
  <c r="AM149" i="1"/>
  <c r="AL149" i="1"/>
  <c r="AK149" i="1"/>
  <c r="AH149" i="1"/>
  <c r="AG149" i="1"/>
  <c r="AF149" i="1"/>
  <c r="AD149" i="1"/>
  <c r="AC149" i="1"/>
  <c r="AB149" i="1"/>
  <c r="AA149" i="1"/>
  <c r="Y149" i="1"/>
  <c r="X149" i="1"/>
  <c r="W149" i="1"/>
  <c r="V149" i="1"/>
  <c r="T149" i="1"/>
  <c r="S149" i="1"/>
  <c r="R149" i="1"/>
  <c r="Q149" i="1"/>
  <c r="O149" i="1"/>
  <c r="N149" i="1"/>
  <c r="M149" i="1"/>
  <c r="L149" i="1"/>
  <c r="J149" i="1"/>
  <c r="I149" i="1"/>
  <c r="H149" i="1"/>
  <c r="G149" i="1"/>
  <c r="E149" i="1"/>
  <c r="D149" i="1"/>
  <c r="C149" i="1"/>
  <c r="B149" i="1"/>
  <c r="CA148" i="1"/>
  <c r="BZ148" i="1"/>
  <c r="BY148" i="1"/>
  <c r="BV148" i="1"/>
  <c r="BU148" i="1"/>
  <c r="BT148" i="1"/>
  <c r="BQ148" i="1"/>
  <c r="BP148" i="1"/>
  <c r="BO148" i="1"/>
  <c r="BL148" i="1"/>
  <c r="BK148" i="1"/>
  <c r="BJ148" i="1"/>
  <c r="BG148" i="1"/>
  <c r="BF148" i="1"/>
  <c r="BE148" i="1"/>
  <c r="BB148" i="1"/>
  <c r="BA148" i="1"/>
  <c r="AZ148" i="1"/>
  <c r="AW148" i="1"/>
  <c r="AV148" i="1"/>
  <c r="AU148" i="1"/>
  <c r="AR148" i="1"/>
  <c r="AQ148" i="1"/>
  <c r="AP148" i="1"/>
  <c r="AM148" i="1"/>
  <c r="AL148" i="1"/>
  <c r="AK148" i="1"/>
  <c r="AH148" i="1"/>
  <c r="AG148" i="1"/>
  <c r="AF148" i="1"/>
  <c r="AD148" i="1"/>
  <c r="AC148" i="1"/>
  <c r="AB148" i="1"/>
  <c r="AA148" i="1"/>
  <c r="Y148" i="1"/>
  <c r="X148" i="1"/>
  <c r="W148" i="1"/>
  <c r="V148" i="1"/>
  <c r="T148" i="1"/>
  <c r="S148" i="1"/>
  <c r="R148" i="1"/>
  <c r="Q148" i="1"/>
  <c r="O148" i="1"/>
  <c r="N148" i="1"/>
  <c r="M148" i="1"/>
  <c r="L148" i="1"/>
  <c r="J148" i="1"/>
  <c r="I148" i="1"/>
  <c r="H148" i="1"/>
  <c r="G148" i="1"/>
  <c r="E148" i="1"/>
  <c r="D148" i="1"/>
  <c r="C148" i="1"/>
  <c r="B148" i="1"/>
  <c r="CA147" i="1"/>
  <c r="BZ147" i="1"/>
  <c r="BY147" i="1"/>
  <c r="BV147" i="1"/>
  <c r="BU147" i="1"/>
  <c r="BT147" i="1"/>
  <c r="BQ147" i="1"/>
  <c r="BP147" i="1"/>
  <c r="BO147" i="1"/>
  <c r="BL147" i="1"/>
  <c r="BK147" i="1"/>
  <c r="BJ147" i="1"/>
  <c r="BG147" i="1"/>
  <c r="BF147" i="1"/>
  <c r="BE147" i="1"/>
  <c r="BB147" i="1"/>
  <c r="BA147" i="1"/>
  <c r="AZ147" i="1"/>
  <c r="AW147" i="1"/>
  <c r="AV147" i="1"/>
  <c r="AU147" i="1"/>
  <c r="AR147" i="1"/>
  <c r="AQ147" i="1"/>
  <c r="AP147" i="1"/>
  <c r="AM147" i="1"/>
  <c r="AL147" i="1"/>
  <c r="AK147" i="1"/>
  <c r="AH147" i="1"/>
  <c r="AG147" i="1"/>
  <c r="AF147" i="1"/>
  <c r="AD147" i="1"/>
  <c r="AC147" i="1"/>
  <c r="AB147" i="1"/>
  <c r="AA147" i="1"/>
  <c r="Y147" i="1"/>
  <c r="X147" i="1"/>
  <c r="W147" i="1"/>
  <c r="V147" i="1"/>
  <c r="T147" i="1"/>
  <c r="S147" i="1"/>
  <c r="R147" i="1"/>
  <c r="Q147" i="1"/>
  <c r="O147" i="1"/>
  <c r="N147" i="1"/>
  <c r="M147" i="1"/>
  <c r="L147" i="1"/>
  <c r="J147" i="1"/>
  <c r="I147" i="1"/>
  <c r="H147" i="1"/>
  <c r="G147" i="1"/>
  <c r="E147" i="1"/>
  <c r="D147" i="1"/>
  <c r="C147" i="1"/>
  <c r="B147" i="1"/>
  <c r="E146" i="1"/>
  <c r="D146" i="1"/>
  <c r="C146" i="1"/>
  <c r="B146" i="1"/>
  <c r="CA144" i="1"/>
  <c r="BZ144" i="1"/>
  <c r="BY144" i="1"/>
  <c r="BV144" i="1"/>
  <c r="BU144" i="1"/>
  <c r="BT144" i="1"/>
  <c r="BQ144" i="1"/>
  <c r="BP144" i="1"/>
  <c r="BO144" i="1"/>
  <c r="BL144" i="1"/>
  <c r="BK144" i="1"/>
  <c r="BJ144" i="1"/>
  <c r="BG144" i="1"/>
  <c r="BF144" i="1"/>
  <c r="BE144" i="1"/>
  <c r="BB144" i="1"/>
  <c r="BA144" i="1"/>
  <c r="AZ144" i="1"/>
  <c r="AW144" i="1"/>
  <c r="AV144" i="1"/>
  <c r="AU144" i="1"/>
  <c r="AR144" i="1"/>
  <c r="AQ144" i="1"/>
  <c r="AP144" i="1"/>
  <c r="AM144" i="1"/>
  <c r="AL144" i="1"/>
  <c r="AK144" i="1"/>
  <c r="AH144" i="1"/>
  <c r="AG144" i="1"/>
  <c r="AF144" i="1"/>
  <c r="AD144" i="1"/>
  <c r="AC144" i="1"/>
  <c r="AB144" i="1"/>
  <c r="AA144" i="1"/>
  <c r="Y144" i="1"/>
  <c r="X144" i="1"/>
  <c r="W144" i="1"/>
  <c r="V144" i="1"/>
  <c r="T144" i="1"/>
  <c r="S144" i="1"/>
  <c r="R144" i="1"/>
  <c r="Q144" i="1"/>
  <c r="O144" i="1"/>
  <c r="N144" i="1"/>
  <c r="M144" i="1"/>
  <c r="L144" i="1"/>
  <c r="J144" i="1"/>
  <c r="I144" i="1"/>
  <c r="H144" i="1"/>
  <c r="G144" i="1"/>
  <c r="E144" i="1"/>
  <c r="D144" i="1"/>
  <c r="C144" i="1"/>
  <c r="B144" i="1"/>
  <c r="DD142" i="1"/>
  <c r="DC142" i="1"/>
  <c r="DA142" i="1"/>
  <c r="CZ142" i="1"/>
  <c r="CY142" i="1"/>
  <c r="CX142" i="1"/>
  <c r="CV142" i="1"/>
  <c r="CU142" i="1"/>
  <c r="CT142" i="1"/>
  <c r="CS142" i="1"/>
  <c r="CQ142" i="1"/>
  <c r="CP142" i="1"/>
  <c r="CO142" i="1"/>
  <c r="CN142" i="1"/>
  <c r="CL142" i="1"/>
  <c r="CK142" i="1"/>
  <c r="CJ142" i="1"/>
  <c r="CI142" i="1"/>
  <c r="CG142" i="1"/>
  <c r="CF142" i="1"/>
  <c r="CE142" i="1"/>
  <c r="CD142" i="1"/>
  <c r="CB142" i="1"/>
  <c r="CA142" i="1"/>
  <c r="BZ142" i="1"/>
  <c r="BY142" i="1"/>
  <c r="BV142" i="1"/>
  <c r="BU142" i="1"/>
  <c r="BT142" i="1"/>
  <c r="BQ142" i="1"/>
  <c r="BP142" i="1"/>
  <c r="BO142" i="1"/>
  <c r="BM142" i="1"/>
  <c r="BL142" i="1"/>
  <c r="BK142" i="1"/>
  <c r="BJ142" i="1"/>
  <c r="BH142" i="1"/>
  <c r="BG142" i="1"/>
  <c r="BF142" i="1"/>
  <c r="BE142" i="1"/>
  <c r="BC142" i="1"/>
  <c r="BB142" i="1"/>
  <c r="BA142" i="1"/>
  <c r="AZ142" i="1"/>
  <c r="AX142" i="1"/>
  <c r="AW142" i="1"/>
  <c r="AV142" i="1"/>
  <c r="AU142" i="1"/>
  <c r="AS142" i="1"/>
  <c r="AR142" i="1"/>
  <c r="AQ142" i="1"/>
  <c r="AP142" i="1"/>
  <c r="AN142" i="1"/>
  <c r="AM142" i="1"/>
  <c r="AL142" i="1"/>
  <c r="AK142" i="1"/>
  <c r="AI142" i="1"/>
  <c r="AH142" i="1"/>
  <c r="AG142" i="1"/>
  <c r="AF142" i="1"/>
  <c r="AD142" i="1"/>
  <c r="AC142" i="1"/>
  <c r="AB142" i="1"/>
  <c r="AA142" i="1"/>
  <c r="Y142" i="1"/>
  <c r="X142" i="1"/>
  <c r="W142" i="1"/>
  <c r="V142" i="1"/>
  <c r="T142" i="1"/>
  <c r="S142" i="1"/>
  <c r="R142" i="1"/>
  <c r="Q142" i="1"/>
  <c r="O142" i="1"/>
  <c r="N142" i="1"/>
  <c r="M142" i="1"/>
  <c r="L142" i="1"/>
  <c r="J142" i="1"/>
  <c r="I142" i="1"/>
  <c r="H142" i="1"/>
  <c r="G142" i="1"/>
  <c r="E142" i="1"/>
  <c r="D142" i="1"/>
  <c r="C142" i="1"/>
  <c r="B142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CA139" i="1"/>
  <c r="BZ139" i="1"/>
  <c r="BY139" i="1"/>
  <c r="BV139" i="1"/>
  <c r="BU139" i="1"/>
  <c r="BT139" i="1"/>
  <c r="BQ139" i="1"/>
  <c r="BP139" i="1"/>
  <c r="BO139" i="1"/>
  <c r="BL139" i="1"/>
  <c r="BK139" i="1"/>
  <c r="BJ139" i="1"/>
  <c r="BG139" i="1"/>
  <c r="BF139" i="1"/>
  <c r="BE139" i="1"/>
  <c r="BB139" i="1"/>
  <c r="BA139" i="1"/>
  <c r="AZ139" i="1"/>
  <c r="AW139" i="1"/>
  <c r="AV139" i="1"/>
  <c r="AU139" i="1"/>
  <c r="AR139" i="1"/>
  <c r="AQ139" i="1"/>
  <c r="AP139" i="1"/>
  <c r="AM139" i="1"/>
  <c r="AL139" i="1"/>
  <c r="AK139" i="1"/>
  <c r="AH139" i="1"/>
  <c r="AG139" i="1"/>
  <c r="AF139" i="1"/>
  <c r="AD139" i="1"/>
  <c r="AC139" i="1"/>
  <c r="AB139" i="1"/>
  <c r="AA139" i="1"/>
  <c r="Y139" i="1"/>
  <c r="X139" i="1"/>
  <c r="W139" i="1"/>
  <c r="V139" i="1"/>
  <c r="T139" i="1"/>
  <c r="S139" i="1"/>
  <c r="R139" i="1"/>
  <c r="Q139" i="1"/>
  <c r="O139" i="1"/>
  <c r="N139" i="1"/>
  <c r="M139" i="1"/>
  <c r="L139" i="1"/>
  <c r="J139" i="1"/>
  <c r="I139" i="1"/>
  <c r="H139" i="1"/>
  <c r="G139" i="1"/>
  <c r="E139" i="1"/>
  <c r="D139" i="1"/>
  <c r="C139" i="1"/>
  <c r="B139" i="1"/>
  <c r="DB134" i="1"/>
  <c r="DC158" i="1" s="1"/>
  <c r="CW134" i="1"/>
  <c r="CX158" i="1" s="1"/>
  <c r="CR134" i="1"/>
  <c r="CS158" i="1" s="1"/>
  <c r="CM134" i="1"/>
  <c r="CN158" i="1" s="1"/>
  <c r="CH134" i="1"/>
  <c r="CI158" i="1" s="1"/>
  <c r="CC134" i="1"/>
  <c r="CD158" i="1" s="1"/>
  <c r="BX134" i="1"/>
  <c r="BS134" i="1"/>
  <c r="BN134" i="1"/>
  <c r="BI134" i="1"/>
  <c r="BJ158" i="1" s="1"/>
  <c r="BD134" i="1"/>
  <c r="BE158" i="1" s="1"/>
  <c r="AY134" i="1"/>
  <c r="AZ158" i="1" s="1"/>
  <c r="AT134" i="1"/>
  <c r="AU158" i="1" s="1"/>
  <c r="AO134" i="1"/>
  <c r="AP158" i="1" s="1"/>
  <c r="AJ134" i="1"/>
  <c r="AK158" i="1" s="1"/>
  <c r="DB133" i="1"/>
  <c r="DC157" i="1" s="1"/>
  <c r="CW133" i="1"/>
  <c r="CX157" i="1" s="1"/>
  <c r="CR133" i="1"/>
  <c r="CS157" i="1" s="1"/>
  <c r="CM133" i="1"/>
  <c r="CN157" i="1" s="1"/>
  <c r="CH133" i="1"/>
  <c r="CI157" i="1" s="1"/>
  <c r="CC133" i="1"/>
  <c r="CD157" i="1" s="1"/>
  <c r="BX133" i="1"/>
  <c r="BS133" i="1"/>
  <c r="BN133" i="1"/>
  <c r="BI133" i="1"/>
  <c r="BJ157" i="1" s="1"/>
  <c r="BD133" i="1"/>
  <c r="BE157" i="1" s="1"/>
  <c r="AY133" i="1"/>
  <c r="AZ157" i="1" s="1"/>
  <c r="AT133" i="1"/>
  <c r="AU157" i="1" s="1"/>
  <c r="AO133" i="1"/>
  <c r="AP157" i="1" s="1"/>
  <c r="AJ133" i="1"/>
  <c r="AK157" i="1" s="1"/>
  <c r="DB132" i="1"/>
  <c r="CW132" i="1"/>
  <c r="CR132" i="1"/>
  <c r="CM132" i="1"/>
  <c r="CH132" i="1"/>
  <c r="CC132" i="1"/>
  <c r="BX132" i="1"/>
  <c r="BS132" i="1"/>
  <c r="BN132" i="1"/>
  <c r="BI132" i="1"/>
  <c r="BD132" i="1"/>
  <c r="AY132" i="1"/>
  <c r="AT132" i="1"/>
  <c r="AO132" i="1"/>
  <c r="AJ132" i="1"/>
  <c r="DS118" i="1"/>
  <c r="DT118" i="1" s="1"/>
  <c r="DU118" i="1" s="1"/>
  <c r="DW118" i="1" s="1"/>
  <c r="DX118" i="1" s="1"/>
  <c r="DY118" i="1" s="1"/>
  <c r="DZ118" i="1" s="1"/>
  <c r="EB118" i="1" s="1"/>
  <c r="EC118" i="1" s="1"/>
  <c r="ED118" i="1" s="1"/>
  <c r="EE118" i="1" s="1"/>
  <c r="BC111" i="1"/>
  <c r="BC112" i="1" s="1"/>
  <c r="BB111" i="1"/>
  <c r="BA111" i="1"/>
  <c r="BA112" i="1" s="1"/>
  <c r="AX111" i="1"/>
  <c r="AX112" i="1" s="1"/>
  <c r="AW111" i="1"/>
  <c r="AW112" i="1" s="1"/>
  <c r="AV111" i="1"/>
  <c r="AV112" i="1" s="1"/>
  <c r="AS111" i="1"/>
  <c r="AS112" i="1" s="1"/>
  <c r="AR111" i="1"/>
  <c r="AR112" i="1" s="1"/>
  <c r="AQ111" i="1"/>
  <c r="AQ112" i="1" s="1"/>
  <c r="AN111" i="1"/>
  <c r="AN112" i="1" s="1"/>
  <c r="AM111" i="1"/>
  <c r="AL111" i="1"/>
  <c r="AI111" i="1"/>
  <c r="AI112" i="1" s="1"/>
  <c r="AH111" i="1"/>
  <c r="AH112" i="1" s="1"/>
  <c r="AG111" i="1"/>
  <c r="DD109" i="1"/>
  <c r="DD110" i="1" s="1"/>
  <c r="DC109" i="1"/>
  <c r="DC110" i="1" s="1"/>
  <c r="DA109" i="1"/>
  <c r="DA110" i="1" s="1"/>
  <c r="CZ109" i="1"/>
  <c r="CZ110" i="1" s="1"/>
  <c r="CY109" i="1"/>
  <c r="CY110" i="1" s="1"/>
  <c r="CX109" i="1"/>
  <c r="CX110" i="1" s="1"/>
  <c r="CV109" i="1"/>
  <c r="CU109" i="1"/>
  <c r="CU110" i="1" s="1"/>
  <c r="CT109" i="1"/>
  <c r="CT110" i="1" s="1"/>
  <c r="CS109" i="1"/>
  <c r="CS110" i="1" s="1"/>
  <c r="CQ109" i="1"/>
  <c r="CP109" i="1"/>
  <c r="CP110" i="1" s="1"/>
  <c r="CO109" i="1"/>
  <c r="CO110" i="1" s="1"/>
  <c r="CN109" i="1"/>
  <c r="CN110" i="1" s="1"/>
  <c r="CL109" i="1"/>
  <c r="CK109" i="1"/>
  <c r="CK110" i="1" s="1"/>
  <c r="CJ109" i="1"/>
  <c r="CJ110" i="1" s="1"/>
  <c r="CI109" i="1"/>
  <c r="CI110" i="1" s="1"/>
  <c r="CG109" i="1"/>
  <c r="CF109" i="1"/>
  <c r="CF110" i="1" s="1"/>
  <c r="CE109" i="1"/>
  <c r="CE110" i="1" s="1"/>
  <c r="CD109" i="1"/>
  <c r="CD110" i="1" s="1"/>
  <c r="CB109" i="1"/>
  <c r="CC109" i="1" s="1"/>
  <c r="CA109" i="1"/>
  <c r="CA110" i="1" s="1"/>
  <c r="BZ109" i="1"/>
  <c r="BZ110" i="1" s="1"/>
  <c r="BY109" i="1"/>
  <c r="BY110" i="1" s="1"/>
  <c r="BW109" i="1"/>
  <c r="BW110" i="1" s="1"/>
  <c r="BV109" i="1"/>
  <c r="BV110" i="1" s="1"/>
  <c r="BU109" i="1"/>
  <c r="BU110" i="1" s="1"/>
  <c r="BT109" i="1"/>
  <c r="BT110" i="1" s="1"/>
  <c r="BR109" i="1"/>
  <c r="BQ109" i="1"/>
  <c r="BQ110" i="1" s="1"/>
  <c r="BP109" i="1"/>
  <c r="BP110" i="1" s="1"/>
  <c r="BO109" i="1"/>
  <c r="BO110" i="1" s="1"/>
  <c r="BM109" i="1"/>
  <c r="BN109" i="1" s="1"/>
  <c r="BL109" i="1"/>
  <c r="BL110" i="1" s="1"/>
  <c r="BK109" i="1"/>
  <c r="BK110" i="1" s="1"/>
  <c r="BJ109" i="1"/>
  <c r="BJ110" i="1" s="1"/>
  <c r="BH109" i="1"/>
  <c r="BG109" i="1"/>
  <c r="BG110" i="1" s="1"/>
  <c r="BF109" i="1"/>
  <c r="BF110" i="1" s="1"/>
  <c r="BE109" i="1"/>
  <c r="BE110" i="1" s="1"/>
  <c r="BC109" i="1"/>
  <c r="BB109" i="1"/>
  <c r="BB110" i="1" s="1"/>
  <c r="BA109" i="1"/>
  <c r="BA110" i="1" s="1"/>
  <c r="AZ109" i="1"/>
  <c r="AZ110" i="1" s="1"/>
  <c r="AX109" i="1"/>
  <c r="AX110" i="1" s="1"/>
  <c r="AW109" i="1"/>
  <c r="AW110" i="1" s="1"/>
  <c r="AV109" i="1"/>
  <c r="AV110" i="1" s="1"/>
  <c r="AU109" i="1"/>
  <c r="AU110" i="1" s="1"/>
  <c r="AS109" i="1"/>
  <c r="AS110" i="1" s="1"/>
  <c r="AR109" i="1"/>
  <c r="AR110" i="1" s="1"/>
  <c r="AQ109" i="1"/>
  <c r="AQ110" i="1" s="1"/>
  <c r="AP109" i="1"/>
  <c r="AP110" i="1" s="1"/>
  <c r="AN109" i="1"/>
  <c r="AN110" i="1" s="1"/>
  <c r="AM109" i="1"/>
  <c r="AM110" i="1" s="1"/>
  <c r="AL109" i="1"/>
  <c r="AL110" i="1" s="1"/>
  <c r="AK109" i="1"/>
  <c r="AK110" i="1" s="1"/>
  <c r="AI109" i="1"/>
  <c r="AH109" i="1"/>
  <c r="AH110" i="1" s="1"/>
  <c r="AG109" i="1"/>
  <c r="AG110" i="1" s="1"/>
  <c r="AF109" i="1"/>
  <c r="AF110" i="1" s="1"/>
  <c r="AD109" i="1"/>
  <c r="AC109" i="1"/>
  <c r="AC110" i="1" s="1"/>
  <c r="AB109" i="1"/>
  <c r="AB110" i="1" s="1"/>
  <c r="AA109" i="1"/>
  <c r="AA110" i="1" s="1"/>
  <c r="Y109" i="1"/>
  <c r="X109" i="1"/>
  <c r="X110" i="1" s="1"/>
  <c r="W109" i="1"/>
  <c r="W110" i="1" s="1"/>
  <c r="V109" i="1"/>
  <c r="V110" i="1" s="1"/>
  <c r="T109" i="1"/>
  <c r="S109" i="1"/>
  <c r="S110" i="1" s="1"/>
  <c r="R109" i="1"/>
  <c r="R110" i="1" s="1"/>
  <c r="Q109" i="1"/>
  <c r="Q110" i="1" s="1"/>
  <c r="O109" i="1"/>
  <c r="N109" i="1"/>
  <c r="N110" i="1" s="1"/>
  <c r="M109" i="1"/>
  <c r="M110" i="1" s="1"/>
  <c r="L109" i="1"/>
  <c r="L110" i="1" s="1"/>
  <c r="J109" i="1"/>
  <c r="K109" i="1" s="1"/>
  <c r="I109" i="1"/>
  <c r="I110" i="1" s="1"/>
  <c r="H109" i="1"/>
  <c r="H110" i="1" s="1"/>
  <c r="G109" i="1"/>
  <c r="G110" i="1" s="1"/>
  <c r="E109" i="1"/>
  <c r="F109" i="1" s="1"/>
  <c r="D109" i="1"/>
  <c r="D110" i="1" s="1"/>
  <c r="C109" i="1"/>
  <c r="C110" i="1" s="1"/>
  <c r="B109" i="1"/>
  <c r="B110" i="1" s="1"/>
  <c r="DB108" i="1"/>
  <c r="CW108" i="1"/>
  <c r="CR108" i="1"/>
  <c r="CM108" i="1"/>
  <c r="CH108" i="1"/>
  <c r="CC108" i="1"/>
  <c r="BX108" i="1"/>
  <c r="BS108" i="1"/>
  <c r="BN108" i="1"/>
  <c r="BI108" i="1"/>
  <c r="BD108" i="1"/>
  <c r="AY108" i="1"/>
  <c r="AT108" i="1"/>
  <c r="AO108" i="1"/>
  <c r="AJ108" i="1"/>
  <c r="AE108" i="1"/>
  <c r="Z108" i="1"/>
  <c r="U108" i="1"/>
  <c r="P108" i="1"/>
  <c r="K108" i="1"/>
  <c r="F108" i="1"/>
  <c r="DB107" i="1"/>
  <c r="CW107" i="1"/>
  <c r="CW33" i="9" s="1"/>
  <c r="CR107" i="1"/>
  <c r="CM107" i="1"/>
  <c r="CH107" i="1"/>
  <c r="CH33" i="9" s="1"/>
  <c r="CC107" i="1"/>
  <c r="BX107" i="1"/>
  <c r="BX33" i="9" s="1"/>
  <c r="BS107" i="1"/>
  <c r="BN107" i="1"/>
  <c r="BN33" i="9" s="1"/>
  <c r="BI107" i="1"/>
  <c r="BI33" i="9" s="1"/>
  <c r="BD107" i="1"/>
  <c r="BD33" i="9" s="1"/>
  <c r="AY107" i="1"/>
  <c r="AT107" i="1"/>
  <c r="AO107" i="1"/>
  <c r="AJ107" i="1"/>
  <c r="AE107" i="1"/>
  <c r="AF111" i="1" s="1"/>
  <c r="Z107" i="1"/>
  <c r="Z33" i="9" s="1"/>
  <c r="U107" i="1"/>
  <c r="U33" i="9" s="1"/>
  <c r="P107" i="1"/>
  <c r="P33" i="9" s="1"/>
  <c r="K107" i="1"/>
  <c r="K33" i="9" s="1"/>
  <c r="F107" i="1"/>
  <c r="F33" i="9" s="1"/>
  <c r="DD103" i="1"/>
  <c r="DC103" i="1"/>
  <c r="DA103" i="1"/>
  <c r="CZ103" i="1"/>
  <c r="CY103" i="1"/>
  <c r="CX103" i="1"/>
  <c r="CV103" i="1"/>
  <c r="CU103" i="1"/>
  <c r="CT103" i="1"/>
  <c r="CS103" i="1"/>
  <c r="CQ103" i="1"/>
  <c r="CP103" i="1"/>
  <c r="CO103" i="1"/>
  <c r="CN103" i="1"/>
  <c r="CL103" i="1"/>
  <c r="CK103" i="1"/>
  <c r="CJ103" i="1"/>
  <c r="CI103" i="1"/>
  <c r="CG103" i="1"/>
  <c r="CF103" i="1"/>
  <c r="CE103" i="1"/>
  <c r="CD103" i="1"/>
  <c r="CA103" i="1"/>
  <c r="BZ103" i="1"/>
  <c r="BY103" i="1"/>
  <c r="BV103" i="1"/>
  <c r="BU103" i="1"/>
  <c r="BT103" i="1"/>
  <c r="BQ103" i="1"/>
  <c r="BP103" i="1"/>
  <c r="BO103" i="1"/>
  <c r="BM103" i="1"/>
  <c r="BL103" i="1"/>
  <c r="BK103" i="1"/>
  <c r="BJ103" i="1"/>
  <c r="BH103" i="1"/>
  <c r="BG103" i="1"/>
  <c r="BF103" i="1"/>
  <c r="BE103" i="1"/>
  <c r="BC103" i="1"/>
  <c r="BB103" i="1"/>
  <c r="BA103" i="1"/>
  <c r="AZ103" i="1"/>
  <c r="AX103" i="1"/>
  <c r="AW103" i="1"/>
  <c r="AV103" i="1"/>
  <c r="AU103" i="1"/>
  <c r="AS103" i="1"/>
  <c r="AR103" i="1"/>
  <c r="AQ103" i="1"/>
  <c r="AP103" i="1"/>
  <c r="AN103" i="1"/>
  <c r="AM103" i="1"/>
  <c r="AL103" i="1"/>
  <c r="AK103" i="1"/>
  <c r="AI103" i="1"/>
  <c r="AH103" i="1"/>
  <c r="AG103" i="1"/>
  <c r="AF103" i="1"/>
  <c r="AD103" i="1"/>
  <c r="AC103" i="1"/>
  <c r="AB103" i="1"/>
  <c r="AA103" i="1"/>
  <c r="Y103" i="1"/>
  <c r="X103" i="1"/>
  <c r="W103" i="1"/>
  <c r="V103" i="1"/>
  <c r="T103" i="1"/>
  <c r="S103" i="1"/>
  <c r="R103" i="1"/>
  <c r="Q103" i="1"/>
  <c r="O103" i="1"/>
  <c r="N103" i="1"/>
  <c r="M103" i="1"/>
  <c r="L103" i="1"/>
  <c r="J103" i="1"/>
  <c r="I103" i="1"/>
  <c r="H103" i="1"/>
  <c r="G103" i="1"/>
  <c r="E103" i="1"/>
  <c r="D103" i="1"/>
  <c r="C103" i="1"/>
  <c r="B103" i="1"/>
  <c r="DD100" i="1"/>
  <c r="DC100" i="1"/>
  <c r="DA100" i="1"/>
  <c r="CZ100" i="1"/>
  <c r="CY100" i="1"/>
  <c r="CX100" i="1"/>
  <c r="CV100" i="1"/>
  <c r="CU100" i="1"/>
  <c r="CT100" i="1"/>
  <c r="CS100" i="1"/>
  <c r="CQ100" i="1"/>
  <c r="CP100" i="1"/>
  <c r="CO100" i="1"/>
  <c r="CN100" i="1"/>
  <c r="CL100" i="1"/>
  <c r="CK100" i="1"/>
  <c r="CJ100" i="1"/>
  <c r="CI100" i="1"/>
  <c r="CG100" i="1"/>
  <c r="CF100" i="1"/>
  <c r="CE100" i="1"/>
  <c r="CD100" i="1"/>
  <c r="CA100" i="1"/>
  <c r="BZ100" i="1"/>
  <c r="BY100" i="1"/>
  <c r="BV100" i="1"/>
  <c r="BU100" i="1"/>
  <c r="BT100" i="1"/>
  <c r="BQ100" i="1"/>
  <c r="BP100" i="1"/>
  <c r="BO100" i="1"/>
  <c r="BL100" i="1"/>
  <c r="BK100" i="1"/>
  <c r="BJ100" i="1"/>
  <c r="BG100" i="1"/>
  <c r="BF100" i="1"/>
  <c r="BE100" i="1"/>
  <c r="BB100" i="1"/>
  <c r="BA100" i="1"/>
  <c r="AZ100" i="1"/>
  <c r="AW100" i="1"/>
  <c r="AV100" i="1"/>
  <c r="AU100" i="1"/>
  <c r="AR100" i="1"/>
  <c r="AQ100" i="1"/>
  <c r="AP100" i="1"/>
  <c r="AM100" i="1"/>
  <c r="AL100" i="1"/>
  <c r="AK100" i="1"/>
  <c r="AH100" i="1"/>
  <c r="AG100" i="1"/>
  <c r="AF100" i="1"/>
  <c r="AD100" i="1"/>
  <c r="AC100" i="1"/>
  <c r="AB100" i="1"/>
  <c r="AA100" i="1"/>
  <c r="Y100" i="1"/>
  <c r="X100" i="1"/>
  <c r="W100" i="1"/>
  <c r="V100" i="1"/>
  <c r="T100" i="1"/>
  <c r="S100" i="1"/>
  <c r="R100" i="1"/>
  <c r="Q100" i="1"/>
  <c r="O100" i="1"/>
  <c r="N100" i="1"/>
  <c r="M100" i="1"/>
  <c r="L100" i="1"/>
  <c r="J100" i="1"/>
  <c r="I100" i="1"/>
  <c r="H100" i="1"/>
  <c r="G100" i="1"/>
  <c r="E100" i="1"/>
  <c r="D100" i="1"/>
  <c r="C100" i="1"/>
  <c r="B100" i="1"/>
  <c r="DD97" i="1"/>
  <c r="DC97" i="1"/>
  <c r="DA97" i="1"/>
  <c r="CZ97" i="1"/>
  <c r="CY97" i="1"/>
  <c r="CX97" i="1"/>
  <c r="CV97" i="1"/>
  <c r="CU97" i="1"/>
  <c r="CT97" i="1"/>
  <c r="CS97" i="1"/>
  <c r="CQ97" i="1"/>
  <c r="CP97" i="1"/>
  <c r="CO97" i="1"/>
  <c r="CN97" i="1"/>
  <c r="CL97" i="1"/>
  <c r="CK97" i="1"/>
  <c r="CJ97" i="1"/>
  <c r="CI97" i="1"/>
  <c r="CG97" i="1"/>
  <c r="CF97" i="1"/>
  <c r="CE97" i="1"/>
  <c r="CD97" i="1"/>
  <c r="CB97" i="1"/>
  <c r="CA97" i="1"/>
  <c r="BZ97" i="1"/>
  <c r="BY97" i="1"/>
  <c r="BV97" i="1"/>
  <c r="BU97" i="1"/>
  <c r="BT97" i="1"/>
  <c r="BQ97" i="1"/>
  <c r="BP97" i="1"/>
  <c r="BO97" i="1"/>
  <c r="BM97" i="1"/>
  <c r="BL97" i="1"/>
  <c r="BK97" i="1"/>
  <c r="BJ97" i="1"/>
  <c r="BH97" i="1"/>
  <c r="BG97" i="1"/>
  <c r="BF97" i="1"/>
  <c r="BE97" i="1"/>
  <c r="BC97" i="1"/>
  <c r="BB97" i="1"/>
  <c r="BA97" i="1"/>
  <c r="AZ97" i="1"/>
  <c r="AX97" i="1"/>
  <c r="AW97" i="1"/>
  <c r="AV97" i="1"/>
  <c r="AU97" i="1"/>
  <c r="AS97" i="1"/>
  <c r="AR97" i="1"/>
  <c r="AQ97" i="1"/>
  <c r="AP97" i="1"/>
  <c r="AN97" i="1"/>
  <c r="AM97" i="1"/>
  <c r="AL97" i="1"/>
  <c r="AK97" i="1"/>
  <c r="AI97" i="1"/>
  <c r="AH97" i="1"/>
  <c r="AG97" i="1"/>
  <c r="AF97" i="1"/>
  <c r="AD97" i="1"/>
  <c r="AC97" i="1"/>
  <c r="AB97" i="1"/>
  <c r="AA97" i="1"/>
  <c r="Y97" i="1"/>
  <c r="X97" i="1"/>
  <c r="W97" i="1"/>
  <c r="V97" i="1"/>
  <c r="T97" i="1"/>
  <c r="S97" i="1"/>
  <c r="R97" i="1"/>
  <c r="Q97" i="1"/>
  <c r="O97" i="1"/>
  <c r="N97" i="1"/>
  <c r="M97" i="1"/>
  <c r="L97" i="1"/>
  <c r="J97" i="1"/>
  <c r="I97" i="1"/>
  <c r="H97" i="1"/>
  <c r="G97" i="1"/>
  <c r="E97" i="1"/>
  <c r="D97" i="1"/>
  <c r="C97" i="1"/>
  <c r="B97" i="1"/>
  <c r="ED94" i="1"/>
  <c r="EF94" i="1" s="1"/>
  <c r="DY94" i="1"/>
  <c r="EA94" i="1" s="1"/>
  <c r="DT94" i="1"/>
  <c r="DV94" i="1" s="1"/>
  <c r="DO94" i="1"/>
  <c r="DQ94" i="1" s="1"/>
  <c r="DJ94" i="1"/>
  <c r="DL94" i="1" s="1"/>
  <c r="DG94" i="1"/>
  <c r="DB94" i="1"/>
  <c r="CW94" i="1"/>
  <c r="CR94" i="1"/>
  <c r="CM94" i="1"/>
  <c r="CH94" i="1"/>
  <c r="CC94" i="1"/>
  <c r="BX94" i="1"/>
  <c r="BS94" i="1"/>
  <c r="BN94" i="1"/>
  <c r="BI94" i="1"/>
  <c r="BD94" i="1"/>
  <c r="AY94" i="1"/>
  <c r="AT94" i="1"/>
  <c r="AO94" i="1"/>
  <c r="AJ94" i="1"/>
  <c r="BV92" i="1"/>
  <c r="BU92" i="1"/>
  <c r="BU95" i="1" s="1"/>
  <c r="BT92" i="1"/>
  <c r="BQ92" i="1"/>
  <c r="BP92" i="1"/>
  <c r="BP95" i="1" s="1"/>
  <c r="BO92" i="1"/>
  <c r="BL92" i="1"/>
  <c r="BL95" i="1" s="1"/>
  <c r="BK92" i="1"/>
  <c r="BK95" i="1" s="1"/>
  <c r="BJ92" i="1"/>
  <c r="BG92" i="1"/>
  <c r="BG95" i="1" s="1"/>
  <c r="BF92" i="1"/>
  <c r="BE92" i="1"/>
  <c r="BB92" i="1"/>
  <c r="BA92" i="1"/>
  <c r="BA95" i="1" s="1"/>
  <c r="AZ92" i="1"/>
  <c r="AX92" i="1"/>
  <c r="AW92" i="1"/>
  <c r="AW95" i="1" s="1"/>
  <c r="AV92" i="1"/>
  <c r="AV95" i="1" s="1"/>
  <c r="AU92" i="1"/>
  <c r="AS92" i="1"/>
  <c r="AS95" i="1" s="1"/>
  <c r="AR92" i="1"/>
  <c r="AR95" i="1" s="1"/>
  <c r="AQ92" i="1"/>
  <c r="AP92" i="1"/>
  <c r="AN92" i="1"/>
  <c r="AN95" i="1" s="1"/>
  <c r="AM92" i="1"/>
  <c r="AL92" i="1"/>
  <c r="AL95" i="1" s="1"/>
  <c r="AK92" i="1"/>
  <c r="AI92" i="1"/>
  <c r="AH92" i="1"/>
  <c r="AH95" i="1" s="1"/>
  <c r="AG92" i="1"/>
  <c r="AG95" i="1" s="1"/>
  <c r="AF92" i="1"/>
  <c r="DD91" i="1"/>
  <c r="DE93" i="1" s="1"/>
  <c r="CZ91" i="1"/>
  <c r="CY91" i="1"/>
  <c r="CU91" i="1"/>
  <c r="CT91" i="1"/>
  <c r="CP91" i="1"/>
  <c r="CO91" i="1"/>
  <c r="CK91" i="1"/>
  <c r="CJ91" i="1"/>
  <c r="CF91" i="1"/>
  <c r="CE91" i="1"/>
  <c r="CA91" i="1"/>
  <c r="BZ91" i="1"/>
  <c r="BV91" i="1"/>
  <c r="BU91" i="1"/>
  <c r="BQ91" i="1"/>
  <c r="BP91" i="1"/>
  <c r="BL91" i="1"/>
  <c r="BK91" i="1"/>
  <c r="BG91" i="1"/>
  <c r="BF91" i="1"/>
  <c r="BB91" i="1"/>
  <c r="BA91" i="1"/>
  <c r="AW91" i="1"/>
  <c r="AV91" i="1"/>
  <c r="AR91" i="1"/>
  <c r="AQ91" i="1"/>
  <c r="AM91" i="1"/>
  <c r="AL91" i="1"/>
  <c r="AH91" i="1"/>
  <c r="AG91" i="1"/>
  <c r="AD91" i="1"/>
  <c r="AC91" i="1"/>
  <c r="AB91" i="1"/>
  <c r="AA91" i="1"/>
  <c r="Y91" i="1"/>
  <c r="X91" i="1"/>
  <c r="W91" i="1"/>
  <c r="V91" i="1"/>
  <c r="T91" i="1"/>
  <c r="S91" i="1"/>
  <c r="R91" i="1"/>
  <c r="Q91" i="1"/>
  <c r="O91" i="1"/>
  <c r="N91" i="1"/>
  <c r="M91" i="1"/>
  <c r="L91" i="1"/>
  <c r="J91" i="1"/>
  <c r="I91" i="1"/>
  <c r="H91" i="1"/>
  <c r="G91" i="1"/>
  <c r="E91" i="1"/>
  <c r="D91" i="1"/>
  <c r="C91" i="1"/>
  <c r="B91" i="1"/>
  <c r="DK89" i="1"/>
  <c r="DN89" i="1" s="1"/>
  <c r="DO89" i="1" s="1"/>
  <c r="DP89" i="1" s="1"/>
  <c r="DR89" i="1" s="1"/>
  <c r="DS89" i="1" s="1"/>
  <c r="DT89" i="1" s="1"/>
  <c r="DU89" i="1" s="1"/>
  <c r="DW89" i="1" s="1"/>
  <c r="DX89" i="1" s="1"/>
  <c r="DY89" i="1" s="1"/>
  <c r="DZ89" i="1" s="1"/>
  <c r="EB89" i="1" s="1"/>
  <c r="EC89" i="1" s="1"/>
  <c r="ED89" i="1" s="1"/>
  <c r="EE89" i="1" s="1"/>
  <c r="CA88" i="1"/>
  <c r="BZ88" i="1"/>
  <c r="BY88" i="1"/>
  <c r="BV88" i="1"/>
  <c r="BU88" i="1"/>
  <c r="BT88" i="1"/>
  <c r="BQ88" i="1"/>
  <c r="BP88" i="1"/>
  <c r="BO88" i="1"/>
  <c r="BL88" i="1"/>
  <c r="BK88" i="1"/>
  <c r="BJ88" i="1"/>
  <c r="BG88" i="1"/>
  <c r="BF88" i="1"/>
  <c r="BE88" i="1"/>
  <c r="BB88" i="1"/>
  <c r="BA88" i="1"/>
  <c r="AZ88" i="1"/>
  <c r="AW88" i="1"/>
  <c r="AV88" i="1"/>
  <c r="AU88" i="1"/>
  <c r="AR88" i="1"/>
  <c r="AQ88" i="1"/>
  <c r="AP88" i="1"/>
  <c r="AM88" i="1"/>
  <c r="AL88" i="1"/>
  <c r="AK88" i="1"/>
  <c r="AH88" i="1"/>
  <c r="AG88" i="1"/>
  <c r="AF88" i="1"/>
  <c r="AD88" i="1"/>
  <c r="AC88" i="1"/>
  <c r="AB88" i="1"/>
  <c r="AA88" i="1"/>
  <c r="Y88" i="1"/>
  <c r="X88" i="1"/>
  <c r="W88" i="1"/>
  <c r="V88" i="1"/>
  <c r="T88" i="1"/>
  <c r="S88" i="1"/>
  <c r="R88" i="1"/>
  <c r="Q88" i="1"/>
  <c r="O88" i="1"/>
  <c r="N88" i="1"/>
  <c r="M88" i="1"/>
  <c r="L88" i="1"/>
  <c r="J88" i="1"/>
  <c r="I88" i="1"/>
  <c r="H88" i="1"/>
  <c r="G88" i="1"/>
  <c r="E88" i="1"/>
  <c r="D88" i="1"/>
  <c r="C88" i="1"/>
  <c r="B88" i="1"/>
  <c r="CA87" i="1"/>
  <c r="BZ87" i="1"/>
  <c r="BY87" i="1"/>
  <c r="BV87" i="1"/>
  <c r="BU87" i="1"/>
  <c r="BT87" i="1"/>
  <c r="BQ87" i="1"/>
  <c r="BP87" i="1"/>
  <c r="BO87" i="1"/>
  <c r="BL87" i="1"/>
  <c r="BK87" i="1"/>
  <c r="BJ87" i="1"/>
  <c r="BG87" i="1"/>
  <c r="BF87" i="1"/>
  <c r="BE87" i="1"/>
  <c r="BB87" i="1"/>
  <c r="BA87" i="1"/>
  <c r="AZ87" i="1"/>
  <c r="AW87" i="1"/>
  <c r="AV87" i="1"/>
  <c r="AU87" i="1"/>
  <c r="AR87" i="1"/>
  <c r="AQ87" i="1"/>
  <c r="AP87" i="1"/>
  <c r="AM87" i="1"/>
  <c r="AL87" i="1"/>
  <c r="AK87" i="1"/>
  <c r="AH87" i="1"/>
  <c r="AG87" i="1"/>
  <c r="AF87" i="1"/>
  <c r="AD87" i="1"/>
  <c r="AC87" i="1"/>
  <c r="AB87" i="1"/>
  <c r="AA87" i="1"/>
  <c r="Y87" i="1"/>
  <c r="X87" i="1"/>
  <c r="W87" i="1"/>
  <c r="V87" i="1"/>
  <c r="T87" i="1"/>
  <c r="S87" i="1"/>
  <c r="R87" i="1"/>
  <c r="Q87" i="1"/>
  <c r="O87" i="1"/>
  <c r="N87" i="1"/>
  <c r="M87" i="1"/>
  <c r="L87" i="1"/>
  <c r="J87" i="1"/>
  <c r="I87" i="1"/>
  <c r="H87" i="1"/>
  <c r="G87" i="1"/>
  <c r="E87" i="1"/>
  <c r="D87" i="1"/>
  <c r="C87" i="1"/>
  <c r="B87" i="1"/>
  <c r="DD84" i="1"/>
  <c r="DA84" i="1"/>
  <c r="CY84" i="1"/>
  <c r="CV84" i="1"/>
  <c r="CT84" i="1"/>
  <c r="CQ84" i="1"/>
  <c r="CO84" i="1"/>
  <c r="CL84" i="1"/>
  <c r="CJ84" i="1"/>
  <c r="BF84" i="1"/>
  <c r="BC84" i="1"/>
  <c r="BA84" i="1"/>
  <c r="AX84" i="1"/>
  <c r="AV84" i="1"/>
  <c r="AS84" i="1"/>
  <c r="AQ84" i="1"/>
  <c r="AN84" i="1"/>
  <c r="AL84" i="1"/>
  <c r="AI84" i="1"/>
  <c r="AG84" i="1"/>
  <c r="AD84" i="1"/>
  <c r="AC84" i="1"/>
  <c r="AB84" i="1"/>
  <c r="AA84" i="1"/>
  <c r="Y84" i="1"/>
  <c r="X84" i="1"/>
  <c r="W84" i="1"/>
  <c r="V84" i="1"/>
  <c r="T84" i="1"/>
  <c r="S84" i="1"/>
  <c r="R84" i="1"/>
  <c r="Q84" i="1"/>
  <c r="O84" i="1"/>
  <c r="N84" i="1"/>
  <c r="M84" i="1"/>
  <c r="L84" i="1"/>
  <c r="J84" i="1"/>
  <c r="I84" i="1"/>
  <c r="H84" i="1"/>
  <c r="G84" i="1"/>
  <c r="F84" i="1"/>
  <c r="E84" i="1"/>
  <c r="D84" i="1"/>
  <c r="C84" i="1"/>
  <c r="B84" i="1"/>
  <c r="DD83" i="1"/>
  <c r="DC83" i="1"/>
  <c r="DA83" i="1"/>
  <c r="CZ83" i="1"/>
  <c r="CY83" i="1"/>
  <c r="CX83" i="1"/>
  <c r="CV83" i="1"/>
  <c r="CU83" i="1"/>
  <c r="CT83" i="1"/>
  <c r="CS83" i="1"/>
  <c r="CQ83" i="1"/>
  <c r="CP83" i="1"/>
  <c r="CO83" i="1"/>
  <c r="CN83" i="1"/>
  <c r="CL83" i="1"/>
  <c r="CK83" i="1"/>
  <c r="CJ83" i="1"/>
  <c r="CI83" i="1"/>
  <c r="CG83" i="1"/>
  <c r="CE83" i="1"/>
  <c r="CD83" i="1"/>
  <c r="CA83" i="1"/>
  <c r="BZ83" i="1"/>
  <c r="BY83" i="1"/>
  <c r="BV83" i="1"/>
  <c r="BU83" i="1"/>
  <c r="BT83" i="1"/>
  <c r="BQ83" i="1"/>
  <c r="BP83" i="1"/>
  <c r="BO83" i="1"/>
  <c r="BL83" i="1"/>
  <c r="BK83" i="1"/>
  <c r="BJ83" i="1"/>
  <c r="BG83" i="1"/>
  <c r="BF83" i="1"/>
  <c r="BE83" i="1"/>
  <c r="BB83" i="1"/>
  <c r="BA83" i="1"/>
  <c r="AZ83" i="1"/>
  <c r="AW83" i="1"/>
  <c r="AV83" i="1"/>
  <c r="AU83" i="1"/>
  <c r="AR83" i="1"/>
  <c r="AQ83" i="1"/>
  <c r="AP83" i="1"/>
  <c r="AM83" i="1"/>
  <c r="AL83" i="1"/>
  <c r="AK83" i="1"/>
  <c r="AH83" i="1"/>
  <c r="AG83" i="1"/>
  <c r="AF83" i="1"/>
  <c r="AD83" i="1"/>
  <c r="AC83" i="1"/>
  <c r="AB83" i="1"/>
  <c r="AA83" i="1"/>
  <c r="Y83" i="1"/>
  <c r="X83" i="1"/>
  <c r="W83" i="1"/>
  <c r="V83" i="1"/>
  <c r="T83" i="1"/>
  <c r="S83" i="1"/>
  <c r="R83" i="1"/>
  <c r="Q83" i="1"/>
  <c r="O83" i="1"/>
  <c r="N83" i="1"/>
  <c r="M83" i="1"/>
  <c r="L83" i="1"/>
  <c r="J83" i="1"/>
  <c r="I83" i="1"/>
  <c r="H83" i="1"/>
  <c r="G83" i="1"/>
  <c r="E83" i="1"/>
  <c r="D83" i="1"/>
  <c r="C83" i="1"/>
  <c r="B83" i="1"/>
  <c r="DJ81" i="1"/>
  <c r="DK81" i="1" s="1"/>
  <c r="DM81" i="1" s="1"/>
  <c r="DN81" i="1" s="1"/>
  <c r="DO81" i="1" s="1"/>
  <c r="DP81" i="1" s="1"/>
  <c r="DR81" i="1" s="1"/>
  <c r="DS81" i="1" s="1"/>
  <c r="DT81" i="1" s="1"/>
  <c r="DU81" i="1" s="1"/>
  <c r="DW81" i="1" s="1"/>
  <c r="DX81" i="1" s="1"/>
  <c r="DY81" i="1" s="1"/>
  <c r="DZ81" i="1" s="1"/>
  <c r="EB81" i="1" s="1"/>
  <c r="EC81" i="1" s="1"/>
  <c r="ED81" i="1" s="1"/>
  <c r="EE81" i="1" s="1"/>
  <c r="DD79" i="1"/>
  <c r="DC79" i="1"/>
  <c r="DA79" i="1"/>
  <c r="CZ79" i="1"/>
  <c r="CY79" i="1"/>
  <c r="CX79" i="1"/>
  <c r="CV79" i="1"/>
  <c r="CU79" i="1"/>
  <c r="CT79" i="1"/>
  <c r="CS79" i="1"/>
  <c r="CQ79" i="1"/>
  <c r="CP79" i="1"/>
  <c r="CO79" i="1"/>
  <c r="CN79" i="1"/>
  <c r="CL79" i="1"/>
  <c r="CK79" i="1"/>
  <c r="CJ79" i="1"/>
  <c r="CI79" i="1"/>
  <c r="CG79" i="1"/>
  <c r="CE79" i="1"/>
  <c r="CD79" i="1"/>
  <c r="CA79" i="1"/>
  <c r="BZ79" i="1"/>
  <c r="BY79" i="1"/>
  <c r="BV79" i="1"/>
  <c r="BU79" i="1"/>
  <c r="BT79" i="1"/>
  <c r="BQ79" i="1"/>
  <c r="BP79" i="1"/>
  <c r="BO79" i="1"/>
  <c r="BM79" i="1"/>
  <c r="BL79" i="1"/>
  <c r="BK79" i="1"/>
  <c r="BJ79" i="1"/>
  <c r="BG79" i="1"/>
  <c r="BF79" i="1"/>
  <c r="BE79" i="1"/>
  <c r="BC79" i="1"/>
  <c r="BB79" i="1"/>
  <c r="BA79" i="1"/>
  <c r="AZ79" i="1"/>
  <c r="AX79" i="1"/>
  <c r="AW79" i="1"/>
  <c r="AV79" i="1"/>
  <c r="AU79" i="1"/>
  <c r="AS79" i="1"/>
  <c r="AR79" i="1"/>
  <c r="AQ79" i="1"/>
  <c r="AP79" i="1"/>
  <c r="AN79" i="1"/>
  <c r="AM79" i="1"/>
  <c r="AL79" i="1"/>
  <c r="AK79" i="1"/>
  <c r="AI79" i="1"/>
  <c r="AH79" i="1"/>
  <c r="AG79" i="1"/>
  <c r="AF79" i="1"/>
  <c r="AD79" i="1"/>
  <c r="AC79" i="1"/>
  <c r="AB79" i="1"/>
  <c r="AA79" i="1"/>
  <c r="Y79" i="1"/>
  <c r="X79" i="1"/>
  <c r="W79" i="1"/>
  <c r="V79" i="1"/>
  <c r="T79" i="1"/>
  <c r="S79" i="1"/>
  <c r="R79" i="1"/>
  <c r="Q79" i="1"/>
  <c r="O79" i="1"/>
  <c r="N79" i="1"/>
  <c r="M79" i="1"/>
  <c r="L79" i="1"/>
  <c r="J79" i="1"/>
  <c r="I79" i="1"/>
  <c r="H79" i="1"/>
  <c r="G79" i="1"/>
  <c r="E79" i="1"/>
  <c r="D79" i="1"/>
  <c r="C79" i="1"/>
  <c r="B79" i="1"/>
  <c r="DD77" i="1"/>
  <c r="DC77" i="1"/>
  <c r="DA77" i="1"/>
  <c r="DB77" i="1" s="1"/>
  <c r="CZ77" i="1"/>
  <c r="CY77" i="1"/>
  <c r="CX77" i="1"/>
  <c r="CV77" i="1"/>
  <c r="CW77" i="1" s="1"/>
  <c r="CU77" i="1"/>
  <c r="CT77" i="1"/>
  <c r="CS77" i="1"/>
  <c r="CQ77" i="1"/>
  <c r="CR77" i="1" s="1"/>
  <c r="CP77" i="1"/>
  <c r="CO77" i="1"/>
  <c r="CN77" i="1"/>
  <c r="CL77" i="1"/>
  <c r="CM77" i="1" s="1"/>
  <c r="CK77" i="1"/>
  <c r="CJ77" i="1"/>
  <c r="CI77" i="1"/>
  <c r="CG77" i="1"/>
  <c r="CH77" i="1" s="1"/>
  <c r="CF77" i="1"/>
  <c r="CE77" i="1"/>
  <c r="CD77" i="1"/>
  <c r="CB77" i="1"/>
  <c r="CC77" i="1" s="1"/>
  <c r="CA77" i="1"/>
  <c r="BZ77" i="1"/>
  <c r="BY77" i="1"/>
  <c r="BW77" i="1"/>
  <c r="BX77" i="1" s="1"/>
  <c r="BV77" i="1"/>
  <c r="BU77" i="1"/>
  <c r="BT77" i="1"/>
  <c r="BR77" i="1"/>
  <c r="BS77" i="1" s="1"/>
  <c r="BQ77" i="1"/>
  <c r="BP77" i="1"/>
  <c r="BO77" i="1"/>
  <c r="BM77" i="1"/>
  <c r="BN77" i="1" s="1"/>
  <c r="BL77" i="1"/>
  <c r="BK77" i="1"/>
  <c r="BJ77" i="1"/>
  <c r="BH77" i="1"/>
  <c r="BI77" i="1" s="1"/>
  <c r="BG77" i="1"/>
  <c r="BF77" i="1"/>
  <c r="BE77" i="1"/>
  <c r="BC77" i="1"/>
  <c r="BD77" i="1" s="1"/>
  <c r="BB77" i="1"/>
  <c r="BA77" i="1"/>
  <c r="AZ77" i="1"/>
  <c r="AX77" i="1"/>
  <c r="AY77" i="1" s="1"/>
  <c r="AW77" i="1"/>
  <c r="AV77" i="1"/>
  <c r="AU77" i="1"/>
  <c r="AS77" i="1"/>
  <c r="AT77" i="1" s="1"/>
  <c r="AR77" i="1"/>
  <c r="AQ77" i="1"/>
  <c r="AP77" i="1"/>
  <c r="AN77" i="1"/>
  <c r="AO77" i="1" s="1"/>
  <c r="AM77" i="1"/>
  <c r="AL77" i="1"/>
  <c r="AK77" i="1"/>
  <c r="AI77" i="1"/>
  <c r="AJ77" i="1" s="1"/>
  <c r="AH77" i="1"/>
  <c r="AG77" i="1"/>
  <c r="AF77" i="1"/>
  <c r="AD77" i="1"/>
  <c r="AC77" i="1"/>
  <c r="AB77" i="1"/>
  <c r="AA77" i="1"/>
  <c r="Y77" i="1"/>
  <c r="X77" i="1"/>
  <c r="W77" i="1"/>
  <c r="V77" i="1"/>
  <c r="T77" i="1"/>
  <c r="S77" i="1"/>
  <c r="R77" i="1"/>
  <c r="Q77" i="1"/>
  <c r="O77" i="1"/>
  <c r="N77" i="1"/>
  <c r="M77" i="1"/>
  <c r="L77" i="1"/>
  <c r="J77" i="1"/>
  <c r="I77" i="1"/>
  <c r="H77" i="1"/>
  <c r="G77" i="1"/>
  <c r="E77" i="1"/>
  <c r="D77" i="1"/>
  <c r="C77" i="1"/>
  <c r="B77" i="1"/>
  <c r="DJ76" i="1"/>
  <c r="DK76" i="1" s="1"/>
  <c r="DM76" i="1" s="1"/>
  <c r="DN76" i="1" s="1"/>
  <c r="DO76" i="1" s="1"/>
  <c r="DP76" i="1" s="1"/>
  <c r="DR76" i="1" s="1"/>
  <c r="DS76" i="1" s="1"/>
  <c r="DT76" i="1" s="1"/>
  <c r="DU76" i="1" s="1"/>
  <c r="DW76" i="1" s="1"/>
  <c r="DX76" i="1" s="1"/>
  <c r="DY76" i="1" s="1"/>
  <c r="DZ76" i="1" s="1"/>
  <c r="EB76" i="1" s="1"/>
  <c r="EC76" i="1" s="1"/>
  <c r="ED76" i="1" s="1"/>
  <c r="EE76" i="1" s="1"/>
  <c r="CA75" i="1"/>
  <c r="CA76" i="1" s="1"/>
  <c r="BZ75" i="1"/>
  <c r="BZ76" i="1" s="1"/>
  <c r="BY75" i="1"/>
  <c r="BY76" i="1" s="1"/>
  <c r="BV75" i="1"/>
  <c r="BV76" i="1" s="1"/>
  <c r="BU75" i="1"/>
  <c r="BU76" i="1" s="1"/>
  <c r="BT75" i="1"/>
  <c r="BT76" i="1" s="1"/>
  <c r="BQ75" i="1"/>
  <c r="BQ76" i="1" s="1"/>
  <c r="BP75" i="1"/>
  <c r="BP76" i="1" s="1"/>
  <c r="BO75" i="1"/>
  <c r="BO76" i="1" s="1"/>
  <c r="BL75" i="1"/>
  <c r="BL76" i="1" s="1"/>
  <c r="BK75" i="1"/>
  <c r="BK76" i="1" s="1"/>
  <c r="BJ75" i="1"/>
  <c r="BJ76" i="1" s="1"/>
  <c r="BG75" i="1"/>
  <c r="BG76" i="1" s="1"/>
  <c r="BF75" i="1"/>
  <c r="BF76" i="1" s="1"/>
  <c r="BE75" i="1"/>
  <c r="BE76" i="1" s="1"/>
  <c r="BB75" i="1"/>
  <c r="BB76" i="1" s="1"/>
  <c r="BA75" i="1"/>
  <c r="BA76" i="1" s="1"/>
  <c r="AZ75" i="1"/>
  <c r="AZ76" i="1" s="1"/>
  <c r="AW75" i="1"/>
  <c r="AW76" i="1" s="1"/>
  <c r="AV75" i="1"/>
  <c r="AV76" i="1" s="1"/>
  <c r="AU75" i="1"/>
  <c r="AU76" i="1" s="1"/>
  <c r="AR75" i="1"/>
  <c r="AR76" i="1" s="1"/>
  <c r="AQ75" i="1"/>
  <c r="AQ76" i="1" s="1"/>
  <c r="AP75" i="1"/>
  <c r="AP76" i="1" s="1"/>
  <c r="AM75" i="1"/>
  <c r="AM76" i="1" s="1"/>
  <c r="AL75" i="1"/>
  <c r="AL76" i="1" s="1"/>
  <c r="AK75" i="1"/>
  <c r="AK76" i="1" s="1"/>
  <c r="AH75" i="1"/>
  <c r="AH76" i="1" s="1"/>
  <c r="AG75" i="1"/>
  <c r="AG76" i="1" s="1"/>
  <c r="AF75" i="1"/>
  <c r="AF76" i="1" s="1"/>
  <c r="AD75" i="1"/>
  <c r="AD76" i="1" s="1"/>
  <c r="AC75" i="1"/>
  <c r="AC76" i="1" s="1"/>
  <c r="AB75" i="1"/>
  <c r="AB76" i="1" s="1"/>
  <c r="AA75" i="1"/>
  <c r="AA76" i="1" s="1"/>
  <c r="Y75" i="1"/>
  <c r="Y76" i="1" s="1"/>
  <c r="X75" i="1"/>
  <c r="X76" i="1" s="1"/>
  <c r="W75" i="1"/>
  <c r="W76" i="1" s="1"/>
  <c r="V75" i="1"/>
  <c r="V76" i="1" s="1"/>
  <c r="T75" i="1"/>
  <c r="T76" i="1" s="1"/>
  <c r="S75" i="1"/>
  <c r="S76" i="1" s="1"/>
  <c r="R75" i="1"/>
  <c r="R76" i="1" s="1"/>
  <c r="Q75" i="1"/>
  <c r="Q76" i="1" s="1"/>
  <c r="O75" i="1"/>
  <c r="O76" i="1" s="1"/>
  <c r="N75" i="1"/>
  <c r="N76" i="1" s="1"/>
  <c r="M75" i="1"/>
  <c r="M76" i="1" s="1"/>
  <c r="L75" i="1"/>
  <c r="L76" i="1" s="1"/>
  <c r="J75" i="1"/>
  <c r="J76" i="1" s="1"/>
  <c r="I75" i="1"/>
  <c r="I76" i="1" s="1"/>
  <c r="H75" i="1"/>
  <c r="H76" i="1" s="1"/>
  <c r="G75" i="1"/>
  <c r="G76" i="1" s="1"/>
  <c r="E75" i="1"/>
  <c r="D75" i="1"/>
  <c r="C75" i="1"/>
  <c r="B75" i="1"/>
  <c r="CA73" i="1"/>
  <c r="BZ73" i="1"/>
  <c r="BY73" i="1"/>
  <c r="BV73" i="1"/>
  <c r="BU73" i="1"/>
  <c r="BT73" i="1"/>
  <c r="BQ73" i="1"/>
  <c r="BP73" i="1"/>
  <c r="BO73" i="1"/>
  <c r="BL73" i="1"/>
  <c r="BK73" i="1"/>
  <c r="BJ73" i="1"/>
  <c r="BG73" i="1"/>
  <c r="BF73" i="1"/>
  <c r="BE73" i="1"/>
  <c r="BB73" i="1"/>
  <c r="BA73" i="1"/>
  <c r="AZ73" i="1"/>
  <c r="AX73" i="1"/>
  <c r="AW73" i="1"/>
  <c r="AV73" i="1"/>
  <c r="AU73" i="1"/>
  <c r="AS73" i="1"/>
  <c r="AT73" i="1" s="1"/>
  <c r="AR73" i="1"/>
  <c r="AQ73" i="1"/>
  <c r="AP73" i="1"/>
  <c r="AN73" i="1"/>
  <c r="AM73" i="1"/>
  <c r="AL73" i="1"/>
  <c r="AK73" i="1"/>
  <c r="AI73" i="1"/>
  <c r="AH73" i="1"/>
  <c r="AG73" i="1"/>
  <c r="AF73" i="1"/>
  <c r="AD73" i="1"/>
  <c r="AC73" i="1"/>
  <c r="AB73" i="1"/>
  <c r="AA73" i="1"/>
  <c r="Y73" i="1"/>
  <c r="X73" i="1"/>
  <c r="W73" i="1"/>
  <c r="V73" i="1"/>
  <c r="T73" i="1"/>
  <c r="S73" i="1"/>
  <c r="R73" i="1"/>
  <c r="Q73" i="1"/>
  <c r="O73" i="1"/>
  <c r="N73" i="1"/>
  <c r="M73" i="1"/>
  <c r="L73" i="1"/>
  <c r="J73" i="1"/>
  <c r="I73" i="1"/>
  <c r="H73" i="1"/>
  <c r="G73" i="1"/>
  <c r="E73" i="1"/>
  <c r="D73" i="1"/>
  <c r="C73" i="1"/>
  <c r="B73" i="1"/>
  <c r="BV70" i="1"/>
  <c r="BU70" i="1"/>
  <c r="BT70" i="1"/>
  <c r="BQ70" i="1"/>
  <c r="BQ80" i="1" s="1"/>
  <c r="BP70" i="1"/>
  <c r="BP80" i="1" s="1"/>
  <c r="BO70" i="1"/>
  <c r="BO80" i="1" s="1"/>
  <c r="BL70" i="1"/>
  <c r="BL80" i="1" s="1"/>
  <c r="BK70" i="1"/>
  <c r="BJ70" i="1"/>
  <c r="BG70" i="1"/>
  <c r="BG80" i="1" s="1"/>
  <c r="BF70" i="1"/>
  <c r="BE70" i="1"/>
  <c r="BE80" i="1" s="1"/>
  <c r="BB70" i="1"/>
  <c r="BB80" i="1" s="1"/>
  <c r="BA70" i="1"/>
  <c r="BA80" i="1" s="1"/>
  <c r="AZ70" i="1"/>
  <c r="AZ80" i="1" s="1"/>
  <c r="AW70" i="1"/>
  <c r="AV70" i="1"/>
  <c r="AU70" i="1"/>
  <c r="AU80" i="1" s="1"/>
  <c r="AR70" i="1"/>
  <c r="AR80" i="1" s="1"/>
  <c r="AQ70" i="1"/>
  <c r="AP70" i="1"/>
  <c r="AM70" i="1"/>
  <c r="AM80" i="1" s="1"/>
  <c r="AL70" i="1"/>
  <c r="AL80" i="1" s="1"/>
  <c r="AK70" i="1"/>
  <c r="AK80" i="1" s="1"/>
  <c r="AH70" i="1"/>
  <c r="AG70" i="1"/>
  <c r="AF70" i="1"/>
  <c r="AF80" i="1" s="1"/>
  <c r="DN67" i="1"/>
  <c r="DO67" i="1" s="1"/>
  <c r="DP67" i="1" s="1"/>
  <c r="DR67" i="1" s="1"/>
  <c r="DS67" i="1" s="1"/>
  <c r="DT67" i="1" s="1"/>
  <c r="DU67" i="1" s="1"/>
  <c r="DW67" i="1" s="1"/>
  <c r="DX67" i="1" s="1"/>
  <c r="DY67" i="1" s="1"/>
  <c r="DZ67" i="1" s="1"/>
  <c r="EB67" i="1" s="1"/>
  <c r="EC67" i="1" s="1"/>
  <c r="ED67" i="1" s="1"/>
  <c r="EE67" i="1" s="1"/>
  <c r="CA66" i="1"/>
  <c r="BZ66" i="1"/>
  <c r="BY66" i="1"/>
  <c r="BV66" i="1"/>
  <c r="BU66" i="1"/>
  <c r="BT66" i="1"/>
  <c r="BQ66" i="1"/>
  <c r="BP66" i="1"/>
  <c r="BO66" i="1"/>
  <c r="BL66" i="1"/>
  <c r="BK66" i="1"/>
  <c r="BJ66" i="1"/>
  <c r="BG66" i="1"/>
  <c r="BF66" i="1"/>
  <c r="BE66" i="1"/>
  <c r="BB66" i="1"/>
  <c r="BA66" i="1"/>
  <c r="AZ66" i="1"/>
  <c r="AW66" i="1"/>
  <c r="AV66" i="1"/>
  <c r="AU66" i="1"/>
  <c r="AR66" i="1"/>
  <c r="AQ66" i="1"/>
  <c r="AP66" i="1"/>
  <c r="AM66" i="1"/>
  <c r="AL66" i="1"/>
  <c r="AK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BB64" i="1"/>
  <c r="AW64" i="1"/>
  <c r="AV64" i="1"/>
  <c r="AU64" i="1"/>
  <c r="AS64" i="1"/>
  <c r="AT64" i="1" s="1"/>
  <c r="AR64" i="1"/>
  <c r="AQ64" i="1"/>
  <c r="AP64" i="1"/>
  <c r="AN64" i="1"/>
  <c r="AO64" i="1" s="1"/>
  <c r="AM64" i="1"/>
  <c r="AL64" i="1"/>
  <c r="AK64" i="1"/>
  <c r="AI64" i="1"/>
  <c r="AJ64" i="1" s="1"/>
  <c r="AH64" i="1"/>
  <c r="AG64" i="1"/>
  <c r="AF64" i="1"/>
  <c r="BV61" i="1"/>
  <c r="BU61" i="1"/>
  <c r="BT61" i="1"/>
  <c r="BQ61" i="1"/>
  <c r="BP61" i="1"/>
  <c r="BO61" i="1"/>
  <c r="BL61" i="1"/>
  <c r="BK61" i="1"/>
  <c r="BJ61" i="1"/>
  <c r="BG61" i="1"/>
  <c r="BF61" i="1"/>
  <c r="BE61" i="1"/>
  <c r="BB61" i="1"/>
  <c r="BA61" i="1"/>
  <c r="AZ61" i="1"/>
  <c r="AW61" i="1"/>
  <c r="AV61" i="1"/>
  <c r="AU61" i="1"/>
  <c r="AR61" i="1"/>
  <c r="AQ61" i="1"/>
  <c r="AP61" i="1"/>
  <c r="AM61" i="1"/>
  <c r="AL61" i="1"/>
  <c r="AK61" i="1"/>
  <c r="AH61" i="1"/>
  <c r="AG61" i="1"/>
  <c r="AF61" i="1"/>
  <c r="AD61" i="1"/>
  <c r="AD65" i="1" s="1"/>
  <c r="AC61" i="1"/>
  <c r="AB61" i="1"/>
  <c r="AA61" i="1"/>
  <c r="Y61" i="1"/>
  <c r="X61" i="1"/>
  <c r="X65" i="1" s="1"/>
  <c r="W61" i="1"/>
  <c r="W65" i="1" s="1"/>
  <c r="V61" i="1"/>
  <c r="V65" i="1" s="1"/>
  <c r="T61" i="1"/>
  <c r="T65" i="1" s="1"/>
  <c r="S61" i="1"/>
  <c r="R61" i="1"/>
  <c r="R65" i="1" s="1"/>
  <c r="Q61" i="1"/>
  <c r="O61" i="1"/>
  <c r="N61" i="1"/>
  <c r="M61" i="1"/>
  <c r="L61" i="1"/>
  <c r="L65" i="1" s="1"/>
  <c r="J61" i="1"/>
  <c r="J65" i="1" s="1"/>
  <c r="I61" i="1"/>
  <c r="H61" i="1"/>
  <c r="H65" i="1" s="1"/>
  <c r="G61" i="1"/>
  <c r="E61" i="1"/>
  <c r="E65" i="1" s="1"/>
  <c r="D61" i="1"/>
  <c r="D65" i="1" s="1"/>
  <c r="C61" i="1"/>
  <c r="C65" i="1" s="1"/>
  <c r="B61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B63" i="1" s="1"/>
  <c r="DA58" i="1"/>
  <c r="DB58" i="1" s="1"/>
  <c r="EH57" i="1"/>
  <c r="CA51" i="1"/>
  <c r="BZ51" i="1"/>
  <c r="BY51" i="1"/>
  <c r="BV51" i="1"/>
  <c r="BU51" i="1"/>
  <c r="BT51" i="1"/>
  <c r="BQ51" i="1"/>
  <c r="BP51" i="1"/>
  <c r="BO51" i="1"/>
  <c r="BL51" i="1"/>
  <c r="BK51" i="1"/>
  <c r="BJ51" i="1"/>
  <c r="BG51" i="1"/>
  <c r="BF51" i="1"/>
  <c r="BE51" i="1"/>
  <c r="BB51" i="1"/>
  <c r="BA51" i="1"/>
  <c r="AZ51" i="1"/>
  <c r="AW51" i="1"/>
  <c r="AV51" i="1"/>
  <c r="AU51" i="1"/>
  <c r="AR51" i="1"/>
  <c r="AQ51" i="1"/>
  <c r="AP51" i="1"/>
  <c r="AM51" i="1"/>
  <c r="AL51" i="1"/>
  <c r="AK51" i="1"/>
  <c r="AH51" i="1"/>
  <c r="AG51" i="1"/>
  <c r="AF51" i="1"/>
  <c r="AD51" i="1"/>
  <c r="AC51" i="1"/>
  <c r="AB51" i="1"/>
  <c r="AA51" i="1"/>
  <c r="Y51" i="1"/>
  <c r="X51" i="1"/>
  <c r="W51" i="1"/>
  <c r="V51" i="1"/>
  <c r="T51" i="1"/>
  <c r="S51" i="1"/>
  <c r="R51" i="1"/>
  <c r="Q51" i="1"/>
  <c r="O51" i="1"/>
  <c r="N51" i="1"/>
  <c r="M51" i="1"/>
  <c r="L51" i="1"/>
  <c r="J51" i="1"/>
  <c r="I51" i="1"/>
  <c r="H51" i="1"/>
  <c r="G51" i="1"/>
  <c r="E51" i="1"/>
  <c r="D51" i="1"/>
  <c r="C51" i="1"/>
  <c r="B51" i="1"/>
  <c r="E50" i="1"/>
  <c r="D50" i="1"/>
  <c r="D27" i="2" s="1"/>
  <c r="C50" i="1"/>
  <c r="C27" i="2" s="1"/>
  <c r="B50" i="1"/>
  <c r="B27" i="2" s="1"/>
  <c r="DB47" i="1"/>
  <c r="CZ47" i="1"/>
  <c r="CW47" i="1"/>
  <c r="CR47" i="1"/>
  <c r="CM47" i="1"/>
  <c r="CH47" i="1"/>
  <c r="CE47" i="1"/>
  <c r="CD47" i="1"/>
  <c r="CC47" i="1"/>
  <c r="BW47" i="1"/>
  <c r="BX47" i="1" s="1"/>
  <c r="BR47" i="1"/>
  <c r="BS47" i="1" s="1"/>
  <c r="BN47" i="1"/>
  <c r="BI47" i="1"/>
  <c r="BD47" i="1"/>
  <c r="AY47" i="1"/>
  <c r="AT47" i="1"/>
  <c r="AO47" i="1"/>
  <c r="AJ47" i="1"/>
  <c r="AE47" i="1"/>
  <c r="Z47" i="1"/>
  <c r="U47" i="1"/>
  <c r="P47" i="1"/>
  <c r="K47" i="1"/>
  <c r="F47" i="1"/>
  <c r="DG46" i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DB46" i="1"/>
  <c r="CW46" i="1"/>
  <c r="CR46" i="1"/>
  <c r="CM46" i="1"/>
  <c r="CH46" i="1"/>
  <c r="CC46" i="1"/>
  <c r="BX46" i="1"/>
  <c r="BS46" i="1"/>
  <c r="BN46" i="1"/>
  <c r="BI46" i="1"/>
  <c r="BD46" i="1"/>
  <c r="AY46" i="1"/>
  <c r="AT46" i="1"/>
  <c r="AO46" i="1"/>
  <c r="AJ46" i="1"/>
  <c r="AE46" i="1"/>
  <c r="Z46" i="1"/>
  <c r="U46" i="1"/>
  <c r="P46" i="1"/>
  <c r="K46" i="1"/>
  <c r="F46" i="1"/>
  <c r="DG45" i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DB45" i="1"/>
  <c r="CW45" i="1"/>
  <c r="CR45" i="1"/>
  <c r="CM45" i="1"/>
  <c r="CH45" i="1"/>
  <c r="CC45" i="1"/>
  <c r="BX45" i="1"/>
  <c r="BS45" i="1"/>
  <c r="BN45" i="1"/>
  <c r="BI45" i="1"/>
  <c r="BD45" i="1"/>
  <c r="AY45" i="1"/>
  <c r="AT45" i="1"/>
  <c r="AO45" i="1"/>
  <c r="AJ45" i="1"/>
  <c r="AE45" i="1"/>
  <c r="Z45" i="1"/>
  <c r="U45" i="1"/>
  <c r="P45" i="1"/>
  <c r="K45" i="1"/>
  <c r="F45" i="1"/>
  <c r="DD44" i="1"/>
  <c r="DC44" i="1"/>
  <c r="DC43" i="1" s="1"/>
  <c r="DC52" i="1" s="1"/>
  <c r="DA44" i="1"/>
  <c r="CZ44" i="1"/>
  <c r="CY44" i="1"/>
  <c r="CY43" i="1" s="1"/>
  <c r="CX44" i="1"/>
  <c r="CX43" i="1" s="1"/>
  <c r="CV44" i="1"/>
  <c r="CU44" i="1"/>
  <c r="CU43" i="1" s="1"/>
  <c r="CU52" i="1" s="1"/>
  <c r="CT44" i="1"/>
  <c r="CT43" i="1" s="1"/>
  <c r="CS44" i="1"/>
  <c r="CS43" i="1" s="1"/>
  <c r="CQ44" i="1"/>
  <c r="CR44" i="1" s="1"/>
  <c r="CP44" i="1"/>
  <c r="CP43" i="1" s="1"/>
  <c r="CO44" i="1"/>
  <c r="CO43" i="1" s="1"/>
  <c r="CN44" i="1"/>
  <c r="CN43" i="1" s="1"/>
  <c r="CL44" i="1"/>
  <c r="CM44" i="1" s="1"/>
  <c r="CK44" i="1"/>
  <c r="CK43" i="1" s="1"/>
  <c r="CJ44" i="1"/>
  <c r="CJ43" i="1" s="1"/>
  <c r="CJ52" i="1" s="1"/>
  <c r="CI44" i="1"/>
  <c r="CI43" i="1" s="1"/>
  <c r="CG44" i="1"/>
  <c r="CG43" i="1" s="1"/>
  <c r="CG57" i="1" s="1"/>
  <c r="CF44" i="1"/>
  <c r="CF43" i="1" s="1"/>
  <c r="CE44" i="1"/>
  <c r="CD44" i="1"/>
  <c r="CB44" i="1"/>
  <c r="BW44" i="1"/>
  <c r="BR44" i="1"/>
  <c r="BS44" i="1" s="1"/>
  <c r="BM44" i="1"/>
  <c r="BH44" i="1"/>
  <c r="BH43" i="1" s="1"/>
  <c r="BC44" i="1"/>
  <c r="AX44" i="1"/>
  <c r="AY44" i="1" s="1"/>
  <c r="AS44" i="1"/>
  <c r="AS43" i="1" s="1"/>
  <c r="AS52" i="1" s="1"/>
  <c r="AN44" i="1"/>
  <c r="AI44" i="1"/>
  <c r="AI43" i="1" s="1"/>
  <c r="AE44" i="1"/>
  <c r="Z44" i="1"/>
  <c r="U44" i="1"/>
  <c r="P44" i="1"/>
  <c r="K44" i="1"/>
  <c r="F44" i="1"/>
  <c r="CA43" i="1"/>
  <c r="CA52" i="1" s="1"/>
  <c r="BZ43" i="1"/>
  <c r="BY43" i="1"/>
  <c r="BV43" i="1"/>
  <c r="BV52" i="1" s="1"/>
  <c r="BU43" i="1"/>
  <c r="BT43" i="1"/>
  <c r="BQ43" i="1"/>
  <c r="BP43" i="1"/>
  <c r="BO43" i="1"/>
  <c r="BL43" i="1"/>
  <c r="BL52" i="1" s="1"/>
  <c r="BK43" i="1"/>
  <c r="BJ43" i="1"/>
  <c r="BG43" i="1"/>
  <c r="BG52" i="1" s="1"/>
  <c r="BF43" i="1"/>
  <c r="BE43" i="1"/>
  <c r="BE52" i="1" s="1"/>
  <c r="BB43" i="1"/>
  <c r="BA43" i="1"/>
  <c r="AZ43" i="1"/>
  <c r="AW43" i="1"/>
  <c r="AV43" i="1"/>
  <c r="AU43" i="1"/>
  <c r="AU52" i="1" s="1"/>
  <c r="AR43" i="1"/>
  <c r="AR52" i="1" s="1"/>
  <c r="AQ43" i="1"/>
  <c r="AQ52" i="1" s="1"/>
  <c r="AP43" i="1"/>
  <c r="AP120" i="1" s="1"/>
  <c r="AM43" i="1"/>
  <c r="AL43" i="1"/>
  <c r="AK43" i="1"/>
  <c r="AH43" i="1"/>
  <c r="AG43" i="1"/>
  <c r="AG52" i="1" s="1"/>
  <c r="AF43" i="1"/>
  <c r="AF52" i="1" s="1"/>
  <c r="AD43" i="1"/>
  <c r="AD57" i="1" s="1"/>
  <c r="AC43" i="1"/>
  <c r="AC52" i="1" s="1"/>
  <c r="AB43" i="1"/>
  <c r="AB52" i="1" s="1"/>
  <c r="AA43" i="1"/>
  <c r="Y43" i="1"/>
  <c r="X43" i="1"/>
  <c r="W43" i="1"/>
  <c r="V43" i="1"/>
  <c r="T43" i="1"/>
  <c r="S43" i="1"/>
  <c r="S57" i="1" s="1"/>
  <c r="R43" i="1"/>
  <c r="Q43" i="1"/>
  <c r="O43" i="1"/>
  <c r="N43" i="1"/>
  <c r="N52" i="1" s="1"/>
  <c r="M43" i="1"/>
  <c r="L43" i="1"/>
  <c r="J43" i="1"/>
  <c r="J57" i="1" s="1"/>
  <c r="I43" i="1"/>
  <c r="I52" i="1" s="1"/>
  <c r="H43" i="1"/>
  <c r="G43" i="1"/>
  <c r="G52" i="1" s="1"/>
  <c r="E43" i="1"/>
  <c r="D43" i="1"/>
  <c r="D52" i="1" s="1"/>
  <c r="C43" i="1"/>
  <c r="C52" i="1" s="1"/>
  <c r="B43" i="1"/>
  <c r="DB42" i="1"/>
  <c r="CW42" i="1"/>
  <c r="CR42" i="1"/>
  <c r="CM42" i="1"/>
  <c r="CH42" i="1"/>
  <c r="CC42" i="1"/>
  <c r="BW42" i="1"/>
  <c r="BR42" i="1"/>
  <c r="BN42" i="1"/>
  <c r="BI42" i="1"/>
  <c r="BI150" i="1" s="1"/>
  <c r="BD42" i="1"/>
  <c r="AY42" i="1"/>
  <c r="AT42" i="1"/>
  <c r="AO42" i="1"/>
  <c r="AJ42" i="1"/>
  <c r="AE42" i="1"/>
  <c r="Z42" i="1"/>
  <c r="U42" i="1"/>
  <c r="U150" i="1" s="1"/>
  <c r="P42" i="1"/>
  <c r="K42" i="1"/>
  <c r="F42" i="1"/>
  <c r="DG41" i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DB41" i="1"/>
  <c r="CW41" i="1"/>
  <c r="CR41" i="1"/>
  <c r="CM41" i="1"/>
  <c r="CH41" i="1"/>
  <c r="CC41" i="1"/>
  <c r="BX41" i="1"/>
  <c r="BS41" i="1"/>
  <c r="BN41" i="1"/>
  <c r="BI41" i="1"/>
  <c r="BD41" i="1"/>
  <c r="AY41" i="1"/>
  <c r="AT41" i="1"/>
  <c r="AO41" i="1"/>
  <c r="AJ41" i="1"/>
  <c r="AE41" i="1"/>
  <c r="Z41" i="1"/>
  <c r="U41" i="1"/>
  <c r="P41" i="1"/>
  <c r="K41" i="1"/>
  <c r="F41" i="1"/>
  <c r="DD40" i="1"/>
  <c r="DC40" i="1"/>
  <c r="DA40" i="1"/>
  <c r="CW40" i="1"/>
  <c r="CR40" i="1"/>
  <c r="CM40" i="1"/>
  <c r="CH40" i="1"/>
  <c r="CB40" i="1"/>
  <c r="CC40" i="1" s="1"/>
  <c r="BW40" i="1"/>
  <c r="BX40" i="1" s="1"/>
  <c r="BR40" i="1"/>
  <c r="BS40" i="1" s="1"/>
  <c r="BM40" i="1"/>
  <c r="BH40" i="1"/>
  <c r="BC40" i="1"/>
  <c r="BD40" i="1" s="1"/>
  <c r="AX40" i="1"/>
  <c r="AY40" i="1" s="1"/>
  <c r="AS40" i="1"/>
  <c r="AT40" i="1" s="1"/>
  <c r="AN40" i="1"/>
  <c r="AI40" i="1"/>
  <c r="AE40" i="1"/>
  <c r="Z40" i="1"/>
  <c r="U40" i="1"/>
  <c r="P40" i="1"/>
  <c r="K40" i="1"/>
  <c r="F40" i="1"/>
  <c r="DD39" i="1"/>
  <c r="DC39" i="1"/>
  <c r="DA39" i="1"/>
  <c r="DB39" i="1" s="1"/>
  <c r="CZ39" i="1"/>
  <c r="CZ149" i="1" s="1"/>
  <c r="CY39" i="1"/>
  <c r="CY149" i="1" s="1"/>
  <c r="CX39" i="1"/>
  <c r="CX149" i="1" s="1"/>
  <c r="CV39" i="1"/>
  <c r="CV149" i="1" s="1"/>
  <c r="CU39" i="1"/>
  <c r="CU149" i="1" s="1"/>
  <c r="CT39" i="1"/>
  <c r="CT149" i="1" s="1"/>
  <c r="CS39" i="1"/>
  <c r="CS149" i="1" s="1"/>
  <c r="CQ39" i="1"/>
  <c r="CP39" i="1"/>
  <c r="CP149" i="1" s="1"/>
  <c r="CO39" i="1"/>
  <c r="CO149" i="1" s="1"/>
  <c r="CN39" i="1"/>
  <c r="CN149" i="1" s="1"/>
  <c r="CL39" i="1"/>
  <c r="CK39" i="1"/>
  <c r="CK149" i="1" s="1"/>
  <c r="CJ39" i="1"/>
  <c r="CJ149" i="1" s="1"/>
  <c r="CI39" i="1"/>
  <c r="CI149" i="1" s="1"/>
  <c r="CG39" i="1"/>
  <c r="CF39" i="1"/>
  <c r="CE39" i="1"/>
  <c r="CE149" i="1" s="1"/>
  <c r="CD39" i="1"/>
  <c r="CD149" i="1" s="1"/>
  <c r="CB39" i="1"/>
  <c r="CC39" i="1" s="1"/>
  <c r="BW39" i="1"/>
  <c r="BX39" i="1" s="1"/>
  <c r="BR39" i="1"/>
  <c r="BS39" i="1" s="1"/>
  <c r="BM39" i="1"/>
  <c r="BN39" i="1" s="1"/>
  <c r="BH39" i="1"/>
  <c r="BI39" i="1" s="1"/>
  <c r="BC39" i="1"/>
  <c r="BD39" i="1" s="1"/>
  <c r="AX39" i="1"/>
  <c r="AY39" i="1" s="1"/>
  <c r="AS39" i="1"/>
  <c r="AT39" i="1" s="1"/>
  <c r="AN39" i="1"/>
  <c r="AO39" i="1" s="1"/>
  <c r="AI39" i="1"/>
  <c r="AJ39" i="1" s="1"/>
  <c r="AE39" i="1"/>
  <c r="Z39" i="1"/>
  <c r="U39" i="1"/>
  <c r="P39" i="1"/>
  <c r="K39" i="1"/>
  <c r="F39" i="1"/>
  <c r="DB38" i="1"/>
  <c r="CW38" i="1"/>
  <c r="CR38" i="1"/>
  <c r="CM38" i="1"/>
  <c r="CH38" i="1"/>
  <c r="CB38" i="1"/>
  <c r="CC38" i="1" s="1"/>
  <c r="BW38" i="1"/>
  <c r="BX38" i="1" s="1"/>
  <c r="BR38" i="1"/>
  <c r="BS38" i="1" s="1"/>
  <c r="BN38" i="1"/>
  <c r="BI38" i="1"/>
  <c r="BD38" i="1"/>
  <c r="AY38" i="1"/>
  <c r="AT38" i="1"/>
  <c r="AO38" i="1"/>
  <c r="AJ38" i="1"/>
  <c r="AE38" i="1"/>
  <c r="Z38" i="1"/>
  <c r="U38" i="1"/>
  <c r="P38" i="1"/>
  <c r="K38" i="1"/>
  <c r="F38" i="1"/>
  <c r="DD37" i="1"/>
  <c r="DC37" i="1"/>
  <c r="DC148" i="1" s="1"/>
  <c r="DA37" i="1"/>
  <c r="DA148" i="1" s="1"/>
  <c r="CZ37" i="1"/>
  <c r="CZ148" i="1" s="1"/>
  <c r="CY37" i="1"/>
  <c r="CY148" i="1" s="1"/>
  <c r="CX37" i="1"/>
  <c r="CX148" i="1" s="1"/>
  <c r="CV37" i="1"/>
  <c r="CU37" i="1"/>
  <c r="CU148" i="1" s="1"/>
  <c r="CT37" i="1"/>
  <c r="CT148" i="1" s="1"/>
  <c r="CS37" i="1"/>
  <c r="CS148" i="1" s="1"/>
  <c r="CQ37" i="1"/>
  <c r="CP37" i="1"/>
  <c r="CP148" i="1" s="1"/>
  <c r="CO37" i="1"/>
  <c r="CO148" i="1" s="1"/>
  <c r="CN37" i="1"/>
  <c r="CN148" i="1" s="1"/>
  <c r="CL37" i="1"/>
  <c r="CK37" i="1"/>
  <c r="CK148" i="1" s="1"/>
  <c r="CJ37" i="1"/>
  <c r="CJ148" i="1" s="1"/>
  <c r="CI37" i="1"/>
  <c r="CI148" i="1" s="1"/>
  <c r="CG37" i="1"/>
  <c r="CF37" i="1"/>
  <c r="CF148" i="1" s="1"/>
  <c r="CE37" i="1"/>
  <c r="CE148" i="1" s="1"/>
  <c r="CD37" i="1"/>
  <c r="CD148" i="1" s="1"/>
  <c r="CB37" i="1"/>
  <c r="CC37" i="1" s="1"/>
  <c r="BW37" i="1"/>
  <c r="BX37" i="1" s="1"/>
  <c r="BR37" i="1"/>
  <c r="BS37" i="1" s="1"/>
  <c r="BM37" i="1"/>
  <c r="BM148" i="1" s="1"/>
  <c r="BH37" i="1"/>
  <c r="BC37" i="1"/>
  <c r="BC148" i="1" s="1"/>
  <c r="AX37" i="1"/>
  <c r="AX148" i="1" s="1"/>
  <c r="AS37" i="1"/>
  <c r="AN37" i="1"/>
  <c r="AI37" i="1"/>
  <c r="AE37" i="1"/>
  <c r="Z37" i="1"/>
  <c r="U37" i="1"/>
  <c r="P37" i="1"/>
  <c r="K37" i="1"/>
  <c r="F37" i="1"/>
  <c r="DB36" i="1"/>
  <c r="CW36" i="1"/>
  <c r="CW103" i="1" s="1"/>
  <c r="CR36" i="1"/>
  <c r="CM36" i="1"/>
  <c r="CH36" i="1"/>
  <c r="CB36" i="1"/>
  <c r="BW36" i="1"/>
  <c r="BX36" i="1" s="1"/>
  <c r="BR36" i="1"/>
  <c r="BN36" i="1"/>
  <c r="BI36" i="1"/>
  <c r="BD36" i="1"/>
  <c r="BD103" i="1" s="1"/>
  <c r="AY36" i="1"/>
  <c r="AY103" i="1" s="1"/>
  <c r="AT36" i="1"/>
  <c r="AT103" i="1" s="1"/>
  <c r="AO36" i="1"/>
  <c r="AJ36" i="1"/>
  <c r="AJ103" i="1" s="1"/>
  <c r="AE36" i="1"/>
  <c r="Z36" i="1"/>
  <c r="Z103" i="1" s="1"/>
  <c r="U36" i="1"/>
  <c r="U103" i="1" s="1"/>
  <c r="P36" i="1"/>
  <c r="K36" i="1"/>
  <c r="F36" i="1"/>
  <c r="DD35" i="1"/>
  <c r="DC35" i="1"/>
  <c r="DC147" i="1" s="1"/>
  <c r="DA35" i="1"/>
  <c r="CZ35" i="1"/>
  <c r="CY35" i="1"/>
  <c r="CY147" i="1" s="1"/>
  <c r="CX35" i="1"/>
  <c r="CX147" i="1" s="1"/>
  <c r="CV35" i="1"/>
  <c r="CW35" i="1" s="1"/>
  <c r="CW87" i="1" s="1"/>
  <c r="CU35" i="1"/>
  <c r="CT35" i="1"/>
  <c r="CS35" i="1"/>
  <c r="CQ35" i="1"/>
  <c r="CP35" i="1"/>
  <c r="CO35" i="1"/>
  <c r="CN35" i="1"/>
  <c r="CL35" i="1"/>
  <c r="CM35" i="1" s="1"/>
  <c r="CM87" i="1" s="1"/>
  <c r="CK35" i="1"/>
  <c r="CJ35" i="1"/>
  <c r="CI35" i="1"/>
  <c r="CI147" i="1" s="1"/>
  <c r="CG35" i="1"/>
  <c r="CF35" i="1"/>
  <c r="CF87" i="1" s="1"/>
  <c r="CE35" i="1"/>
  <c r="CD35" i="1"/>
  <c r="CD87" i="1" s="1"/>
  <c r="CB35" i="1"/>
  <c r="CB87" i="1" s="1"/>
  <c r="BW35" i="1"/>
  <c r="BW87" i="1" s="1"/>
  <c r="BR35" i="1"/>
  <c r="BR87" i="1" s="1"/>
  <c r="BM35" i="1"/>
  <c r="BM87" i="1" s="1"/>
  <c r="BH35" i="1"/>
  <c r="BC35" i="1"/>
  <c r="AX35" i="1"/>
  <c r="AX87" i="1" s="1"/>
  <c r="AS35" i="1"/>
  <c r="AS87" i="1" s="1"/>
  <c r="AN35" i="1"/>
  <c r="AI35" i="1"/>
  <c r="AI87" i="1" s="1"/>
  <c r="AE35" i="1"/>
  <c r="AE87" i="1" s="1"/>
  <c r="Z35" i="1"/>
  <c r="Z87" i="1" s="1"/>
  <c r="U35" i="1"/>
  <c r="U87" i="1" s="1"/>
  <c r="P35" i="1"/>
  <c r="P87" i="1" s="1"/>
  <c r="K35" i="1"/>
  <c r="K87" i="1" s="1"/>
  <c r="F35" i="1"/>
  <c r="F87" i="1" s="1"/>
  <c r="DB34" i="1"/>
  <c r="DB83" i="1" s="1"/>
  <c r="CW34" i="1"/>
  <c r="CW83" i="1" s="1"/>
  <c r="CR34" i="1"/>
  <c r="CR83" i="1" s="1"/>
  <c r="CM34" i="1"/>
  <c r="CM83" i="1" s="1"/>
  <c r="CH34" i="1"/>
  <c r="CH83" i="1" s="1"/>
  <c r="CF34" i="1"/>
  <c r="CF83" i="1" s="1"/>
  <c r="CB34" i="1"/>
  <c r="BW34" i="1"/>
  <c r="BW83" i="1" s="1"/>
  <c r="BR34" i="1"/>
  <c r="BS34" i="1" s="1"/>
  <c r="BS83" i="1" s="1"/>
  <c r="BM34" i="1"/>
  <c r="BM83" i="1" s="1"/>
  <c r="BH34" i="1"/>
  <c r="BC34" i="1"/>
  <c r="AX34" i="1"/>
  <c r="AY34" i="1" s="1"/>
  <c r="AY83" i="1" s="1"/>
  <c r="AS34" i="1"/>
  <c r="AN34" i="1"/>
  <c r="AN83" i="1" s="1"/>
  <c r="AI34" i="1"/>
  <c r="AJ34" i="1" s="1"/>
  <c r="AJ83" i="1" s="1"/>
  <c r="AE34" i="1"/>
  <c r="AE83" i="1" s="1"/>
  <c r="Z34" i="1"/>
  <c r="Z83" i="1" s="1"/>
  <c r="U34" i="1"/>
  <c r="U83" i="1" s="1"/>
  <c r="P34" i="1"/>
  <c r="P83" i="1" s="1"/>
  <c r="K34" i="1"/>
  <c r="K83" i="1" s="1"/>
  <c r="F34" i="1"/>
  <c r="F83" i="1" s="1"/>
  <c r="DB33" i="1"/>
  <c r="CW33" i="1"/>
  <c r="CR33" i="1"/>
  <c r="CM33" i="1"/>
  <c r="CH33" i="1"/>
  <c r="CF33" i="1"/>
  <c r="CB33" i="1"/>
  <c r="CC33" i="1" s="1"/>
  <c r="BW33" i="1"/>
  <c r="BX33" i="1" s="1"/>
  <c r="BR33" i="1"/>
  <c r="BS33" i="1" s="1"/>
  <c r="BN33" i="1"/>
  <c r="BH33" i="1"/>
  <c r="BI33" i="1" s="1"/>
  <c r="BD33" i="1"/>
  <c r="AY33" i="1"/>
  <c r="AT33" i="1"/>
  <c r="AO33" i="1"/>
  <c r="AJ33" i="1"/>
  <c r="AE33" i="1"/>
  <c r="Z33" i="1"/>
  <c r="U33" i="1"/>
  <c r="P33" i="1"/>
  <c r="K33" i="1"/>
  <c r="F33" i="1"/>
  <c r="DB32" i="1"/>
  <c r="DB79" i="1" s="1"/>
  <c r="CW32" i="1"/>
  <c r="CR32" i="1"/>
  <c r="CR79" i="1" s="1"/>
  <c r="CM32" i="1"/>
  <c r="CH32" i="1"/>
  <c r="CF32" i="1"/>
  <c r="CF79" i="1" s="1"/>
  <c r="CB32" i="1"/>
  <c r="CB79" i="1" s="1"/>
  <c r="BW32" i="1"/>
  <c r="BX32" i="1" s="1"/>
  <c r="BR32" i="1"/>
  <c r="BR79" i="1" s="1"/>
  <c r="BN32" i="1"/>
  <c r="BN79" i="1" s="1"/>
  <c r="BH32" i="1"/>
  <c r="BD32" i="1"/>
  <c r="AY32" i="1"/>
  <c r="AT32" i="1"/>
  <c r="AO32" i="1"/>
  <c r="AJ32" i="1"/>
  <c r="AJ79" i="1" s="1"/>
  <c r="AE32" i="1"/>
  <c r="AE79" i="1" s="1"/>
  <c r="Z32" i="1"/>
  <c r="U32" i="1"/>
  <c r="U79" i="1" s="1"/>
  <c r="P32" i="1"/>
  <c r="P79" i="1" s="1"/>
  <c r="K32" i="1"/>
  <c r="K79" i="1" s="1"/>
  <c r="F32" i="1"/>
  <c r="DG31" i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DB31" i="1"/>
  <c r="CW31" i="1"/>
  <c r="CR31" i="1"/>
  <c r="CM31" i="1"/>
  <c r="CH31" i="1"/>
  <c r="CF31" i="1"/>
  <c r="CB31" i="1"/>
  <c r="BW31" i="1"/>
  <c r="BX31" i="1" s="1"/>
  <c r="BR31" i="1"/>
  <c r="BS31" i="1" s="1"/>
  <c r="BM31" i="1"/>
  <c r="BN31" i="1" s="1"/>
  <c r="BH31" i="1"/>
  <c r="BI31" i="1" s="1"/>
  <c r="BC31" i="1"/>
  <c r="AX31" i="1"/>
  <c r="AS31" i="1"/>
  <c r="AT31" i="1" s="1"/>
  <c r="AN31" i="1"/>
  <c r="AO31" i="1" s="1"/>
  <c r="AI31" i="1"/>
  <c r="AJ31" i="1" s="1"/>
  <c r="AE31" i="1"/>
  <c r="Z31" i="1"/>
  <c r="U31" i="1"/>
  <c r="P31" i="1"/>
  <c r="K31" i="1"/>
  <c r="F31" i="1"/>
  <c r="DD30" i="1"/>
  <c r="DD29" i="1" s="1"/>
  <c r="DD28" i="1" s="1"/>
  <c r="DC30" i="1"/>
  <c r="DC29" i="1" s="1"/>
  <c r="DC28" i="1" s="1"/>
  <c r="DC50" i="1" s="1"/>
  <c r="DA30" i="1"/>
  <c r="DB30" i="1" s="1"/>
  <c r="CZ30" i="1"/>
  <c r="CZ29" i="1" s="1"/>
  <c r="CZ28" i="1" s="1"/>
  <c r="CY30" i="1"/>
  <c r="CY29" i="1" s="1"/>
  <c r="CY28" i="1" s="1"/>
  <c r="CX30" i="1"/>
  <c r="CX29" i="1" s="1"/>
  <c r="CX28" i="1" s="1"/>
  <c r="CV30" i="1"/>
  <c r="CV29" i="1" s="1"/>
  <c r="CW29" i="1" s="1"/>
  <c r="CU30" i="1"/>
  <c r="CU29" i="1" s="1"/>
  <c r="CU28" i="1" s="1"/>
  <c r="CU50" i="1" s="1"/>
  <c r="CT30" i="1"/>
  <c r="CT29" i="1" s="1"/>
  <c r="CT28" i="1" s="1"/>
  <c r="CT50" i="1" s="1"/>
  <c r="CS30" i="1"/>
  <c r="CS29" i="1" s="1"/>
  <c r="CS28" i="1" s="1"/>
  <c r="CQ30" i="1"/>
  <c r="CR30" i="1" s="1"/>
  <c r="CP30" i="1"/>
  <c r="CP29" i="1" s="1"/>
  <c r="CP28" i="1" s="1"/>
  <c r="CO30" i="1"/>
  <c r="CO29" i="1" s="1"/>
  <c r="CO28" i="1" s="1"/>
  <c r="CO50" i="1" s="1"/>
  <c r="CN30" i="1"/>
  <c r="CN29" i="1" s="1"/>
  <c r="CN28" i="1" s="1"/>
  <c r="CN50" i="1" s="1"/>
  <c r="CL30" i="1"/>
  <c r="CL29" i="1" s="1"/>
  <c r="CK30" i="1"/>
  <c r="CK29" i="1" s="1"/>
  <c r="CK28" i="1" s="1"/>
  <c r="CJ30" i="1"/>
  <c r="CJ29" i="1" s="1"/>
  <c r="CJ28" i="1" s="1"/>
  <c r="CJ50" i="1" s="1"/>
  <c r="CI30" i="1"/>
  <c r="CI29" i="1" s="1"/>
  <c r="CI28" i="1" s="1"/>
  <c r="CI50" i="1" s="1"/>
  <c r="CG30" i="1"/>
  <c r="CF30" i="1"/>
  <c r="CF29" i="1" s="1"/>
  <c r="CF28" i="1" s="1"/>
  <c r="CB30" i="1"/>
  <c r="BW30" i="1"/>
  <c r="BX30" i="1" s="1"/>
  <c r="BR30" i="1"/>
  <c r="BS30" i="1" s="1"/>
  <c r="BN30" i="1"/>
  <c r="BO22" i="15" s="1"/>
  <c r="BI30" i="1"/>
  <c r="BJ22" i="15" s="1"/>
  <c r="BD30" i="1"/>
  <c r="BE22" i="15" s="1"/>
  <c r="AY30" i="1"/>
  <c r="AZ22" i="15" s="1"/>
  <c r="AT30" i="1"/>
  <c r="AO30" i="1"/>
  <c r="AJ30" i="1"/>
  <c r="AE30" i="1"/>
  <c r="Z30" i="1"/>
  <c r="U30" i="1"/>
  <c r="P30" i="1"/>
  <c r="K30" i="1"/>
  <c r="F30" i="1"/>
  <c r="CE29" i="1"/>
  <c r="CE28" i="1" s="1"/>
  <c r="CD29" i="1"/>
  <c r="CD28" i="1" s="1"/>
  <c r="BM29" i="1"/>
  <c r="BN29" i="1" s="1"/>
  <c r="BH29" i="1"/>
  <c r="BH28" i="1" s="1"/>
  <c r="BI28" i="1" s="1"/>
  <c r="BC29" i="1"/>
  <c r="BD29" i="1" s="1"/>
  <c r="AX29" i="1"/>
  <c r="AS29" i="1"/>
  <c r="AS28" i="1" s="1"/>
  <c r="AN29" i="1"/>
  <c r="AI29" i="1"/>
  <c r="AJ29" i="1" s="1"/>
  <c r="AE29" i="1"/>
  <c r="Z29" i="1"/>
  <c r="U29" i="1"/>
  <c r="P29" i="1"/>
  <c r="K29" i="1"/>
  <c r="F29" i="1"/>
  <c r="CA28" i="1"/>
  <c r="BZ28" i="1"/>
  <c r="BY28" i="1"/>
  <c r="BV28" i="1"/>
  <c r="BU28" i="1"/>
  <c r="BT28" i="1"/>
  <c r="BQ28" i="1"/>
  <c r="BQ50" i="1" s="1"/>
  <c r="BP28" i="1"/>
  <c r="BO28" i="1"/>
  <c r="BL28" i="1"/>
  <c r="BK28" i="1"/>
  <c r="BK27" i="1" s="1"/>
  <c r="BJ28" i="1"/>
  <c r="BG28" i="1"/>
  <c r="BF28" i="1"/>
  <c r="BF27" i="1" s="1"/>
  <c r="BE28" i="1"/>
  <c r="BB28" i="1"/>
  <c r="BA28" i="1"/>
  <c r="BA27" i="1" s="1"/>
  <c r="AZ28" i="1"/>
  <c r="AW28" i="1"/>
  <c r="AV28" i="1"/>
  <c r="AV27" i="1" s="1"/>
  <c r="AU28" i="1"/>
  <c r="AU27" i="1" s="1"/>
  <c r="AR28" i="1"/>
  <c r="AQ28" i="1"/>
  <c r="AP28" i="1"/>
  <c r="AM28" i="1"/>
  <c r="AL28" i="1"/>
  <c r="AL27" i="1" s="1"/>
  <c r="AK28" i="1"/>
  <c r="AH28" i="1"/>
  <c r="AH50" i="1" s="1"/>
  <c r="AG28" i="1"/>
  <c r="AF28" i="1"/>
  <c r="AD28" i="1"/>
  <c r="AE28" i="1" s="1"/>
  <c r="AE146" i="1" s="1"/>
  <c r="AC28" i="1"/>
  <c r="AC146" i="1" s="1"/>
  <c r="AB28" i="1"/>
  <c r="AB50" i="1" s="1"/>
  <c r="AB27" i="2" s="1"/>
  <c r="AA28" i="1"/>
  <c r="AA50" i="1" s="1"/>
  <c r="AA27" i="2" s="1"/>
  <c r="Y28" i="1"/>
  <c r="Y50" i="1" s="1"/>
  <c r="Y27" i="2" s="1"/>
  <c r="X28" i="1"/>
  <c r="W28" i="1"/>
  <c r="W50" i="1" s="1"/>
  <c r="V28" i="1"/>
  <c r="V50" i="1" s="1"/>
  <c r="V27" i="2" s="1"/>
  <c r="T28" i="1"/>
  <c r="T27" i="1" s="1"/>
  <c r="S28" i="1"/>
  <c r="S27" i="1" s="1"/>
  <c r="R28" i="1"/>
  <c r="R27" i="1" s="1"/>
  <c r="Q28" i="1"/>
  <c r="O28" i="1"/>
  <c r="N28" i="1"/>
  <c r="N50" i="1" s="1"/>
  <c r="M28" i="1"/>
  <c r="L28" i="1"/>
  <c r="L27" i="1" s="1"/>
  <c r="J28" i="1"/>
  <c r="K28" i="1" s="1"/>
  <c r="I28" i="1"/>
  <c r="I146" i="1" s="1"/>
  <c r="H28" i="1"/>
  <c r="H50" i="1" s="1"/>
  <c r="G28" i="1"/>
  <c r="F28" i="1"/>
  <c r="E27" i="1"/>
  <c r="D27" i="1"/>
  <c r="C27" i="1"/>
  <c r="B27" i="1"/>
  <c r="DG23" i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DB23" i="1"/>
  <c r="CW23" i="1"/>
  <c r="CR23" i="1"/>
  <c r="CM23" i="1"/>
  <c r="CH23" i="1"/>
  <c r="CC23" i="1"/>
  <c r="BX23" i="1"/>
  <c r="BS23" i="1"/>
  <c r="BN23" i="1"/>
  <c r="BI23" i="1"/>
  <c r="BD23" i="1"/>
  <c r="AY23" i="1"/>
  <c r="AT23" i="1"/>
  <c r="AO23" i="1"/>
  <c r="AJ23" i="1"/>
  <c r="AE23" i="1"/>
  <c r="Z23" i="1"/>
  <c r="U23" i="1"/>
  <c r="P23" i="1"/>
  <c r="K23" i="1"/>
  <c r="F23" i="1"/>
  <c r="DB22" i="1"/>
  <c r="CW22" i="1"/>
  <c r="CR22" i="1"/>
  <c r="CM22" i="1"/>
  <c r="CH22" i="1"/>
  <c r="CC22" i="1"/>
  <c r="BW22" i="1"/>
  <c r="BX22" i="1" s="1"/>
  <c r="BR22" i="1"/>
  <c r="BN22" i="1"/>
  <c r="BI22" i="1"/>
  <c r="BD22" i="1"/>
  <c r="AY22" i="1"/>
  <c r="AT22" i="1"/>
  <c r="AO22" i="1"/>
  <c r="AJ22" i="1"/>
  <c r="AE22" i="1"/>
  <c r="Z22" i="1"/>
  <c r="Z91" i="1" s="1"/>
  <c r="U22" i="1"/>
  <c r="U91" i="1" s="1"/>
  <c r="P22" i="1"/>
  <c r="P91" i="1" s="1"/>
  <c r="K22" i="1"/>
  <c r="K91" i="1" s="1"/>
  <c r="F22" i="1"/>
  <c r="F91" i="1" s="1"/>
  <c r="DB21" i="1"/>
  <c r="CW21" i="1"/>
  <c r="CR21" i="1"/>
  <c r="CM21" i="1"/>
  <c r="CH21" i="1"/>
  <c r="CC21" i="1"/>
  <c r="BW21" i="1"/>
  <c r="BX21" i="1" s="1"/>
  <c r="BR21" i="1"/>
  <c r="BS21" i="1" s="1"/>
  <c r="BN21" i="1"/>
  <c r="BI21" i="1"/>
  <c r="BD21" i="1"/>
  <c r="AY21" i="1"/>
  <c r="AT21" i="1"/>
  <c r="AO21" i="1"/>
  <c r="AJ21" i="1"/>
  <c r="AE21" i="1"/>
  <c r="Z21" i="1"/>
  <c r="U21" i="1"/>
  <c r="P21" i="1"/>
  <c r="K21" i="1"/>
  <c r="F21" i="1"/>
  <c r="DC20" i="1"/>
  <c r="DC19" i="1" s="1"/>
  <c r="DB20" i="1"/>
  <c r="CX20" i="1"/>
  <c r="CX19" i="1" s="1"/>
  <c r="CW20" i="1"/>
  <c r="CR20" i="1"/>
  <c r="CM20" i="1"/>
  <c r="CH20" i="1"/>
  <c r="CC20" i="1"/>
  <c r="BW20" i="1"/>
  <c r="BR20" i="1"/>
  <c r="BN20" i="1"/>
  <c r="BI20" i="1"/>
  <c r="BD20" i="1"/>
  <c r="AY20" i="1"/>
  <c r="AT20" i="1"/>
  <c r="AO20" i="1"/>
  <c r="AJ20" i="1"/>
  <c r="AE20" i="1"/>
  <c r="Z20" i="1"/>
  <c r="U20" i="1"/>
  <c r="P20" i="1"/>
  <c r="K20" i="1"/>
  <c r="F20" i="1"/>
  <c r="DD19" i="1"/>
  <c r="DA19" i="1"/>
  <c r="CZ19" i="1"/>
  <c r="CZ143" i="1" s="1"/>
  <c r="CY19" i="1"/>
  <c r="CV19" i="1"/>
  <c r="CV143" i="1" s="1"/>
  <c r="CU19" i="1"/>
  <c r="CT19" i="1"/>
  <c r="CS19" i="1"/>
  <c r="CQ19" i="1"/>
  <c r="CP19" i="1"/>
  <c r="CO19" i="1"/>
  <c r="CN19" i="1"/>
  <c r="CL19" i="1"/>
  <c r="CK19" i="1"/>
  <c r="CJ19" i="1"/>
  <c r="CI19" i="1"/>
  <c r="CG19" i="1"/>
  <c r="CF19" i="1"/>
  <c r="CE19" i="1"/>
  <c r="CD19" i="1"/>
  <c r="CB19" i="1"/>
  <c r="CA19" i="1"/>
  <c r="BZ19" i="1"/>
  <c r="BY19" i="1"/>
  <c r="BV19" i="1"/>
  <c r="BU19" i="1"/>
  <c r="BT19" i="1"/>
  <c r="BQ19" i="1"/>
  <c r="BP19" i="1"/>
  <c r="BO19" i="1"/>
  <c r="BO143" i="1" s="1"/>
  <c r="BM19" i="1"/>
  <c r="BL19" i="1"/>
  <c r="BL143" i="1" s="1"/>
  <c r="BK19" i="1"/>
  <c r="BJ19" i="1"/>
  <c r="BH19" i="1"/>
  <c r="BG19" i="1"/>
  <c r="BF19" i="1"/>
  <c r="BE19" i="1"/>
  <c r="BC19" i="1"/>
  <c r="BB19" i="1"/>
  <c r="BA19" i="1"/>
  <c r="BA143" i="1" s="1"/>
  <c r="AZ19" i="1"/>
  <c r="AZ143" i="1" s="1"/>
  <c r="AX19" i="1"/>
  <c r="AW19" i="1"/>
  <c r="AV19" i="1"/>
  <c r="AU19" i="1"/>
  <c r="AS19" i="1"/>
  <c r="AR19" i="1"/>
  <c r="AQ19" i="1"/>
  <c r="AP19" i="1"/>
  <c r="AN19" i="1"/>
  <c r="AM19" i="1"/>
  <c r="AM143" i="1" s="1"/>
  <c r="AL19" i="1"/>
  <c r="AL143" i="1" s="1"/>
  <c r="AK19" i="1"/>
  <c r="AI19" i="1"/>
  <c r="AI143" i="1" s="1"/>
  <c r="AH19" i="1"/>
  <c r="AG19" i="1"/>
  <c r="AF19" i="1"/>
  <c r="AF143" i="1" s="1"/>
  <c r="AD19" i="1"/>
  <c r="AC19" i="1"/>
  <c r="AB19" i="1"/>
  <c r="AB143" i="1" s="1"/>
  <c r="AA19" i="1"/>
  <c r="Y19" i="1"/>
  <c r="X19" i="1"/>
  <c r="W19" i="1"/>
  <c r="V19" i="1"/>
  <c r="T19" i="1"/>
  <c r="S19" i="1"/>
  <c r="R19" i="1"/>
  <c r="Q19" i="1"/>
  <c r="O19" i="1"/>
  <c r="O143" i="1" s="1"/>
  <c r="N19" i="1"/>
  <c r="N143" i="1" s="1"/>
  <c r="M19" i="1"/>
  <c r="L19" i="1"/>
  <c r="J19" i="1"/>
  <c r="I19" i="1"/>
  <c r="H19" i="1"/>
  <c r="G19" i="1"/>
  <c r="E19" i="1"/>
  <c r="D19" i="1"/>
  <c r="C19" i="1"/>
  <c r="C143" i="1" s="1"/>
  <c r="B19" i="1"/>
  <c r="B143" i="1" s="1"/>
  <c r="DD18" i="1"/>
  <c r="DC18" i="1"/>
  <c r="DC144" i="1" s="1"/>
  <c r="DA18" i="1"/>
  <c r="CZ18" i="1"/>
  <c r="CZ144" i="1" s="1"/>
  <c r="CY18" i="1"/>
  <c r="CY144" i="1" s="1"/>
  <c r="CX18" i="1"/>
  <c r="CX144" i="1" s="1"/>
  <c r="CV18" i="1"/>
  <c r="CU18" i="1"/>
  <c r="CU144" i="1" s="1"/>
  <c r="CT18" i="1"/>
  <c r="CT144" i="1" s="1"/>
  <c r="CS18" i="1"/>
  <c r="CS144" i="1" s="1"/>
  <c r="CQ18" i="1"/>
  <c r="CQ144" i="1" s="1"/>
  <c r="CP18" i="1"/>
  <c r="CP144" i="1" s="1"/>
  <c r="CO18" i="1"/>
  <c r="CO144" i="1" s="1"/>
  <c r="CN18" i="1"/>
  <c r="CN144" i="1" s="1"/>
  <c r="CL18" i="1"/>
  <c r="CK18" i="1"/>
  <c r="CK144" i="1" s="1"/>
  <c r="CJ18" i="1"/>
  <c r="CJ144" i="1" s="1"/>
  <c r="CI18" i="1"/>
  <c r="CI144" i="1" s="1"/>
  <c r="CG18" i="1"/>
  <c r="CG144" i="1" s="1"/>
  <c r="CF18" i="1"/>
  <c r="CE18" i="1"/>
  <c r="CE144" i="1" s="1"/>
  <c r="CD18" i="1"/>
  <c r="CD144" i="1" s="1"/>
  <c r="CB18" i="1"/>
  <c r="BM18" i="1"/>
  <c r="BH18" i="1"/>
  <c r="BI18" i="1" s="1"/>
  <c r="BC18" i="1"/>
  <c r="BD18" i="1" s="1"/>
  <c r="AX18" i="1"/>
  <c r="AS18" i="1"/>
  <c r="AN18" i="1"/>
  <c r="AI18" i="1"/>
  <c r="AE18" i="1"/>
  <c r="Z18" i="1"/>
  <c r="U18" i="1"/>
  <c r="P18" i="1"/>
  <c r="K18" i="1"/>
  <c r="F18" i="1"/>
  <c r="DB17" i="1"/>
  <c r="DB97" i="1" s="1"/>
  <c r="CW17" i="1"/>
  <c r="CW97" i="1" s="1"/>
  <c r="CR17" i="1"/>
  <c r="CR97" i="1" s="1"/>
  <c r="CM17" i="1"/>
  <c r="CM97" i="1" s="1"/>
  <c r="CH17" i="1"/>
  <c r="CH97" i="1" s="1"/>
  <c r="CC17" i="1"/>
  <c r="CC97" i="1" s="1"/>
  <c r="BW17" i="1"/>
  <c r="BX17" i="1" s="1"/>
  <c r="BX97" i="1" s="1"/>
  <c r="BR17" i="1"/>
  <c r="BN17" i="1"/>
  <c r="BN97" i="1" s="1"/>
  <c r="BI17" i="1"/>
  <c r="BI97" i="1" s="1"/>
  <c r="BD17" i="1"/>
  <c r="BD97" i="1" s="1"/>
  <c r="AY17" i="1"/>
  <c r="AY97" i="1" s="1"/>
  <c r="AT17" i="1"/>
  <c r="AT97" i="1" s="1"/>
  <c r="AO17" i="1"/>
  <c r="AO97" i="1" s="1"/>
  <c r="AJ17" i="1"/>
  <c r="AJ97" i="1" s="1"/>
  <c r="AE17" i="1"/>
  <c r="AE97" i="1" s="1"/>
  <c r="Z17" i="1"/>
  <c r="Z97" i="1" s="1"/>
  <c r="U17" i="1"/>
  <c r="U97" i="1" s="1"/>
  <c r="P17" i="1"/>
  <c r="P97" i="1" s="1"/>
  <c r="K17" i="1"/>
  <c r="K97" i="1" s="1"/>
  <c r="F17" i="1"/>
  <c r="F97" i="1" s="1"/>
  <c r="DB16" i="1"/>
  <c r="CW16" i="1"/>
  <c r="CR16" i="1"/>
  <c r="CM16" i="1"/>
  <c r="CH16" i="1"/>
  <c r="CC16" i="1"/>
  <c r="BX16" i="1"/>
  <c r="BS16" i="1"/>
  <c r="BN16" i="1"/>
  <c r="BI16" i="1"/>
  <c r="BD16" i="1"/>
  <c r="AY16" i="1"/>
  <c r="AT16" i="1"/>
  <c r="AO16" i="1"/>
  <c r="AJ16" i="1"/>
  <c r="AE16" i="1"/>
  <c r="Z16" i="1"/>
  <c r="U16" i="1"/>
  <c r="P16" i="1"/>
  <c r="K16" i="1"/>
  <c r="F16" i="1"/>
  <c r="DB15" i="1"/>
  <c r="DB100" i="1" s="1"/>
  <c r="CW15" i="1"/>
  <c r="CW100" i="1" s="1"/>
  <c r="CR15" i="1"/>
  <c r="CR100" i="1" s="1"/>
  <c r="CM15" i="1"/>
  <c r="CM100" i="1" s="1"/>
  <c r="CH15" i="1"/>
  <c r="CH100" i="1" s="1"/>
  <c r="CB15" i="1"/>
  <c r="CB100" i="1" s="1"/>
  <c r="BW15" i="1"/>
  <c r="BR15" i="1"/>
  <c r="BM15" i="1"/>
  <c r="BH15" i="1"/>
  <c r="BH100" i="1" s="1"/>
  <c r="BC15" i="1"/>
  <c r="BC100" i="1" s="1"/>
  <c r="AX15" i="1"/>
  <c r="AS15" i="1"/>
  <c r="AN15" i="1"/>
  <c r="AI15" i="1"/>
  <c r="AE15" i="1"/>
  <c r="AE100" i="1" s="1"/>
  <c r="Z15" i="1"/>
  <c r="Z100" i="1" s="1"/>
  <c r="U15" i="1"/>
  <c r="U100" i="1" s="1"/>
  <c r="P15" i="1"/>
  <c r="P100" i="1" s="1"/>
  <c r="K15" i="1"/>
  <c r="K100" i="1" s="1"/>
  <c r="F15" i="1"/>
  <c r="F100" i="1" s="1"/>
  <c r="DB14" i="1"/>
  <c r="CW14" i="1"/>
  <c r="CR14" i="1"/>
  <c r="CM14" i="1"/>
  <c r="CH14" i="1"/>
  <c r="CC14" i="1"/>
  <c r="BX14" i="1"/>
  <c r="BS14" i="1"/>
  <c r="BN14" i="1"/>
  <c r="BI14" i="1"/>
  <c r="BD14" i="1"/>
  <c r="AY14" i="1"/>
  <c r="AT14" i="1"/>
  <c r="AO14" i="1"/>
  <c r="AJ14" i="1"/>
  <c r="AE14" i="1"/>
  <c r="AE77" i="1" s="1"/>
  <c r="Z14" i="1"/>
  <c r="Z77" i="1" s="1"/>
  <c r="U14" i="1"/>
  <c r="U77" i="1" s="1"/>
  <c r="P14" i="1"/>
  <c r="P77" i="1" s="1"/>
  <c r="K14" i="1"/>
  <c r="K77" i="1" s="1"/>
  <c r="F14" i="1"/>
  <c r="F77" i="1" s="1"/>
  <c r="AX13" i="1"/>
  <c r="AX11" i="1" s="1"/>
  <c r="AS13" i="1"/>
  <c r="AN13" i="1"/>
  <c r="AN88" i="1" s="1"/>
  <c r="AI13" i="1"/>
  <c r="AJ13" i="1" s="1"/>
  <c r="AE13" i="1"/>
  <c r="AE75" i="1" s="1"/>
  <c r="Z13" i="1"/>
  <c r="Z75" i="1" s="1"/>
  <c r="U13" i="1"/>
  <c r="U75" i="1" s="1"/>
  <c r="P13" i="1"/>
  <c r="P75" i="1" s="1"/>
  <c r="K13" i="1"/>
  <c r="K75" i="1" s="1"/>
  <c r="F13" i="1"/>
  <c r="F75" i="1" s="1"/>
  <c r="DD12" i="1"/>
  <c r="DD13" i="1" s="1"/>
  <c r="DD75" i="1" s="1"/>
  <c r="DD76" i="1" s="1"/>
  <c r="DC12" i="1"/>
  <c r="DC13" i="1" s="1"/>
  <c r="DA12" i="1"/>
  <c r="DA13" i="1" s="1"/>
  <c r="CZ12" i="1"/>
  <c r="CY12" i="1"/>
  <c r="CX12" i="1"/>
  <c r="CV12" i="1"/>
  <c r="CW12" i="1" s="1"/>
  <c r="CU12" i="1"/>
  <c r="CT12" i="1"/>
  <c r="CS12" i="1"/>
  <c r="CQ12" i="1"/>
  <c r="CQ13" i="1" s="1"/>
  <c r="CR13" i="1" s="1"/>
  <c r="CP12" i="1"/>
  <c r="CO12" i="1"/>
  <c r="CO13" i="1" s="1"/>
  <c r="CO75" i="1" s="1"/>
  <c r="CO76" i="1" s="1"/>
  <c r="CN12" i="1"/>
  <c r="CL12" i="1"/>
  <c r="CM12" i="1" s="1"/>
  <c r="CK12" i="1"/>
  <c r="CJ12" i="1"/>
  <c r="CI12" i="1"/>
  <c r="CI73" i="1" s="1"/>
  <c r="CG12" i="1"/>
  <c r="CG13" i="1" s="1"/>
  <c r="CG75" i="1" s="1"/>
  <c r="CF12" i="1"/>
  <c r="CE12" i="1"/>
  <c r="CE13" i="1" s="1"/>
  <c r="CE75" i="1" s="1"/>
  <c r="CE76" i="1" s="1"/>
  <c r="CD12" i="1"/>
  <c r="CD73" i="1" s="1"/>
  <c r="CB12" i="1"/>
  <c r="BW12" i="1"/>
  <c r="BR12" i="1"/>
  <c r="BM12" i="1"/>
  <c r="BH12" i="1"/>
  <c r="BC12" i="1"/>
  <c r="BC13" i="1" s="1"/>
  <c r="BC75" i="1" s="1"/>
  <c r="AY12" i="1"/>
  <c r="AT12" i="1"/>
  <c r="AO12" i="1"/>
  <c r="AJ12" i="1"/>
  <c r="AE12" i="1"/>
  <c r="Z12" i="1"/>
  <c r="U12" i="1"/>
  <c r="P12" i="1"/>
  <c r="P73" i="1" s="1"/>
  <c r="K12" i="1"/>
  <c r="F12" i="1"/>
  <c r="CA11" i="1"/>
  <c r="BZ11" i="1"/>
  <c r="BZ141" i="1" s="1"/>
  <c r="BY11" i="1"/>
  <c r="BV11" i="1"/>
  <c r="BV141" i="1" s="1"/>
  <c r="BU11" i="1"/>
  <c r="BT11" i="1"/>
  <c r="BT141" i="1" s="1"/>
  <c r="BQ11" i="1"/>
  <c r="BP11" i="1"/>
  <c r="BO11" i="1"/>
  <c r="BL11" i="1"/>
  <c r="BK11" i="1"/>
  <c r="BJ11" i="1"/>
  <c r="BG11" i="1"/>
  <c r="BF11" i="1"/>
  <c r="BF69" i="1" s="1"/>
  <c r="BE11" i="1"/>
  <c r="BB11" i="1"/>
  <c r="BB141" i="1" s="1"/>
  <c r="BA11" i="1"/>
  <c r="AZ11" i="1"/>
  <c r="AW11" i="1"/>
  <c r="AV11" i="1"/>
  <c r="AV141" i="1" s="1"/>
  <c r="AU11" i="1"/>
  <c r="AU141" i="1" s="1"/>
  <c r="AR11" i="1"/>
  <c r="AR69" i="1" s="1"/>
  <c r="AQ11" i="1"/>
  <c r="AP11" i="1"/>
  <c r="AP141" i="1" s="1"/>
  <c r="AM11" i="1"/>
  <c r="AL11" i="1"/>
  <c r="AK11" i="1"/>
  <c r="AH11" i="1"/>
  <c r="AG11" i="1"/>
  <c r="AF11" i="1"/>
  <c r="AD11" i="1"/>
  <c r="AC11" i="1"/>
  <c r="AC141" i="1" s="1"/>
  <c r="AB11" i="1"/>
  <c r="AB141" i="1" s="1"/>
  <c r="AA11" i="1"/>
  <c r="AA5" i="1" s="1"/>
  <c r="Y11" i="1"/>
  <c r="Z11" i="1" s="1"/>
  <c r="X11" i="1"/>
  <c r="W11" i="1"/>
  <c r="V11" i="1"/>
  <c r="V5" i="1" s="1"/>
  <c r="T11" i="1"/>
  <c r="S11" i="1"/>
  <c r="S69" i="1" s="1"/>
  <c r="R11" i="1"/>
  <c r="R5" i="1" s="1"/>
  <c r="Q11" i="1"/>
  <c r="Q69" i="1" s="1"/>
  <c r="O11" i="1"/>
  <c r="N11" i="1"/>
  <c r="N5" i="1" s="1"/>
  <c r="M11" i="1"/>
  <c r="L11" i="1"/>
  <c r="J11" i="1"/>
  <c r="J141" i="1" s="1"/>
  <c r="I11" i="1"/>
  <c r="H11" i="1"/>
  <c r="H5" i="1" s="1"/>
  <c r="G11" i="1"/>
  <c r="E11" i="1"/>
  <c r="D11" i="1"/>
  <c r="D69" i="1" s="1"/>
  <c r="C11" i="1"/>
  <c r="B11" i="1"/>
  <c r="DG10" i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DB10" i="1"/>
  <c r="CW10" i="1"/>
  <c r="CR10" i="1"/>
  <c r="CM10" i="1"/>
  <c r="CH10" i="1"/>
  <c r="CF10" i="1"/>
  <c r="CF9" i="1" s="1"/>
  <c r="CE10" i="1"/>
  <c r="CE9" i="1" s="1"/>
  <c r="CD10" i="1"/>
  <c r="CD9" i="1" s="1"/>
  <c r="CB10" i="1"/>
  <c r="CC10" i="1" s="1"/>
  <c r="BW10" i="1"/>
  <c r="BW9" i="1" s="1"/>
  <c r="BR10" i="1"/>
  <c r="BR9" i="1" s="1"/>
  <c r="BM10" i="1"/>
  <c r="BH10" i="1"/>
  <c r="BC10" i="1"/>
  <c r="AY10" i="1"/>
  <c r="AT10" i="1"/>
  <c r="AO10" i="1"/>
  <c r="AJ10" i="1"/>
  <c r="DD9" i="1"/>
  <c r="DD66" i="1" s="1"/>
  <c r="DC9" i="1"/>
  <c r="DC30" i="2" s="1"/>
  <c r="DA9" i="1"/>
  <c r="CZ9" i="1"/>
  <c r="CZ66" i="1" s="1"/>
  <c r="CY9" i="1"/>
  <c r="CX9" i="1"/>
  <c r="CX30" i="2" s="1"/>
  <c r="CV9" i="1"/>
  <c r="CV66" i="1" s="1"/>
  <c r="CW66" i="1" s="1"/>
  <c r="CU9" i="1"/>
  <c r="CT9" i="1"/>
  <c r="CS9" i="1"/>
  <c r="CS30" i="2" s="1"/>
  <c r="CQ9" i="1"/>
  <c r="CQ66" i="1" s="1"/>
  <c r="CR66" i="1" s="1"/>
  <c r="CP9" i="1"/>
  <c r="CP66" i="1" s="1"/>
  <c r="CO9" i="1"/>
  <c r="CN9" i="1"/>
  <c r="CN8" i="1" s="1"/>
  <c r="CL9" i="1"/>
  <c r="CL66" i="1" s="1"/>
  <c r="CM66" i="1" s="1"/>
  <c r="CK9" i="1"/>
  <c r="CK66" i="1" s="1"/>
  <c r="CJ9" i="1"/>
  <c r="CJ66" i="1" s="1"/>
  <c r="CI9" i="1"/>
  <c r="CI8" i="1" s="1"/>
  <c r="CI60" i="1" s="1"/>
  <c r="CG9" i="1"/>
  <c r="CG8" i="1" s="1"/>
  <c r="CG60" i="1" s="1"/>
  <c r="AX9" i="1"/>
  <c r="AX8" i="1" s="1"/>
  <c r="AY8" i="1" s="1"/>
  <c r="AS9" i="1"/>
  <c r="AT9" i="1" s="1"/>
  <c r="AN9" i="1"/>
  <c r="AN8" i="1" s="1"/>
  <c r="AN60" i="1" s="1"/>
  <c r="AI9" i="1"/>
  <c r="AI66" i="1" s="1"/>
  <c r="AJ66" i="1" s="1"/>
  <c r="CA8" i="1"/>
  <c r="BZ8" i="1"/>
  <c r="BY8" i="1"/>
  <c r="BV8" i="1"/>
  <c r="BU8" i="1"/>
  <c r="BU60" i="1" s="1"/>
  <c r="BT8" i="1"/>
  <c r="BQ8" i="1"/>
  <c r="BP8" i="1"/>
  <c r="BP60" i="1" s="1"/>
  <c r="BO8" i="1"/>
  <c r="BL8" i="1"/>
  <c r="BL140" i="1" s="1"/>
  <c r="BK8" i="1"/>
  <c r="BJ8" i="1"/>
  <c r="BG8" i="1"/>
  <c r="BG60" i="1" s="1"/>
  <c r="BF8" i="1"/>
  <c r="BE8" i="1"/>
  <c r="BE60" i="1" s="1"/>
  <c r="BB8" i="1"/>
  <c r="BA8" i="1"/>
  <c r="AZ8" i="1"/>
  <c r="AW8" i="1"/>
  <c r="AV8" i="1"/>
  <c r="AU8" i="1"/>
  <c r="AR8" i="1"/>
  <c r="AQ8" i="1"/>
  <c r="AQ140" i="1" s="1"/>
  <c r="AP8" i="1"/>
  <c r="AM8" i="1"/>
  <c r="AL8" i="1"/>
  <c r="AK8" i="1"/>
  <c r="AK60" i="1" s="1"/>
  <c r="AH8" i="1"/>
  <c r="AG8" i="1"/>
  <c r="AF8" i="1"/>
  <c r="DG7" i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DB7" i="1"/>
  <c r="CW7" i="1"/>
  <c r="CR7" i="1"/>
  <c r="CM7" i="1"/>
  <c r="CH7" i="1"/>
  <c r="CF7" i="1"/>
  <c r="CB7" i="1"/>
  <c r="CC7" i="1" s="1"/>
  <c r="BW7" i="1"/>
  <c r="BX7" i="1" s="1"/>
  <c r="BR7" i="1"/>
  <c r="BS7" i="1" s="1"/>
  <c r="BM7" i="1"/>
  <c r="BN7" i="1" s="1"/>
  <c r="BH7" i="1"/>
  <c r="BI7" i="1" s="1"/>
  <c r="BC7" i="1"/>
  <c r="BD7" i="1" s="1"/>
  <c r="AX7" i="1"/>
  <c r="AY7" i="1" s="1"/>
  <c r="AT7" i="1"/>
  <c r="AO7" i="1"/>
  <c r="AJ7" i="1"/>
  <c r="AE7" i="1"/>
  <c r="Z7" i="1"/>
  <c r="U7" i="1"/>
  <c r="P7" i="1"/>
  <c r="K7" i="1"/>
  <c r="F7" i="1"/>
  <c r="DD6" i="1"/>
  <c r="DC6" i="1"/>
  <c r="DA6" i="1"/>
  <c r="DB6" i="1" s="1"/>
  <c r="CZ6" i="1"/>
  <c r="CZ139" i="1" s="1"/>
  <c r="CY6" i="1"/>
  <c r="CX6" i="1"/>
  <c r="CX139" i="1" s="1"/>
  <c r="CV6" i="1"/>
  <c r="CW6" i="1" s="1"/>
  <c r="CU6" i="1"/>
  <c r="CU51" i="1" s="1"/>
  <c r="CT6" i="1"/>
  <c r="CT51" i="1" s="1"/>
  <c r="CS6" i="1"/>
  <c r="CS51" i="1" s="1"/>
  <c r="CQ6" i="1"/>
  <c r="CQ139" i="1" s="1"/>
  <c r="CP6" i="1"/>
  <c r="CO6" i="1"/>
  <c r="CN6" i="1"/>
  <c r="CL6" i="1"/>
  <c r="CK6" i="1"/>
  <c r="CJ6" i="1"/>
  <c r="CK14" i="15" s="1"/>
  <c r="CI6" i="1"/>
  <c r="CG6" i="1"/>
  <c r="CG139" i="1" s="1"/>
  <c r="CF6" i="1"/>
  <c r="CF139" i="1" s="1"/>
  <c r="CE6" i="1"/>
  <c r="CE51" i="1" s="1"/>
  <c r="CD6" i="1"/>
  <c r="CD139" i="1" s="1"/>
  <c r="CB6" i="1"/>
  <c r="CC6" i="1" s="1"/>
  <c r="BW6" i="1"/>
  <c r="BR6" i="1"/>
  <c r="BM6" i="1"/>
  <c r="BH6" i="1"/>
  <c r="BI6" i="1" s="1"/>
  <c r="BC6" i="1"/>
  <c r="BC51" i="1" s="1"/>
  <c r="AX6" i="1"/>
  <c r="AY6" i="1" s="1"/>
  <c r="AS6" i="1"/>
  <c r="AN6" i="1"/>
  <c r="AO6" i="1" s="1"/>
  <c r="AP25" i="2" s="1"/>
  <c r="AI6" i="1"/>
  <c r="AE6" i="1"/>
  <c r="Z6" i="1"/>
  <c r="Z51" i="1" s="1"/>
  <c r="U6" i="1"/>
  <c r="P6" i="1"/>
  <c r="K6" i="1"/>
  <c r="K51" i="1" s="1"/>
  <c r="F6" i="1"/>
  <c r="F51" i="1" s="1"/>
  <c r="DD88" i="2"/>
  <c r="DA88" i="2"/>
  <c r="DS87" i="2"/>
  <c r="DD87" i="2"/>
  <c r="BV85" i="2"/>
  <c r="BV88" i="2" s="1"/>
  <c r="BU85" i="2"/>
  <c r="BU88" i="2" s="1"/>
  <c r="BT85" i="2"/>
  <c r="BQ85" i="2"/>
  <c r="BQ88" i="2" s="1"/>
  <c r="BP85" i="2"/>
  <c r="BP88" i="2" s="1"/>
  <c r="BO85" i="2"/>
  <c r="BL85" i="2"/>
  <c r="BK85" i="2"/>
  <c r="BJ85" i="2"/>
  <c r="BG85" i="2"/>
  <c r="BF85" i="2"/>
  <c r="BE85" i="2"/>
  <c r="BE88" i="2" s="1"/>
  <c r="BB85" i="2"/>
  <c r="BB88" i="2" s="1"/>
  <c r="BA85" i="2"/>
  <c r="BA88" i="2" s="1"/>
  <c r="AZ85" i="2"/>
  <c r="AZ88" i="2" s="1"/>
  <c r="AW85" i="2"/>
  <c r="AW88" i="2" s="1"/>
  <c r="AV85" i="2"/>
  <c r="AU85" i="2"/>
  <c r="AU88" i="2" s="1"/>
  <c r="AR85" i="2"/>
  <c r="AR88" i="2" s="1"/>
  <c r="AQ85" i="2"/>
  <c r="AQ88" i="2" s="1"/>
  <c r="AP85" i="2"/>
  <c r="AP88" i="2" s="1"/>
  <c r="AM85" i="2"/>
  <c r="AM88" i="2" s="1"/>
  <c r="AL85" i="2"/>
  <c r="AK85" i="2"/>
  <c r="AK88" i="2" s="1"/>
  <c r="AH85" i="2"/>
  <c r="AG85" i="2"/>
  <c r="AF85" i="2"/>
  <c r="AF88" i="2" s="1"/>
  <c r="BW84" i="2"/>
  <c r="BX84" i="2" s="1"/>
  <c r="BR84" i="2"/>
  <c r="BM84" i="2"/>
  <c r="BN84" i="2" s="1"/>
  <c r="BH84" i="2"/>
  <c r="BI84" i="2" s="1"/>
  <c r="BC84" i="2"/>
  <c r="BD84" i="2" s="1"/>
  <c r="AX84" i="2"/>
  <c r="AY84" i="2" s="1"/>
  <c r="AS84" i="2"/>
  <c r="AT84" i="2" s="1"/>
  <c r="AN84" i="2"/>
  <c r="AO84" i="2" s="1"/>
  <c r="AI84" i="2"/>
  <c r="AJ84" i="2" s="1"/>
  <c r="CK81" i="2"/>
  <c r="CJ81" i="2"/>
  <c r="CI81" i="2"/>
  <c r="CG81" i="2"/>
  <c r="CF81" i="2"/>
  <c r="CE81" i="2"/>
  <c r="CD81" i="2"/>
  <c r="AI81" i="2"/>
  <c r="AH81" i="2"/>
  <c r="AG81" i="2"/>
  <c r="AF81" i="2"/>
  <c r="DD78" i="2"/>
  <c r="DE81" i="2" s="1"/>
  <c r="DC78" i="2"/>
  <c r="DA78" i="2"/>
  <c r="CZ78" i="2"/>
  <c r="CY78" i="2"/>
  <c r="CX78" i="2"/>
  <c r="CV78" i="2"/>
  <c r="CU78" i="2"/>
  <c r="CT78" i="2"/>
  <c r="CS78" i="2"/>
  <c r="CQ78" i="2"/>
  <c r="CR78" i="2" s="1"/>
  <c r="CR76" i="2" s="1"/>
  <c r="CP78" i="2"/>
  <c r="CO78" i="2"/>
  <c r="CL78" i="2"/>
  <c r="CH78" i="2"/>
  <c r="CC78" i="2"/>
  <c r="BY78" i="2"/>
  <c r="BX78" i="2"/>
  <c r="BT78" i="2"/>
  <c r="BT81" i="2" s="1"/>
  <c r="BS78" i="2"/>
  <c r="BO78" i="2"/>
  <c r="BN78" i="2"/>
  <c r="BJ78" i="2"/>
  <c r="BK78" i="2" s="1"/>
  <c r="BL78" i="2" s="1"/>
  <c r="BM81" i="2" s="1"/>
  <c r="BI78" i="2"/>
  <c r="BE78" i="2"/>
  <c r="BF78" i="2" s="1"/>
  <c r="BG78" i="2" s="1"/>
  <c r="BH81" i="2" s="1"/>
  <c r="BD78" i="2"/>
  <c r="AZ78" i="2"/>
  <c r="BA78" i="2" s="1"/>
  <c r="AY78" i="2"/>
  <c r="AU78" i="2"/>
  <c r="AT78" i="2"/>
  <c r="AP78" i="2"/>
  <c r="AP81" i="2" s="1"/>
  <c r="AO78" i="2"/>
  <c r="AK78" i="2"/>
  <c r="AL78" i="2" s="1"/>
  <c r="AJ78" i="2"/>
  <c r="AE78" i="2"/>
  <c r="Z78" i="2"/>
  <c r="U78" i="2"/>
  <c r="P78" i="2"/>
  <c r="K78" i="2"/>
  <c r="F78" i="2"/>
  <c r="DN72" i="2"/>
  <c r="DO72" i="2" s="1"/>
  <c r="DP72" i="2" s="1"/>
  <c r="DR72" i="2" s="1"/>
  <c r="DS72" i="2" s="1"/>
  <c r="DT72" i="2" s="1"/>
  <c r="DU72" i="2" s="1"/>
  <c r="DW72" i="2" s="1"/>
  <c r="DX72" i="2" s="1"/>
  <c r="DY72" i="2" s="1"/>
  <c r="DZ72" i="2" s="1"/>
  <c r="EB72" i="2" s="1"/>
  <c r="EC72" i="2" s="1"/>
  <c r="ED72" i="2" s="1"/>
  <c r="EE72" i="2" s="1"/>
  <c r="DD72" i="2"/>
  <c r="DC72" i="2"/>
  <c r="CZ72" i="2"/>
  <c r="CY72" i="2"/>
  <c r="CX72" i="2"/>
  <c r="CU72" i="2"/>
  <c r="CT72" i="2"/>
  <c r="CS72" i="2"/>
  <c r="CO72" i="2"/>
  <c r="CN72" i="2"/>
  <c r="CJ72" i="2"/>
  <c r="CI72" i="2"/>
  <c r="CE72" i="2"/>
  <c r="CD72" i="2"/>
  <c r="CA72" i="2"/>
  <c r="BZ72" i="2"/>
  <c r="BY72" i="2"/>
  <c r="BV72" i="2"/>
  <c r="BU72" i="2"/>
  <c r="BT72" i="2"/>
  <c r="BQ72" i="2"/>
  <c r="BP72" i="2"/>
  <c r="BO72" i="2"/>
  <c r="BM72" i="2"/>
  <c r="BL72" i="2"/>
  <c r="BK72" i="2"/>
  <c r="BJ72" i="2"/>
  <c r="BH72" i="2"/>
  <c r="BG72" i="2"/>
  <c r="BF72" i="2"/>
  <c r="BE72" i="2"/>
  <c r="BC72" i="2"/>
  <c r="BB72" i="2"/>
  <c r="BA72" i="2"/>
  <c r="AZ72" i="2"/>
  <c r="AX72" i="2"/>
  <c r="AW72" i="2"/>
  <c r="AV72" i="2"/>
  <c r="AU72" i="2"/>
  <c r="AS72" i="2"/>
  <c r="AR72" i="2"/>
  <c r="AQ72" i="2"/>
  <c r="AP72" i="2"/>
  <c r="AN72" i="2"/>
  <c r="AM72" i="2"/>
  <c r="AL72" i="2"/>
  <c r="AK72" i="2"/>
  <c r="AI72" i="2"/>
  <c r="AH72" i="2"/>
  <c r="AG72" i="2"/>
  <c r="AF72" i="2"/>
  <c r="AD72" i="2"/>
  <c r="AC72" i="2"/>
  <c r="AB72" i="2"/>
  <c r="AA72" i="2"/>
  <c r="Y72" i="2"/>
  <c r="X72" i="2"/>
  <c r="W72" i="2"/>
  <c r="V72" i="2"/>
  <c r="T72" i="2"/>
  <c r="S72" i="2"/>
  <c r="R72" i="2"/>
  <c r="Q72" i="2"/>
  <c r="O72" i="2"/>
  <c r="N72" i="2"/>
  <c r="M72" i="2"/>
  <c r="L72" i="2"/>
  <c r="J72" i="2"/>
  <c r="I72" i="2"/>
  <c r="H72" i="2"/>
  <c r="G72" i="2"/>
  <c r="E72" i="2"/>
  <c r="D72" i="2"/>
  <c r="C72" i="2"/>
  <c r="B72" i="2"/>
  <c r="BV71" i="2"/>
  <c r="R80" i="22" s="1"/>
  <c r="BU71" i="2"/>
  <c r="Q80" i="22" s="1"/>
  <c r="BT71" i="2"/>
  <c r="P80" i="22" s="1"/>
  <c r="BQ71" i="2"/>
  <c r="M80" i="22" s="1"/>
  <c r="BP71" i="2"/>
  <c r="L80" i="22" s="1"/>
  <c r="BO71" i="2"/>
  <c r="K80" i="22" s="1"/>
  <c r="BL71" i="2"/>
  <c r="H80" i="22" s="1"/>
  <c r="BK71" i="2"/>
  <c r="G80" i="22" s="1"/>
  <c r="BJ71" i="2"/>
  <c r="F80" i="22" s="1"/>
  <c r="BG71" i="2"/>
  <c r="BF71" i="2"/>
  <c r="BE71" i="2"/>
  <c r="BB71" i="2"/>
  <c r="BB113" i="1" s="1"/>
  <c r="BB114" i="1" s="1"/>
  <c r="BA71" i="2"/>
  <c r="BA113" i="1" s="1"/>
  <c r="AZ71" i="2"/>
  <c r="AW71" i="2"/>
  <c r="AW113" i="1" s="1"/>
  <c r="AW114" i="1" s="1"/>
  <c r="AV71" i="2"/>
  <c r="AV113" i="1" s="1"/>
  <c r="AU71" i="2"/>
  <c r="AR71" i="2"/>
  <c r="AR113" i="1" s="1"/>
  <c r="AQ71" i="2"/>
  <c r="AQ113" i="1" s="1"/>
  <c r="AP71" i="2"/>
  <c r="AM71" i="2"/>
  <c r="AM113" i="1" s="1"/>
  <c r="AM114" i="1" s="1"/>
  <c r="AL71" i="2"/>
  <c r="AL113" i="1" s="1"/>
  <c r="AL114" i="1" s="1"/>
  <c r="AK71" i="2"/>
  <c r="AH71" i="2"/>
  <c r="AH113" i="1" s="1"/>
  <c r="AH114" i="1" s="1"/>
  <c r="AG71" i="2"/>
  <c r="AG113" i="1" s="1"/>
  <c r="AG114" i="1" s="1"/>
  <c r="AF71" i="2"/>
  <c r="AD71" i="2"/>
  <c r="AC71" i="2"/>
  <c r="AB71" i="2"/>
  <c r="AA71" i="2"/>
  <c r="Y71" i="2"/>
  <c r="X71" i="2"/>
  <c r="W71" i="2"/>
  <c r="V71" i="2"/>
  <c r="T71" i="2"/>
  <c r="S71" i="2"/>
  <c r="R71" i="2"/>
  <c r="Q71" i="2"/>
  <c r="O71" i="2"/>
  <c r="N71" i="2"/>
  <c r="M71" i="2"/>
  <c r="L71" i="2"/>
  <c r="J71" i="2"/>
  <c r="I71" i="2"/>
  <c r="H71" i="2"/>
  <c r="G71" i="2"/>
  <c r="E71" i="2"/>
  <c r="D71" i="2"/>
  <c r="C71" i="2"/>
  <c r="B71" i="2"/>
  <c r="DD68" i="2"/>
  <c r="DC68" i="2"/>
  <c r="CZ68" i="2"/>
  <c r="CY68" i="2"/>
  <c r="CX68" i="2"/>
  <c r="CX5" i="15" s="1"/>
  <c r="CU68" i="2"/>
  <c r="CT68" i="2"/>
  <c r="CS68" i="2"/>
  <c r="CP68" i="2"/>
  <c r="CO68" i="2"/>
  <c r="CN68" i="2"/>
  <c r="CK68" i="2"/>
  <c r="CJ68" i="2"/>
  <c r="CI68" i="2"/>
  <c r="CF68" i="2"/>
  <c r="CF92" i="1" s="1"/>
  <c r="CF95" i="1" s="1"/>
  <c r="CE68" i="2"/>
  <c r="CD68" i="2"/>
  <c r="CA68" i="2"/>
  <c r="BZ68" i="2"/>
  <c r="BY68" i="2"/>
  <c r="BM68" i="2"/>
  <c r="BN68" i="2" s="1"/>
  <c r="BN5" i="15" s="1"/>
  <c r="BH68" i="2"/>
  <c r="BC68" i="2"/>
  <c r="AY68" i="2"/>
  <c r="AY5" i="15" s="1"/>
  <c r="AT68" i="2"/>
  <c r="AT5" i="15" s="1"/>
  <c r="AO68" i="2"/>
  <c r="AO5" i="15" s="1"/>
  <c r="AJ68" i="2"/>
  <c r="AJ5" i="15" s="1"/>
  <c r="AD68" i="2"/>
  <c r="AC68" i="2"/>
  <c r="AB68" i="2"/>
  <c r="AA68" i="2"/>
  <c r="Y68" i="2"/>
  <c r="X68" i="2"/>
  <c r="W68" i="2"/>
  <c r="W5" i="15" s="1"/>
  <c r="V68" i="2"/>
  <c r="T68" i="2"/>
  <c r="S68" i="2"/>
  <c r="R68" i="2"/>
  <c r="Q68" i="2"/>
  <c r="O68" i="2"/>
  <c r="N68" i="2"/>
  <c r="M68" i="2"/>
  <c r="L68" i="2"/>
  <c r="J68" i="2"/>
  <c r="I68" i="2"/>
  <c r="H68" i="2"/>
  <c r="G68" i="2"/>
  <c r="E68" i="2"/>
  <c r="D68" i="2"/>
  <c r="C68" i="2"/>
  <c r="B68" i="2"/>
  <c r="DD65" i="2"/>
  <c r="DC65" i="2"/>
  <c r="CZ65" i="2"/>
  <c r="CY65" i="2"/>
  <c r="CX65" i="2"/>
  <c r="CU65" i="2"/>
  <c r="CT65" i="2"/>
  <c r="CS65" i="2"/>
  <c r="CP65" i="2"/>
  <c r="CO65" i="2"/>
  <c r="CN65" i="2"/>
  <c r="CK65" i="2"/>
  <c r="CJ65" i="2"/>
  <c r="CI65" i="2"/>
  <c r="CF65" i="2"/>
  <c r="CE65" i="2"/>
  <c r="CD65" i="2"/>
  <c r="CA65" i="2"/>
  <c r="BZ65" i="2"/>
  <c r="BY65" i="2"/>
  <c r="BW65" i="2"/>
  <c r="BV65" i="2"/>
  <c r="BU65" i="2"/>
  <c r="BT65" i="2"/>
  <c r="BR65" i="2"/>
  <c r="BQ65" i="2"/>
  <c r="BP65" i="2"/>
  <c r="BO65" i="2"/>
  <c r="BL65" i="2"/>
  <c r="BK65" i="2"/>
  <c r="BJ65" i="2"/>
  <c r="BG65" i="2"/>
  <c r="BF65" i="2"/>
  <c r="BE65" i="2"/>
  <c r="BB65" i="2"/>
  <c r="BA65" i="2"/>
  <c r="AZ65" i="2"/>
  <c r="AW65" i="2"/>
  <c r="AV65" i="2"/>
  <c r="AU65" i="2"/>
  <c r="AR65" i="2"/>
  <c r="AQ65" i="2"/>
  <c r="AP65" i="2"/>
  <c r="AN65" i="2"/>
  <c r="AM65" i="2"/>
  <c r="AL65" i="2"/>
  <c r="AK65" i="2"/>
  <c r="AI65" i="2"/>
  <c r="AH65" i="2"/>
  <c r="AG65" i="2"/>
  <c r="AF65" i="2"/>
  <c r="AD65" i="2"/>
  <c r="AC65" i="2"/>
  <c r="AB65" i="2"/>
  <c r="AA65" i="2"/>
  <c r="Y65" i="2"/>
  <c r="X65" i="2"/>
  <c r="W65" i="2"/>
  <c r="V65" i="2"/>
  <c r="T65" i="2"/>
  <c r="S65" i="2"/>
  <c r="R65" i="2"/>
  <c r="Q65" i="2"/>
  <c r="O65" i="2"/>
  <c r="N65" i="2"/>
  <c r="M65" i="2"/>
  <c r="L65" i="2"/>
  <c r="J65" i="2"/>
  <c r="I65" i="2"/>
  <c r="H65" i="2"/>
  <c r="G65" i="2"/>
  <c r="E65" i="2"/>
  <c r="D65" i="2"/>
  <c r="C65" i="2"/>
  <c r="B65" i="2"/>
  <c r="DD64" i="2"/>
  <c r="DC64" i="2"/>
  <c r="CZ64" i="2"/>
  <c r="CY64" i="2"/>
  <c r="CX64" i="2"/>
  <c r="CU64" i="2"/>
  <c r="CT64" i="2"/>
  <c r="CS64" i="2"/>
  <c r="CP64" i="2"/>
  <c r="CO64" i="2"/>
  <c r="CN64" i="2"/>
  <c r="CK64" i="2"/>
  <c r="CJ64" i="2"/>
  <c r="CI64" i="2"/>
  <c r="CF64" i="2"/>
  <c r="CE64" i="2"/>
  <c r="CD64" i="2"/>
  <c r="CA64" i="2"/>
  <c r="BZ64" i="2"/>
  <c r="BY64" i="2"/>
  <c r="BV64" i="2"/>
  <c r="BU64" i="2"/>
  <c r="BT64" i="2"/>
  <c r="BQ64" i="2"/>
  <c r="BP64" i="2"/>
  <c r="BO64" i="2"/>
  <c r="BL64" i="2"/>
  <c r="BK64" i="2"/>
  <c r="BJ64" i="2"/>
  <c r="BG64" i="2"/>
  <c r="BF64" i="2"/>
  <c r="BE64" i="2"/>
  <c r="BB64" i="2"/>
  <c r="BA64" i="2"/>
  <c r="AZ64" i="2"/>
  <c r="AW64" i="2"/>
  <c r="AV64" i="2"/>
  <c r="AU64" i="2"/>
  <c r="AR64" i="2"/>
  <c r="AQ64" i="2"/>
  <c r="AP64" i="2"/>
  <c r="AM64" i="2"/>
  <c r="AL64" i="2"/>
  <c r="AK64" i="2"/>
  <c r="AH64" i="2"/>
  <c r="AG64" i="2"/>
  <c r="AF64" i="2"/>
  <c r="AD64" i="2"/>
  <c r="AC64" i="2"/>
  <c r="AB64" i="2"/>
  <c r="AA64" i="2"/>
  <c r="Y64" i="2"/>
  <c r="X64" i="2"/>
  <c r="W64" i="2"/>
  <c r="V64" i="2"/>
  <c r="T64" i="2"/>
  <c r="S64" i="2"/>
  <c r="R64" i="2"/>
  <c r="Q64" i="2"/>
  <c r="O64" i="2"/>
  <c r="N64" i="2"/>
  <c r="M64" i="2"/>
  <c r="L64" i="2"/>
  <c r="J64" i="2"/>
  <c r="I64" i="2"/>
  <c r="H64" i="2"/>
  <c r="G64" i="2"/>
  <c r="E64" i="2"/>
  <c r="D64" i="2"/>
  <c r="C64" i="2"/>
  <c r="B64" i="2"/>
  <c r="AD62" i="2"/>
  <c r="AC62" i="2"/>
  <c r="AB62" i="2"/>
  <c r="AA62" i="2"/>
  <c r="Y62" i="2"/>
  <c r="X62" i="2"/>
  <c r="W62" i="2"/>
  <c r="V62" i="2"/>
  <c r="T62" i="2"/>
  <c r="S62" i="2"/>
  <c r="R62" i="2"/>
  <c r="Q62" i="2"/>
  <c r="O62" i="2"/>
  <c r="N62" i="2"/>
  <c r="M62" i="2"/>
  <c r="L62" i="2"/>
  <c r="J62" i="2"/>
  <c r="I62" i="2"/>
  <c r="H62" i="2"/>
  <c r="G62" i="2"/>
  <c r="E62" i="2"/>
  <c r="D62" i="2"/>
  <c r="C62" i="2"/>
  <c r="B62" i="2"/>
  <c r="DD61" i="2"/>
  <c r="DC61" i="2"/>
  <c r="CZ61" i="2"/>
  <c r="CY61" i="2"/>
  <c r="CX61" i="2"/>
  <c r="CU61" i="2"/>
  <c r="CT61" i="2"/>
  <c r="CS61" i="2"/>
  <c r="CP61" i="2"/>
  <c r="CO61" i="2"/>
  <c r="CN61" i="2"/>
  <c r="CK61" i="2"/>
  <c r="CJ61" i="2"/>
  <c r="CI61" i="2"/>
  <c r="CF61" i="2"/>
  <c r="CE61" i="2"/>
  <c r="CD61" i="2"/>
  <c r="CA61" i="2"/>
  <c r="BZ61" i="2"/>
  <c r="BY61" i="2"/>
  <c r="BV61" i="2"/>
  <c r="BU61" i="2"/>
  <c r="BT61" i="2"/>
  <c r="BQ61" i="2"/>
  <c r="BP61" i="2"/>
  <c r="BO61" i="2"/>
  <c r="BL61" i="2"/>
  <c r="BK61" i="2"/>
  <c r="BJ61" i="2"/>
  <c r="BG61" i="2"/>
  <c r="BF61" i="2"/>
  <c r="BE61" i="2"/>
  <c r="BB61" i="2"/>
  <c r="BA61" i="2"/>
  <c r="AZ61" i="2"/>
  <c r="AW61" i="2"/>
  <c r="AV61" i="2"/>
  <c r="AU61" i="2"/>
  <c r="AR61" i="2"/>
  <c r="AQ61" i="2"/>
  <c r="AP61" i="2"/>
  <c r="AM61" i="2"/>
  <c r="AL61" i="2"/>
  <c r="AK61" i="2"/>
  <c r="AH61" i="2"/>
  <c r="AG61" i="2"/>
  <c r="AF61" i="2"/>
  <c r="AD61" i="2"/>
  <c r="AC61" i="2"/>
  <c r="AB61" i="2"/>
  <c r="AA61" i="2"/>
  <c r="Y61" i="2"/>
  <c r="X61" i="2"/>
  <c r="W61" i="2"/>
  <c r="V61" i="2"/>
  <c r="T61" i="2"/>
  <c r="S61" i="2"/>
  <c r="R61" i="2"/>
  <c r="Q61" i="2"/>
  <c r="O61" i="2"/>
  <c r="N61" i="2"/>
  <c r="M61" i="2"/>
  <c r="L61" i="2"/>
  <c r="J61" i="2"/>
  <c r="I61" i="2"/>
  <c r="H61" i="2"/>
  <c r="G61" i="2"/>
  <c r="E61" i="2"/>
  <c r="D61" i="2"/>
  <c r="C61" i="2"/>
  <c r="B61" i="2"/>
  <c r="CJ60" i="2"/>
  <c r="CI60" i="2"/>
  <c r="CE60" i="2"/>
  <c r="CD60" i="2"/>
  <c r="CA60" i="2"/>
  <c r="BZ60" i="2"/>
  <c r="BY60" i="2"/>
  <c r="BV60" i="2"/>
  <c r="BU60" i="2"/>
  <c r="BT60" i="2"/>
  <c r="BQ60" i="2"/>
  <c r="BP60" i="2"/>
  <c r="BO60" i="2"/>
  <c r="BL60" i="2"/>
  <c r="BK60" i="2"/>
  <c r="BJ60" i="2"/>
  <c r="BG60" i="2"/>
  <c r="BF60" i="2"/>
  <c r="BE60" i="2"/>
  <c r="BB60" i="2"/>
  <c r="BA60" i="2"/>
  <c r="AZ60" i="2"/>
  <c r="AW60" i="2"/>
  <c r="AV60" i="2"/>
  <c r="AU60" i="2"/>
  <c r="AR60" i="2"/>
  <c r="AQ60" i="2"/>
  <c r="AP60" i="2"/>
  <c r="AM60" i="2"/>
  <c r="AL60" i="2"/>
  <c r="AK60" i="2"/>
  <c r="AH60" i="2"/>
  <c r="AG60" i="2"/>
  <c r="AF60" i="2"/>
  <c r="AD60" i="2"/>
  <c r="AC60" i="2"/>
  <c r="AB60" i="2"/>
  <c r="AA60" i="2"/>
  <c r="Y60" i="2"/>
  <c r="X60" i="2"/>
  <c r="W60" i="2"/>
  <c r="V60" i="2"/>
  <c r="T60" i="2"/>
  <c r="S60" i="2"/>
  <c r="R60" i="2"/>
  <c r="Q60" i="2"/>
  <c r="O60" i="2"/>
  <c r="N60" i="2"/>
  <c r="M60" i="2"/>
  <c r="L60" i="2"/>
  <c r="J60" i="2"/>
  <c r="I60" i="2"/>
  <c r="H60" i="2"/>
  <c r="G60" i="2"/>
  <c r="E60" i="2"/>
  <c r="D60" i="2"/>
  <c r="C60" i="2"/>
  <c r="B60" i="2"/>
  <c r="BV56" i="2"/>
  <c r="BU56" i="2"/>
  <c r="BT56" i="2"/>
  <c r="BQ56" i="2"/>
  <c r="BP56" i="2"/>
  <c r="BO56" i="2"/>
  <c r="BL56" i="2"/>
  <c r="BK56" i="2"/>
  <c r="BJ56" i="2"/>
  <c r="BG56" i="2"/>
  <c r="BF56" i="2"/>
  <c r="BE56" i="2"/>
  <c r="BB56" i="2"/>
  <c r="BA56" i="2"/>
  <c r="AZ56" i="2"/>
  <c r="AW56" i="2"/>
  <c r="AV56" i="2"/>
  <c r="AU56" i="2"/>
  <c r="AR56" i="2"/>
  <c r="AQ56" i="2"/>
  <c r="AP56" i="2"/>
  <c r="AM56" i="2"/>
  <c r="AL56" i="2"/>
  <c r="AK56" i="2"/>
  <c r="AH56" i="2"/>
  <c r="AG56" i="2"/>
  <c r="AF56" i="2"/>
  <c r="AD56" i="2"/>
  <c r="AC56" i="2"/>
  <c r="AB56" i="2"/>
  <c r="AA56" i="2"/>
  <c r="Y56" i="2"/>
  <c r="X56" i="2"/>
  <c r="W56" i="2"/>
  <c r="V56" i="2"/>
  <c r="T56" i="2"/>
  <c r="S56" i="2"/>
  <c r="R56" i="2"/>
  <c r="Q56" i="2"/>
  <c r="O56" i="2"/>
  <c r="N56" i="2"/>
  <c r="M56" i="2"/>
  <c r="L56" i="2"/>
  <c r="J56" i="2"/>
  <c r="I56" i="2"/>
  <c r="H56" i="2"/>
  <c r="G56" i="2"/>
  <c r="E56" i="2"/>
  <c r="D56" i="2"/>
  <c r="C56" i="2"/>
  <c r="B56" i="2"/>
  <c r="BV54" i="2"/>
  <c r="BU54" i="2"/>
  <c r="BT54" i="2"/>
  <c r="BQ54" i="2"/>
  <c r="BP54" i="2"/>
  <c r="BO54" i="2"/>
  <c r="BL54" i="2"/>
  <c r="BK54" i="2"/>
  <c r="BJ54" i="2"/>
  <c r="BG54" i="2"/>
  <c r="BF54" i="2"/>
  <c r="BE54" i="2"/>
  <c r="BB54" i="2"/>
  <c r="BA54" i="2"/>
  <c r="AZ54" i="2"/>
  <c r="AW54" i="2"/>
  <c r="AV54" i="2"/>
  <c r="AU54" i="2"/>
  <c r="AR54" i="2"/>
  <c r="AQ54" i="2"/>
  <c r="AP54" i="2"/>
  <c r="AM54" i="2"/>
  <c r="AL54" i="2"/>
  <c r="AK54" i="2"/>
  <c r="AH54" i="2"/>
  <c r="AG54" i="2"/>
  <c r="AF54" i="2"/>
  <c r="AD54" i="2"/>
  <c r="AC54" i="2"/>
  <c r="AB54" i="2"/>
  <c r="AA54" i="2"/>
  <c r="Y54" i="2"/>
  <c r="X54" i="2"/>
  <c r="W54" i="2"/>
  <c r="V54" i="2"/>
  <c r="T54" i="2"/>
  <c r="S54" i="2"/>
  <c r="R54" i="2"/>
  <c r="Q54" i="2"/>
  <c r="O54" i="2"/>
  <c r="N54" i="2"/>
  <c r="M54" i="2"/>
  <c r="L54" i="2"/>
  <c r="J54" i="2"/>
  <c r="I54" i="2"/>
  <c r="H54" i="2"/>
  <c r="G54" i="2"/>
  <c r="E54" i="2"/>
  <c r="D54" i="2"/>
  <c r="C54" i="2"/>
  <c r="B54" i="2"/>
  <c r="DB50" i="2"/>
  <c r="CW50" i="2"/>
  <c r="CR50" i="2"/>
  <c r="CM50" i="2"/>
  <c r="CH50" i="2"/>
  <c r="CC50" i="2"/>
  <c r="BX50" i="2"/>
  <c r="BS50" i="2"/>
  <c r="BN50" i="2"/>
  <c r="BI50" i="2"/>
  <c r="BD50" i="2"/>
  <c r="AY50" i="2"/>
  <c r="AT50" i="2"/>
  <c r="AO50" i="2"/>
  <c r="AJ50" i="2"/>
  <c r="AE50" i="2"/>
  <c r="AE81" i="2" s="1"/>
  <c r="Z50" i="2"/>
  <c r="U50" i="2"/>
  <c r="P50" i="2"/>
  <c r="K50" i="2"/>
  <c r="K81" i="2" s="1"/>
  <c r="F50" i="2"/>
  <c r="F81" i="2" s="1"/>
  <c r="DA46" i="2"/>
  <c r="CV46" i="2"/>
  <c r="CQ46" i="2"/>
  <c r="CR46" i="2" s="1"/>
  <c r="AN76" i="22" s="1"/>
  <c r="CL46" i="2"/>
  <c r="AH76" i="22" s="1"/>
  <c r="CG46" i="2"/>
  <c r="CB46" i="2"/>
  <c r="BX46" i="2"/>
  <c r="BS46" i="2"/>
  <c r="BM46" i="2"/>
  <c r="BH46" i="2"/>
  <c r="BH65" i="2" s="1"/>
  <c r="BC46" i="2"/>
  <c r="BD46" i="2" s="1"/>
  <c r="AX46" i="2"/>
  <c r="AX65" i="2" s="1"/>
  <c r="AS46" i="2"/>
  <c r="AS65" i="2" s="1"/>
  <c r="AO46" i="2"/>
  <c r="AO65" i="2" s="1"/>
  <c r="AJ46" i="2"/>
  <c r="AE46" i="2"/>
  <c r="Z46" i="2"/>
  <c r="Z65" i="2" s="1"/>
  <c r="U46" i="2"/>
  <c r="U65" i="2" s="1"/>
  <c r="P46" i="2"/>
  <c r="P65" i="2" s="1"/>
  <c r="K46" i="2"/>
  <c r="F46" i="2"/>
  <c r="F65" i="2" s="1"/>
  <c r="DB44" i="2"/>
  <c r="AX74" i="22" s="1"/>
  <c r="CW44" i="2"/>
  <c r="AS74" i="22" s="1"/>
  <c r="CR44" i="2"/>
  <c r="AN74" i="22" s="1"/>
  <c r="CM44" i="2"/>
  <c r="AI74" i="22" s="1"/>
  <c r="CH44" i="2"/>
  <c r="AD74" i="22" s="1"/>
  <c r="CC44" i="2"/>
  <c r="Y74" i="22" s="1"/>
  <c r="BX44" i="2"/>
  <c r="T74" i="22" s="1"/>
  <c r="BS44" i="2"/>
  <c r="O74" i="22" s="1"/>
  <c r="BN44" i="2"/>
  <c r="J74" i="22" s="1"/>
  <c r="BI44" i="2"/>
  <c r="E74" i="22" s="1"/>
  <c r="BD44" i="2"/>
  <c r="D74" i="22" s="1"/>
  <c r="AY44" i="2"/>
  <c r="C74" i="22" s="1"/>
  <c r="AT44" i="2"/>
  <c r="AO44" i="2"/>
  <c r="AJ44" i="2"/>
  <c r="AE44" i="2"/>
  <c r="Z44" i="2"/>
  <c r="U44" i="2"/>
  <c r="P44" i="2"/>
  <c r="K44" i="2"/>
  <c r="F44" i="2"/>
  <c r="EC43" i="2"/>
  <c r="ED43" i="2" s="1"/>
  <c r="EE43" i="2" s="1"/>
  <c r="DX43" i="2"/>
  <c r="DY43" i="2" s="1"/>
  <c r="DZ43" i="2" s="1"/>
  <c r="DS43" i="2"/>
  <c r="DT43" i="2" s="1"/>
  <c r="DU43" i="2" s="1"/>
  <c r="DA42" i="2"/>
  <c r="DB42" i="2" s="1"/>
  <c r="CV42" i="2"/>
  <c r="AR72" i="22" s="1"/>
  <c r="CQ42" i="2"/>
  <c r="AM72" i="22" s="1"/>
  <c r="CL42" i="2"/>
  <c r="CG42" i="2"/>
  <c r="AC72" i="22" s="1"/>
  <c r="CB42" i="2"/>
  <c r="X72" i="22" s="1"/>
  <c r="BW42" i="2"/>
  <c r="S72" i="22" s="1"/>
  <c r="BR42" i="2"/>
  <c r="N72" i="22" s="1"/>
  <c r="BM42" i="2"/>
  <c r="BH42" i="2"/>
  <c r="BI42" i="2" s="1"/>
  <c r="E72" i="22" s="1"/>
  <c r="BC42" i="2"/>
  <c r="BD42" i="2" s="1"/>
  <c r="D72" i="22" s="1"/>
  <c r="AY42" i="2"/>
  <c r="C72" i="22" s="1"/>
  <c r="AT42" i="2"/>
  <c r="AN42" i="2"/>
  <c r="AO42" i="2" s="1"/>
  <c r="AI42" i="2"/>
  <c r="AJ42" i="2" s="1"/>
  <c r="AE42" i="2"/>
  <c r="Z42" i="2"/>
  <c r="U42" i="2"/>
  <c r="P42" i="2"/>
  <c r="K42" i="2"/>
  <c r="F42" i="2"/>
  <c r="EC41" i="2"/>
  <c r="ED41" i="2" s="1"/>
  <c r="EE41" i="2" s="1"/>
  <c r="DX41" i="2"/>
  <c r="DY41" i="2" s="1"/>
  <c r="DZ41" i="2" s="1"/>
  <c r="DS41" i="2"/>
  <c r="DT41" i="2" s="1"/>
  <c r="DU41" i="2" s="1"/>
  <c r="AD41" i="2"/>
  <c r="AC41" i="2"/>
  <c r="AB41" i="2"/>
  <c r="AA41" i="2"/>
  <c r="Y41" i="2"/>
  <c r="X41" i="2"/>
  <c r="W41" i="2"/>
  <c r="V41" i="2"/>
  <c r="T41" i="2"/>
  <c r="S41" i="2"/>
  <c r="R41" i="2"/>
  <c r="Q41" i="2"/>
  <c r="O41" i="2"/>
  <c r="N41" i="2"/>
  <c r="M41" i="2"/>
  <c r="L41" i="2"/>
  <c r="J41" i="2"/>
  <c r="I41" i="2"/>
  <c r="H41" i="2"/>
  <c r="G41" i="2"/>
  <c r="E41" i="2"/>
  <c r="D41" i="2"/>
  <c r="C41" i="2"/>
  <c r="B41" i="2"/>
  <c r="DA40" i="2"/>
  <c r="DB40" i="2" s="1"/>
  <c r="CV40" i="2"/>
  <c r="AR70" i="22" s="1"/>
  <c r="CQ40" i="2"/>
  <c r="CR40" i="2" s="1"/>
  <c r="CL40" i="2"/>
  <c r="CG40" i="2"/>
  <c r="AC70" i="22" s="1"/>
  <c r="CB40" i="2"/>
  <c r="BW40" i="2"/>
  <c r="BX40" i="2" s="1"/>
  <c r="BR40" i="2"/>
  <c r="N70" i="22" s="1"/>
  <c r="BM40" i="2"/>
  <c r="BH40" i="2"/>
  <c r="BC40" i="2"/>
  <c r="BD40" i="2" s="1"/>
  <c r="AX40" i="2"/>
  <c r="AX64" i="2" s="1"/>
  <c r="AS40" i="2"/>
  <c r="AN40" i="2"/>
  <c r="AI40" i="2"/>
  <c r="AE40" i="2"/>
  <c r="AE41" i="2" s="1"/>
  <c r="Z40" i="2"/>
  <c r="Z41" i="2" s="1"/>
  <c r="U40" i="2"/>
  <c r="P40" i="2"/>
  <c r="K40" i="2"/>
  <c r="F40" i="2"/>
  <c r="F41" i="2" s="1"/>
  <c r="AF38" i="2"/>
  <c r="AF62" i="2" s="1"/>
  <c r="DA36" i="2"/>
  <c r="DB36" i="2" s="1"/>
  <c r="CV36" i="2"/>
  <c r="CQ36" i="2"/>
  <c r="CR36" i="2" s="1"/>
  <c r="CL36" i="2"/>
  <c r="CG36" i="2"/>
  <c r="CH36" i="2" s="1"/>
  <c r="CB36" i="2"/>
  <c r="CC36" i="2" s="1"/>
  <c r="BX36" i="2"/>
  <c r="BS36" i="2"/>
  <c r="BM36" i="2"/>
  <c r="BN36" i="2" s="1"/>
  <c r="BH36" i="2"/>
  <c r="BH160" i="1" s="1"/>
  <c r="BC36" i="2"/>
  <c r="AX36" i="2"/>
  <c r="AX160" i="1" s="1"/>
  <c r="AS36" i="2"/>
  <c r="AO36" i="2"/>
  <c r="AO160" i="1" s="1"/>
  <c r="AJ36" i="2"/>
  <c r="AJ160" i="1" s="1"/>
  <c r="AE36" i="2"/>
  <c r="Z36" i="2"/>
  <c r="U36" i="2"/>
  <c r="P36" i="2"/>
  <c r="K36" i="2"/>
  <c r="F36" i="2"/>
  <c r="DB35" i="2"/>
  <c r="AX64" i="22" s="1"/>
  <c r="CW35" i="2"/>
  <c r="AS64" i="22" s="1"/>
  <c r="CR35" i="2"/>
  <c r="AN64" i="22" s="1"/>
  <c r="CM35" i="2"/>
  <c r="AI64" i="22" s="1"/>
  <c r="CH35" i="2"/>
  <c r="AD64" i="22" s="1"/>
  <c r="CC35" i="2"/>
  <c r="Y64" i="22" s="1"/>
  <c r="BX35" i="2"/>
  <c r="T64" i="22" s="1"/>
  <c r="BS35" i="2"/>
  <c r="O64" i="22" s="1"/>
  <c r="BN35" i="2"/>
  <c r="J64" i="22" s="1"/>
  <c r="BI35" i="2"/>
  <c r="E64" i="22" s="1"/>
  <c r="BD35" i="2"/>
  <c r="D64" i="22" s="1"/>
  <c r="AY35" i="2"/>
  <c r="C64" i="22" s="1"/>
  <c r="AT35" i="2"/>
  <c r="AO35" i="2"/>
  <c r="AJ35" i="2"/>
  <c r="AE35" i="2"/>
  <c r="Z35" i="2"/>
  <c r="U35" i="2"/>
  <c r="P35" i="2"/>
  <c r="K35" i="2"/>
  <c r="F35" i="2"/>
  <c r="DA34" i="2"/>
  <c r="CV34" i="2"/>
  <c r="CQ34" i="2"/>
  <c r="CL34" i="2"/>
  <c r="AH63" i="22" s="1"/>
  <c r="CG34" i="2"/>
  <c r="CB34" i="2"/>
  <c r="CB68" i="2" s="1"/>
  <c r="CB5" i="15" s="1"/>
  <c r="BW34" i="2"/>
  <c r="BR34" i="2"/>
  <c r="BN34" i="2"/>
  <c r="J63" i="22" s="1"/>
  <c r="BI34" i="2"/>
  <c r="E63" i="22" s="1"/>
  <c r="BD34" i="2"/>
  <c r="D63" i="22" s="1"/>
  <c r="AY34" i="2"/>
  <c r="C63" i="22" s="1"/>
  <c r="AT34" i="2"/>
  <c r="AO34" i="2"/>
  <c r="AJ34" i="2"/>
  <c r="AE34" i="2"/>
  <c r="Z34" i="2"/>
  <c r="Z92" i="1" s="1"/>
  <c r="U34" i="2"/>
  <c r="P34" i="2"/>
  <c r="P92" i="1" s="1"/>
  <c r="K34" i="2"/>
  <c r="F34" i="2"/>
  <c r="F92" i="1" s="1"/>
  <c r="F93" i="1" s="1"/>
  <c r="DD33" i="2"/>
  <c r="CY33" i="2"/>
  <c r="CT33" i="2"/>
  <c r="CS33" i="2"/>
  <c r="AO62" i="22" s="1"/>
  <c r="CO33" i="2"/>
  <c r="CN33" i="2"/>
  <c r="CN32" i="2" s="1"/>
  <c r="AJ61" i="22" s="1"/>
  <c r="CJ33" i="2"/>
  <c r="AF62" i="22" s="1"/>
  <c r="CI33" i="2"/>
  <c r="CF33" i="2"/>
  <c r="AB62" i="22" s="1"/>
  <c r="CE33" i="2"/>
  <c r="CD33" i="2"/>
  <c r="CA33" i="2"/>
  <c r="BZ33" i="2"/>
  <c r="BZ32" i="2" s="1"/>
  <c r="BY33" i="2"/>
  <c r="U62" i="22" s="1"/>
  <c r="BW33" i="2"/>
  <c r="BR33" i="2"/>
  <c r="N62" i="22" s="1"/>
  <c r="BM33" i="2"/>
  <c r="BH33" i="2"/>
  <c r="BC33" i="2"/>
  <c r="BC32" i="2" s="1"/>
  <c r="AX33" i="2"/>
  <c r="AS33" i="2"/>
  <c r="AN33" i="2"/>
  <c r="AO33" i="2" s="1"/>
  <c r="AI33" i="2"/>
  <c r="AE33" i="2"/>
  <c r="Z33" i="2"/>
  <c r="U33" i="2"/>
  <c r="P33" i="2"/>
  <c r="K33" i="2"/>
  <c r="F33" i="2"/>
  <c r="DC32" i="2"/>
  <c r="AY61" i="22" s="1"/>
  <c r="CZ32" i="2"/>
  <c r="AV61" i="22" s="1"/>
  <c r="CX32" i="2"/>
  <c r="AT61" i="22" s="1"/>
  <c r="CU32" i="2"/>
  <c r="AQ61" i="22" s="1"/>
  <c r="CP32" i="2"/>
  <c r="AL61" i="22" s="1"/>
  <c r="CK32" i="2"/>
  <c r="AG61" i="22" s="1"/>
  <c r="BV32" i="2"/>
  <c r="R61" i="22" s="1"/>
  <c r="BU32" i="2"/>
  <c r="Q61" i="22" s="1"/>
  <c r="BT32" i="2"/>
  <c r="BQ32" i="2"/>
  <c r="M61" i="22" s="1"/>
  <c r="BP32" i="2"/>
  <c r="L61" i="22" s="1"/>
  <c r="BO32" i="2"/>
  <c r="BL32" i="2"/>
  <c r="H61" i="22" s="1"/>
  <c r="BK32" i="2"/>
  <c r="G61" i="22" s="1"/>
  <c r="BJ32" i="2"/>
  <c r="F61" i="22" s="1"/>
  <c r="BG32" i="2"/>
  <c r="BF32" i="2"/>
  <c r="BE32" i="2"/>
  <c r="BB32" i="2"/>
  <c r="BA32" i="2"/>
  <c r="AZ32" i="2"/>
  <c r="AW32" i="2"/>
  <c r="AV32" i="2"/>
  <c r="AU32" i="2"/>
  <c r="AR32" i="2"/>
  <c r="AQ32" i="2"/>
  <c r="AP32" i="2"/>
  <c r="AM32" i="2"/>
  <c r="AL32" i="2"/>
  <c r="AK32" i="2"/>
  <c r="AH32" i="2"/>
  <c r="AG32" i="2"/>
  <c r="AF32" i="2"/>
  <c r="AD32" i="2"/>
  <c r="AC32" i="2"/>
  <c r="AB32" i="2"/>
  <c r="AA32" i="2"/>
  <c r="Y32" i="2"/>
  <c r="X32" i="2"/>
  <c r="W32" i="2"/>
  <c r="V32" i="2"/>
  <c r="T32" i="2"/>
  <c r="S32" i="2"/>
  <c r="R32" i="2"/>
  <c r="Q32" i="2"/>
  <c r="O32" i="2"/>
  <c r="N32" i="2"/>
  <c r="M32" i="2"/>
  <c r="L32" i="2"/>
  <c r="J32" i="2"/>
  <c r="I32" i="2"/>
  <c r="H32" i="2"/>
  <c r="G32" i="2"/>
  <c r="E32" i="2"/>
  <c r="D32" i="2"/>
  <c r="C32" i="2"/>
  <c r="B32" i="2"/>
  <c r="DC31" i="2"/>
  <c r="CX31" i="2"/>
  <c r="AT60" i="22" s="1"/>
  <c r="CS31" i="2"/>
  <c r="CN31" i="2"/>
  <c r="AJ60" i="22" s="1"/>
  <c r="CK31" i="2"/>
  <c r="CF31" i="2"/>
  <c r="AB60" i="22" s="1"/>
  <c r="CC31" i="2"/>
  <c r="Y60" i="22" s="1"/>
  <c r="BX31" i="2"/>
  <c r="BS31" i="2"/>
  <c r="O60" i="22" s="1"/>
  <c r="BN31" i="2"/>
  <c r="BI31" i="2"/>
  <c r="E60" i="22" s="1"/>
  <c r="BD31" i="2"/>
  <c r="D60" i="22" s="1"/>
  <c r="AY31" i="2"/>
  <c r="C60" i="22" s="1"/>
  <c r="AT31" i="2"/>
  <c r="AO31" i="2"/>
  <c r="AJ31" i="2"/>
  <c r="AE31" i="2"/>
  <c r="Z31" i="2"/>
  <c r="U31" i="2"/>
  <c r="P31" i="2"/>
  <c r="K31" i="2"/>
  <c r="F31" i="2"/>
  <c r="CC30" i="2"/>
  <c r="Y59" i="22" s="1"/>
  <c r="BX30" i="2"/>
  <c r="T59" i="22" s="1"/>
  <c r="BS30" i="2"/>
  <c r="O59" i="22" s="1"/>
  <c r="BN30" i="2"/>
  <c r="J59" i="22" s="1"/>
  <c r="BI30" i="2"/>
  <c r="E59" i="22" s="1"/>
  <c r="BD30" i="2"/>
  <c r="D59" i="22" s="1"/>
  <c r="AY30" i="2"/>
  <c r="C59" i="22" s="1"/>
  <c r="AT30" i="2"/>
  <c r="AO30" i="2"/>
  <c r="AJ30" i="2"/>
  <c r="AE30" i="2"/>
  <c r="Z30" i="2"/>
  <c r="U30" i="2"/>
  <c r="P30" i="2"/>
  <c r="K30" i="2"/>
  <c r="F30" i="2"/>
  <c r="DD29" i="2"/>
  <c r="AZ58" i="22" s="1"/>
  <c r="DA29" i="2"/>
  <c r="AW58" i="22" s="1"/>
  <c r="CZ29" i="2"/>
  <c r="AV58" i="22" s="1"/>
  <c r="CY29" i="2"/>
  <c r="AU58" i="22" s="1"/>
  <c r="CV29" i="2"/>
  <c r="AR58" i="22" s="1"/>
  <c r="CU29" i="2"/>
  <c r="AQ58" i="22" s="1"/>
  <c r="CT29" i="2"/>
  <c r="AP58" i="22" s="1"/>
  <c r="CQ29" i="2"/>
  <c r="AM58" i="22" s="1"/>
  <c r="CP29" i="2"/>
  <c r="AL58" i="22" s="1"/>
  <c r="CO29" i="2"/>
  <c r="AK58" i="22" s="1"/>
  <c r="CL29" i="2"/>
  <c r="AH58" i="22" s="1"/>
  <c r="CJ29" i="2"/>
  <c r="AF58" i="22" s="1"/>
  <c r="CI29" i="2"/>
  <c r="AE58" i="22" s="1"/>
  <c r="CG29" i="2"/>
  <c r="AC58" i="22" s="1"/>
  <c r="CE29" i="2"/>
  <c r="AA58" i="22" s="1"/>
  <c r="CD29" i="2"/>
  <c r="CB29" i="2"/>
  <c r="X58" i="22" s="1"/>
  <c r="CA29" i="2"/>
  <c r="W58" i="22" s="1"/>
  <c r="BZ29" i="2"/>
  <c r="V58" i="22" s="1"/>
  <c r="BY29" i="2"/>
  <c r="BW29" i="2"/>
  <c r="S58" i="22" s="1"/>
  <c r="BV29" i="2"/>
  <c r="R58" i="22" s="1"/>
  <c r="BU29" i="2"/>
  <c r="Q58" i="22" s="1"/>
  <c r="BT29" i="2"/>
  <c r="BR29" i="2"/>
  <c r="N58" i="22" s="1"/>
  <c r="BQ29" i="2"/>
  <c r="M58" i="22" s="1"/>
  <c r="BP29" i="2"/>
  <c r="L58" i="22" s="1"/>
  <c r="BO29" i="2"/>
  <c r="K58" i="22" s="1"/>
  <c r="BM29" i="2"/>
  <c r="I58" i="22" s="1"/>
  <c r="BL29" i="2"/>
  <c r="BK29" i="2"/>
  <c r="G58" i="22" s="1"/>
  <c r="BJ29" i="2"/>
  <c r="F58" i="22" s="1"/>
  <c r="BH29" i="2"/>
  <c r="BG29" i="2"/>
  <c r="BF29" i="2"/>
  <c r="BE29" i="2"/>
  <c r="BC29" i="2"/>
  <c r="BB29" i="2"/>
  <c r="BA29" i="2"/>
  <c r="AZ29" i="2"/>
  <c r="AX29" i="2"/>
  <c r="AW29" i="2"/>
  <c r="AV29" i="2"/>
  <c r="AU29" i="2"/>
  <c r="AS29" i="2"/>
  <c r="AR29" i="2"/>
  <c r="AQ29" i="2"/>
  <c r="AP29" i="2"/>
  <c r="AN29" i="2"/>
  <c r="AM29" i="2"/>
  <c r="AL29" i="2"/>
  <c r="AK29" i="2"/>
  <c r="AI29" i="2"/>
  <c r="AH29" i="2"/>
  <c r="AG29" i="2"/>
  <c r="AF29" i="2"/>
  <c r="AD29" i="2"/>
  <c r="AC29" i="2"/>
  <c r="AB29" i="2"/>
  <c r="AA29" i="2"/>
  <c r="Y29" i="2"/>
  <c r="X29" i="2"/>
  <c r="W29" i="2"/>
  <c r="V29" i="2"/>
  <c r="T29" i="2"/>
  <c r="S29" i="2"/>
  <c r="R29" i="2"/>
  <c r="Q29" i="2"/>
  <c r="O29" i="2"/>
  <c r="N29" i="2"/>
  <c r="M29" i="2"/>
  <c r="L29" i="2"/>
  <c r="J29" i="2"/>
  <c r="I29" i="2"/>
  <c r="H29" i="2"/>
  <c r="G29" i="2"/>
  <c r="E29" i="2"/>
  <c r="D29" i="2"/>
  <c r="C29" i="2"/>
  <c r="B29" i="2"/>
  <c r="CN28" i="2"/>
  <c r="CM28" i="2"/>
  <c r="AI57" i="22" s="1"/>
  <c r="CH28" i="2"/>
  <c r="AD57" i="22" s="1"/>
  <c r="CC28" i="2"/>
  <c r="Y57" i="22" s="1"/>
  <c r="BX28" i="2"/>
  <c r="T57" i="22" s="1"/>
  <c r="BS28" i="2"/>
  <c r="O57" i="22" s="1"/>
  <c r="BN28" i="2"/>
  <c r="J57" i="22" s="1"/>
  <c r="BI28" i="2"/>
  <c r="E57" i="22" s="1"/>
  <c r="BD28" i="2"/>
  <c r="D57" i="22" s="1"/>
  <c r="AY28" i="2"/>
  <c r="C57" i="22" s="1"/>
  <c r="AT28" i="2"/>
  <c r="AO28" i="2"/>
  <c r="AJ28" i="2"/>
  <c r="AE28" i="2"/>
  <c r="Z28" i="2"/>
  <c r="U28" i="2"/>
  <c r="P28" i="2"/>
  <c r="K28" i="2"/>
  <c r="F28" i="2"/>
  <c r="DA26" i="2"/>
  <c r="DB26" i="2" s="1"/>
  <c r="CV26" i="2"/>
  <c r="CW26" i="2" s="1"/>
  <c r="CQ26" i="2"/>
  <c r="CL26" i="2"/>
  <c r="CM26" i="2" s="1"/>
  <c r="AI55" i="22" s="1"/>
  <c r="CG26" i="2"/>
  <c r="CB26" i="2"/>
  <c r="BW26" i="2"/>
  <c r="BR26" i="2"/>
  <c r="BS26" i="2" s="1"/>
  <c r="BM26" i="2"/>
  <c r="BH26" i="2"/>
  <c r="BC26" i="2"/>
  <c r="AX26" i="2"/>
  <c r="AX61" i="2" s="1"/>
  <c r="AS26" i="2"/>
  <c r="AS61" i="2" s="1"/>
  <c r="AN26" i="2"/>
  <c r="AI26" i="2"/>
  <c r="AE26" i="2"/>
  <c r="AE61" i="2" s="1"/>
  <c r="Z26" i="2"/>
  <c r="Z61" i="2" s="1"/>
  <c r="U26" i="2"/>
  <c r="U61" i="2" s="1"/>
  <c r="P26" i="2"/>
  <c r="K26" i="2"/>
  <c r="K61" i="2" s="1"/>
  <c r="F26" i="2"/>
  <c r="CA25" i="2"/>
  <c r="W54" i="22" s="1"/>
  <c r="BZ25" i="2"/>
  <c r="V54" i="22" s="1"/>
  <c r="BV25" i="2"/>
  <c r="R54" i="22" s="1"/>
  <c r="BU25" i="2"/>
  <c r="Q54" i="22" s="1"/>
  <c r="BQ25" i="2"/>
  <c r="M54" i="22" s="1"/>
  <c r="BP25" i="2"/>
  <c r="L54" i="22" s="1"/>
  <c r="BL25" i="2"/>
  <c r="H54" i="22" s="1"/>
  <c r="BK25" i="2"/>
  <c r="G54" i="22" s="1"/>
  <c r="BG25" i="2"/>
  <c r="BF25" i="2"/>
  <c r="BB25" i="2"/>
  <c r="BA25" i="2"/>
  <c r="AW25" i="2"/>
  <c r="AV25" i="2"/>
  <c r="AR25" i="2"/>
  <c r="AQ25" i="2"/>
  <c r="AM25" i="2"/>
  <c r="AL25" i="2"/>
  <c r="AH25" i="2"/>
  <c r="AG25" i="2"/>
  <c r="AD25" i="2"/>
  <c r="AC25" i="2"/>
  <c r="AB25" i="2"/>
  <c r="Y25" i="2"/>
  <c r="X25" i="2"/>
  <c r="W25" i="2"/>
  <c r="T25" i="2"/>
  <c r="S25" i="2"/>
  <c r="R25" i="2"/>
  <c r="O25" i="2"/>
  <c r="N25" i="2"/>
  <c r="M25" i="2"/>
  <c r="J25" i="2"/>
  <c r="I25" i="2"/>
  <c r="H25" i="2"/>
  <c r="E25" i="2"/>
  <c r="D25" i="2"/>
  <c r="C25" i="2"/>
  <c r="B25" i="2"/>
  <c r="DA24" i="2"/>
  <c r="CV24" i="2"/>
  <c r="AR53" i="22" s="1"/>
  <c r="CQ24" i="2"/>
  <c r="CR24" i="2" s="1"/>
  <c r="CL24" i="2"/>
  <c r="CM24" i="2" s="1"/>
  <c r="CG24" i="2"/>
  <c r="CG60" i="2" s="1"/>
  <c r="CB24" i="2"/>
  <c r="BW24" i="2"/>
  <c r="S53" i="22" s="1"/>
  <c r="BR24" i="2"/>
  <c r="N53" i="22" s="1"/>
  <c r="BM24" i="2"/>
  <c r="I53" i="22" s="1"/>
  <c r="BH24" i="2"/>
  <c r="BI24" i="2" s="1"/>
  <c r="BC24" i="2"/>
  <c r="AX24" i="2"/>
  <c r="AY24" i="2" s="1"/>
  <c r="AS24" i="2"/>
  <c r="AT24" i="2" s="1"/>
  <c r="AN24" i="2"/>
  <c r="AI24" i="2"/>
  <c r="AE24" i="2"/>
  <c r="Z24" i="2"/>
  <c r="U24" i="2"/>
  <c r="P24" i="2"/>
  <c r="K24" i="2"/>
  <c r="F24" i="2"/>
  <c r="CK23" i="2"/>
  <c r="AG52" i="22" s="1"/>
  <c r="CJ23" i="2"/>
  <c r="AF52" i="22" s="1"/>
  <c r="CI23" i="2"/>
  <c r="AE52" i="22" s="1"/>
  <c r="CF23" i="2"/>
  <c r="AB52" i="22" s="1"/>
  <c r="CE23" i="2"/>
  <c r="AA52" i="22" s="1"/>
  <c r="CD23" i="2"/>
  <c r="CA23" i="2"/>
  <c r="W52" i="22" s="1"/>
  <c r="BZ23" i="2"/>
  <c r="V52" i="22" s="1"/>
  <c r="BY23" i="2"/>
  <c r="U52" i="22" s="1"/>
  <c r="BV23" i="2"/>
  <c r="R52" i="22" s="1"/>
  <c r="BU23" i="2"/>
  <c r="BT23" i="2"/>
  <c r="P52" i="22" s="1"/>
  <c r="BQ23" i="2"/>
  <c r="BP23" i="2"/>
  <c r="BO23" i="2"/>
  <c r="BL23" i="2"/>
  <c r="H52" i="22" s="1"/>
  <c r="BK23" i="2"/>
  <c r="G52" i="22" s="1"/>
  <c r="BJ23" i="2"/>
  <c r="BG23" i="2"/>
  <c r="BF23" i="2"/>
  <c r="BE23" i="2"/>
  <c r="BB23" i="2"/>
  <c r="BA23" i="2"/>
  <c r="AZ23" i="2"/>
  <c r="AW23" i="2"/>
  <c r="AV23" i="2"/>
  <c r="AU23" i="2"/>
  <c r="AR23" i="2"/>
  <c r="AQ23" i="2"/>
  <c r="AP23" i="2"/>
  <c r="AM23" i="2"/>
  <c r="AL23" i="2"/>
  <c r="AK23" i="2"/>
  <c r="AH23" i="2"/>
  <c r="AG23" i="2"/>
  <c r="AF23" i="2"/>
  <c r="AD23" i="2"/>
  <c r="AC23" i="2"/>
  <c r="AB23" i="2"/>
  <c r="AA23" i="2"/>
  <c r="Y23" i="2"/>
  <c r="X23" i="2"/>
  <c r="W23" i="2"/>
  <c r="V23" i="2"/>
  <c r="T23" i="2"/>
  <c r="S23" i="2"/>
  <c r="R23" i="2"/>
  <c r="Q23" i="2"/>
  <c r="O23" i="2"/>
  <c r="N23" i="2"/>
  <c r="M23" i="2"/>
  <c r="L23" i="2"/>
  <c r="J23" i="2"/>
  <c r="I23" i="2"/>
  <c r="H23" i="2"/>
  <c r="G23" i="2"/>
  <c r="E23" i="2"/>
  <c r="D23" i="2"/>
  <c r="C23" i="2"/>
  <c r="B23" i="2"/>
  <c r="DD21" i="2"/>
  <c r="DC21" i="2"/>
  <c r="CZ21" i="2"/>
  <c r="CZ56" i="2" s="1"/>
  <c r="CY21" i="2"/>
  <c r="CX21" i="2"/>
  <c r="CU21" i="2"/>
  <c r="CT21" i="2"/>
  <c r="CS21" i="2"/>
  <c r="AO50" i="22" s="1"/>
  <c r="CP21" i="2"/>
  <c r="CO21" i="2"/>
  <c r="AK50" i="22" s="1"/>
  <c r="CN21" i="2"/>
  <c r="CK21" i="2"/>
  <c r="CK56" i="2" s="1"/>
  <c r="CJ21" i="2"/>
  <c r="CI21" i="2"/>
  <c r="CF21" i="2"/>
  <c r="CE21" i="2"/>
  <c r="CD21" i="2"/>
  <c r="CA21" i="2"/>
  <c r="BZ21" i="2"/>
  <c r="BY21" i="2"/>
  <c r="U50" i="22" s="1"/>
  <c r="BM21" i="2"/>
  <c r="BH21" i="2"/>
  <c r="BC21" i="2"/>
  <c r="AX21" i="2"/>
  <c r="AS21" i="2"/>
  <c r="AT21" i="2" s="1"/>
  <c r="AN21" i="2"/>
  <c r="AO21" i="2" s="1"/>
  <c r="AI21" i="2"/>
  <c r="AE21" i="2"/>
  <c r="Z21" i="2"/>
  <c r="U21" i="2"/>
  <c r="P21" i="2"/>
  <c r="K21" i="2"/>
  <c r="F21" i="2"/>
  <c r="BZ20" i="2"/>
  <c r="V49" i="22" s="1"/>
  <c r="BY20" i="2"/>
  <c r="U49" i="22" s="1"/>
  <c r="BV20" i="2"/>
  <c r="R49" i="22" s="1"/>
  <c r="BU20" i="2"/>
  <c r="Q49" i="22" s="1"/>
  <c r="BT20" i="2"/>
  <c r="P49" i="22" s="1"/>
  <c r="BQ20" i="2"/>
  <c r="M49" i="22" s="1"/>
  <c r="BP20" i="2"/>
  <c r="L49" i="22" s="1"/>
  <c r="BO20" i="2"/>
  <c r="K49" i="22" s="1"/>
  <c r="BL20" i="2"/>
  <c r="H49" i="22" s="1"/>
  <c r="BK20" i="2"/>
  <c r="G49" i="22" s="1"/>
  <c r="BJ20" i="2"/>
  <c r="F49" i="22" s="1"/>
  <c r="BG20" i="2"/>
  <c r="BF20" i="2"/>
  <c r="BE20" i="2"/>
  <c r="BB20" i="2"/>
  <c r="BA20" i="2"/>
  <c r="AZ20" i="2"/>
  <c r="AW20" i="2"/>
  <c r="AV20" i="2"/>
  <c r="AU20" i="2"/>
  <c r="AR20" i="2"/>
  <c r="AQ20" i="2"/>
  <c r="AP20" i="2"/>
  <c r="AM20" i="2"/>
  <c r="AL20" i="2"/>
  <c r="AK20" i="2"/>
  <c r="AH20" i="2"/>
  <c r="AG20" i="2"/>
  <c r="AF20" i="2"/>
  <c r="AD20" i="2"/>
  <c r="AC20" i="2"/>
  <c r="AB20" i="2"/>
  <c r="AA20" i="2"/>
  <c r="Y20" i="2"/>
  <c r="X20" i="2"/>
  <c r="W20" i="2"/>
  <c r="V20" i="2"/>
  <c r="T20" i="2"/>
  <c r="S20" i="2"/>
  <c r="R20" i="2"/>
  <c r="Q20" i="2"/>
  <c r="O20" i="2"/>
  <c r="N20" i="2"/>
  <c r="M20" i="2"/>
  <c r="L20" i="2"/>
  <c r="J20" i="2"/>
  <c r="I20" i="2"/>
  <c r="H20" i="2"/>
  <c r="G20" i="2"/>
  <c r="E20" i="2"/>
  <c r="D20" i="2"/>
  <c r="C20" i="2"/>
  <c r="B20" i="2"/>
  <c r="DA18" i="2"/>
  <c r="CV18" i="2"/>
  <c r="CW18" i="2" s="1"/>
  <c r="CQ18" i="2"/>
  <c r="AM47" i="22" s="1"/>
  <c r="CL18" i="2"/>
  <c r="CM18" i="2" s="1"/>
  <c r="CG18" i="2"/>
  <c r="AC47" i="22" s="1"/>
  <c r="CB18" i="2"/>
  <c r="BW18" i="2"/>
  <c r="BR18" i="2"/>
  <c r="BM18" i="2"/>
  <c r="I47" i="22" s="1"/>
  <c r="BH18" i="2"/>
  <c r="BI18" i="2" s="1"/>
  <c r="BC18" i="2"/>
  <c r="BC20" i="2" s="1"/>
  <c r="AX18" i="2"/>
  <c r="AS18" i="2"/>
  <c r="AS20" i="2" s="1"/>
  <c r="AN18" i="2"/>
  <c r="AI18" i="2"/>
  <c r="AI20" i="2" s="1"/>
  <c r="AE18" i="2"/>
  <c r="Z18" i="2"/>
  <c r="U18" i="2"/>
  <c r="P18" i="2"/>
  <c r="K18" i="2"/>
  <c r="F18" i="2"/>
  <c r="DA15" i="2"/>
  <c r="AW44" i="22" s="1"/>
  <c r="CV15" i="2"/>
  <c r="CW15" i="2" s="1"/>
  <c r="AS44" i="22" s="1"/>
  <c r="CQ15" i="2"/>
  <c r="CR15" i="2" s="1"/>
  <c r="AN44" i="22" s="1"/>
  <c r="CL15" i="2"/>
  <c r="CG15" i="2"/>
  <c r="CH15" i="2" s="1"/>
  <c r="CB15" i="2"/>
  <c r="CC15" i="2" s="1"/>
  <c r="Y44" i="22" s="1"/>
  <c r="BX15" i="2"/>
  <c r="BS15" i="2"/>
  <c r="BN15" i="2"/>
  <c r="J44" i="22" s="1"/>
  <c r="BI15" i="2"/>
  <c r="BD15" i="2"/>
  <c r="AY15" i="2"/>
  <c r="C44" i="22" s="1"/>
  <c r="AT15" i="2"/>
  <c r="AO15" i="2"/>
  <c r="AJ15" i="2"/>
  <c r="AE15" i="2"/>
  <c r="Z15" i="2"/>
  <c r="U15" i="2"/>
  <c r="P15" i="2"/>
  <c r="K15" i="2"/>
  <c r="F15" i="2"/>
  <c r="DA14" i="2"/>
  <c r="AW43" i="22" s="1"/>
  <c r="CV14" i="2"/>
  <c r="AR43" i="22" s="1"/>
  <c r="CQ14" i="2"/>
  <c r="CL14" i="2"/>
  <c r="AH43" i="22" s="1"/>
  <c r="CG14" i="2"/>
  <c r="AC43" i="22" s="1"/>
  <c r="CB14" i="2"/>
  <c r="X43" i="22" s="1"/>
  <c r="BW14" i="2"/>
  <c r="S43" i="22" s="1"/>
  <c r="BR14" i="2"/>
  <c r="N43" i="22" s="1"/>
  <c r="BN14" i="2"/>
  <c r="J43" i="22" s="1"/>
  <c r="BI14" i="2"/>
  <c r="E43" i="22" s="1"/>
  <c r="BD14" i="2"/>
  <c r="D43" i="22" s="1"/>
  <c r="AY14" i="2"/>
  <c r="C43" i="22" s="1"/>
  <c r="AT14" i="2"/>
  <c r="AO14" i="2"/>
  <c r="AJ14" i="2"/>
  <c r="DD13" i="2"/>
  <c r="DC13" i="2"/>
  <c r="CZ13" i="2"/>
  <c r="CZ70" i="1" s="1"/>
  <c r="CZ80" i="1" s="1"/>
  <c r="CY13" i="2"/>
  <c r="CY70" i="1" s="1"/>
  <c r="CX13" i="2"/>
  <c r="CU13" i="2"/>
  <c r="CT13" i="2"/>
  <c r="CS13" i="2"/>
  <c r="CP13" i="2"/>
  <c r="CP70" i="1" s="1"/>
  <c r="CO13" i="2"/>
  <c r="CO12" i="2" s="1"/>
  <c r="AK41" i="22" s="1"/>
  <c r="CN13" i="2"/>
  <c r="CN70" i="1" s="1"/>
  <c r="CK13" i="2"/>
  <c r="CK12" i="2" s="1"/>
  <c r="AG41" i="22" s="1"/>
  <c r="CJ13" i="2"/>
  <c r="CI13" i="2"/>
  <c r="CI54" i="2" s="1"/>
  <c r="CF13" i="2"/>
  <c r="CF12" i="2" s="1"/>
  <c r="AB41" i="22" s="1"/>
  <c r="CE13" i="2"/>
  <c r="CD13" i="2"/>
  <c r="CD54" i="2" s="1"/>
  <c r="CA13" i="2"/>
  <c r="BZ13" i="2"/>
  <c r="BY13" i="2"/>
  <c r="BM13" i="2"/>
  <c r="BN13" i="2" s="1"/>
  <c r="BH13" i="2"/>
  <c r="BH54" i="2" s="1"/>
  <c r="BC13" i="2"/>
  <c r="BC54" i="2" s="1"/>
  <c r="AX13" i="2"/>
  <c r="AX12" i="2" s="1"/>
  <c r="AS13" i="2"/>
  <c r="AS54" i="2" s="1"/>
  <c r="AN13" i="2"/>
  <c r="AN12" i="2" s="1"/>
  <c r="AI13" i="2"/>
  <c r="AI70" i="1" s="1"/>
  <c r="AI80" i="1" s="1"/>
  <c r="AE13" i="2"/>
  <c r="Z13" i="2"/>
  <c r="U13" i="2"/>
  <c r="P13" i="2"/>
  <c r="K13" i="2"/>
  <c r="F13" i="2"/>
  <c r="BV12" i="2"/>
  <c r="R41" i="22" s="1"/>
  <c r="BU12" i="2"/>
  <c r="Q41" i="22" s="1"/>
  <c r="BT12" i="2"/>
  <c r="BQ12" i="2"/>
  <c r="M41" i="22" s="1"/>
  <c r="BP12" i="2"/>
  <c r="BO12" i="2"/>
  <c r="K41" i="22" s="1"/>
  <c r="BL12" i="2"/>
  <c r="H41" i="22" s="1"/>
  <c r="BK12" i="2"/>
  <c r="G41" i="22" s="1"/>
  <c r="BJ12" i="2"/>
  <c r="BG12" i="2"/>
  <c r="BF12" i="2"/>
  <c r="BE12" i="2"/>
  <c r="BB12" i="2"/>
  <c r="BA12" i="2"/>
  <c r="AZ12" i="2"/>
  <c r="AW12" i="2"/>
  <c r="AV12" i="2"/>
  <c r="AU12" i="2"/>
  <c r="AR12" i="2"/>
  <c r="AQ12" i="2"/>
  <c r="AP12" i="2"/>
  <c r="AM12" i="2"/>
  <c r="AL12" i="2"/>
  <c r="AK12" i="2"/>
  <c r="AH12" i="2"/>
  <c r="AG12" i="2"/>
  <c r="AF12" i="2"/>
  <c r="AD12" i="2"/>
  <c r="AC12" i="2"/>
  <c r="AB12" i="2"/>
  <c r="AA12" i="2"/>
  <c r="Y12" i="2"/>
  <c r="X12" i="2"/>
  <c r="W12" i="2"/>
  <c r="V12" i="2"/>
  <c r="T12" i="2"/>
  <c r="S12" i="2"/>
  <c r="R12" i="2"/>
  <c r="Q12" i="2"/>
  <c r="O12" i="2"/>
  <c r="N12" i="2"/>
  <c r="M12" i="2"/>
  <c r="L12" i="2"/>
  <c r="J12" i="2"/>
  <c r="I12" i="2"/>
  <c r="H12" i="2"/>
  <c r="G12" i="2"/>
  <c r="E12" i="2"/>
  <c r="D12" i="2"/>
  <c r="C12" i="2"/>
  <c r="B12" i="2"/>
  <c r="AX11" i="2"/>
  <c r="AX53" i="2" s="1"/>
  <c r="AS11" i="2"/>
  <c r="AS5" i="2" s="1"/>
  <c r="AN11" i="2"/>
  <c r="AI11" i="2"/>
  <c r="AI53" i="2" s="1"/>
  <c r="DA9" i="2"/>
  <c r="CV9" i="2"/>
  <c r="CP9" i="2"/>
  <c r="CQ9" i="2" s="1"/>
  <c r="CK9" i="2"/>
  <c r="AG38" i="22" s="1"/>
  <c r="CF9" i="2"/>
  <c r="CB9" i="2"/>
  <c r="BW9" i="2"/>
  <c r="BR9" i="2"/>
  <c r="BS9" i="2" s="1"/>
  <c r="BN9" i="2"/>
  <c r="BI9" i="2"/>
  <c r="E38" i="22" s="1"/>
  <c r="BD9" i="2"/>
  <c r="D38" i="22" s="1"/>
  <c r="AE9" i="2"/>
  <c r="Z9" i="2"/>
  <c r="U9" i="2"/>
  <c r="P9" i="2"/>
  <c r="K9" i="2"/>
  <c r="F9" i="2"/>
  <c r="DD8" i="2"/>
  <c r="AZ37" i="22" s="1"/>
  <c r="DC8" i="2"/>
  <c r="AY37" i="22" s="1"/>
  <c r="CZ8" i="2"/>
  <c r="AV37" i="22" s="1"/>
  <c r="CY8" i="2"/>
  <c r="AU37" i="22" s="1"/>
  <c r="CX8" i="2"/>
  <c r="CU8" i="2"/>
  <c r="AQ37" i="22" s="1"/>
  <c r="CT8" i="2"/>
  <c r="AP37" i="22" s="1"/>
  <c r="CS8" i="2"/>
  <c r="AO37" i="22" s="1"/>
  <c r="CO8" i="2"/>
  <c r="AK37" i="22" s="1"/>
  <c r="CN8" i="2"/>
  <c r="CJ8" i="2"/>
  <c r="AF37" i="22" s="1"/>
  <c r="CI8" i="2"/>
  <c r="AE37" i="22" s="1"/>
  <c r="CE8" i="2"/>
  <c r="AA37" i="22" s="1"/>
  <c r="CD8" i="2"/>
  <c r="Z37" i="22" s="1"/>
  <c r="CA8" i="2"/>
  <c r="W37" i="22" s="1"/>
  <c r="BZ8" i="2"/>
  <c r="V37" i="22" s="1"/>
  <c r="BY8" i="2"/>
  <c r="U37" i="22" s="1"/>
  <c r="BV8" i="2"/>
  <c r="R37" i="22" s="1"/>
  <c r="BU8" i="2"/>
  <c r="Q37" i="22" s="1"/>
  <c r="BT8" i="2"/>
  <c r="P37" i="22" s="1"/>
  <c r="BQ8" i="2"/>
  <c r="M37" i="22" s="1"/>
  <c r="BP8" i="2"/>
  <c r="BO8" i="2"/>
  <c r="BM8" i="2"/>
  <c r="I37" i="22" s="1"/>
  <c r="BL8" i="2"/>
  <c r="H37" i="22" s="1"/>
  <c r="BK8" i="2"/>
  <c r="G37" i="22" s="1"/>
  <c r="BJ8" i="2"/>
  <c r="F37" i="22" s="1"/>
  <c r="BH8" i="2"/>
  <c r="BG8" i="2"/>
  <c r="BF8" i="2"/>
  <c r="BE8" i="2"/>
  <c r="BC8" i="2"/>
  <c r="BB8" i="2"/>
  <c r="BA8" i="2"/>
  <c r="AZ8" i="2"/>
  <c r="AW8" i="2"/>
  <c r="AV8" i="2"/>
  <c r="AU8" i="2"/>
  <c r="AR8" i="2"/>
  <c r="AQ8" i="2"/>
  <c r="AP8" i="2"/>
  <c r="AM8" i="2"/>
  <c r="AL8" i="2"/>
  <c r="AK8" i="2"/>
  <c r="AH8" i="2"/>
  <c r="AG8" i="2"/>
  <c r="AF8" i="2"/>
  <c r="AD8" i="2"/>
  <c r="AC8" i="2"/>
  <c r="AB8" i="2"/>
  <c r="AA8" i="2"/>
  <c r="Y8" i="2"/>
  <c r="X8" i="2"/>
  <c r="W8" i="2"/>
  <c r="V8" i="2"/>
  <c r="T8" i="2"/>
  <c r="S8" i="2"/>
  <c r="R8" i="2"/>
  <c r="Q8" i="2"/>
  <c r="O8" i="2"/>
  <c r="N8" i="2"/>
  <c r="M8" i="2"/>
  <c r="L8" i="2"/>
  <c r="J8" i="2"/>
  <c r="I8" i="2"/>
  <c r="H8" i="2"/>
  <c r="G8" i="2"/>
  <c r="E8" i="2"/>
  <c r="D8" i="2"/>
  <c r="C8" i="2"/>
  <c r="B8" i="2"/>
  <c r="DA7" i="2"/>
  <c r="CV7" i="2"/>
  <c r="CP7" i="2"/>
  <c r="CQ7" i="2" s="1"/>
  <c r="CK7" i="2"/>
  <c r="CF7" i="2"/>
  <c r="AB36" i="22" s="1"/>
  <c r="CB7" i="2"/>
  <c r="CC7" i="2" s="1"/>
  <c r="Y36" i="22" s="1"/>
  <c r="BW7" i="2"/>
  <c r="BX7" i="2" s="1"/>
  <c r="T36" i="22" s="1"/>
  <c r="BR7" i="2"/>
  <c r="BS7" i="2" s="1"/>
  <c r="O36" i="22" s="1"/>
  <c r="BN7" i="2"/>
  <c r="BI7" i="2"/>
  <c r="E36" i="22" s="1"/>
  <c r="BD7" i="2"/>
  <c r="D36" i="22" s="1"/>
  <c r="AY7" i="2"/>
  <c r="C36" i="22" s="1"/>
  <c r="AT7" i="2"/>
  <c r="AO7" i="2"/>
  <c r="AJ7" i="2"/>
  <c r="AE7" i="2"/>
  <c r="Z7" i="2"/>
  <c r="U7" i="2"/>
  <c r="P7" i="2"/>
  <c r="K7" i="2"/>
  <c r="F7" i="2"/>
  <c r="DB6" i="2"/>
  <c r="AX35" i="22" s="1"/>
  <c r="CW6" i="2"/>
  <c r="AS35" i="22" s="1"/>
  <c r="CR6" i="2"/>
  <c r="AN35" i="22" s="1"/>
  <c r="CM6" i="2"/>
  <c r="AI35" i="22" s="1"/>
  <c r="CH6" i="2"/>
  <c r="AD35" i="22" s="1"/>
  <c r="CC6" i="2"/>
  <c r="Y35" i="22" s="1"/>
  <c r="BX6" i="2"/>
  <c r="T35" i="22" s="1"/>
  <c r="BS6" i="2"/>
  <c r="O35" i="22" s="1"/>
  <c r="BN6" i="2"/>
  <c r="J35" i="22" s="1"/>
  <c r="BI6" i="2"/>
  <c r="E35" i="22" s="1"/>
  <c r="BD6" i="2"/>
  <c r="D35" i="22" s="1"/>
  <c r="AY6" i="2"/>
  <c r="C35" i="22" s="1"/>
  <c r="AT6" i="2"/>
  <c r="AO6" i="2"/>
  <c r="AJ6" i="2"/>
  <c r="AE6" i="2"/>
  <c r="Z6" i="2"/>
  <c r="U6" i="2"/>
  <c r="P6" i="2"/>
  <c r="K6" i="2"/>
  <c r="F6" i="2"/>
  <c r="DD5" i="2"/>
  <c r="DC5" i="2"/>
  <c r="CZ5" i="2"/>
  <c r="CY5" i="2"/>
  <c r="CX5" i="2"/>
  <c r="CX61" i="1" s="1"/>
  <c r="CU5" i="2"/>
  <c r="CT5" i="2"/>
  <c r="CT4" i="2" s="1"/>
  <c r="CS5" i="2"/>
  <c r="CS4" i="2" s="1"/>
  <c r="CO5" i="2"/>
  <c r="CN5" i="2"/>
  <c r="CJ5" i="2"/>
  <c r="CI5" i="2"/>
  <c r="CE5" i="2"/>
  <c r="CD5" i="2"/>
  <c r="CD4" i="2" s="1"/>
  <c r="Z33" i="22" s="1"/>
  <c r="CA5" i="2"/>
  <c r="BZ5" i="2"/>
  <c r="BY5" i="2"/>
  <c r="BY4" i="2" s="1"/>
  <c r="BW5" i="2"/>
  <c r="BR5" i="2"/>
  <c r="BM5" i="2"/>
  <c r="BH5" i="2"/>
  <c r="BC5" i="2"/>
  <c r="BD5" i="2" s="1"/>
  <c r="BD61" i="1" s="1"/>
  <c r="AE5" i="2"/>
  <c r="AE61" i="1" s="1"/>
  <c r="Z5" i="2"/>
  <c r="Z61" i="1" s="1"/>
  <c r="U5" i="2"/>
  <c r="U61" i="1" s="1"/>
  <c r="U65" i="1" s="1"/>
  <c r="P5" i="2"/>
  <c r="P61" i="1" s="1"/>
  <c r="K5" i="2"/>
  <c r="K61" i="1" s="1"/>
  <c r="F5" i="2"/>
  <c r="F61" i="1" s="1"/>
  <c r="BV4" i="2"/>
  <c r="BV10" i="2" s="1"/>
  <c r="R39" i="22" s="1"/>
  <c r="BU4" i="2"/>
  <c r="BU10" i="2" s="1"/>
  <c r="Q39" i="22" s="1"/>
  <c r="BT4" i="2"/>
  <c r="BT10" i="2" s="1"/>
  <c r="P39" i="22" s="1"/>
  <c r="BQ4" i="2"/>
  <c r="BQ10" i="2" s="1"/>
  <c r="M39" i="22" s="1"/>
  <c r="BP4" i="2"/>
  <c r="BO4" i="2"/>
  <c r="K33" i="22" s="1"/>
  <c r="BL4" i="2"/>
  <c r="BK4" i="2"/>
  <c r="BJ4" i="2"/>
  <c r="BJ10" i="2" s="1"/>
  <c r="F39" i="22" s="1"/>
  <c r="BG4" i="2"/>
  <c r="BG10" i="2" s="1"/>
  <c r="BF4" i="2"/>
  <c r="BE4" i="2"/>
  <c r="BE10" i="2" s="1"/>
  <c r="BB4" i="2"/>
  <c r="BB10" i="2" s="1"/>
  <c r="BA4" i="2"/>
  <c r="AZ4" i="2"/>
  <c r="AZ10" i="2" s="1"/>
  <c r="AW4" i="2"/>
  <c r="AV4" i="2"/>
  <c r="AU4" i="2"/>
  <c r="AU10" i="2" s="1"/>
  <c r="AR4" i="2"/>
  <c r="AR10" i="2" s="1"/>
  <c r="AQ4" i="2"/>
  <c r="AQ10" i="2" s="1"/>
  <c r="AP4" i="2"/>
  <c r="AM4" i="2"/>
  <c r="AL4" i="2"/>
  <c r="AK4" i="2"/>
  <c r="AH4" i="2"/>
  <c r="AG4" i="2"/>
  <c r="AG10" i="2" s="1"/>
  <c r="AF4" i="2"/>
  <c r="AD4" i="2"/>
  <c r="AD10" i="2" s="1"/>
  <c r="AC4" i="2"/>
  <c r="AC10" i="2" s="1"/>
  <c r="AB4" i="2"/>
  <c r="AB10" i="2" s="1"/>
  <c r="AA4" i="2"/>
  <c r="Y4" i="2"/>
  <c r="Y10" i="2" s="1"/>
  <c r="X4" i="2"/>
  <c r="X10" i="2" s="1"/>
  <c r="W4" i="2"/>
  <c r="V4" i="2"/>
  <c r="T4" i="2"/>
  <c r="T10" i="2" s="1"/>
  <c r="S4" i="2"/>
  <c r="R4" i="2"/>
  <c r="R10" i="2" s="1"/>
  <c r="Q4" i="2"/>
  <c r="O4" i="2"/>
  <c r="O10" i="2" s="1"/>
  <c r="N4" i="2"/>
  <c r="N10" i="2" s="1"/>
  <c r="M4" i="2"/>
  <c r="M10" i="2" s="1"/>
  <c r="L4" i="2"/>
  <c r="J4" i="2"/>
  <c r="I4" i="2"/>
  <c r="I10" i="2" s="1"/>
  <c r="H4" i="2"/>
  <c r="H10" i="2" s="1"/>
  <c r="G4" i="2"/>
  <c r="G10" i="2" s="1"/>
  <c r="E4" i="2"/>
  <c r="E10" i="2" s="1"/>
  <c r="D4" i="2"/>
  <c r="D10" i="2" s="1"/>
  <c r="C4" i="2"/>
  <c r="C10" i="2" s="1"/>
  <c r="B4" i="2"/>
  <c r="AE19" i="7"/>
  <c r="AE18" i="7" s="1"/>
  <c r="AT18" i="7"/>
  <c r="AO18" i="7"/>
  <c r="AJ18" i="7"/>
  <c r="EE25" i="2"/>
  <c r="ED25" i="2"/>
  <c r="EC25" i="2"/>
  <c r="EB25" i="2"/>
  <c r="DZ25" i="2"/>
  <c r="DY25" i="2"/>
  <c r="DX25" i="2"/>
  <c r="DW25" i="2"/>
  <c r="DU25" i="2"/>
  <c r="DT25" i="2"/>
  <c r="DS25" i="2"/>
  <c r="DP25" i="2"/>
  <c r="DO25" i="2"/>
  <c r="DN25" i="2"/>
  <c r="DM25" i="2"/>
  <c r="DK25" i="2"/>
  <c r="DJ25" i="2"/>
  <c r="DI86" i="2"/>
  <c r="DH86" i="2"/>
  <c r="DF86" i="2"/>
  <c r="DE86" i="2"/>
  <c r="DC86" i="2"/>
  <c r="DA86" i="2"/>
  <c r="CZ86" i="2"/>
  <c r="CY86" i="2"/>
  <c r="CX86" i="2"/>
  <c r="CV86" i="2"/>
  <c r="CU86" i="2"/>
  <c r="CT86" i="2"/>
  <c r="CS86" i="2"/>
  <c r="CQ86" i="2"/>
  <c r="CP86" i="2"/>
  <c r="CO86" i="2"/>
  <c r="CN86" i="2"/>
  <c r="CL86" i="2"/>
  <c r="CK86" i="2"/>
  <c r="CJ86" i="2"/>
  <c r="CI86" i="2"/>
  <c r="CG86" i="2"/>
  <c r="CF86" i="2"/>
  <c r="CE86" i="2"/>
  <c r="CD86" i="2"/>
  <c r="B18" i="11"/>
  <c r="EF19" i="7"/>
  <c r="EE18" i="7"/>
  <c r="ED18" i="7"/>
  <c r="EC18" i="7"/>
  <c r="EA19" i="7"/>
  <c r="EB18" i="7"/>
  <c r="DV19" i="7"/>
  <c r="DW18" i="7"/>
  <c r="DT18" i="7"/>
  <c r="DQ19" i="7"/>
  <c r="DR18" i="7"/>
  <c r="DP18" i="7"/>
  <c r="DO18" i="7"/>
  <c r="DL19" i="7"/>
  <c r="DJ4" i="9"/>
  <c r="DK4" i="9" s="1"/>
  <c r="DG19" i="7"/>
  <c r="DD18" i="7"/>
  <c r="DD64" i="1" s="1"/>
  <c r="DB19" i="7"/>
  <c r="DC18" i="7"/>
  <c r="DA18" i="7"/>
  <c r="DA64" i="1" s="1"/>
  <c r="DB64" i="1" s="1"/>
  <c r="CY18" i="7"/>
  <c r="CY64" i="1" s="1"/>
  <c r="CW19" i="7"/>
  <c r="CX18" i="7"/>
  <c r="CV18" i="7"/>
  <c r="CV64" i="1" s="1"/>
  <c r="CW64" i="1" s="1"/>
  <c r="CT18" i="7"/>
  <c r="CT64" i="1" s="1"/>
  <c r="CR19" i="7"/>
  <c r="CS18" i="7"/>
  <c r="CQ18" i="7"/>
  <c r="CQ64" i="1" s="1"/>
  <c r="CR64" i="1" s="1"/>
  <c r="CP18" i="7"/>
  <c r="CP64" i="1" s="1"/>
  <c r="CO18" i="7"/>
  <c r="CO64" i="1" s="1"/>
  <c r="CM19" i="7"/>
  <c r="CK18" i="7"/>
  <c r="CH19" i="7"/>
  <c r="CF18" i="7"/>
  <c r="CE18" i="7"/>
  <c r="CE64" i="1" s="1"/>
  <c r="CC19" i="7"/>
  <c r="CD18" i="7"/>
  <c r="CD64" i="1" s="1"/>
  <c r="CB18" i="7"/>
  <c r="CB64" i="1" s="1"/>
  <c r="CC64" i="1" s="1"/>
  <c r="BZ18" i="7"/>
  <c r="BZ64" i="1" s="1"/>
  <c r="BX19" i="7"/>
  <c r="BU18" i="7"/>
  <c r="BU64" i="1" s="1"/>
  <c r="BS19" i="7"/>
  <c r="BT18" i="7"/>
  <c r="BR18" i="7"/>
  <c r="BR64" i="1" s="1"/>
  <c r="BS64" i="1" s="1"/>
  <c r="BN19" i="7"/>
  <c r="BI19" i="7"/>
  <c r="BJ18" i="7"/>
  <c r="BH18" i="7"/>
  <c r="BH64" i="1" s="1"/>
  <c r="BI64" i="1" s="1"/>
  <c r="BG18" i="7"/>
  <c r="BG64" i="1" s="1"/>
  <c r="BF18" i="7"/>
  <c r="BF64" i="1" s="1"/>
  <c r="BD19" i="7"/>
  <c r="BE18" i="7"/>
  <c r="BC18" i="7"/>
  <c r="BC64" i="1" s="1"/>
  <c r="BD64" i="1" s="1"/>
  <c r="BA18" i="7"/>
  <c r="BA64" i="1" s="1"/>
  <c r="AY19" i="7"/>
  <c r="AT19" i="7"/>
  <c r="AO19" i="7"/>
  <c r="AJ19" i="7"/>
  <c r="Z19" i="7"/>
  <c r="Y18" i="7"/>
  <c r="X18" i="7"/>
  <c r="W18" i="7"/>
  <c r="U18" i="7"/>
  <c r="P19" i="7"/>
  <c r="K19" i="7"/>
  <c r="F19" i="7"/>
  <c r="EF7" i="7"/>
  <c r="EA7" i="7"/>
  <c r="DV7" i="7"/>
  <c r="DQ7" i="7"/>
  <c r="DL7" i="7"/>
  <c r="DG7" i="7"/>
  <c r="DB7" i="7"/>
  <c r="CW7" i="7"/>
  <c r="CR7" i="7"/>
  <c r="CM7" i="7"/>
  <c r="CH7" i="7"/>
  <c r="CC7" i="7"/>
  <c r="BX7" i="7"/>
  <c r="BS7" i="7"/>
  <c r="BN7" i="7"/>
  <c r="BI7" i="7"/>
  <c r="BD7" i="7"/>
  <c r="AY7" i="7"/>
  <c r="AO7" i="7"/>
  <c r="AJ7" i="7"/>
  <c r="AE7" i="7"/>
  <c r="Z7" i="7"/>
  <c r="U7" i="7"/>
  <c r="P7" i="7"/>
  <c r="K7" i="7"/>
  <c r="F7" i="7"/>
  <c r="J5" i="7"/>
  <c r="J3" i="7" s="1"/>
  <c r="J9" i="7" s="1"/>
  <c r="I5" i="7"/>
  <c r="H5" i="7"/>
  <c r="H3" i="7" s="1"/>
  <c r="H9" i="7" s="1"/>
  <c r="G5" i="7"/>
  <c r="G3" i="7" s="1"/>
  <c r="G9" i="7" s="1"/>
  <c r="F5" i="7"/>
  <c r="F3" i="7" s="1"/>
  <c r="F9" i="7" s="1"/>
  <c r="F83" i="2" s="1"/>
  <c r="E3" i="7"/>
  <c r="E9" i="7" s="1"/>
  <c r="D3" i="7"/>
  <c r="D9" i="7" s="1"/>
  <c r="C3" i="7"/>
  <c r="C9" i="7" s="1"/>
  <c r="B3" i="7"/>
  <c r="B9" i="7" s="1"/>
  <c r="B52" i="2" s="1"/>
  <c r="AV85" i="1" l="1"/>
  <c r="DF21" i="2"/>
  <c r="AB74" i="1"/>
  <c r="AV9" i="22"/>
  <c r="J74" i="1"/>
  <c r="DH73" i="2"/>
  <c r="DH56" i="1"/>
  <c r="DJ21" i="2"/>
  <c r="BF54" i="22"/>
  <c r="BG54" i="22"/>
  <c r="I74" i="1"/>
  <c r="AZ62" i="22"/>
  <c r="DF33" i="2"/>
  <c r="DF32" i="2" s="1"/>
  <c r="DC12" i="2"/>
  <c r="AY41" i="22" s="1"/>
  <c r="DF13" i="2"/>
  <c r="DC61" i="1"/>
  <c r="DF5" i="2"/>
  <c r="DJ18" i="7"/>
  <c r="DE70" i="2"/>
  <c r="DF52" i="9"/>
  <c r="X74" i="1"/>
  <c r="CJ25" i="2"/>
  <c r="AF54" i="22" s="1"/>
  <c r="AX43" i="1"/>
  <c r="AX57" i="1" s="1"/>
  <c r="H19" i="7"/>
  <c r="CN12" i="2"/>
  <c r="AJ41" i="22" s="1"/>
  <c r="AR67" i="1"/>
  <c r="AM74" i="1"/>
  <c r="B11" i="2"/>
  <c r="B43" i="2" s="1"/>
  <c r="W62" i="1"/>
  <c r="M74" i="1"/>
  <c r="AM59" i="2"/>
  <c r="BC28" i="1"/>
  <c r="BD28" i="1" s="1"/>
  <c r="BD146" i="1" s="1"/>
  <c r="F110" i="1"/>
  <c r="AO16" i="9"/>
  <c r="AM81" i="1"/>
  <c r="L26" i="1"/>
  <c r="AN64" i="2"/>
  <c r="R26" i="1"/>
  <c r="S26" i="1"/>
  <c r="CQ29" i="1"/>
  <c r="CR29" i="1" s="1"/>
  <c r="BB74" i="1"/>
  <c r="G19" i="7"/>
  <c r="CV81" i="2"/>
  <c r="AX11" i="22"/>
  <c r="DE84" i="1"/>
  <c r="CK8" i="2"/>
  <c r="AG37" i="22" s="1"/>
  <c r="BR13" i="2"/>
  <c r="BR71" i="2" s="1"/>
  <c r="N80" i="22" s="1"/>
  <c r="BW13" i="2"/>
  <c r="BW2" i="2" s="1"/>
  <c r="CC142" i="1"/>
  <c r="CV101" i="1"/>
  <c r="BJ19" i="22"/>
  <c r="K54" i="2"/>
  <c r="CX25" i="2"/>
  <c r="AT54" i="22" s="1"/>
  <c r="BQ53" i="1"/>
  <c r="AQ74" i="1"/>
  <c r="P74" i="1"/>
  <c r="DG33" i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ED33" i="1" s="1"/>
  <c r="EE33" i="1" s="1"/>
  <c r="EF33" i="1" s="1"/>
  <c r="BE17" i="22"/>
  <c r="DE40" i="9"/>
  <c r="DE35" i="9"/>
  <c r="DE37" i="9" s="1"/>
  <c r="BJ52" i="9"/>
  <c r="BN52" i="9" s="1"/>
  <c r="DE18" i="9"/>
  <c r="BA19" i="22" s="1"/>
  <c r="AV101" i="1"/>
  <c r="BP81" i="1"/>
  <c r="R89" i="1"/>
  <c r="DO20" i="9"/>
  <c r="BJ21" i="22"/>
  <c r="DE58" i="2"/>
  <c r="DE73" i="2" s="1"/>
  <c r="DE74" i="2"/>
  <c r="AR19" i="7"/>
  <c r="AF19" i="7"/>
  <c r="BL81" i="1"/>
  <c r="BE49" i="22"/>
  <c r="BI39" i="22"/>
  <c r="AE159" i="1"/>
  <c r="S19" i="7"/>
  <c r="U19" i="7"/>
  <c r="AQ19" i="7"/>
  <c r="L98" i="1"/>
  <c r="DD40" i="9"/>
  <c r="DD111" i="1" s="1"/>
  <c r="DD112" i="1" s="1"/>
  <c r="BA67" i="1"/>
  <c r="BL74" i="1"/>
  <c r="CJ98" i="1"/>
  <c r="F47" i="9"/>
  <c r="I19" i="7"/>
  <c r="T19" i="7"/>
  <c r="AG19" i="7"/>
  <c r="BE19" i="7"/>
  <c r="CZ81" i="1"/>
  <c r="AJ72" i="2"/>
  <c r="DC25" i="2"/>
  <c r="AY54" i="22" s="1"/>
  <c r="T85" i="1"/>
  <c r="AM84" i="1"/>
  <c r="AM104" i="1" s="1"/>
  <c r="AW93" i="1"/>
  <c r="AG98" i="1"/>
  <c r="H74" i="1"/>
  <c r="CN30" i="2"/>
  <c r="AJ59" i="22" s="1"/>
  <c r="CL17" i="9"/>
  <c r="CL29" i="9" s="1"/>
  <c r="BR32" i="2"/>
  <c r="N61" i="22" s="1"/>
  <c r="BK81" i="2"/>
  <c r="BK74" i="1"/>
  <c r="CG84" i="1"/>
  <c r="CG85" i="1" s="1"/>
  <c r="AD101" i="1"/>
  <c r="BA65" i="1"/>
  <c r="AO72" i="2"/>
  <c r="AE6" i="9"/>
  <c r="W19" i="7"/>
  <c r="AU19" i="7"/>
  <c r="BG19" i="7"/>
  <c r="CJ59" i="2"/>
  <c r="AB85" i="1"/>
  <c r="BQ29" i="15"/>
  <c r="AR93" i="1"/>
  <c r="CC158" i="1"/>
  <c r="CF19" i="7"/>
  <c r="C17" i="2"/>
  <c r="BL81" i="2"/>
  <c r="AL50" i="1"/>
  <c r="AL53" i="1" s="1"/>
  <c r="AC85" i="1"/>
  <c r="BN158" i="1"/>
  <c r="DF19" i="7"/>
  <c r="V69" i="1"/>
  <c r="L101" i="1"/>
  <c r="F62" i="2"/>
  <c r="BU84" i="1"/>
  <c r="BU85" i="1" s="1"/>
  <c r="G11" i="2"/>
  <c r="G19" i="2" s="1"/>
  <c r="Z8" i="2"/>
  <c r="BI8" i="2"/>
  <c r="E37" i="22" s="1"/>
  <c r="H27" i="1"/>
  <c r="H26" i="1" s="1"/>
  <c r="BF50" i="1"/>
  <c r="BF53" i="1" s="1"/>
  <c r="O85" i="1"/>
  <c r="AD85" i="1"/>
  <c r="BY56" i="2"/>
  <c r="N4" i="1"/>
  <c r="BQ27" i="1"/>
  <c r="BQ26" i="1" s="1"/>
  <c r="BB59" i="2"/>
  <c r="Z93" i="1"/>
  <c r="D74" i="1"/>
  <c r="S74" i="1"/>
  <c r="AW74" i="1"/>
  <c r="BG74" i="1"/>
  <c r="AD74" i="1"/>
  <c r="AQ11" i="2"/>
  <c r="AQ19" i="2" s="1"/>
  <c r="P68" i="2"/>
  <c r="P5" i="15" s="1"/>
  <c r="Q74" i="1"/>
  <c r="F54" i="2"/>
  <c r="G25" i="2"/>
  <c r="DB12" i="1"/>
  <c r="AU26" i="1"/>
  <c r="AR74" i="1"/>
  <c r="O74" i="1"/>
  <c r="CK25" i="2"/>
  <c r="AG54" i="22" s="1"/>
  <c r="B74" i="1"/>
  <c r="AU74" i="1"/>
  <c r="CJ139" i="1"/>
  <c r="AH43" i="9"/>
  <c r="AQ5" i="1"/>
  <c r="AQ4" i="1" s="1"/>
  <c r="C74" i="1"/>
  <c r="CI87" i="1"/>
  <c r="AV98" i="1"/>
  <c r="AE16" i="9"/>
  <c r="AT29" i="2"/>
  <c r="R4" i="1"/>
  <c r="DD98" i="1"/>
  <c r="AM43" i="9"/>
  <c r="N74" i="1"/>
  <c r="CW14" i="2"/>
  <c r="AS43" i="22" s="1"/>
  <c r="BM12" i="2"/>
  <c r="I41" i="22" s="1"/>
  <c r="AB17" i="2"/>
  <c r="AE76" i="1"/>
  <c r="K50" i="1"/>
  <c r="K53" i="1" s="1"/>
  <c r="BD104" i="1"/>
  <c r="E29" i="15"/>
  <c r="CQ101" i="1"/>
  <c r="BT43" i="9"/>
  <c r="BE81" i="1"/>
  <c r="CX92" i="1"/>
  <c r="CX95" i="1" s="1"/>
  <c r="AL37" i="9"/>
  <c r="AL58" i="9" s="1"/>
  <c r="G59" i="2"/>
  <c r="CQ65" i="2"/>
  <c r="N17" i="2"/>
  <c r="CF54" i="2"/>
  <c r="CX27" i="1"/>
  <c r="CX26" i="1" s="1"/>
  <c r="AU81" i="1"/>
  <c r="BV74" i="1"/>
  <c r="AI98" i="1"/>
  <c r="AL29" i="15"/>
  <c r="BB98" i="1"/>
  <c r="AA74" i="1"/>
  <c r="AC74" i="1"/>
  <c r="AA4" i="1"/>
  <c r="AH59" i="2"/>
  <c r="BM71" i="2"/>
  <c r="I80" i="22" s="1"/>
  <c r="CQ98" i="1"/>
  <c r="E59" i="2"/>
  <c r="CP72" i="2"/>
  <c r="AP67" i="1"/>
  <c r="DC4" i="2"/>
  <c r="DC10" i="2" s="1"/>
  <c r="AY39" i="22" s="1"/>
  <c r="CP120" i="1"/>
  <c r="F43" i="1"/>
  <c r="F52" i="1" s="1"/>
  <c r="AH67" i="1"/>
  <c r="R69" i="1"/>
  <c r="S72" i="1" s="1"/>
  <c r="AX104" i="1"/>
  <c r="BX157" i="1"/>
  <c r="CR6" i="9"/>
  <c r="AN7" i="22" s="1"/>
  <c r="BO34" i="9"/>
  <c r="AV20" i="9"/>
  <c r="AU140" i="1"/>
  <c r="CV40" i="9"/>
  <c r="CV111" i="1" s="1"/>
  <c r="CV112" i="1" s="1"/>
  <c r="CV35" i="9"/>
  <c r="CS13" i="1"/>
  <c r="CS75" i="1" s="1"/>
  <c r="CS76" i="1" s="1"/>
  <c r="CS73" i="1"/>
  <c r="CS74" i="1" s="1"/>
  <c r="EH58" i="1"/>
  <c r="L63" i="1"/>
  <c r="AL29" i="9"/>
  <c r="AL30" i="9"/>
  <c r="CN81" i="2"/>
  <c r="CL81" i="2"/>
  <c r="DB30" i="2"/>
  <c r="AX59" i="22" s="1"/>
  <c r="CX29" i="2"/>
  <c r="AT58" i="22" s="1"/>
  <c r="AD69" i="1"/>
  <c r="AD5" i="1"/>
  <c r="AD4" i="1" s="1"/>
  <c r="P84" i="1"/>
  <c r="P85" i="1" s="1"/>
  <c r="P20" i="2"/>
  <c r="AR26" i="22"/>
  <c r="CV26" i="9"/>
  <c r="AR27" i="22" s="1"/>
  <c r="BB29" i="9"/>
  <c r="CJ40" i="9"/>
  <c r="CJ111" i="1" s="1"/>
  <c r="CJ112" i="1" s="1"/>
  <c r="CJ35" i="9"/>
  <c r="CY40" i="9"/>
  <c r="CY111" i="1" s="1"/>
  <c r="CY112" i="1" s="1"/>
  <c r="CY35" i="9"/>
  <c r="DI18" i="7"/>
  <c r="DI64" i="1" s="1"/>
  <c r="DI65" i="1" s="1"/>
  <c r="DK19" i="7"/>
  <c r="BF65" i="1"/>
  <c r="AI60" i="2"/>
  <c r="AJ24" i="2"/>
  <c r="AJ60" i="2" s="1"/>
  <c r="CD59" i="2"/>
  <c r="AY92" i="1"/>
  <c r="P109" i="1"/>
  <c r="P110" i="1" s="1"/>
  <c r="O110" i="1"/>
  <c r="CL110" i="1"/>
  <c r="CM109" i="1"/>
  <c r="CM110" i="1" s="1"/>
  <c r="BC29" i="9"/>
  <c r="BG35" i="9"/>
  <c r="BG37" i="9" s="1"/>
  <c r="BG40" i="9"/>
  <c r="BG111" i="1" s="1"/>
  <c r="H101" i="1"/>
  <c r="CU26" i="9"/>
  <c r="AQ27" i="22" s="1"/>
  <c r="AM37" i="9"/>
  <c r="AM58" i="9" s="1"/>
  <c r="BL59" i="2"/>
  <c r="X101" i="1"/>
  <c r="BX9" i="9"/>
  <c r="T10" i="22" s="1"/>
  <c r="CU84" i="1"/>
  <c r="CU101" i="1" s="1"/>
  <c r="CS84" i="1"/>
  <c r="CS85" i="1" s="1"/>
  <c r="CR13" i="9"/>
  <c r="AN14" i="22" s="1"/>
  <c r="P13" i="9"/>
  <c r="CH40" i="2"/>
  <c r="AD70" i="22" s="1"/>
  <c r="AB59" i="2"/>
  <c r="CR157" i="1"/>
  <c r="BW8" i="9"/>
  <c r="S9" i="22" s="1"/>
  <c r="BW5" i="9"/>
  <c r="BV47" i="9" s="1"/>
  <c r="BN5" i="2"/>
  <c r="BN2" i="2" s="1"/>
  <c r="BM4" i="2"/>
  <c r="BN4" i="2" s="1"/>
  <c r="BM2" i="2"/>
  <c r="AJ33" i="2"/>
  <c r="AI32" i="2"/>
  <c r="AJ32" i="2" s="1"/>
  <c r="K92" i="1"/>
  <c r="K93" i="1" s="1"/>
  <c r="K68" i="2"/>
  <c r="K5" i="15" s="1"/>
  <c r="BG27" i="1"/>
  <c r="BG26" i="1" s="1"/>
  <c r="BG50" i="1"/>
  <c r="CA27" i="1"/>
  <c r="CA26" i="1" s="1"/>
  <c r="CA50" i="1"/>
  <c r="CA53" i="1" s="1"/>
  <c r="CA122" i="1" s="1"/>
  <c r="CU27" i="2"/>
  <c r="AQ56" i="22" s="1"/>
  <c r="BF57" i="1"/>
  <c r="W17" i="2"/>
  <c r="F76" i="1"/>
  <c r="AN32" i="2"/>
  <c r="AO32" i="2" s="1"/>
  <c r="BI34" i="1"/>
  <c r="BI83" i="1" s="1"/>
  <c r="BH83" i="1"/>
  <c r="CL43" i="1"/>
  <c r="CL120" i="1" s="1"/>
  <c r="BP34" i="9"/>
  <c r="C25" i="1"/>
  <c r="C3" i="2"/>
  <c r="AV78" i="2"/>
  <c r="AV57" i="1" s="1"/>
  <c r="AU81" i="2"/>
  <c r="P28" i="1"/>
  <c r="P146" i="1" s="1"/>
  <c r="O146" i="1"/>
  <c r="O145" i="1" s="1"/>
  <c r="O50" i="1"/>
  <c r="BO50" i="1"/>
  <c r="BO53" i="1" s="1"/>
  <c r="BO27" i="1"/>
  <c r="BO26" i="1" s="1"/>
  <c r="BN44" i="1"/>
  <c r="BN43" i="1" s="1"/>
  <c r="BM43" i="1"/>
  <c r="BM121" i="1" s="1"/>
  <c r="AM44" i="9"/>
  <c r="AM59" i="9" s="1"/>
  <c r="AM57" i="9"/>
  <c r="AU5" i="1"/>
  <c r="AU4" i="1" s="1"/>
  <c r="X63" i="1"/>
  <c r="BG17" i="2"/>
  <c r="F52" i="22"/>
  <c r="BJ17" i="2"/>
  <c r="F46" i="22" s="1"/>
  <c r="C11" i="2"/>
  <c r="C53" i="2" s="1"/>
  <c r="C55" i="2" s="1"/>
  <c r="AG11" i="2"/>
  <c r="Q52" i="22"/>
  <c r="BU17" i="2"/>
  <c r="Q46" i="22" s="1"/>
  <c r="AX32" i="2"/>
  <c r="AY32" i="2" s="1"/>
  <c r="C61" i="22" s="1"/>
  <c r="AY33" i="2"/>
  <c r="C62" i="22" s="1"/>
  <c r="AQ69" i="1"/>
  <c r="AQ71" i="1" s="1"/>
  <c r="AQ141" i="1"/>
  <c r="K88" i="1"/>
  <c r="K29" i="15" s="1"/>
  <c r="K73" i="1"/>
  <c r="K74" i="1" s="1"/>
  <c r="CD13" i="1"/>
  <c r="CD75" i="1" s="1"/>
  <c r="CD76" i="1" s="1"/>
  <c r="L57" i="1"/>
  <c r="L52" i="1"/>
  <c r="AA57" i="1"/>
  <c r="AA52" i="1"/>
  <c r="DA43" i="1"/>
  <c r="DA120" i="1" s="1"/>
  <c r="DB44" i="1"/>
  <c r="DB43" i="1" s="1"/>
  <c r="W74" i="1"/>
  <c r="AL74" i="1"/>
  <c r="BA74" i="1"/>
  <c r="CT40" i="9"/>
  <c r="CT111" i="1" s="1"/>
  <c r="CT35" i="9"/>
  <c r="AW43" i="9"/>
  <c r="BQ43" i="9"/>
  <c r="CG61" i="2"/>
  <c r="CG59" i="2" s="1"/>
  <c r="F144" i="1"/>
  <c r="BK17" i="2"/>
  <c r="G46" i="22" s="1"/>
  <c r="AJ29" i="11"/>
  <c r="AO29" i="11" s="1"/>
  <c r="AT29" i="11" s="1"/>
  <c r="AY29" i="11" s="1"/>
  <c r="U76" i="1"/>
  <c r="CE73" i="1"/>
  <c r="CE74" i="1" s="1"/>
  <c r="BQ59" i="2"/>
  <c r="BA141" i="1"/>
  <c r="BA69" i="1"/>
  <c r="BA71" i="1" s="1"/>
  <c r="Z76" i="1"/>
  <c r="AI100" i="1"/>
  <c r="AI101" i="1" s="1"/>
  <c r="AJ15" i="1"/>
  <c r="AJ100" i="1" s="1"/>
  <c r="AN149" i="1"/>
  <c r="CS57" i="1"/>
  <c r="T50" i="1"/>
  <c r="T27" i="2" s="1"/>
  <c r="S63" i="1"/>
  <c r="L67" i="1"/>
  <c r="BF67" i="1"/>
  <c r="BA98" i="1"/>
  <c r="DN18" i="7"/>
  <c r="DP19" i="7"/>
  <c r="H11" i="2"/>
  <c r="H43" i="2" s="1"/>
  <c r="AM11" i="2"/>
  <c r="AT46" i="2"/>
  <c r="AT65" i="2" s="1"/>
  <c r="E69" i="1"/>
  <c r="E72" i="1" s="1"/>
  <c r="E141" i="1"/>
  <c r="CI74" i="1"/>
  <c r="BV146" i="1"/>
  <c r="BV145" i="1" s="1"/>
  <c r="BV27" i="1"/>
  <c r="BV26" i="1" s="1"/>
  <c r="CE43" i="1"/>
  <c r="AF67" i="1"/>
  <c r="AG29" i="15"/>
  <c r="BA101" i="1"/>
  <c r="AY109" i="1"/>
  <c r="AY110" i="1" s="1"/>
  <c r="K18" i="9"/>
  <c r="B3" i="2"/>
  <c r="AA25" i="2"/>
  <c r="CO66" i="1"/>
  <c r="CO8" i="1"/>
  <c r="CO140" i="1" s="1"/>
  <c r="CN66" i="1"/>
  <c r="BG81" i="1"/>
  <c r="BP74" i="1"/>
  <c r="BO89" i="1"/>
  <c r="AT16" i="9"/>
  <c r="BJ34" i="9"/>
  <c r="AA5" i="11"/>
  <c r="AA6" i="11" s="1"/>
  <c r="AS11" i="22"/>
  <c r="CX84" i="1"/>
  <c r="CX104" i="1" s="1"/>
  <c r="CW84" i="1"/>
  <c r="CW101" i="1" s="1"/>
  <c r="K72" i="2"/>
  <c r="Z29" i="2"/>
  <c r="BD29" i="2"/>
  <c r="D58" i="22" s="1"/>
  <c r="AQ115" i="1"/>
  <c r="AQ117" i="1" s="1"/>
  <c r="AX100" i="1"/>
  <c r="AX101" i="1" s="1"/>
  <c r="AY15" i="1"/>
  <c r="AY100" i="1" s="1"/>
  <c r="BD35" i="1"/>
  <c r="BD87" i="1" s="1"/>
  <c r="BC87" i="1"/>
  <c r="AL57" i="1"/>
  <c r="CW44" i="1"/>
  <c r="CW43" i="1" s="1"/>
  <c r="CV43" i="1"/>
  <c r="CV121" i="1" s="1"/>
  <c r="BM110" i="1"/>
  <c r="BS158" i="1"/>
  <c r="DB142" i="1"/>
  <c r="BD22" i="15"/>
  <c r="CX121" i="1"/>
  <c r="P63" i="1"/>
  <c r="AB63" i="1"/>
  <c r="G74" i="1"/>
  <c r="T74" i="1"/>
  <c r="AI74" i="1"/>
  <c r="BQ74" i="1"/>
  <c r="O89" i="1"/>
  <c r="AD89" i="1"/>
  <c r="BP89" i="1"/>
  <c r="BA29" i="15"/>
  <c r="BL43" i="9"/>
  <c r="AO12" i="2"/>
  <c r="AO70" i="1" s="1"/>
  <c r="AO80" i="1" s="1"/>
  <c r="B17" i="2"/>
  <c r="U32" i="2"/>
  <c r="DA29" i="1"/>
  <c r="V74" i="1"/>
  <c r="AK74" i="1"/>
  <c r="AZ74" i="1"/>
  <c r="BT74" i="1"/>
  <c r="DD85" i="1"/>
  <c r="B89" i="1"/>
  <c r="BB89" i="1"/>
  <c r="AN104" i="1"/>
  <c r="DB109" i="1"/>
  <c r="DB110" i="1" s="1"/>
  <c r="AY111" i="1"/>
  <c r="CM157" i="1"/>
  <c r="BS157" i="1"/>
  <c r="U43" i="9"/>
  <c r="BN42" i="9"/>
  <c r="BK11" i="2"/>
  <c r="G40" i="22" s="1"/>
  <c r="F62" i="1"/>
  <c r="C59" i="2"/>
  <c r="AZ59" i="2"/>
  <c r="AE144" i="1"/>
  <c r="AU95" i="1"/>
  <c r="H63" i="1"/>
  <c r="Y74" i="1"/>
  <c r="I85" i="1"/>
  <c r="AD98" i="1"/>
  <c r="J29" i="15"/>
  <c r="X29" i="15"/>
  <c r="CA89" i="1"/>
  <c r="DD101" i="1"/>
  <c r="DD104" i="1"/>
  <c r="CM158" i="1"/>
  <c r="D19" i="7"/>
  <c r="AA11" i="2"/>
  <c r="AA22" i="2" s="1"/>
  <c r="F72" i="2"/>
  <c r="T11" i="2"/>
  <c r="T16" i="2" s="1"/>
  <c r="BF17" i="2"/>
  <c r="CB25" i="2"/>
  <c r="X54" i="22" s="1"/>
  <c r="K32" i="2"/>
  <c r="D59" i="2"/>
  <c r="BA59" i="2"/>
  <c r="BJ81" i="2"/>
  <c r="AZ95" i="1"/>
  <c r="AN85" i="1"/>
  <c r="AW67" i="1"/>
  <c r="BF74" i="1"/>
  <c r="AG85" i="1"/>
  <c r="G89" i="1"/>
  <c r="CR158" i="1"/>
  <c r="CC157" i="1"/>
  <c r="Z18" i="9"/>
  <c r="BU43" i="9"/>
  <c r="BE141" i="1"/>
  <c r="BE5" i="1"/>
  <c r="BE4" i="1" s="1"/>
  <c r="CL9" i="2"/>
  <c r="CM9" i="2" s="1"/>
  <c r="AI38" i="22" s="1"/>
  <c r="AO40" i="2"/>
  <c r="AO64" i="2" s="1"/>
  <c r="M63" i="1"/>
  <c r="Y63" i="1"/>
  <c r="AK101" i="1"/>
  <c r="AP28" i="9"/>
  <c r="AP18" i="9"/>
  <c r="AT28" i="9"/>
  <c r="AT30" i="9" s="1"/>
  <c r="F27" i="1"/>
  <c r="CW30" i="1"/>
  <c r="CC32" i="1"/>
  <c r="CC79" i="1" s="1"/>
  <c r="BF52" i="1"/>
  <c r="X17" i="2"/>
  <c r="AI8" i="1"/>
  <c r="AJ8" i="1" s="1"/>
  <c r="AO20" i="9" s="1"/>
  <c r="T53" i="1"/>
  <c r="T49" i="1" s="1"/>
  <c r="AF89" i="1"/>
  <c r="D11" i="22"/>
  <c r="BG84" i="1"/>
  <c r="BG101" i="1" s="1"/>
  <c r="BE84" i="1"/>
  <c r="CW11" i="9"/>
  <c r="AS12" i="22" s="1"/>
  <c r="AX19" i="7"/>
  <c r="BV19" i="7"/>
  <c r="BV18" i="7"/>
  <c r="BV64" i="1" s="1"/>
  <c r="BV65" i="1" s="1"/>
  <c r="L33" i="22"/>
  <c r="BP10" i="2"/>
  <c r="L39" i="22" s="1"/>
  <c r="CE61" i="1"/>
  <c r="CE65" i="1" s="1"/>
  <c r="CE4" i="2"/>
  <c r="CC81" i="2"/>
  <c r="CC32" i="11" s="1"/>
  <c r="BR60" i="2"/>
  <c r="AY35" i="1"/>
  <c r="BH35" i="9"/>
  <c r="BH84" i="1"/>
  <c r="AG74" i="1"/>
  <c r="DA81" i="2"/>
  <c r="BD13" i="1"/>
  <c r="AP69" i="1"/>
  <c r="AP71" i="1" s="1"/>
  <c r="D89" i="1"/>
  <c r="BN12" i="9"/>
  <c r="J13" i="22" s="1"/>
  <c r="CO16" i="9"/>
  <c r="AK17" i="22" s="1"/>
  <c r="AU17" i="2"/>
  <c r="BU59" i="2"/>
  <c r="M85" i="1"/>
  <c r="DB84" i="1"/>
  <c r="DB101" i="1" s="1"/>
  <c r="T89" i="1"/>
  <c r="AI104" i="1"/>
  <c r="BS109" i="1"/>
  <c r="BS110" i="1" s="1"/>
  <c r="BR110" i="1"/>
  <c r="AY157" i="1"/>
  <c r="AA29" i="22"/>
  <c r="CE30" i="9"/>
  <c r="AA30" i="22" s="1"/>
  <c r="AG44" i="9"/>
  <c r="AG59" i="9" s="1"/>
  <c r="AH27" i="1"/>
  <c r="AH26" i="1" s="1"/>
  <c r="Y53" i="1"/>
  <c r="Y49" i="1" s="1"/>
  <c r="CO104" i="1"/>
  <c r="DC84" i="1"/>
  <c r="DC98" i="1" s="1"/>
  <c r="CB110" i="1"/>
  <c r="BH2" i="2"/>
  <c r="BH4" i="2"/>
  <c r="BH11" i="2" s="1"/>
  <c r="BH53" i="2" s="1"/>
  <c r="BH55" i="2" s="1"/>
  <c r="AW17" i="2"/>
  <c r="BE59" i="2"/>
  <c r="CL51" i="1"/>
  <c r="CL139" i="1"/>
  <c r="F85" i="1"/>
  <c r="Q52" i="1"/>
  <c r="Q57" i="1"/>
  <c r="CQ43" i="1"/>
  <c r="K43" i="1"/>
  <c r="K57" i="1" s="1"/>
  <c r="BK67" i="1"/>
  <c r="CY101" i="1"/>
  <c r="CR28" i="9"/>
  <c r="AN29" i="22" s="1"/>
  <c r="CN28" i="9"/>
  <c r="AJ29" i="22" s="1"/>
  <c r="CW25" i="9"/>
  <c r="AS26" i="22" s="1"/>
  <c r="AG37" i="9"/>
  <c r="AG58" i="9" s="1"/>
  <c r="L5" i="7"/>
  <c r="AS19" i="7"/>
  <c r="BF19" i="7"/>
  <c r="DD86" i="2"/>
  <c r="BI13" i="2"/>
  <c r="BH12" i="2"/>
  <c r="BI12" i="2" s="1"/>
  <c r="AX22" i="2"/>
  <c r="Q17" i="2"/>
  <c r="AX23" i="2"/>
  <c r="CK30" i="2"/>
  <c r="CK29" i="2" s="1"/>
  <c r="BR68" i="2"/>
  <c r="BS34" i="2"/>
  <c r="O63" i="22" s="1"/>
  <c r="AT81" i="2"/>
  <c r="AT32" i="11" s="1"/>
  <c r="I59" i="2"/>
  <c r="AL59" i="2"/>
  <c r="AP113" i="1"/>
  <c r="AP114" i="1" s="1"/>
  <c r="AT114" i="1" s="1"/>
  <c r="BH71" i="2"/>
  <c r="BH113" i="1" s="1"/>
  <c r="CO71" i="2"/>
  <c r="AK80" i="22" s="1"/>
  <c r="CO25" i="2"/>
  <c r="AK54" i="22" s="1"/>
  <c r="CP8" i="1"/>
  <c r="CQ20" i="9" s="1"/>
  <c r="AM21" i="22" s="1"/>
  <c r="DB9" i="1"/>
  <c r="DA66" i="1"/>
  <c r="DB66" i="1" s="1"/>
  <c r="DA8" i="1"/>
  <c r="DB8" i="1" s="1"/>
  <c r="AO19" i="1"/>
  <c r="AO143" i="1" s="1"/>
  <c r="BI29" i="1"/>
  <c r="DG30" i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BS35" i="1"/>
  <c r="BS87" i="1" s="1"/>
  <c r="I50" i="1"/>
  <c r="AC57" i="1"/>
  <c r="N67" i="1"/>
  <c r="I89" i="1"/>
  <c r="AP89" i="1"/>
  <c r="BB104" i="1"/>
  <c r="AY158" i="1"/>
  <c r="B145" i="1"/>
  <c r="BX4" i="9"/>
  <c r="BD13" i="9"/>
  <c r="D14" i="22" s="1"/>
  <c r="AR16" i="22"/>
  <c r="CV16" i="9"/>
  <c r="AR17" i="22" s="1"/>
  <c r="CO17" i="9"/>
  <c r="AK18" i="22" s="1"/>
  <c r="CF26" i="9"/>
  <c r="AB27" i="22" s="1"/>
  <c r="W29" i="22"/>
  <c r="CA30" i="9"/>
  <c r="W30" i="22" s="1"/>
  <c r="AV30" i="9"/>
  <c r="AW89" i="1"/>
  <c r="CB21" i="2"/>
  <c r="Y5" i="1"/>
  <c r="Y4" i="1" s="1"/>
  <c r="BX24" i="2"/>
  <c r="CE25" i="2"/>
  <c r="AA54" i="22" s="1"/>
  <c r="BD98" i="1"/>
  <c r="AO109" i="1"/>
  <c r="AO110" i="1" s="1"/>
  <c r="CT25" i="2"/>
  <c r="AP54" i="22" s="1"/>
  <c r="K5" i="7"/>
  <c r="K3" i="7" s="1"/>
  <c r="K9" i="7" s="1"/>
  <c r="K3" i="15" s="1"/>
  <c r="CZ12" i="2"/>
  <c r="AV41" i="22" s="1"/>
  <c r="AK59" i="2"/>
  <c r="CT13" i="1"/>
  <c r="CT88" i="1" s="1"/>
  <c r="CT73" i="1"/>
  <c r="CT74" i="1" s="1"/>
  <c r="CV28" i="1"/>
  <c r="CV10" i="15" s="1"/>
  <c r="X38" i="22"/>
  <c r="CB8" i="2"/>
  <c r="X37" i="22" s="1"/>
  <c r="AG17" i="2"/>
  <c r="BR23" i="2"/>
  <c r="CQ8" i="1"/>
  <c r="CR8" i="1" s="1"/>
  <c r="F101" i="1"/>
  <c r="BC101" i="1"/>
  <c r="J50" i="1"/>
  <c r="J53" i="1" s="1"/>
  <c r="J49" i="1" s="1"/>
  <c r="O67" i="1"/>
  <c r="AB62" i="1"/>
  <c r="D98" i="1"/>
  <c r="Q85" i="1"/>
  <c r="AY84" i="1"/>
  <c r="BJ89" i="1"/>
  <c r="BC104" i="1"/>
  <c r="C145" i="1"/>
  <c r="Z6" i="9"/>
  <c r="Z8" i="9"/>
  <c r="CC4" i="9"/>
  <c r="Y5" i="22" s="1"/>
  <c r="CB5" i="9"/>
  <c r="BZ47" i="9" s="1"/>
  <c r="CB8" i="9"/>
  <c r="CN52" i="9" s="1"/>
  <c r="P18" i="9"/>
  <c r="U20" i="9"/>
  <c r="AI30" i="9"/>
  <c r="AI29" i="9"/>
  <c r="AB29" i="22"/>
  <c r="CF30" i="9"/>
  <c r="AB30" i="22" s="1"/>
  <c r="CQ30" i="9"/>
  <c r="AM30" i="22" s="1"/>
  <c r="U47" i="9"/>
  <c r="T110" i="1"/>
  <c r="U109" i="1"/>
  <c r="U110" i="1" s="1"/>
  <c r="U71" i="2"/>
  <c r="U54" i="2"/>
  <c r="BR100" i="1"/>
  <c r="BR101" i="1" s="1"/>
  <c r="BS15" i="1"/>
  <c r="BS100" i="1" s="1"/>
  <c r="CR9" i="2"/>
  <c r="AN38" i="22" s="1"/>
  <c r="AO11" i="9"/>
  <c r="BI36" i="2"/>
  <c r="BI160" i="1" s="1"/>
  <c r="CC42" i="2"/>
  <c r="Y72" i="22" s="1"/>
  <c r="BB60" i="1"/>
  <c r="BB62" i="1" s="1"/>
  <c r="BB5" i="1"/>
  <c r="BB4" i="1" s="1"/>
  <c r="BD19" i="1"/>
  <c r="BD143" i="1" s="1"/>
  <c r="AI148" i="1"/>
  <c r="AJ37" i="1"/>
  <c r="AJ148" i="1" s="1"/>
  <c r="BG29" i="9"/>
  <c r="AI57" i="9"/>
  <c r="CM29" i="1"/>
  <c r="CL28" i="1"/>
  <c r="CL10" i="15" s="1"/>
  <c r="AW65" i="1"/>
  <c r="AG89" i="1"/>
  <c r="Z109" i="1"/>
  <c r="Z110" i="1" s="1"/>
  <c r="Y110" i="1"/>
  <c r="AL16" i="22"/>
  <c r="CP16" i="9"/>
  <c r="AL17" i="22" s="1"/>
  <c r="AN66" i="1"/>
  <c r="AO66" i="1" s="1"/>
  <c r="S89" i="1"/>
  <c r="CE139" i="1"/>
  <c r="F30" i="9"/>
  <c r="BP43" i="9"/>
  <c r="DD73" i="1"/>
  <c r="DD74" i="1" s="1"/>
  <c r="DD11" i="1"/>
  <c r="DD141" i="1" s="1"/>
  <c r="AY142" i="1"/>
  <c r="AN51" i="1"/>
  <c r="BB85" i="1"/>
  <c r="AR84" i="1"/>
  <c r="AR85" i="1" s="1"/>
  <c r="BD109" i="1"/>
  <c r="BD110" i="1" s="1"/>
  <c r="BC110" i="1"/>
  <c r="AT111" i="1"/>
  <c r="K30" i="9"/>
  <c r="AV17" i="2"/>
  <c r="AN25" i="2"/>
  <c r="CZ54" i="2"/>
  <c r="BF5" i="1"/>
  <c r="BF4" i="1" s="1"/>
  <c r="AE11" i="1"/>
  <c r="AE141" i="1" s="1"/>
  <c r="O52" i="1"/>
  <c r="O57" i="1"/>
  <c r="F50" i="1"/>
  <c r="F53" i="1" s="1"/>
  <c r="X62" i="1"/>
  <c r="BE69" i="1"/>
  <c r="BE71" i="1" s="1"/>
  <c r="AY22" i="15"/>
  <c r="CU25" i="2"/>
  <c r="AQ54" i="22" s="1"/>
  <c r="CI71" i="2"/>
  <c r="AE80" i="22" s="1"/>
  <c r="K76" i="1"/>
  <c r="CL147" i="1"/>
  <c r="CL87" i="1"/>
  <c r="AJ44" i="1"/>
  <c r="AJ43" i="1" s="1"/>
  <c r="AJ52" i="1" s="1"/>
  <c r="BZ69" i="1"/>
  <c r="AO73" i="1"/>
  <c r="AO74" i="1" s="1"/>
  <c r="AN74" i="1"/>
  <c r="H85" i="1"/>
  <c r="AH146" i="1"/>
  <c r="AH145" i="1" s="1"/>
  <c r="AQ30" i="9"/>
  <c r="M5" i="7"/>
  <c r="DD19" i="7"/>
  <c r="AZ17" i="2"/>
  <c r="BH85" i="2"/>
  <c r="BI85" i="2" s="1"/>
  <c r="BH61" i="2"/>
  <c r="C83" i="2"/>
  <c r="C3" i="1"/>
  <c r="O5" i="7"/>
  <c r="L19" i="7"/>
  <c r="X19" i="7"/>
  <c r="AV19" i="7"/>
  <c r="U8" i="2"/>
  <c r="AZ11" i="2"/>
  <c r="AZ19" i="2" s="1"/>
  <c r="AY29" i="2"/>
  <c r="C58" i="22" s="1"/>
  <c r="DC29" i="2"/>
  <c r="AY58" i="22" s="1"/>
  <c r="V25" i="2"/>
  <c r="AV140" i="1"/>
  <c r="AV5" i="1"/>
  <c r="AV4" i="1" s="1"/>
  <c r="CZ8" i="1"/>
  <c r="V4" i="1"/>
  <c r="CH18" i="1"/>
  <c r="CH144" i="1" s="1"/>
  <c r="BW29" i="1"/>
  <c r="BW28" i="1" s="1"/>
  <c r="BW50" i="1" s="1"/>
  <c r="BS32" i="1"/>
  <c r="BS79" i="1" s="1"/>
  <c r="BX35" i="1"/>
  <c r="BX87" i="1" s="1"/>
  <c r="DD147" i="1"/>
  <c r="DD87" i="1"/>
  <c r="W63" i="1"/>
  <c r="AA85" i="1"/>
  <c r="E98" i="1"/>
  <c r="D101" i="1"/>
  <c r="BB101" i="1"/>
  <c r="AP104" i="1"/>
  <c r="CZ104" i="1"/>
  <c r="BX109" i="1"/>
  <c r="BX110" i="1" s="1"/>
  <c r="BF120" i="1"/>
  <c r="U18" i="9"/>
  <c r="CI26" i="9"/>
  <c r="AE27" i="22" s="1"/>
  <c r="AC29" i="22"/>
  <c r="CG30" i="9"/>
  <c r="AC30" i="22" s="1"/>
  <c r="DA30" i="9"/>
  <c r="AW30" i="22" s="1"/>
  <c r="CK40" i="9"/>
  <c r="CK111" i="1" s="1"/>
  <c r="AE43" i="9"/>
  <c r="BH19" i="7"/>
  <c r="AE71" i="2"/>
  <c r="BZ71" i="2"/>
  <c r="V80" i="22" s="1"/>
  <c r="U23" i="2"/>
  <c r="AH17" i="2"/>
  <c r="F60" i="2"/>
  <c r="DA25" i="2"/>
  <c r="AW54" i="22" s="1"/>
  <c r="AC17" i="2"/>
  <c r="Z32" i="2"/>
  <c r="AC59" i="2"/>
  <c r="AU59" i="2"/>
  <c r="BM60" i="2"/>
  <c r="CE59" i="2"/>
  <c r="AP59" i="2"/>
  <c r="CA59" i="2"/>
  <c r="BI22" i="15"/>
  <c r="L74" i="1"/>
  <c r="AP74" i="1"/>
  <c r="BE74" i="1"/>
  <c r="BY74" i="1"/>
  <c r="C85" i="1"/>
  <c r="CZ85" i="1"/>
  <c r="V104" i="1"/>
  <c r="CV104" i="1"/>
  <c r="AA89" i="1"/>
  <c r="AJ92" i="1"/>
  <c r="AB98" i="1"/>
  <c r="AO158" i="1"/>
  <c r="CW158" i="1"/>
  <c r="AR141" i="1"/>
  <c r="P11" i="9"/>
  <c r="BW12" i="9"/>
  <c r="AT21" i="9"/>
  <c r="AM26" i="22"/>
  <c r="CR25" i="9"/>
  <c r="AN26" i="22" s="1"/>
  <c r="BK43" i="9"/>
  <c r="BM1" i="2"/>
  <c r="J11" i="2"/>
  <c r="J16" i="2" s="1"/>
  <c r="J70" i="1"/>
  <c r="J80" i="1" s="1"/>
  <c r="J81" i="1" s="1"/>
  <c r="AI81" i="1"/>
  <c r="AN56" i="2"/>
  <c r="E17" i="2"/>
  <c r="T17" i="2"/>
  <c r="BM64" i="2"/>
  <c r="CR42" i="2"/>
  <c r="AN72" i="22" s="1"/>
  <c r="AD59" i="2"/>
  <c r="AV59" i="2"/>
  <c r="BO59" i="2"/>
  <c r="BZ5" i="1"/>
  <c r="BZ4" i="1" s="1"/>
  <c r="AE142" i="1"/>
  <c r="BE95" i="1"/>
  <c r="AY29" i="1"/>
  <c r="AX28" i="1"/>
  <c r="AX146" i="1" s="1"/>
  <c r="BN22" i="15"/>
  <c r="AP65" i="1"/>
  <c r="J67" i="1"/>
  <c r="V67" i="1"/>
  <c r="AK81" i="1"/>
  <c r="BZ74" i="1"/>
  <c r="CL85" i="1"/>
  <c r="DA85" i="1"/>
  <c r="J104" i="1"/>
  <c r="AC29" i="15"/>
  <c r="BI157" i="1"/>
  <c r="AT158" i="1"/>
  <c r="DB158" i="1"/>
  <c r="AJ157" i="1"/>
  <c r="BX158" i="1"/>
  <c r="K16" i="9"/>
  <c r="P8" i="2"/>
  <c r="X44" i="22"/>
  <c r="CB72" i="2"/>
  <c r="AL17" i="2"/>
  <c r="U64" i="2"/>
  <c r="AA59" i="2"/>
  <c r="BO57" i="1"/>
  <c r="CU81" i="2"/>
  <c r="CA5" i="1"/>
  <c r="CA4" i="1" s="1"/>
  <c r="C26" i="1"/>
  <c r="AL81" i="1"/>
  <c r="CA74" i="1"/>
  <c r="O98" i="1"/>
  <c r="BN110" i="1"/>
  <c r="P16" i="9"/>
  <c r="AT47" i="9"/>
  <c r="K20" i="2"/>
  <c r="M17" i="2"/>
  <c r="B59" i="2"/>
  <c r="Q59" i="2"/>
  <c r="AW59" i="2"/>
  <c r="CI59" i="2"/>
  <c r="M59" i="2"/>
  <c r="AQ59" i="2"/>
  <c r="P76" i="1"/>
  <c r="F19" i="1"/>
  <c r="F143" i="1" s="1"/>
  <c r="CR19" i="1"/>
  <c r="BS22" i="15"/>
  <c r="E67" i="1"/>
  <c r="AC67" i="1"/>
  <c r="AH74" i="1"/>
  <c r="BO74" i="1"/>
  <c r="CO85" i="1"/>
  <c r="Y101" i="1"/>
  <c r="CX87" i="1"/>
  <c r="M29" i="15"/>
  <c r="AR89" i="1"/>
  <c r="AN98" i="1"/>
  <c r="CY98" i="1"/>
  <c r="AB104" i="1"/>
  <c r="BO146" i="1"/>
  <c r="BO145" i="1" s="1"/>
  <c r="CE40" i="9"/>
  <c r="CE111" i="1" s="1"/>
  <c r="CE112" i="1" s="1"/>
  <c r="I39" i="24"/>
  <c r="U92" i="1"/>
  <c r="U93" i="1" s="1"/>
  <c r="U68" i="2"/>
  <c r="U5" i="15" s="1"/>
  <c r="BX34" i="2"/>
  <c r="T63" i="22" s="1"/>
  <c r="BW21" i="2"/>
  <c r="T76" i="22"/>
  <c r="BX65" i="2"/>
  <c r="AI20" i="9"/>
  <c r="AH140" i="1"/>
  <c r="AH5" i="1"/>
  <c r="AH4" i="1" s="1"/>
  <c r="BQ60" i="1"/>
  <c r="BQ63" i="1" s="1"/>
  <c r="BQ41" i="2" s="1"/>
  <c r="M71" i="22" s="1"/>
  <c r="BQ5" i="1"/>
  <c r="BQ4" i="1" s="1"/>
  <c r="CB13" i="1"/>
  <c r="CC13" i="1" s="1"/>
  <c r="CC12" i="1"/>
  <c r="BI37" i="1"/>
  <c r="BI148" i="1" s="1"/>
  <c r="BH148" i="1"/>
  <c r="AZ120" i="1"/>
  <c r="AZ52" i="1"/>
  <c r="AZ121" i="1"/>
  <c r="BQ120" i="1"/>
  <c r="BQ52" i="1"/>
  <c r="AJ13" i="2"/>
  <c r="AJ54" i="2" s="1"/>
  <c r="F23" i="2"/>
  <c r="Z62" i="2"/>
  <c r="BD33" i="2"/>
  <c r="D62" i="22" s="1"/>
  <c r="X76" i="22"/>
  <c r="CB65" i="2"/>
  <c r="CC46" i="2"/>
  <c r="CC68" i="2"/>
  <c r="CC5" i="15" s="1"/>
  <c r="CS5" i="15"/>
  <c r="CS92" i="1"/>
  <c r="CS95" i="1" s="1"/>
  <c r="F71" i="2"/>
  <c r="BP78" i="2"/>
  <c r="CC34" i="1"/>
  <c r="CC83" i="1" s="1"/>
  <c r="CB83" i="1"/>
  <c r="AJ40" i="1"/>
  <c r="AJ149" i="1" s="1"/>
  <c r="AI149" i="1"/>
  <c r="BA120" i="1"/>
  <c r="BA52" i="1"/>
  <c r="BT120" i="1"/>
  <c r="BT57" i="1"/>
  <c r="BT121" i="1"/>
  <c r="AO44" i="1"/>
  <c r="AO43" i="1" s="1"/>
  <c r="AN43" i="1"/>
  <c r="AN57" i="1" s="1"/>
  <c r="H53" i="1"/>
  <c r="H27" i="2"/>
  <c r="AA65" i="1"/>
  <c r="AA67" i="1"/>
  <c r="BD111" i="1"/>
  <c r="AF11" i="2"/>
  <c r="AF10" i="2"/>
  <c r="AP50" i="22"/>
  <c r="CT56" i="2"/>
  <c r="AK17" i="2"/>
  <c r="BC60" i="2"/>
  <c r="BC23" i="2"/>
  <c r="BI33" i="2"/>
  <c r="E62" i="22" s="1"/>
  <c r="BH32" i="2"/>
  <c r="BI32" i="2" s="1"/>
  <c r="E61" i="22" s="1"/>
  <c r="AC63" i="22"/>
  <c r="CG68" i="2"/>
  <c r="CH68" i="2" s="1"/>
  <c r="CH5" i="15" s="1"/>
  <c r="AS160" i="1"/>
  <c r="AT36" i="2"/>
  <c r="AT160" i="1" s="1"/>
  <c r="CS81" i="2"/>
  <c r="BL146" i="1"/>
  <c r="BL145" i="1" s="1"/>
  <c r="BL50" i="1"/>
  <c r="BL53" i="1" s="1"/>
  <c r="BL55" i="1" s="1"/>
  <c r="AK120" i="1"/>
  <c r="AK57" i="1"/>
  <c r="BU121" i="1"/>
  <c r="AU65" i="1"/>
  <c r="AT33" i="9"/>
  <c r="AU111" i="1"/>
  <c r="AU112" i="1" s="1"/>
  <c r="AT109" i="1"/>
  <c r="AT110" i="1" s="1"/>
  <c r="CW109" i="1"/>
  <c r="CW110" i="1" s="1"/>
  <c r="CV110" i="1"/>
  <c r="H17" i="2"/>
  <c r="BD24" i="2"/>
  <c r="BD60" i="2" s="1"/>
  <c r="I62" i="22"/>
  <c r="BM32" i="2"/>
  <c r="I61" i="22" s="1"/>
  <c r="CH34" i="2"/>
  <c r="AD63" i="22" s="1"/>
  <c r="AD5" i="15"/>
  <c r="AD8" i="15" s="1"/>
  <c r="AD9" i="15" s="1"/>
  <c r="AD92" i="1"/>
  <c r="AD95" i="1" s="1"/>
  <c r="AG146" i="1"/>
  <c r="AG145" i="1" s="1"/>
  <c r="AG50" i="1"/>
  <c r="AH86" i="2" s="1"/>
  <c r="AH87" i="2" s="1"/>
  <c r="CM39" i="1"/>
  <c r="CM149" i="1" s="1"/>
  <c r="CL149" i="1"/>
  <c r="AO40" i="1"/>
  <c r="AO149" i="1" s="1"/>
  <c r="N65" i="1"/>
  <c r="BE120" i="1"/>
  <c r="CC111" i="1"/>
  <c r="CB112" i="1"/>
  <c r="BL18" i="7"/>
  <c r="BL64" i="1" s="1"/>
  <c r="BL65" i="1" s="1"/>
  <c r="BO19" i="7"/>
  <c r="BY18" i="7"/>
  <c r="BY64" i="1" s="1"/>
  <c r="CA19" i="7"/>
  <c r="E19" i="7"/>
  <c r="AJ18" i="2"/>
  <c r="AJ20" i="2" s="1"/>
  <c r="AI19" i="2"/>
  <c r="CR31" i="2"/>
  <c r="AN60" i="22" s="1"/>
  <c r="BN33" i="2"/>
  <c r="J62" i="22" s="1"/>
  <c r="AK62" i="22"/>
  <c r="CO32" i="2"/>
  <c r="AK61" i="22" s="1"/>
  <c r="D5" i="15"/>
  <c r="D8" i="15" s="1"/>
  <c r="D9" i="15" s="1"/>
  <c r="D92" i="1"/>
  <c r="D93" i="1" s="1"/>
  <c r="BU78" i="2"/>
  <c r="BU57" i="1" s="1"/>
  <c r="AN100" i="1"/>
  <c r="AN101" i="1" s="1"/>
  <c r="AO15" i="1"/>
  <c r="AO100" i="1" s="1"/>
  <c r="CM18" i="1"/>
  <c r="CM144" i="1" s="1"/>
  <c r="CL144" i="1"/>
  <c r="T26" i="1"/>
  <c r="G50" i="1"/>
  <c r="G53" i="1" s="1"/>
  <c r="G27" i="1"/>
  <c r="CM30" i="1"/>
  <c r="AM120" i="1"/>
  <c r="AM52" i="1"/>
  <c r="AM95" i="1"/>
  <c r="AM93" i="1"/>
  <c r="P32" i="2"/>
  <c r="L17" i="2"/>
  <c r="CF32" i="2"/>
  <c r="AB61" i="22" s="1"/>
  <c r="I69" i="1"/>
  <c r="I5" i="1"/>
  <c r="I4" i="1" s="1"/>
  <c r="AG27" i="1"/>
  <c r="AG26" i="1" s="1"/>
  <c r="D63" i="1"/>
  <c r="D62" i="1"/>
  <c r="BF98" i="1"/>
  <c r="R43" i="24"/>
  <c r="BO18" i="7"/>
  <c r="BO64" i="1" s="1"/>
  <c r="BO65" i="1" s="1"/>
  <c r="BQ19" i="7"/>
  <c r="CL18" i="7"/>
  <c r="CL64" i="1" s="1"/>
  <c r="CM64" i="1" s="1"/>
  <c r="CO19" i="7"/>
  <c r="DY19" i="7"/>
  <c r="AC11" i="2"/>
  <c r="AC19" i="2" s="1"/>
  <c r="AZ42" i="22"/>
  <c r="DD71" i="2"/>
  <c r="DD12" i="2"/>
  <c r="AZ41" i="22" s="1"/>
  <c r="DD54" i="2"/>
  <c r="CH14" i="2"/>
  <c r="AD43" i="22" s="1"/>
  <c r="CJ32" i="2"/>
  <c r="AF61" i="22" s="1"/>
  <c r="CJ56" i="2"/>
  <c r="CS8" i="1"/>
  <c r="CS60" i="1" s="1"/>
  <c r="CS66" i="1"/>
  <c r="J6" i="15"/>
  <c r="K11" i="1"/>
  <c r="L6" i="15" s="1"/>
  <c r="J5" i="1"/>
  <c r="J4" i="1" s="1"/>
  <c r="BN18" i="1"/>
  <c r="BM144" i="1"/>
  <c r="E63" i="1"/>
  <c r="Q63" i="1"/>
  <c r="AG121" i="1"/>
  <c r="AW29" i="9"/>
  <c r="AW30" i="9"/>
  <c r="Q29" i="22"/>
  <c r="BU29" i="9"/>
  <c r="BF40" i="9"/>
  <c r="BF35" i="9"/>
  <c r="BF37" i="9" s="1"/>
  <c r="AH44" i="9"/>
  <c r="AH59" i="9" s="1"/>
  <c r="AH57" i="9"/>
  <c r="AI5" i="2"/>
  <c r="AI71" i="2" s="1"/>
  <c r="AI113" i="1" s="1"/>
  <c r="AI115" i="1" s="1"/>
  <c r="AT18" i="2"/>
  <c r="AT60" i="2"/>
  <c r="AI54" i="2"/>
  <c r="AI55" i="2" s="1"/>
  <c r="CO56" i="2"/>
  <c r="P51" i="1"/>
  <c r="Q25" i="2"/>
  <c r="BR139" i="1"/>
  <c r="BR51" i="1"/>
  <c r="BR25" i="2"/>
  <c r="N54" i="22" s="1"/>
  <c r="CO51" i="1"/>
  <c r="CO53" i="1" s="1"/>
  <c r="CP25" i="2"/>
  <c r="AL54" i="22" s="1"/>
  <c r="DD25" i="2"/>
  <c r="AZ54" i="22" s="1"/>
  <c r="DC51" i="1"/>
  <c r="DC53" i="1" s="1"/>
  <c r="DC54" i="1" s="1"/>
  <c r="BR29" i="1"/>
  <c r="BS29" i="1" s="1"/>
  <c r="X85" i="1"/>
  <c r="AX30" i="9"/>
  <c r="AX29" i="9"/>
  <c r="AR44" i="9"/>
  <c r="AR59" i="9" s="1"/>
  <c r="AR57" i="9"/>
  <c r="AS57" i="9"/>
  <c r="AS44" i="9"/>
  <c r="AS59" i="9" s="1"/>
  <c r="BR19" i="7"/>
  <c r="BP18" i="7"/>
  <c r="BP64" i="1" s="1"/>
  <c r="BP65" i="1" s="1"/>
  <c r="CZ18" i="7"/>
  <c r="DC19" i="7"/>
  <c r="DX18" i="7"/>
  <c r="DZ19" i="7"/>
  <c r="J36" i="22"/>
  <c r="BN72" i="2"/>
  <c r="BN8" i="2"/>
  <c r="J37" i="22" s="1"/>
  <c r="CM14" i="2"/>
  <c r="BT17" i="2"/>
  <c r="P46" i="22" s="1"/>
  <c r="AY18" i="2"/>
  <c r="AX19" i="2"/>
  <c r="AX56" i="2"/>
  <c r="BC56" i="2"/>
  <c r="AF50" i="22"/>
  <c r="AT26" i="2"/>
  <c r="AT61" i="2" s="1"/>
  <c r="AO29" i="2"/>
  <c r="BI46" i="2"/>
  <c r="BI65" i="2" s="1"/>
  <c r="BA76" i="22"/>
  <c r="BD81" i="2"/>
  <c r="BD32" i="11" s="1"/>
  <c r="CP51" i="1"/>
  <c r="CQ25" i="2"/>
  <c r="AM54" i="22" s="1"/>
  <c r="CU8" i="1"/>
  <c r="CU60" i="1" s="1"/>
  <c r="CU66" i="1"/>
  <c r="F88" i="1"/>
  <c r="F89" i="1" s="1"/>
  <c r="F73" i="1"/>
  <c r="F74" i="1" s="1"/>
  <c r="BM73" i="1"/>
  <c r="BM13" i="1"/>
  <c r="DB13" i="1"/>
  <c r="DA75" i="1"/>
  <c r="DA76" i="1" s="1"/>
  <c r="BR97" i="1"/>
  <c r="BR98" i="1" s="1"/>
  <c r="BR18" i="1"/>
  <c r="BS17" i="1"/>
  <c r="AN148" i="1"/>
  <c r="AO37" i="1"/>
  <c r="AO148" i="1" s="1"/>
  <c r="BT52" i="1"/>
  <c r="AP85" i="1"/>
  <c r="CI84" i="1"/>
  <c r="CH84" i="1"/>
  <c r="AG26" i="22"/>
  <c r="CK26" i="9"/>
  <c r="AG27" i="22" s="1"/>
  <c r="AT26" i="22"/>
  <c r="CX26" i="9"/>
  <c r="AT27" i="22" s="1"/>
  <c r="AH30" i="9"/>
  <c r="AH29" i="9"/>
  <c r="AH19" i="7"/>
  <c r="AI19" i="7"/>
  <c r="BQ18" i="7"/>
  <c r="BQ64" i="1" s="1"/>
  <c r="BQ65" i="1" s="1"/>
  <c r="BT19" i="7"/>
  <c r="CE19" i="7"/>
  <c r="DA19" i="7"/>
  <c r="EB19" i="7"/>
  <c r="DY18" i="7"/>
  <c r="CF5" i="2"/>
  <c r="AB34" i="22" s="1"/>
  <c r="F8" i="2"/>
  <c r="P41" i="22"/>
  <c r="BD21" i="2"/>
  <c r="K64" i="2"/>
  <c r="K41" i="2"/>
  <c r="I76" i="22"/>
  <c r="BM65" i="2"/>
  <c r="CH9" i="1"/>
  <c r="CW9" i="1"/>
  <c r="CV8" i="1"/>
  <c r="CW8" i="1" s="1"/>
  <c r="BI10" i="1"/>
  <c r="BH9" i="1"/>
  <c r="BH66" i="1" s="1"/>
  <c r="BI66" i="1" s="1"/>
  <c r="BN12" i="1"/>
  <c r="DC75" i="1"/>
  <c r="DC76" i="1" s="1"/>
  <c r="DC11" i="1"/>
  <c r="K101" i="1"/>
  <c r="BD15" i="1"/>
  <c r="BD100" i="1" s="1"/>
  <c r="BD101" i="1" s="1"/>
  <c r="BS20" i="1"/>
  <c r="BR19" i="1"/>
  <c r="BR143" i="1" s="1"/>
  <c r="M50" i="1"/>
  <c r="M27" i="2" s="1"/>
  <c r="M27" i="1"/>
  <c r="M26" i="1" s="1"/>
  <c r="BE27" i="1"/>
  <c r="BE26" i="1" s="1"/>
  <c r="BE50" i="1"/>
  <c r="AV60" i="1"/>
  <c r="AV62" i="1" s="1"/>
  <c r="M62" i="1"/>
  <c r="L85" i="1"/>
  <c r="AY16" i="9"/>
  <c r="C17" i="22" s="1"/>
  <c r="C5" i="22"/>
  <c r="CM84" i="1"/>
  <c r="CN84" i="1"/>
  <c r="CN85" i="1" s="1"/>
  <c r="BE18" i="9"/>
  <c r="AU26" i="22"/>
  <c r="CY26" i="9"/>
  <c r="AU27" i="22" s="1"/>
  <c r="CL35" i="9"/>
  <c r="CL40" i="9"/>
  <c r="CL111" i="1" s="1"/>
  <c r="DA35" i="9"/>
  <c r="DA40" i="9"/>
  <c r="DA111" i="1" s="1"/>
  <c r="DA112" i="1" s="1"/>
  <c r="DD4" i="2"/>
  <c r="DD10" i="2" s="1"/>
  <c r="AZ39" i="22" s="1"/>
  <c r="DD61" i="1"/>
  <c r="Y11" i="2"/>
  <c r="Y16" i="2" s="1"/>
  <c r="AL42" i="22"/>
  <c r="CP54" i="2"/>
  <c r="CP12" i="2"/>
  <c r="AL41" i="22" s="1"/>
  <c r="CG23" i="2"/>
  <c r="AC52" i="22" s="1"/>
  <c r="AN23" i="2"/>
  <c r="AO23" i="2" s="1"/>
  <c r="P41" i="2"/>
  <c r="P64" i="2"/>
  <c r="BN46" i="2"/>
  <c r="X5" i="15"/>
  <c r="X8" i="15" s="1"/>
  <c r="X9" i="15" s="1"/>
  <c r="X92" i="1"/>
  <c r="CP81" i="2"/>
  <c r="DD81" i="2"/>
  <c r="DC57" i="1"/>
  <c r="BO81" i="2"/>
  <c r="AE15" i="15"/>
  <c r="AJ14" i="15" s="1"/>
  <c r="AE51" i="1"/>
  <c r="AF25" i="2"/>
  <c r="AE139" i="1"/>
  <c r="AF140" i="1"/>
  <c r="AF60" i="1"/>
  <c r="BO60" i="1"/>
  <c r="BO62" i="1" s="1"/>
  <c r="BO140" i="1"/>
  <c r="CX66" i="1"/>
  <c r="CX67" i="1" s="1"/>
  <c r="CX8" i="1"/>
  <c r="CY20" i="9" s="1"/>
  <c r="AU21" i="22" s="1"/>
  <c r="BM9" i="1"/>
  <c r="BN9" i="1" s="1"/>
  <c r="BN10" i="1"/>
  <c r="DA11" i="1"/>
  <c r="DA141" i="1" s="1"/>
  <c r="AN75" i="1"/>
  <c r="AN11" i="1"/>
  <c r="AN69" i="1" s="1"/>
  <c r="AH53" i="1"/>
  <c r="CI66" i="1"/>
  <c r="BQ140" i="1"/>
  <c r="AY6" i="9"/>
  <c r="C7" i="22" s="1"/>
  <c r="AE30" i="9"/>
  <c r="AE11" i="9"/>
  <c r="AF84" i="1"/>
  <c r="AE84" i="1"/>
  <c r="AE98" i="1" s="1"/>
  <c r="AH84" i="1"/>
  <c r="AE13" i="9"/>
  <c r="AK18" i="9"/>
  <c r="AO28" i="9"/>
  <c r="AV26" i="22"/>
  <c r="CZ26" i="9"/>
  <c r="AV27" i="22" s="1"/>
  <c r="BM18" i="7"/>
  <c r="BM64" i="1" s="1"/>
  <c r="BN64" i="1" s="1"/>
  <c r="BP19" i="7"/>
  <c r="DU18" i="7"/>
  <c r="DX19" i="7"/>
  <c r="BJ54" i="22"/>
  <c r="DN86" i="2"/>
  <c r="AH55" i="22"/>
  <c r="CL61" i="2"/>
  <c r="CD19" i="7"/>
  <c r="CA18" i="7"/>
  <c r="CA64" i="1" s="1"/>
  <c r="CN18" i="7"/>
  <c r="CP19" i="7"/>
  <c r="DN19" i="7"/>
  <c r="DK18" i="7"/>
  <c r="DO19" i="7"/>
  <c r="DM18" i="7"/>
  <c r="BB17" i="2"/>
  <c r="CN19" i="7"/>
  <c r="H33" i="22"/>
  <c r="BL11" i="2"/>
  <c r="BL10" i="2"/>
  <c r="H39" i="22" s="1"/>
  <c r="CB13" i="2"/>
  <c r="BY12" i="2"/>
  <c r="U41" i="22" s="1"/>
  <c r="CS71" i="2"/>
  <c r="AO80" i="22" s="1"/>
  <c r="CS12" i="2"/>
  <c r="AO41" i="22" s="1"/>
  <c r="AX20" i="2"/>
  <c r="K56" i="2"/>
  <c r="AS60" i="2"/>
  <c r="AS59" i="2" s="1"/>
  <c r="AS23" i="2"/>
  <c r="AT23" i="2" s="1"/>
  <c r="AS25" i="2"/>
  <c r="AA62" i="22"/>
  <c r="CE32" i="2"/>
  <c r="AA61" i="22" s="1"/>
  <c r="L92" i="1"/>
  <c r="L93" i="1" s="1"/>
  <c r="L5" i="15"/>
  <c r="Y5" i="15"/>
  <c r="Y8" i="15" s="1"/>
  <c r="Y9" i="15" s="1"/>
  <c r="Y92" i="1"/>
  <c r="Y95" i="1" s="1"/>
  <c r="CQ81" i="2"/>
  <c r="CT81" i="2"/>
  <c r="AJ6" i="1"/>
  <c r="AJ51" i="1" s="1"/>
  <c r="AI25" i="2"/>
  <c r="AG140" i="1"/>
  <c r="AG5" i="1"/>
  <c r="AG4" i="1" s="1"/>
  <c r="AG60" i="1"/>
  <c r="AG62" i="1" s="1"/>
  <c r="AS88" i="1"/>
  <c r="AS89" i="1" s="1"/>
  <c r="AS75" i="1"/>
  <c r="AS76" i="1" s="1"/>
  <c r="AS11" i="1"/>
  <c r="AT13" i="1"/>
  <c r="AT88" i="1" s="1"/>
  <c r="E52" i="1"/>
  <c r="E26" i="1"/>
  <c r="CB43" i="1"/>
  <c r="CB120" i="1" s="1"/>
  <c r="CC44" i="1"/>
  <c r="CC43" i="1" s="1"/>
  <c r="DD43" i="1"/>
  <c r="E53" i="1"/>
  <c r="E27" i="2"/>
  <c r="S52" i="1"/>
  <c r="AP80" i="1"/>
  <c r="AP81" i="1" s="1"/>
  <c r="DD70" i="1"/>
  <c r="DD80" i="1" s="1"/>
  <c r="DD81" i="1" s="1"/>
  <c r="J98" i="1"/>
  <c r="L104" i="1"/>
  <c r="Y104" i="1"/>
  <c r="BA64" i="22"/>
  <c r="AG59" i="2"/>
  <c r="BT60" i="1"/>
  <c r="BT5" i="1"/>
  <c r="BT4" i="1" s="1"/>
  <c r="AG141" i="1"/>
  <c r="AG69" i="1"/>
  <c r="AG71" i="1" s="1"/>
  <c r="K85" i="1"/>
  <c r="CK87" i="1"/>
  <c r="CK147" i="1"/>
  <c r="W53" i="1"/>
  <c r="W27" i="2"/>
  <c r="S10" i="2"/>
  <c r="S11" i="2"/>
  <c r="AM38" i="22"/>
  <c r="CQ8" i="2"/>
  <c r="AM37" i="22" s="1"/>
  <c r="AE25" i="2"/>
  <c r="I72" i="22"/>
  <c r="BN42" i="2"/>
  <c r="J72" i="22" s="1"/>
  <c r="CJ5" i="15"/>
  <c r="CJ8" i="15" s="1"/>
  <c r="CJ9" i="15" s="1"/>
  <c r="CJ92" i="1"/>
  <c r="CJ95" i="1" s="1"/>
  <c r="H4" i="1"/>
  <c r="AM6" i="15"/>
  <c r="AL60" i="1"/>
  <c r="G141" i="1"/>
  <c r="G69" i="1"/>
  <c r="G5" i="1"/>
  <c r="G4" i="1" s="1"/>
  <c r="BJ50" i="1"/>
  <c r="BJ53" i="1" s="1"/>
  <c r="BJ27" i="1"/>
  <c r="BJ26" i="1" s="1"/>
  <c r="AN28" i="1"/>
  <c r="AO28" i="1" s="1"/>
  <c r="AO29" i="1"/>
  <c r="Z43" i="1"/>
  <c r="Z57" i="1" s="1"/>
  <c r="BS43" i="1"/>
  <c r="BV69" i="1"/>
  <c r="BV71" i="1" s="1"/>
  <c r="Q29" i="15"/>
  <c r="AW29" i="15"/>
  <c r="CC110" i="1"/>
  <c r="Z47" i="9"/>
  <c r="F43" i="9"/>
  <c r="Q19" i="7"/>
  <c r="EE19" i="7"/>
  <c r="AB11" i="2"/>
  <c r="AY21" i="2"/>
  <c r="C50" i="22" s="1"/>
  <c r="U62" i="2"/>
  <c r="CS32" i="2"/>
  <c r="AO61" i="22" s="1"/>
  <c r="AG38" i="2"/>
  <c r="AG159" i="1" s="1"/>
  <c r="BC64" i="2"/>
  <c r="BI139" i="1"/>
  <c r="BJ25" i="2"/>
  <c r="F54" i="22" s="1"/>
  <c r="W69" i="1"/>
  <c r="W5" i="1"/>
  <c r="W4" i="1" s="1"/>
  <c r="CG76" i="1"/>
  <c r="CH75" i="1"/>
  <c r="CH76" i="1" s="1"/>
  <c r="BX34" i="1"/>
  <c r="BO120" i="1"/>
  <c r="BO121" i="1"/>
  <c r="BX44" i="1"/>
  <c r="BX43" i="1" s="1"/>
  <c r="BW43" i="1"/>
  <c r="BW52" i="1" s="1"/>
  <c r="M65" i="1"/>
  <c r="M67" i="1"/>
  <c r="Y67" i="1"/>
  <c r="Y65" i="1"/>
  <c r="BJ67" i="1"/>
  <c r="I98" i="1"/>
  <c r="X98" i="1"/>
  <c r="AX6" i="22"/>
  <c r="DB8" i="9"/>
  <c r="AX9" i="22" s="1"/>
  <c r="BO52" i="9"/>
  <c r="BS52" i="9" s="1"/>
  <c r="BK52" i="9"/>
  <c r="CQ149" i="1"/>
  <c r="CR39" i="1"/>
  <c r="CR149" i="1" s="1"/>
  <c r="M33" i="22"/>
  <c r="AY12" i="2"/>
  <c r="C41" i="22" s="1"/>
  <c r="AO13" i="2"/>
  <c r="AO54" i="2" s="1"/>
  <c r="CD12" i="2"/>
  <c r="CG13" i="2"/>
  <c r="CH13" i="2" s="1"/>
  <c r="BD18" i="2"/>
  <c r="BD20" i="2" s="1"/>
  <c r="D49" i="22" s="1"/>
  <c r="P58" i="22"/>
  <c r="BX29" i="2"/>
  <c r="T58" i="22" s="1"/>
  <c r="AS64" i="2"/>
  <c r="AS43" i="2"/>
  <c r="AM70" i="22"/>
  <c r="CQ64" i="2"/>
  <c r="BZ59" i="2"/>
  <c r="BU62" i="1"/>
  <c r="AH141" i="1"/>
  <c r="AH69" i="1"/>
  <c r="BU5" i="1"/>
  <c r="BU4" i="1" s="1"/>
  <c r="AK95" i="1"/>
  <c r="K27" i="1"/>
  <c r="CI57" i="1"/>
  <c r="CI52" i="1"/>
  <c r="CN57" i="1"/>
  <c r="CN52" i="1"/>
  <c r="BT69" i="1"/>
  <c r="BT71" i="1" s="1"/>
  <c r="BQ81" i="1"/>
  <c r="C89" i="1"/>
  <c r="AV29" i="15"/>
  <c r="BR4" i="2"/>
  <c r="N33" i="22" s="1"/>
  <c r="D44" i="22"/>
  <c r="BD72" i="2"/>
  <c r="J17" i="2"/>
  <c r="P60" i="2"/>
  <c r="AJ57" i="22"/>
  <c r="CN23" i="2"/>
  <c r="AJ52" i="22" s="1"/>
  <c r="T59" i="2"/>
  <c r="N59" i="2"/>
  <c r="AH116" i="1"/>
  <c r="AH118" i="1" s="1"/>
  <c r="CY66" i="1"/>
  <c r="CY8" i="1"/>
  <c r="BY69" i="1"/>
  <c r="BY141" i="1"/>
  <c r="F142" i="1"/>
  <c r="BN142" i="1"/>
  <c r="D26" i="1"/>
  <c r="F149" i="1"/>
  <c r="CQ51" i="1"/>
  <c r="AY33" i="9"/>
  <c r="BD41" i="9" s="1"/>
  <c r="AZ111" i="1"/>
  <c r="AZ112" i="1" s="1"/>
  <c r="AF16" i="22"/>
  <c r="CJ16" i="9"/>
  <c r="AF17" i="22" s="1"/>
  <c r="CD21" i="9"/>
  <c r="Z22" i="22" s="1"/>
  <c r="Z18" i="22"/>
  <c r="AF74" i="1"/>
  <c r="AW19" i="7"/>
  <c r="BU19" i="7"/>
  <c r="DE19" i="7"/>
  <c r="EC19" i="7"/>
  <c r="DZ18" i="7"/>
  <c r="CU85" i="2"/>
  <c r="CU84" i="2" s="1"/>
  <c r="AB70" i="1"/>
  <c r="AB80" i="1" s="1"/>
  <c r="AB81" i="1" s="1"/>
  <c r="DB14" i="2"/>
  <c r="AX43" i="22" s="1"/>
  <c r="Y17" i="2"/>
  <c r="DB24" i="2"/>
  <c r="P25" i="2"/>
  <c r="CP28" i="2"/>
  <c r="CP23" i="2" s="1"/>
  <c r="AD17" i="2"/>
  <c r="AE32" i="2"/>
  <c r="V59" i="2"/>
  <c r="O59" i="2"/>
  <c r="G5" i="15"/>
  <c r="G92" i="1"/>
  <c r="CE14" i="15"/>
  <c r="CD51" i="1"/>
  <c r="AJ9" i="1"/>
  <c r="K142" i="1"/>
  <c r="BA26" i="1"/>
  <c r="V53" i="1"/>
  <c r="V49" i="1" s="1"/>
  <c r="CQ147" i="1"/>
  <c r="CQ87" i="1"/>
  <c r="BN37" i="1"/>
  <c r="BN148" i="1" s="1"/>
  <c r="K149" i="1"/>
  <c r="U63" i="1"/>
  <c r="BP84" i="1"/>
  <c r="BP104" i="1" s="1"/>
  <c r="BM84" i="1"/>
  <c r="BM85" i="1" s="1"/>
  <c r="AU28" i="9"/>
  <c r="AU18" i="9"/>
  <c r="AF29" i="22"/>
  <c r="CJ30" i="9"/>
  <c r="AF30" i="22" s="1"/>
  <c r="Y19" i="7"/>
  <c r="CJ85" i="2"/>
  <c r="CJ84" i="2" s="1"/>
  <c r="AK11" i="2"/>
  <c r="AK22" i="2" s="1"/>
  <c r="CL7" i="2"/>
  <c r="CL72" i="2" s="1"/>
  <c r="O70" i="1"/>
  <c r="O80" i="1" s="1"/>
  <c r="O81" i="1" s="1"/>
  <c r="P12" i="2"/>
  <c r="P70" i="1" s="1"/>
  <c r="P80" i="1" s="1"/>
  <c r="P81" i="1" s="1"/>
  <c r="P23" i="2"/>
  <c r="BN24" i="2"/>
  <c r="BN60" i="2" s="1"/>
  <c r="F27" i="2"/>
  <c r="F61" i="2"/>
  <c r="U29" i="2"/>
  <c r="BY32" i="2"/>
  <c r="F159" i="1"/>
  <c r="BC160" i="1"/>
  <c r="BD36" i="2"/>
  <c r="BF59" i="2"/>
  <c r="H5" i="15"/>
  <c r="H8" i="15" s="1"/>
  <c r="H9" i="15" s="1"/>
  <c r="H92" i="1"/>
  <c r="H95" i="1" s="1"/>
  <c r="T92" i="1"/>
  <c r="T5" i="15"/>
  <c r="T8" i="15" s="1"/>
  <c r="T9" i="15" s="1"/>
  <c r="CF72" i="2"/>
  <c r="CF14" i="15"/>
  <c r="CF25" i="2"/>
  <c r="AB54" i="22" s="1"/>
  <c r="CM9" i="1"/>
  <c r="BW66" i="1"/>
  <c r="BX66" i="1" s="1"/>
  <c r="BW8" i="1"/>
  <c r="BW60" i="1" s="1"/>
  <c r="BG5" i="1"/>
  <c r="BG4" i="1" s="1"/>
  <c r="BG141" i="1"/>
  <c r="DB19" i="1"/>
  <c r="DB143" i="1" s="1"/>
  <c r="BB10" i="15"/>
  <c r="BB146" i="1"/>
  <c r="BB145" i="1" s="1"/>
  <c r="AT35" i="1"/>
  <c r="AT87" i="1" s="1"/>
  <c r="CE147" i="1"/>
  <c r="CE87" i="1"/>
  <c r="CS147" i="1"/>
  <c r="CS87" i="1"/>
  <c r="K148" i="1"/>
  <c r="DB37" i="1"/>
  <c r="DB148" i="1" s="1"/>
  <c r="P149" i="1"/>
  <c r="CR43" i="1"/>
  <c r="AD62" i="1"/>
  <c r="CV85" i="1"/>
  <c r="AX98" i="1"/>
  <c r="Q98" i="1"/>
  <c r="BF141" i="1"/>
  <c r="K11" i="9"/>
  <c r="K13" i="9"/>
  <c r="F11" i="9"/>
  <c r="AW16" i="22"/>
  <c r="DA16" i="9"/>
  <c r="AW17" i="22" s="1"/>
  <c r="C25" i="22"/>
  <c r="BD28" i="9"/>
  <c r="AZ28" i="9"/>
  <c r="AZ18" i="9"/>
  <c r="V18" i="7"/>
  <c r="BF11" i="2"/>
  <c r="CV5" i="2"/>
  <c r="AB38" i="22"/>
  <c r="CF8" i="2"/>
  <c r="AB37" i="22" s="1"/>
  <c r="BX14" i="2"/>
  <c r="T43" i="22" s="1"/>
  <c r="O44" i="22"/>
  <c r="BS72" i="2"/>
  <c r="Z56" i="2"/>
  <c r="BI26" i="2"/>
  <c r="F29" i="2"/>
  <c r="BX42" i="2"/>
  <c r="X59" i="2"/>
  <c r="BV59" i="2"/>
  <c r="CK8" i="1"/>
  <c r="AO9" i="1"/>
  <c r="BX10" i="1"/>
  <c r="CH12" i="1"/>
  <c r="CG88" i="1"/>
  <c r="CG73" i="1"/>
  <c r="CU73" i="1"/>
  <c r="CU74" i="1" s="1"/>
  <c r="CU13" i="1"/>
  <c r="AT19" i="1"/>
  <c r="AU8" i="15" s="1"/>
  <c r="AU9" i="15" s="1"/>
  <c r="BF26" i="1"/>
  <c r="AM50" i="1"/>
  <c r="AM27" i="1"/>
  <c r="AM26" i="1" s="1"/>
  <c r="CT27" i="1"/>
  <c r="CT26" i="1" s="1"/>
  <c r="BX103" i="1"/>
  <c r="BX148" i="1"/>
  <c r="N53" i="1"/>
  <c r="N55" i="1" s="1"/>
  <c r="E62" i="1"/>
  <c r="S67" i="1"/>
  <c r="S65" i="1"/>
  <c r="AM89" i="1"/>
  <c r="BZ89" i="1"/>
  <c r="J101" i="1"/>
  <c r="BA104" i="1"/>
  <c r="C6" i="22"/>
  <c r="AY8" i="9"/>
  <c r="BE52" i="9"/>
  <c r="BI52" i="9" s="1"/>
  <c r="BA52" i="9"/>
  <c r="BS10" i="9"/>
  <c r="BS35" i="9" s="1"/>
  <c r="R15" i="22"/>
  <c r="BV34" i="9"/>
  <c r="G29" i="22"/>
  <c r="BK29" i="9"/>
  <c r="AL43" i="9"/>
  <c r="CH53" i="9"/>
  <c r="Z12" i="2"/>
  <c r="Z70" i="1" s="1"/>
  <c r="Z80" i="1" s="1"/>
  <c r="CE71" i="2"/>
  <c r="CE54" i="2"/>
  <c r="CE12" i="2"/>
  <c r="AA41" i="22" s="1"/>
  <c r="CX81" i="2"/>
  <c r="CW78" i="2"/>
  <c r="CW81" i="2" s="1"/>
  <c r="CW32" i="11" s="1"/>
  <c r="AX85" i="2"/>
  <c r="AX88" i="2" s="1"/>
  <c r="AJ88" i="1"/>
  <c r="AC62" i="1"/>
  <c r="M19" i="7"/>
  <c r="AK19" i="7"/>
  <c r="CS19" i="7"/>
  <c r="CN56" i="2"/>
  <c r="BT59" i="2"/>
  <c r="BI15" i="1"/>
  <c r="Q62" i="1"/>
  <c r="Q67" i="1"/>
  <c r="Q65" i="1"/>
  <c r="I3" i="7"/>
  <c r="I9" i="7" s="1"/>
  <c r="I106" i="1" s="1"/>
  <c r="N5" i="7"/>
  <c r="N3" i="7" s="1"/>
  <c r="N27" i="11" s="1"/>
  <c r="N19" i="7"/>
  <c r="CC9" i="2"/>
  <c r="Y38" i="22" s="1"/>
  <c r="O19" i="7"/>
  <c r="AA19" i="7"/>
  <c r="AZ19" i="7"/>
  <c r="BL19" i="7"/>
  <c r="CJ19" i="7"/>
  <c r="DH19" i="7"/>
  <c r="DT19" i="7"/>
  <c r="I11" i="2"/>
  <c r="AR11" i="2"/>
  <c r="X11" i="2"/>
  <c r="X22" i="2" s="1"/>
  <c r="AA70" i="1"/>
  <c r="AA80" i="1" s="1"/>
  <c r="AA81" i="1" s="1"/>
  <c r="CD20" i="2"/>
  <c r="Z49" i="22" s="1"/>
  <c r="AE23" i="2"/>
  <c r="BW25" i="2"/>
  <c r="S54" i="22" s="1"/>
  <c r="DD32" i="2"/>
  <c r="AZ61" i="22" s="1"/>
  <c r="Z62" i="22"/>
  <c r="CD32" i="2"/>
  <c r="CD17" i="2" s="1"/>
  <c r="AO81" i="2"/>
  <c r="AO32" i="11" s="1"/>
  <c r="J59" i="2"/>
  <c r="Y59" i="2"/>
  <c r="BH60" i="2"/>
  <c r="BW60" i="2"/>
  <c r="CL8" i="1"/>
  <c r="BD75" i="1"/>
  <c r="BD76" i="1" s="1"/>
  <c r="BC76" i="1"/>
  <c r="Z142" i="1"/>
  <c r="I27" i="1"/>
  <c r="I26" i="1" s="1"/>
  <c r="CG147" i="1"/>
  <c r="CG87" i="1"/>
  <c r="CH35" i="1"/>
  <c r="CM43" i="1"/>
  <c r="CM120" i="1" s="1"/>
  <c r="CZ43" i="1"/>
  <c r="CZ120" i="1" s="1"/>
  <c r="BV50" i="1"/>
  <c r="BV53" i="1" s="1"/>
  <c r="BV54" i="1" s="1"/>
  <c r="AU60" i="1"/>
  <c r="AU62" i="1" s="1"/>
  <c r="AH65" i="1"/>
  <c r="AC65" i="1"/>
  <c r="BU67" i="1"/>
  <c r="AF81" i="1"/>
  <c r="CJ104" i="1"/>
  <c r="BG89" i="1"/>
  <c r="BL93" i="1"/>
  <c r="AI93" i="1"/>
  <c r="AI95" i="1"/>
  <c r="AI91" i="1" s="1"/>
  <c r="AJ91" i="1" s="1"/>
  <c r="AK93" i="1" s="1"/>
  <c r="AQ101" i="1"/>
  <c r="X104" i="1"/>
  <c r="AO157" i="1"/>
  <c r="DA17" i="9"/>
  <c r="CF42" i="9"/>
  <c r="CQ73" i="1"/>
  <c r="CQ88" i="1"/>
  <c r="CF144" i="1"/>
  <c r="BJ95" i="1"/>
  <c r="N146" i="1"/>
  <c r="N145" i="1" s="1"/>
  <c r="N27" i="1"/>
  <c r="N26" i="1" s="1"/>
  <c r="U147" i="1"/>
  <c r="U148" i="1"/>
  <c r="U149" i="1"/>
  <c r="CG51" i="1"/>
  <c r="BE62" i="1"/>
  <c r="AC69" i="1"/>
  <c r="AV74" i="1"/>
  <c r="BB81" i="1"/>
  <c r="D85" i="1"/>
  <c r="AQ89" i="1"/>
  <c r="K47" i="9"/>
  <c r="X10" i="22"/>
  <c r="CB12" i="9"/>
  <c r="X13" i="22" s="1"/>
  <c r="CC9" i="9"/>
  <c r="Y10" i="22" s="1"/>
  <c r="AS30" i="9"/>
  <c r="AS29" i="9"/>
  <c r="H29" i="22"/>
  <c r="BL29" i="9"/>
  <c r="BL35" i="9"/>
  <c r="BL37" i="9" s="1"/>
  <c r="BL40" i="9"/>
  <c r="BL38" i="9" s="1"/>
  <c r="BL39" i="9" s="1"/>
  <c r="BE43" i="9"/>
  <c r="R19" i="7"/>
  <c r="E11" i="2"/>
  <c r="E43" i="2" s="1"/>
  <c r="I17" i="2"/>
  <c r="AM17" i="2"/>
  <c r="P62" i="2"/>
  <c r="F32" i="2"/>
  <c r="K159" i="1"/>
  <c r="AI43" i="2"/>
  <c r="CH81" i="2"/>
  <c r="CH32" i="11" s="1"/>
  <c r="L59" i="2"/>
  <c r="BJ59" i="2"/>
  <c r="R59" i="2"/>
  <c r="AI64" i="2"/>
  <c r="AQ78" i="2"/>
  <c r="CX57" i="1"/>
  <c r="CR12" i="1"/>
  <c r="CR88" i="1" s="1"/>
  <c r="CC15" i="1"/>
  <c r="CC100" i="1" s="1"/>
  <c r="AT98" i="1"/>
  <c r="AI8" i="15"/>
  <c r="AI9" i="15" s="1"/>
  <c r="BI19" i="1"/>
  <c r="BI143" i="1" s="1"/>
  <c r="BO95" i="1"/>
  <c r="AT44" i="1"/>
  <c r="AT43" i="1" s="1"/>
  <c r="CJ51" i="1"/>
  <c r="CJ53" i="1" s="1"/>
  <c r="CJ122" i="1" s="1"/>
  <c r="J62" i="1"/>
  <c r="AU67" i="1"/>
  <c r="AJ73" i="1"/>
  <c r="AJ74" i="1" s="1"/>
  <c r="E85" i="1"/>
  <c r="AK85" i="1"/>
  <c r="BA85" i="1"/>
  <c r="BR83" i="1"/>
  <c r="BR85" i="1" s="1"/>
  <c r="AU84" i="1"/>
  <c r="AU85" i="1" s="1"/>
  <c r="AB89" i="1"/>
  <c r="BK89" i="1"/>
  <c r="V29" i="15"/>
  <c r="AK29" i="15"/>
  <c r="BV29" i="15"/>
  <c r="D104" i="1"/>
  <c r="AV104" i="1"/>
  <c r="CQ104" i="1"/>
  <c r="AO13" i="9"/>
  <c r="AO84" i="1"/>
  <c r="AO98" i="1" s="1"/>
  <c r="Z16" i="22"/>
  <c r="CD14" i="9"/>
  <c r="CD34" i="9" s="1"/>
  <c r="CD16" i="9"/>
  <c r="Z17" i="22" s="1"/>
  <c r="BP29" i="9"/>
  <c r="L29" i="22"/>
  <c r="CA40" i="9"/>
  <c r="CA111" i="1" s="1"/>
  <c r="CA112" i="1" s="1"/>
  <c r="CA35" i="9"/>
  <c r="AQ43" i="9"/>
  <c r="S59" i="2"/>
  <c r="CZ81" i="2"/>
  <c r="CY81" i="2"/>
  <c r="CB9" i="1"/>
  <c r="CC9" i="1" s="1"/>
  <c r="BN19" i="1"/>
  <c r="U19" i="1"/>
  <c r="AV26" i="1"/>
  <c r="CJ87" i="1"/>
  <c r="CJ147" i="1"/>
  <c r="BR149" i="1"/>
  <c r="AY43" i="1"/>
  <c r="AY52" i="1" s="1"/>
  <c r="B53" i="1"/>
  <c r="L62" i="1"/>
  <c r="CI70" i="1"/>
  <c r="CI80" i="1" s="1"/>
  <c r="CI81" i="1" s="1"/>
  <c r="BA81" i="1"/>
  <c r="N89" i="1"/>
  <c r="AU89" i="1"/>
  <c r="BL89" i="1"/>
  <c r="I29" i="15"/>
  <c r="BY29" i="15"/>
  <c r="CV98" i="1"/>
  <c r="AZ113" i="1"/>
  <c r="AZ114" i="1" s="1"/>
  <c r="BD114" i="1" s="1"/>
  <c r="AD110" i="1"/>
  <c r="AE109" i="1"/>
  <c r="AE110" i="1" s="1"/>
  <c r="AT104" i="1"/>
  <c r="AD25" i="22"/>
  <c r="CI28" i="9"/>
  <c r="BL30" i="9"/>
  <c r="H30" i="22" s="1"/>
  <c r="CQ40" i="9"/>
  <c r="CQ111" i="1" s="1"/>
  <c r="BN157" i="1"/>
  <c r="AN11" i="22"/>
  <c r="CR84" i="1"/>
  <c r="CR11" i="9"/>
  <c r="AN12" i="22" s="1"/>
  <c r="AO21" i="9"/>
  <c r="BK40" i="9"/>
  <c r="BK111" i="1" s="1"/>
  <c r="BK35" i="9"/>
  <c r="BK37" i="9" s="1"/>
  <c r="CH157" i="1"/>
  <c r="U16" i="9"/>
  <c r="AE18" i="9"/>
  <c r="BA43" i="9"/>
  <c r="K43" i="9"/>
  <c r="U142" i="1"/>
  <c r="AI144" i="1"/>
  <c r="CW19" i="1"/>
  <c r="CW143" i="1" s="1"/>
  <c r="AH10" i="15"/>
  <c r="BN40" i="1"/>
  <c r="BN149" i="1" s="1"/>
  <c r="BM149" i="1"/>
  <c r="BK57" i="1"/>
  <c r="AE63" i="1"/>
  <c r="V62" i="1"/>
  <c r="D67" i="1"/>
  <c r="BG67" i="1"/>
  <c r="CY104" i="1"/>
  <c r="BT89" i="1"/>
  <c r="CZ101" i="1"/>
  <c r="AL112" i="1"/>
  <c r="AL116" i="1" s="1"/>
  <c r="AL118" i="1" s="1"/>
  <c r="AL115" i="1"/>
  <c r="AL117" i="1" s="1"/>
  <c r="BB37" i="9"/>
  <c r="BB58" i="9" s="1"/>
  <c r="CC46" i="9"/>
  <c r="CB48" i="9"/>
  <c r="CC48" i="9" s="1"/>
  <c r="CC47" i="9" s="1"/>
  <c r="CB47" i="9"/>
  <c r="D53" i="1"/>
  <c r="D122" i="1" s="1"/>
  <c r="R63" i="1"/>
  <c r="AD63" i="1"/>
  <c r="BU74" i="1"/>
  <c r="CJ85" i="1"/>
  <c r="T101" i="1"/>
  <c r="AG101" i="1"/>
  <c r="BK84" i="1"/>
  <c r="BK98" i="1" s="1"/>
  <c r="BU89" i="1"/>
  <c r="BV93" i="1"/>
  <c r="AO33" i="9"/>
  <c r="AP111" i="1"/>
  <c r="BI158" i="1"/>
  <c r="AT157" i="1"/>
  <c r="BA29" i="9"/>
  <c r="BA30" i="9"/>
  <c r="V29" i="22"/>
  <c r="BZ29" i="9"/>
  <c r="AE47" i="9"/>
  <c r="D145" i="1"/>
  <c r="CH158" i="1"/>
  <c r="AY21" i="9"/>
  <c r="C22" i="22" s="1"/>
  <c r="AT6" i="9"/>
  <c r="CD25" i="9"/>
  <c r="Z26" i="22" s="1"/>
  <c r="AM30" i="9"/>
  <c r="CF35" i="9"/>
  <c r="R67" i="1"/>
  <c r="AD67" i="1"/>
  <c r="E74" i="1"/>
  <c r="R74" i="1"/>
  <c r="BJ74" i="1"/>
  <c r="BO81" i="1"/>
  <c r="CQ85" i="1"/>
  <c r="B85" i="1"/>
  <c r="H89" i="1"/>
  <c r="L29" i="15"/>
  <c r="AP29" i="15"/>
  <c r="BJ29" i="15"/>
  <c r="AA98" i="1"/>
  <c r="CZ98" i="1"/>
  <c r="V101" i="1"/>
  <c r="K110" i="1"/>
  <c r="BW10" i="9"/>
  <c r="BW35" i="9" s="1"/>
  <c r="CZ40" i="9"/>
  <c r="CZ111" i="1" s="1"/>
  <c r="CZ112" i="1" s="1"/>
  <c r="DA98" i="1"/>
  <c r="W101" i="1"/>
  <c r="AD104" i="1"/>
  <c r="AS104" i="1"/>
  <c r="AJ20" i="9"/>
  <c r="BD21" i="9"/>
  <c r="D22" i="22" s="1"/>
  <c r="BG43" i="9"/>
  <c r="DI52" i="9"/>
  <c r="D37" i="11"/>
  <c r="AD44" i="22"/>
  <c r="O38" i="22"/>
  <c r="D3" i="15"/>
  <c r="D51" i="9"/>
  <c r="D45" i="9"/>
  <c r="D23" i="9"/>
  <c r="D106" i="1"/>
  <c r="D32" i="9"/>
  <c r="D59" i="1"/>
  <c r="D130" i="1"/>
  <c r="D3" i="9"/>
  <c r="D3" i="1"/>
  <c r="D25" i="1"/>
  <c r="D77" i="2"/>
  <c r="D83" i="2"/>
  <c r="D52" i="2"/>
  <c r="D3" i="2"/>
  <c r="O76" i="22"/>
  <c r="BS65" i="2"/>
  <c r="BD14" i="15"/>
  <c r="AY15" i="15"/>
  <c r="AZ14" i="15" s="1"/>
  <c r="AY139" i="1"/>
  <c r="AY51" i="1"/>
  <c r="AZ25" i="2"/>
  <c r="BV6" i="15"/>
  <c r="BW20" i="9"/>
  <c r="S21" i="22" s="1"/>
  <c r="BV140" i="1"/>
  <c r="BV5" i="1"/>
  <c r="BV4" i="1" s="1"/>
  <c r="BV60" i="1"/>
  <c r="K37" i="22"/>
  <c r="BO11" i="2"/>
  <c r="AM43" i="22"/>
  <c r="CR14" i="2"/>
  <c r="AN43" i="22" s="1"/>
  <c r="AS55" i="22"/>
  <c r="E51" i="9"/>
  <c r="E106" i="1"/>
  <c r="E3" i="15"/>
  <c r="E45" i="9"/>
  <c r="E23" i="9"/>
  <c r="E32" i="9"/>
  <c r="E130" i="1"/>
  <c r="E25" i="1"/>
  <c r="E3" i="9"/>
  <c r="E3" i="1"/>
  <c r="E52" i="2"/>
  <c r="E77" i="2"/>
  <c r="E3" i="2"/>
  <c r="E59" i="1"/>
  <c r="E83" i="2"/>
  <c r="CP10" i="15"/>
  <c r="CP146" i="1"/>
  <c r="CP27" i="1"/>
  <c r="CP26" i="1" s="1"/>
  <c r="CP50" i="1"/>
  <c r="BD8" i="2"/>
  <c r="D37" i="22" s="1"/>
  <c r="L37" i="22"/>
  <c r="BP11" i="2"/>
  <c r="AI53" i="22"/>
  <c r="O17" i="2"/>
  <c r="P29" i="2"/>
  <c r="CE66" i="1"/>
  <c r="CE8" i="1"/>
  <c r="G62" i="1"/>
  <c r="G63" i="1"/>
  <c r="H3" i="15"/>
  <c r="H45" i="9"/>
  <c r="H32" i="9"/>
  <c r="H23" i="9"/>
  <c r="H51" i="9"/>
  <c r="H3" i="9"/>
  <c r="H59" i="1"/>
  <c r="H83" i="2"/>
  <c r="H130" i="1"/>
  <c r="H3" i="1"/>
  <c r="H77" i="2"/>
  <c r="H52" i="2"/>
  <c r="H106" i="1"/>
  <c r="H25" i="1"/>
  <c r="H3" i="2"/>
  <c r="AE29" i="2"/>
  <c r="AA17" i="2"/>
  <c r="AD66" i="22"/>
  <c r="CH160" i="1"/>
  <c r="AO59" i="22"/>
  <c r="CS64" i="1"/>
  <c r="CW30" i="2"/>
  <c r="AS59" i="22" s="1"/>
  <c r="CS29" i="2"/>
  <c r="F33" i="22"/>
  <c r="BJ11" i="2"/>
  <c r="AY50" i="22"/>
  <c r="BA50" i="22"/>
  <c r="DC56" i="2"/>
  <c r="AX72" i="22"/>
  <c r="AZ29" i="15"/>
  <c r="AZ89" i="1"/>
  <c r="BF104" i="1"/>
  <c r="BE64" i="1"/>
  <c r="BE65" i="1" s="1"/>
  <c r="BI18" i="7"/>
  <c r="G33" i="22"/>
  <c r="BK10" i="2"/>
  <c r="G39" i="22" s="1"/>
  <c r="B70" i="1"/>
  <c r="E70" i="1"/>
  <c r="F12" i="2"/>
  <c r="F70" i="1" s="1"/>
  <c r="D70" i="1"/>
  <c r="AS47" i="22"/>
  <c r="AZ50" i="22"/>
  <c r="DD56" i="2"/>
  <c r="Z52" i="22"/>
  <c r="E53" i="22"/>
  <c r="BI25" i="2"/>
  <c r="E54" i="22" s="1"/>
  <c r="BI60" i="2"/>
  <c r="O55" i="22"/>
  <c r="BF95" i="1"/>
  <c r="AQ16" i="22"/>
  <c r="CU17" i="9"/>
  <c r="CU16" i="9"/>
  <c r="AQ17" i="22" s="1"/>
  <c r="AV11" i="2"/>
  <c r="AV10" i="2"/>
  <c r="AO33" i="22"/>
  <c r="CS11" i="2"/>
  <c r="CS10" i="2"/>
  <c r="AO39" i="22" s="1"/>
  <c r="AN53" i="2"/>
  <c r="AN22" i="2"/>
  <c r="AN16" i="2"/>
  <c r="AN5" i="2"/>
  <c r="AN71" i="2" s="1"/>
  <c r="AN113" i="1" s="1"/>
  <c r="P71" i="2"/>
  <c r="P54" i="2"/>
  <c r="E47" i="22"/>
  <c r="BR13" i="1"/>
  <c r="BR11" i="1" s="1"/>
  <c r="BR73" i="1"/>
  <c r="BS12" i="1"/>
  <c r="CY13" i="1"/>
  <c r="CY75" i="1" s="1"/>
  <c r="CY76" i="1" s="1"/>
  <c r="CY73" i="1"/>
  <c r="CY74" i="1" s="1"/>
  <c r="AQ10" i="15"/>
  <c r="AQ146" i="1"/>
  <c r="AQ145" i="1" s="1"/>
  <c r="AQ50" i="1"/>
  <c r="AQ27" i="1"/>
  <c r="AQ26" i="1" s="1"/>
  <c r="AW11" i="2"/>
  <c r="AW10" i="2"/>
  <c r="AP33" i="22"/>
  <c r="CT11" i="2"/>
  <c r="CT10" i="2"/>
  <c r="AP39" i="22" s="1"/>
  <c r="AW36" i="22"/>
  <c r="DA42" i="9"/>
  <c r="DB42" i="9" s="1"/>
  <c r="DB7" i="2"/>
  <c r="AX36" i="22" s="1"/>
  <c r="U56" i="2"/>
  <c r="U20" i="2"/>
  <c r="BN29" i="2"/>
  <c r="J58" i="22" s="1"/>
  <c r="J3" i="15"/>
  <c r="J51" i="9"/>
  <c r="J45" i="9"/>
  <c r="J3" i="9"/>
  <c r="J23" i="9"/>
  <c r="J130" i="1"/>
  <c r="J32" i="9"/>
  <c r="J3" i="1"/>
  <c r="J59" i="1"/>
  <c r="J77" i="2"/>
  <c r="J3" i="2"/>
  <c r="J25" i="1"/>
  <c r="J83" i="2"/>
  <c r="J106" i="1"/>
  <c r="J52" i="2"/>
  <c r="AS36" i="9"/>
  <c r="AS37" i="9" s="1"/>
  <c r="AS58" i="9" s="1"/>
  <c r="AS61" i="1"/>
  <c r="AS4" i="2"/>
  <c r="AT4" i="2" s="1"/>
  <c r="AS9" i="2"/>
  <c r="AT5" i="2"/>
  <c r="AT61" i="1" s="1"/>
  <c r="AL50" i="22"/>
  <c r="CQ21" i="2"/>
  <c r="CP56" i="2"/>
  <c r="K23" i="2"/>
  <c r="G17" i="2"/>
  <c r="V61" i="22"/>
  <c r="BZ17" i="2"/>
  <c r="V46" i="22" s="1"/>
  <c r="BH147" i="1"/>
  <c r="BI32" i="1"/>
  <c r="BH79" i="1"/>
  <c r="AH11" i="2"/>
  <c r="AH10" i="2"/>
  <c r="S36" i="22"/>
  <c r="BW42" i="9"/>
  <c r="BX42" i="9" s="1"/>
  <c r="BW72" i="2"/>
  <c r="AE72" i="2"/>
  <c r="AE54" i="2"/>
  <c r="AC44" i="22"/>
  <c r="AI22" i="2"/>
  <c r="AJ21" i="2"/>
  <c r="AI56" i="2"/>
  <c r="V17" i="2"/>
  <c r="Z23" i="2"/>
  <c r="V62" i="22"/>
  <c r="CB33" i="2"/>
  <c r="CC33" i="2" s="1"/>
  <c r="Y62" i="22" s="1"/>
  <c r="BI146" i="1"/>
  <c r="BI50" i="1"/>
  <c r="Y25" i="22"/>
  <c r="CD28" i="9"/>
  <c r="CH28" i="9"/>
  <c r="AD29" i="22" s="1"/>
  <c r="AT33" i="2"/>
  <c r="AS32" i="2"/>
  <c r="W62" i="22"/>
  <c r="CA32" i="2"/>
  <c r="CA56" i="2"/>
  <c r="BB78" i="2"/>
  <c r="BB81" i="2" s="1"/>
  <c r="BA57" i="1"/>
  <c r="V11" i="2"/>
  <c r="V10" i="2"/>
  <c r="Z4" i="2"/>
  <c r="Z10" i="2" s="1"/>
  <c r="G3" i="15"/>
  <c r="G23" i="9"/>
  <c r="G32" i="9"/>
  <c r="G51" i="9"/>
  <c r="G3" i="9"/>
  <c r="G130" i="1"/>
  <c r="G106" i="1"/>
  <c r="G45" i="9"/>
  <c r="G3" i="1"/>
  <c r="G25" i="1"/>
  <c r="G52" i="2"/>
  <c r="G83" i="2"/>
  <c r="G77" i="2"/>
  <c r="G3" i="2"/>
  <c r="G59" i="1"/>
  <c r="BW4" i="2"/>
  <c r="BX4" i="2" s="1"/>
  <c r="AR38" i="22"/>
  <c r="CW9" i="2"/>
  <c r="CV8" i="2"/>
  <c r="AP42" i="22"/>
  <c r="CT70" i="1"/>
  <c r="CV13" i="2"/>
  <c r="CT12" i="2"/>
  <c r="AP41" i="22" s="1"/>
  <c r="CT71" i="2"/>
  <c r="CT54" i="2"/>
  <c r="C53" i="22"/>
  <c r="AY25" i="2"/>
  <c r="C54" i="22" s="1"/>
  <c r="AY60" i="2"/>
  <c r="AN66" i="22"/>
  <c r="CR160" i="1"/>
  <c r="CG29" i="1"/>
  <c r="CH30" i="1"/>
  <c r="U33" i="22"/>
  <c r="BY11" i="2"/>
  <c r="BY10" i="2"/>
  <c r="U39" i="22" s="1"/>
  <c r="AQ34" i="22"/>
  <c r="CU36" i="9"/>
  <c r="CU43" i="9" s="1"/>
  <c r="CU61" i="1"/>
  <c r="CU4" i="2"/>
  <c r="N38" i="22"/>
  <c r="BR8" i="2"/>
  <c r="N37" i="22" s="1"/>
  <c r="F41" i="22"/>
  <c r="T70" i="22"/>
  <c r="BM139" i="1"/>
  <c r="BM51" i="1"/>
  <c r="BN6" i="1"/>
  <c r="BM25" i="2"/>
  <c r="I54" i="22" s="1"/>
  <c r="DD148" i="1"/>
  <c r="DD27" i="1"/>
  <c r="CY120" i="1"/>
  <c r="CY52" i="1"/>
  <c r="CY121" i="1"/>
  <c r="CY57" i="1"/>
  <c r="AM36" i="22"/>
  <c r="CQ42" i="9"/>
  <c r="C70" i="1"/>
  <c r="T70" i="1"/>
  <c r="U12" i="2"/>
  <c r="U70" i="1" s="1"/>
  <c r="BH56" i="2"/>
  <c r="AW47" i="22"/>
  <c r="DB18" i="2"/>
  <c r="U58" i="22"/>
  <c r="CC29" i="2"/>
  <c r="Y58" i="22" s="1"/>
  <c r="AF95" i="1"/>
  <c r="AE91" i="1"/>
  <c r="AE19" i="1"/>
  <c r="AF8" i="15" s="1"/>
  <c r="AF9" i="15" s="1"/>
  <c r="CH19" i="1"/>
  <c r="BU10" i="15"/>
  <c r="BU146" i="1"/>
  <c r="BU145" i="1" s="1"/>
  <c r="BU50" i="1"/>
  <c r="BU27" i="1"/>
  <c r="BU26" i="1" s="1"/>
  <c r="AC16" i="22"/>
  <c r="CG16" i="9"/>
  <c r="AC17" i="22" s="1"/>
  <c r="CG17" i="9"/>
  <c r="CG20" i="2" s="1"/>
  <c r="AC49" i="22" s="1"/>
  <c r="CH15" i="9"/>
  <c r="BX12" i="1"/>
  <c r="CY10" i="15"/>
  <c r="CY50" i="1"/>
  <c r="CY27" i="1"/>
  <c r="CY26" i="1" s="1"/>
  <c r="BL67" i="1"/>
  <c r="S38" i="22"/>
  <c r="BW8" i="2"/>
  <c r="AQ42" i="22"/>
  <c r="CU70" i="1"/>
  <c r="CU12" i="2"/>
  <c r="AQ41" i="22" s="1"/>
  <c r="CU71" i="2"/>
  <c r="AQ80" i="22" s="1"/>
  <c r="AH44" i="22"/>
  <c r="CM15" i="2"/>
  <c r="BA74" i="22"/>
  <c r="CO81" i="2"/>
  <c r="I63" i="1"/>
  <c r="BE29" i="15"/>
  <c r="BE89" i="1"/>
  <c r="CU19" i="7"/>
  <c r="CV19" i="7"/>
  <c r="CM34" i="2"/>
  <c r="AI63" i="22" s="1"/>
  <c r="AH70" i="22"/>
  <c r="AC76" i="22"/>
  <c r="CG65" i="2"/>
  <c r="CH46" i="2"/>
  <c r="CD14" i="15"/>
  <c r="CH14" i="15"/>
  <c r="CC51" i="1"/>
  <c r="CC139" i="1"/>
  <c r="BL20" i="9"/>
  <c r="H21" i="22" s="1"/>
  <c r="BK60" i="1"/>
  <c r="BK140" i="1"/>
  <c r="BK6" i="15"/>
  <c r="H6" i="15"/>
  <c r="H141" i="1"/>
  <c r="H69" i="1"/>
  <c r="AW141" i="1"/>
  <c r="AW69" i="1"/>
  <c r="AW71" i="1" s="1"/>
  <c r="AW5" i="1"/>
  <c r="AW4" i="1" s="1"/>
  <c r="BO141" i="1"/>
  <c r="BO5" i="1"/>
  <c r="BO4" i="1" s="1"/>
  <c r="BW13" i="1"/>
  <c r="Q50" i="1"/>
  <c r="Q146" i="1"/>
  <c r="Q145" i="1" s="1"/>
  <c r="AE27" i="1"/>
  <c r="AW10" i="15"/>
  <c r="AW146" i="1"/>
  <c r="AW145" i="1" s="1"/>
  <c r="AW50" i="1"/>
  <c r="BZ146" i="1"/>
  <c r="BZ145" i="1" s="1"/>
  <c r="BZ10" i="15"/>
  <c r="BZ27" i="1"/>
  <c r="BZ26" i="1" s="1"/>
  <c r="BZ50" i="1"/>
  <c r="BD31" i="1"/>
  <c r="BD149" i="1" s="1"/>
  <c r="BC83" i="1"/>
  <c r="BC85" i="1" s="1"/>
  <c r="BC147" i="1"/>
  <c r="AO35" i="1"/>
  <c r="AO87" i="1" s="1"/>
  <c r="AN87" i="1"/>
  <c r="CN147" i="1"/>
  <c r="CN87" i="1"/>
  <c r="CN27" i="1"/>
  <c r="CN26" i="1" s="1"/>
  <c r="DA147" i="1"/>
  <c r="DA87" i="1"/>
  <c r="H52" i="1"/>
  <c r="H57" i="1"/>
  <c r="V52" i="1"/>
  <c r="V57" i="1"/>
  <c r="AQ80" i="1"/>
  <c r="AQ81" i="1" s="1"/>
  <c r="BK80" i="1"/>
  <c r="BK81" i="1" s="1"/>
  <c r="CY80" i="1"/>
  <c r="CY81" i="1" s="1"/>
  <c r="AL89" i="1"/>
  <c r="BF29" i="15"/>
  <c r="BF89" i="1"/>
  <c r="J89" i="1"/>
  <c r="S98" i="1"/>
  <c r="C19" i="7"/>
  <c r="B19" i="7"/>
  <c r="AP19" i="7"/>
  <c r="BB19" i="7"/>
  <c r="AZ18" i="7"/>
  <c r="BK19" i="7"/>
  <c r="BM19" i="7"/>
  <c r="BK18" i="7"/>
  <c r="BZ19" i="7"/>
  <c r="BW18" i="7"/>
  <c r="BW64" i="1" s="1"/>
  <c r="BX64" i="1" s="1"/>
  <c r="CX19" i="7"/>
  <c r="CU18" i="7"/>
  <c r="DJ19" i="7"/>
  <c r="DH18" i="7"/>
  <c r="DU19" i="7"/>
  <c r="DS19" i="7"/>
  <c r="DS18" i="7"/>
  <c r="BJ64" i="1"/>
  <c r="BJ65" i="1" s="1"/>
  <c r="BC19" i="7"/>
  <c r="ED19" i="7"/>
  <c r="P4" i="2"/>
  <c r="P10" i="2" s="1"/>
  <c r="AM10" i="2"/>
  <c r="BA10" i="2"/>
  <c r="S34" i="22"/>
  <c r="BW36" i="9"/>
  <c r="BX36" i="9" s="1"/>
  <c r="BW61" i="1"/>
  <c r="AF34" i="22"/>
  <c r="CJ36" i="9"/>
  <c r="CJ61" i="1"/>
  <c r="CJ4" i="2"/>
  <c r="AV34" i="22"/>
  <c r="CZ36" i="9"/>
  <c r="CZ43" i="9" s="1"/>
  <c r="CZ61" i="1"/>
  <c r="CZ4" i="2"/>
  <c r="AE8" i="2"/>
  <c r="AT37" i="22"/>
  <c r="BQ11" i="2"/>
  <c r="AF42" i="22"/>
  <c r="CJ71" i="2"/>
  <c r="AF80" i="22" s="1"/>
  <c r="CJ70" i="1"/>
  <c r="CJ12" i="2"/>
  <c r="AF41" i="22" s="1"/>
  <c r="AT42" i="22"/>
  <c r="CX70" i="1"/>
  <c r="DA13" i="2"/>
  <c r="DB13" i="2" s="1"/>
  <c r="CX12" i="2"/>
  <c r="CX71" i="2"/>
  <c r="AT80" i="22" s="1"/>
  <c r="BV17" i="2"/>
  <c r="R46" i="22" s="1"/>
  <c r="AN19" i="2"/>
  <c r="S47" i="22"/>
  <c r="BX18" i="2"/>
  <c r="Z50" i="22"/>
  <c r="CD56" i="2"/>
  <c r="CG21" i="2"/>
  <c r="AQ17" i="2"/>
  <c r="AC53" i="22"/>
  <c r="CG25" i="2"/>
  <c r="AC54" i="22" s="1"/>
  <c r="I55" i="22"/>
  <c r="BM85" i="2"/>
  <c r="BM88" i="2" s="1"/>
  <c r="BM23" i="2"/>
  <c r="I52" i="22" s="1"/>
  <c r="AJ29" i="2"/>
  <c r="BA60" i="22"/>
  <c r="K61" i="22"/>
  <c r="AM63" i="22"/>
  <c r="CQ68" i="2"/>
  <c r="AY40" i="2"/>
  <c r="AX43" i="2"/>
  <c r="CM40" i="2"/>
  <c r="BS42" i="2"/>
  <c r="O72" i="22" s="1"/>
  <c r="CX54" i="2"/>
  <c r="CL60" i="2"/>
  <c r="AE62" i="2"/>
  <c r="BA114" i="1"/>
  <c r="BA116" i="1" s="1"/>
  <c r="BA118" i="1" s="1"/>
  <c r="BA115" i="1"/>
  <c r="BA117" i="1" s="1"/>
  <c r="AO139" i="1"/>
  <c r="AO51" i="1"/>
  <c r="AO15" i="15"/>
  <c r="CB20" i="9"/>
  <c r="X21" i="22" s="1"/>
  <c r="CA6" i="15"/>
  <c r="CA60" i="1"/>
  <c r="CA140" i="1"/>
  <c r="AX141" i="1"/>
  <c r="AX69" i="1"/>
  <c r="AX5" i="1"/>
  <c r="AX4" i="1" s="1"/>
  <c r="BP69" i="1"/>
  <c r="BP141" i="1"/>
  <c r="BP5" i="1"/>
  <c r="BP4" i="1" s="1"/>
  <c r="AX144" i="1"/>
  <c r="AY18" i="1"/>
  <c r="CS143" i="1"/>
  <c r="DD10" i="15"/>
  <c r="DD146" i="1"/>
  <c r="DD50" i="1"/>
  <c r="BD34" i="1"/>
  <c r="CC35" i="1"/>
  <c r="CC87" i="1" s="1"/>
  <c r="CO147" i="1"/>
  <c r="CO87" i="1"/>
  <c r="DB35" i="1"/>
  <c r="DB87" i="1" s="1"/>
  <c r="AE150" i="1"/>
  <c r="CM150" i="1"/>
  <c r="W52" i="1"/>
  <c r="W57" i="1"/>
  <c r="AK52" i="1"/>
  <c r="AK121" i="1"/>
  <c r="AZ57" i="1"/>
  <c r="CK120" i="1"/>
  <c r="CK121" i="1"/>
  <c r="CK52" i="1"/>
  <c r="CK57" i="1"/>
  <c r="Y29" i="15"/>
  <c r="Y89" i="1"/>
  <c r="CW13" i="9"/>
  <c r="AS14" i="22" s="1"/>
  <c r="CL19" i="7"/>
  <c r="CJ18" i="7"/>
  <c r="CJ64" i="1" s="1"/>
  <c r="CO85" i="2"/>
  <c r="CO84" i="2" s="1"/>
  <c r="DM86" i="2"/>
  <c r="BI54" i="22"/>
  <c r="Z18" i="7"/>
  <c r="CQ19" i="7"/>
  <c r="DM19" i="7"/>
  <c r="AA10" i="2"/>
  <c r="AE4" i="2"/>
  <c r="AE10" i="2" s="1"/>
  <c r="BX5" i="2"/>
  <c r="CK5" i="2"/>
  <c r="L41" i="22"/>
  <c r="AN70" i="1"/>
  <c r="AN54" i="2"/>
  <c r="AG42" i="22"/>
  <c r="CK54" i="2"/>
  <c r="CK70" i="1"/>
  <c r="AU42" i="22"/>
  <c r="CY12" i="2"/>
  <c r="AU41" i="22" s="1"/>
  <c r="CY71" i="2"/>
  <c r="E44" i="22"/>
  <c r="BI72" i="2"/>
  <c r="BE17" i="2"/>
  <c r="AO18" i="2"/>
  <c r="X47" i="22"/>
  <c r="CC18" i="2"/>
  <c r="Z20" i="2"/>
  <c r="AA50" i="22"/>
  <c r="CE56" i="2"/>
  <c r="AQ50" i="22"/>
  <c r="CU56" i="2"/>
  <c r="CV21" i="2"/>
  <c r="AR17" i="2"/>
  <c r="K25" i="2"/>
  <c r="K60" i="2"/>
  <c r="K59" i="2" s="1"/>
  <c r="CH24" i="2"/>
  <c r="F25" i="2"/>
  <c r="BN26" i="2"/>
  <c r="AW55" i="22"/>
  <c r="DA61" i="2"/>
  <c r="K29" i="2"/>
  <c r="BS29" i="2"/>
  <c r="O58" i="22" s="1"/>
  <c r="CR34" i="2"/>
  <c r="AN63" i="22" s="1"/>
  <c r="F64" i="2"/>
  <c r="AY46" i="2"/>
  <c r="P81" i="2"/>
  <c r="BX81" i="2"/>
  <c r="BX32" i="11" s="1"/>
  <c r="CY54" i="2"/>
  <c r="BK59" i="2"/>
  <c r="BM61" i="2"/>
  <c r="CV64" i="2"/>
  <c r="CY5" i="15"/>
  <c r="CY8" i="15" s="1"/>
  <c r="CY9" i="15" s="1"/>
  <c r="CY92" i="1"/>
  <c r="K71" i="2"/>
  <c r="AM78" i="2"/>
  <c r="BO88" i="2"/>
  <c r="AS15" i="15"/>
  <c r="AS51" i="1"/>
  <c r="AT6" i="1"/>
  <c r="AT25" i="2" s="1"/>
  <c r="AS139" i="1"/>
  <c r="AW6" i="15"/>
  <c r="AW140" i="1"/>
  <c r="AW60" i="1"/>
  <c r="CF66" i="1"/>
  <c r="CF8" i="1"/>
  <c r="CF30" i="2"/>
  <c r="CR9" i="1"/>
  <c r="CD8" i="1"/>
  <c r="CD66" i="1"/>
  <c r="X141" i="1"/>
  <c r="X6" i="15"/>
  <c r="X69" i="1"/>
  <c r="X5" i="1"/>
  <c r="X4" i="1" s="1"/>
  <c r="AK141" i="1"/>
  <c r="AK69" i="1"/>
  <c r="AK5" i="1"/>
  <c r="AK4" i="1" s="1"/>
  <c r="AY11" i="1"/>
  <c r="AI75" i="1"/>
  <c r="AI11" i="1"/>
  <c r="AI88" i="1"/>
  <c r="AP143" i="1"/>
  <c r="BC143" i="1"/>
  <c r="BQ8" i="15"/>
  <c r="BQ9" i="15" s="1"/>
  <c r="BQ143" i="1"/>
  <c r="CF143" i="1"/>
  <c r="CT143" i="1"/>
  <c r="AJ150" i="1"/>
  <c r="CR150" i="1"/>
  <c r="J52" i="1"/>
  <c r="X57" i="1"/>
  <c r="AL121" i="1"/>
  <c r="AL120" i="1"/>
  <c r="AL52" i="1"/>
  <c r="AL26" i="1"/>
  <c r="BB67" i="1"/>
  <c r="BB65" i="1"/>
  <c r="BO69" i="1"/>
  <c r="AL85" i="1"/>
  <c r="AL104" i="1"/>
  <c r="AL101" i="1"/>
  <c r="CY87" i="1"/>
  <c r="BF101" i="1"/>
  <c r="AX20" i="9"/>
  <c r="CA69" i="1"/>
  <c r="CA141" i="1"/>
  <c r="W8" i="15"/>
  <c r="W9" i="15" s="1"/>
  <c r="W143" i="1"/>
  <c r="CQ148" i="1"/>
  <c r="CR37" i="1"/>
  <c r="CR148" i="1" s="1"/>
  <c r="CN80" i="1"/>
  <c r="CN81" i="1" s="1"/>
  <c r="AJ33" i="9"/>
  <c r="AO41" i="9" s="1"/>
  <c r="AK111" i="1"/>
  <c r="F51" i="9"/>
  <c r="F45" i="9"/>
  <c r="F23" i="9"/>
  <c r="F106" i="1"/>
  <c r="F130" i="1"/>
  <c r="F3" i="1"/>
  <c r="F25" i="1"/>
  <c r="F3" i="15"/>
  <c r="F59" i="1"/>
  <c r="F3" i="9"/>
  <c r="F77" i="2"/>
  <c r="F52" i="2"/>
  <c r="W11" i="2"/>
  <c r="W10" i="2"/>
  <c r="AO60" i="22"/>
  <c r="CW31" i="2"/>
  <c r="AJ65" i="2"/>
  <c r="AJ18" i="1"/>
  <c r="CF121" i="1"/>
  <c r="CF120" i="1"/>
  <c r="CF57" i="1"/>
  <c r="CF52" i="1"/>
  <c r="X70" i="22"/>
  <c r="CB64" i="2"/>
  <c r="CC40" i="2"/>
  <c r="AE65" i="2"/>
  <c r="AY81" i="2"/>
  <c r="AY32" i="11" s="1"/>
  <c r="BJ141" i="1"/>
  <c r="BJ69" i="1"/>
  <c r="BJ71" i="1" s="1"/>
  <c r="I143" i="1"/>
  <c r="AK143" i="1"/>
  <c r="AR146" i="1"/>
  <c r="AR145" i="1" s="1"/>
  <c r="AR10" i="15"/>
  <c r="AR27" i="1"/>
  <c r="AR26" i="1" s="1"/>
  <c r="AR50" i="1"/>
  <c r="T63" i="1"/>
  <c r="G101" i="1"/>
  <c r="G104" i="1"/>
  <c r="G85" i="1"/>
  <c r="CR33" i="9"/>
  <c r="AK43" i="9"/>
  <c r="AO42" i="9"/>
  <c r="AW38" i="22"/>
  <c r="DB9" i="2"/>
  <c r="J66" i="22"/>
  <c r="BN160" i="1"/>
  <c r="BG59" i="2"/>
  <c r="I5" i="15"/>
  <c r="I8" i="15" s="1"/>
  <c r="I9" i="15" s="1"/>
  <c r="I92" i="1"/>
  <c r="DB78" i="2"/>
  <c r="Z73" i="1"/>
  <c r="Z74" i="1" s="1"/>
  <c r="Z88" i="1"/>
  <c r="CM103" i="1"/>
  <c r="CW39" i="1"/>
  <c r="CW149" i="1" s="1"/>
  <c r="B67" i="1"/>
  <c r="B65" i="1"/>
  <c r="B62" i="1"/>
  <c r="P65" i="1"/>
  <c r="P67" i="1"/>
  <c r="P62" i="1"/>
  <c r="CP80" i="1"/>
  <c r="CP81" i="1" s="1"/>
  <c r="BE34" i="9"/>
  <c r="AU62" i="22"/>
  <c r="DA33" i="2"/>
  <c r="DB33" i="2" s="1"/>
  <c r="AX62" i="22" s="1"/>
  <c r="CY32" i="2"/>
  <c r="BC5" i="15"/>
  <c r="BC8" i="15" s="1"/>
  <c r="BC9" i="15" s="1"/>
  <c r="BD68" i="2"/>
  <c r="BD5" i="15" s="1"/>
  <c r="BK88" i="2"/>
  <c r="BZ20" i="9"/>
  <c r="V21" i="22" s="1"/>
  <c r="BY140" i="1"/>
  <c r="BY60" i="1"/>
  <c r="CR18" i="1"/>
  <c r="CR144" i="1" s="1"/>
  <c r="BY146" i="1"/>
  <c r="BY145" i="1" s="1"/>
  <c r="BY50" i="1"/>
  <c r="AJ35" i="1"/>
  <c r="AI120" i="1"/>
  <c r="AI121" i="1"/>
  <c r="AI52" i="1"/>
  <c r="AI57" i="1"/>
  <c r="CT121" i="1"/>
  <c r="CT120" i="1"/>
  <c r="CT57" i="1"/>
  <c r="U11" i="9"/>
  <c r="U13" i="9"/>
  <c r="U30" i="9"/>
  <c r="U84" i="1"/>
  <c r="AQ34" i="9"/>
  <c r="AQ39" i="9" s="1"/>
  <c r="AT14" i="9"/>
  <c r="AT34" i="9" s="1"/>
  <c r="AT39" i="9" s="1"/>
  <c r="AN19" i="7"/>
  <c r="AM19" i="7"/>
  <c r="BW19" i="7"/>
  <c r="BY19" i="7"/>
  <c r="BA14" i="22"/>
  <c r="DI19" i="7"/>
  <c r="BS5" i="2"/>
  <c r="AR55" i="22"/>
  <c r="BA17" i="2"/>
  <c r="AT40" i="2"/>
  <c r="AW72" i="22"/>
  <c r="BL88" i="2"/>
  <c r="AB50" i="22"/>
  <c r="CF56" i="2"/>
  <c r="N27" i="2"/>
  <c r="D70" i="22"/>
  <c r="BD64" i="2"/>
  <c r="AD143" i="1"/>
  <c r="B32" i="9"/>
  <c r="B51" i="9"/>
  <c r="B45" i="9"/>
  <c r="B3" i="9"/>
  <c r="B23" i="9"/>
  <c r="B3" i="15"/>
  <c r="B77" i="2"/>
  <c r="B130" i="1"/>
  <c r="B106" i="1"/>
  <c r="B59" i="1"/>
  <c r="B25" i="1"/>
  <c r="B3" i="1"/>
  <c r="CB19" i="7"/>
  <c r="BW1" i="2"/>
  <c r="BA11" i="2"/>
  <c r="AS70" i="1"/>
  <c r="AS12" i="2"/>
  <c r="P56" i="2"/>
  <c r="U60" i="2"/>
  <c r="U59" i="2" s="1"/>
  <c r="U25" i="2"/>
  <c r="CD25" i="2"/>
  <c r="Z54" i="22" s="1"/>
  <c r="AW63" i="22"/>
  <c r="DB34" i="2"/>
  <c r="AX63" i="22" s="1"/>
  <c r="CV61" i="2"/>
  <c r="BJ5" i="1"/>
  <c r="BJ4" i="1" s="1"/>
  <c r="CT66" i="1"/>
  <c r="CT8" i="1"/>
  <c r="Z141" i="1"/>
  <c r="Z69" i="1"/>
  <c r="Z5" i="1"/>
  <c r="AM141" i="1"/>
  <c r="AM5" i="1"/>
  <c r="AM4" i="1" s="1"/>
  <c r="AM69" i="1"/>
  <c r="R143" i="1"/>
  <c r="BE143" i="1"/>
  <c r="BS22" i="1"/>
  <c r="BT95" i="1" s="1"/>
  <c r="F148" i="1"/>
  <c r="F103" i="1"/>
  <c r="F104" i="1" s="1"/>
  <c r="V19" i="7"/>
  <c r="AL19" i="7"/>
  <c r="M70" i="1"/>
  <c r="AT13" i="2"/>
  <c r="BI21" i="2"/>
  <c r="D17" i="2"/>
  <c r="S55" i="22"/>
  <c r="BW61" i="2"/>
  <c r="BW85" i="2"/>
  <c r="BW88" i="2" s="1"/>
  <c r="BX26" i="2"/>
  <c r="BW23" i="2"/>
  <c r="S52" i="22" s="1"/>
  <c r="AH66" i="22"/>
  <c r="CL160" i="1"/>
  <c r="U41" i="2"/>
  <c r="I70" i="22"/>
  <c r="BN40" i="2"/>
  <c r="BZ5" i="15"/>
  <c r="BZ8" i="15" s="1"/>
  <c r="BZ9" i="15" s="1"/>
  <c r="BZ92" i="1"/>
  <c r="AJ81" i="2"/>
  <c r="AJ32" i="11" s="1"/>
  <c r="B83" i="2"/>
  <c r="BT88" i="2"/>
  <c r="P14" i="15"/>
  <c r="K15" i="15"/>
  <c r="K139" i="1"/>
  <c r="L14" i="15"/>
  <c r="L25" i="2"/>
  <c r="CO20" i="9"/>
  <c r="AK21" i="22" s="1"/>
  <c r="CN140" i="1"/>
  <c r="CN60" i="1"/>
  <c r="CI140" i="1"/>
  <c r="CJ20" i="9"/>
  <c r="AF21" i="22" s="1"/>
  <c r="M6" i="15"/>
  <c r="M141" i="1"/>
  <c r="M69" i="1"/>
  <c r="M5" i="1"/>
  <c r="M4" i="1" s="1"/>
  <c r="AS100" i="1"/>
  <c r="AS101" i="1" s="1"/>
  <c r="AT15" i="1"/>
  <c r="AT100" i="1" s="1"/>
  <c r="AT101" i="1" s="1"/>
  <c r="AJ142" i="1"/>
  <c r="CR142" i="1"/>
  <c r="E143" i="1"/>
  <c r="S143" i="1"/>
  <c r="AS8" i="15"/>
  <c r="AS9" i="15" s="1"/>
  <c r="AS143" i="1"/>
  <c r="BF8" i="15"/>
  <c r="BF9" i="15" s="1"/>
  <c r="BF143" i="1"/>
  <c r="BT143" i="1"/>
  <c r="CT147" i="1"/>
  <c r="CT87" i="1"/>
  <c r="U43" i="1"/>
  <c r="CH103" i="1"/>
  <c r="CW42" i="2"/>
  <c r="AS72" i="22" s="1"/>
  <c r="DG44" i="2"/>
  <c r="BC74" i="22" s="1"/>
  <c r="CU54" i="2"/>
  <c r="BK20" i="9"/>
  <c r="G21" i="22" s="1"/>
  <c r="BJ60" i="1"/>
  <c r="BJ140" i="1"/>
  <c r="T6" i="15"/>
  <c r="T141" i="1"/>
  <c r="T69" i="1"/>
  <c r="T72" i="1" s="1"/>
  <c r="U11" i="1"/>
  <c r="Z6" i="15" s="1"/>
  <c r="T5" i="1"/>
  <c r="T4" i="1" s="1"/>
  <c r="BL5" i="1"/>
  <c r="BL4" i="1" s="1"/>
  <c r="BL141" i="1"/>
  <c r="BL138" i="1" s="1"/>
  <c r="BL69" i="1"/>
  <c r="AN144" i="1"/>
  <c r="AO18" i="1"/>
  <c r="BH10" i="15"/>
  <c r="BH146" i="1"/>
  <c r="BH50" i="1"/>
  <c r="BH27" i="1"/>
  <c r="BH26" i="1" s="1"/>
  <c r="AO103" i="1"/>
  <c r="T52" i="1"/>
  <c r="AK89" i="1"/>
  <c r="B19" i="11"/>
  <c r="B23" i="11" s="1"/>
  <c r="B25" i="11"/>
  <c r="BR1" i="2"/>
  <c r="BE11" i="2"/>
  <c r="CI4" i="2"/>
  <c r="U34" i="22"/>
  <c r="BY36" i="9"/>
  <c r="BY61" i="1"/>
  <c r="CL13" i="2"/>
  <c r="CM13" i="2" s="1"/>
  <c r="AH53" i="22"/>
  <c r="CL25" i="2"/>
  <c r="AH54" i="22" s="1"/>
  <c r="CL23" i="2"/>
  <c r="AH52" i="22" s="1"/>
  <c r="AX55" i="22"/>
  <c r="T60" i="22"/>
  <c r="AR63" i="22"/>
  <c r="CV68" i="2"/>
  <c r="CW68" i="2" s="1"/>
  <c r="CW5" i="15" s="1"/>
  <c r="CW34" i="2"/>
  <c r="AS63" i="22" s="1"/>
  <c r="AN70" i="22"/>
  <c r="U81" i="2"/>
  <c r="BY59" i="2"/>
  <c r="CR65" i="2"/>
  <c r="CK5" i="15"/>
  <c r="CK8" i="15" s="1"/>
  <c r="CK9" i="15" s="1"/>
  <c r="CK92" i="1"/>
  <c r="CZ92" i="1"/>
  <c r="CZ5" i="15"/>
  <c r="CZ8" i="15" s="1"/>
  <c r="CZ9" i="15" s="1"/>
  <c r="DC81" i="2"/>
  <c r="AX15" i="15"/>
  <c r="AX139" i="1"/>
  <c r="AX51" i="1"/>
  <c r="CH142" i="1"/>
  <c r="CV144" i="1"/>
  <c r="CW18" i="1"/>
  <c r="CW144" i="1" s="1"/>
  <c r="AQ8" i="15"/>
  <c r="AQ9" i="15" s="1"/>
  <c r="AQ143" i="1"/>
  <c r="CG143" i="1"/>
  <c r="CJ10" i="15"/>
  <c r="CJ27" i="1"/>
  <c r="CJ26" i="1" s="1"/>
  <c r="CJ146" i="1"/>
  <c r="AO150" i="1"/>
  <c r="Y52" i="1"/>
  <c r="Y57" i="1"/>
  <c r="U67" i="1"/>
  <c r="U62" i="1"/>
  <c r="AK67" i="1"/>
  <c r="AK62" i="1"/>
  <c r="AK65" i="1"/>
  <c r="BD65" i="1"/>
  <c r="BT67" i="1"/>
  <c r="G98" i="1"/>
  <c r="AQ114" i="1"/>
  <c r="AQ116" i="1" s="1"/>
  <c r="AQ118" i="1" s="1"/>
  <c r="F32" i="9"/>
  <c r="F67" i="1"/>
  <c r="F65" i="1"/>
  <c r="AX5" i="2"/>
  <c r="AX71" i="2" s="1"/>
  <c r="AX113" i="1" s="1"/>
  <c r="V34" i="22"/>
  <c r="BZ36" i="9"/>
  <c r="BZ43" i="9" s="1"/>
  <c r="BZ61" i="1"/>
  <c r="BZ4" i="2"/>
  <c r="AJ34" i="22"/>
  <c r="CN36" i="9"/>
  <c r="CN43" i="9" s="1"/>
  <c r="CN61" i="1"/>
  <c r="CN4" i="2"/>
  <c r="CP5" i="2"/>
  <c r="AL36" i="22"/>
  <c r="CP42" i="9"/>
  <c r="DA8" i="2"/>
  <c r="AW37" i="22" s="1"/>
  <c r="J10" i="2"/>
  <c r="L11" i="2"/>
  <c r="AC70" i="1"/>
  <c r="V42" i="22"/>
  <c r="BZ70" i="1"/>
  <c r="BZ12" i="2"/>
  <c r="V41" i="22" s="1"/>
  <c r="BZ54" i="2"/>
  <c r="DC70" i="1"/>
  <c r="AY42" i="22"/>
  <c r="DC54" i="2"/>
  <c r="AX16" i="2"/>
  <c r="AN20" i="2"/>
  <c r="AJ26" i="2"/>
  <c r="BI40" i="2"/>
  <c r="AR76" i="22"/>
  <c r="CV65" i="2"/>
  <c r="Z81" i="2"/>
  <c r="AB5" i="15"/>
  <c r="AB8" i="15" s="1"/>
  <c r="AB9" i="15" s="1"/>
  <c r="AB92" i="1"/>
  <c r="CL68" i="2"/>
  <c r="CM68" i="2" s="1"/>
  <c r="CM5" i="15" s="1"/>
  <c r="DA68" i="2"/>
  <c r="CC72" i="2"/>
  <c r="BS84" i="2"/>
  <c r="AI85" i="2"/>
  <c r="F15" i="15"/>
  <c r="G14" i="15"/>
  <c r="K14" i="15"/>
  <c r="F139" i="1"/>
  <c r="CM142" i="1"/>
  <c r="AR143" i="1"/>
  <c r="AR8" i="15"/>
  <c r="AR9" i="15" s="1"/>
  <c r="Z85" i="1"/>
  <c r="BM147" i="1"/>
  <c r="BN34" i="1"/>
  <c r="BN83" i="1" s="1"/>
  <c r="BN103" i="1"/>
  <c r="I67" i="1"/>
  <c r="I62" i="1"/>
  <c r="I65" i="1"/>
  <c r="AL67" i="1"/>
  <c r="AL65" i="1"/>
  <c r="N85" i="1"/>
  <c r="N104" i="1"/>
  <c r="M101" i="1"/>
  <c r="DP86" i="2"/>
  <c r="BL54" i="22"/>
  <c r="CY19" i="7"/>
  <c r="U4" i="2"/>
  <c r="U10" i="2" s="1"/>
  <c r="Q11" i="2"/>
  <c r="BG11" i="2"/>
  <c r="P33" i="22"/>
  <c r="BT11" i="2"/>
  <c r="K65" i="1"/>
  <c r="K62" i="1"/>
  <c r="K67" i="1"/>
  <c r="AJ37" i="22"/>
  <c r="L10" i="2"/>
  <c r="M11" i="2"/>
  <c r="AI47" i="22"/>
  <c r="R17" i="2"/>
  <c r="Z25" i="2"/>
  <c r="Z60" i="2"/>
  <c r="Z59" i="2" s="1"/>
  <c r="AN85" i="2"/>
  <c r="AN61" i="2"/>
  <c r="P61" i="22"/>
  <c r="BS33" i="2"/>
  <c r="O62" i="22" s="1"/>
  <c r="AY36" i="2"/>
  <c r="CW46" i="2"/>
  <c r="AI61" i="2"/>
  <c r="CL64" i="2"/>
  <c r="AC5" i="15"/>
  <c r="AC8" i="15" s="1"/>
  <c r="AC9" i="15" s="1"/>
  <c r="AC92" i="1"/>
  <c r="J19" i="7"/>
  <c r="DF18" i="7"/>
  <c r="DF64" i="1" s="1"/>
  <c r="CZ19" i="7"/>
  <c r="DR19" i="7"/>
  <c r="Q33" i="22"/>
  <c r="BU11" i="2"/>
  <c r="CB5" i="2"/>
  <c r="CC5" i="2" s="1"/>
  <c r="AO34" i="22"/>
  <c r="CS36" i="9"/>
  <c r="CS61" i="1"/>
  <c r="N36" i="22"/>
  <c r="BR42" i="9"/>
  <c r="BR72" i="2"/>
  <c r="CR7" i="2"/>
  <c r="K8" i="2"/>
  <c r="AL38" i="22"/>
  <c r="CP8" i="2"/>
  <c r="Q10" i="2"/>
  <c r="N11" i="2"/>
  <c r="AD70" i="1"/>
  <c r="AE12" i="2"/>
  <c r="AE70" i="1" s="1"/>
  <c r="AX70" i="1"/>
  <c r="AX54" i="2"/>
  <c r="AX55" i="2" s="1"/>
  <c r="AY13" i="2"/>
  <c r="U72" i="2"/>
  <c r="I50" i="22"/>
  <c r="BM56" i="2"/>
  <c r="BN21" i="2"/>
  <c r="AG50" i="22"/>
  <c r="S17" i="2"/>
  <c r="AF17" i="2"/>
  <c r="AE60" i="2"/>
  <c r="AE59" i="2" s="1"/>
  <c r="AN53" i="22"/>
  <c r="AO26" i="2"/>
  <c r="X55" i="22"/>
  <c r="CB61" i="2"/>
  <c r="CC26" i="2"/>
  <c r="CH31" i="2"/>
  <c r="S62" i="22"/>
  <c r="BW32" i="2"/>
  <c r="BX33" i="2"/>
  <c r="T62" i="22" s="1"/>
  <c r="AJ62" i="22"/>
  <c r="CQ33" i="2"/>
  <c r="P93" i="1"/>
  <c r="CM36" i="2"/>
  <c r="AW76" i="22"/>
  <c r="DA65" i="2"/>
  <c r="DB46" i="2"/>
  <c r="H59" i="2"/>
  <c r="W59" i="2"/>
  <c r="E5" i="15"/>
  <c r="E8" i="15" s="1"/>
  <c r="E9" i="15" s="1"/>
  <c r="E92" i="1"/>
  <c r="Q5" i="15"/>
  <c r="Q92" i="1"/>
  <c r="CA92" i="1"/>
  <c r="CA5" i="15"/>
  <c r="CA8" i="15" s="1"/>
  <c r="CA9" i="15" s="1"/>
  <c r="CN5" i="15"/>
  <c r="CN92" i="1"/>
  <c r="CN95" i="1" s="1"/>
  <c r="AR114" i="1"/>
  <c r="AR116" i="1" s="1"/>
  <c r="AR118" i="1" s="1"/>
  <c r="AR115" i="1"/>
  <c r="AR117" i="1" s="1"/>
  <c r="DC71" i="2"/>
  <c r="AY80" i="22" s="1"/>
  <c r="AK81" i="2"/>
  <c r="CK13" i="1"/>
  <c r="CK73" i="1"/>
  <c r="CK74" i="1" s="1"/>
  <c r="AO142" i="1"/>
  <c r="T143" i="1"/>
  <c r="AG8" i="15"/>
  <c r="AG9" i="15" s="1"/>
  <c r="AG143" i="1"/>
  <c r="BG8" i="15"/>
  <c r="BG9" i="15" s="1"/>
  <c r="BG143" i="1"/>
  <c r="Q27" i="1"/>
  <c r="Q26" i="1" s="1"/>
  <c r="AW27" i="1"/>
  <c r="AW26" i="1" s="1"/>
  <c r="BY27" i="1"/>
  <c r="BY26" i="1" s="1"/>
  <c r="BD150" i="1"/>
  <c r="N57" i="1"/>
  <c r="CO57" i="1"/>
  <c r="CO120" i="1"/>
  <c r="CO121" i="1"/>
  <c r="CO52" i="1"/>
  <c r="X52" i="1"/>
  <c r="BU80" i="1"/>
  <c r="BU81" i="1" s="1"/>
  <c r="W92" i="1"/>
  <c r="AT92" i="1"/>
  <c r="BC92" i="1"/>
  <c r="BD92" i="1" s="1"/>
  <c r="M104" i="1"/>
  <c r="AD6" i="22"/>
  <c r="CH6" i="9"/>
  <c r="AD7" i="22" s="1"/>
  <c r="AT18" i="9"/>
  <c r="AG29" i="22"/>
  <c r="CK30" i="9"/>
  <c r="AG30" i="22" s="1"/>
  <c r="AV29" i="22"/>
  <c r="CZ30" i="9"/>
  <c r="AV30" i="22" s="1"/>
  <c r="AP140" i="1"/>
  <c r="AQ20" i="9"/>
  <c r="AP5" i="1"/>
  <c r="AP4" i="1" s="1"/>
  <c r="AP60" i="1"/>
  <c r="DD144" i="1"/>
  <c r="AW8" i="15"/>
  <c r="AW9" i="15" s="1"/>
  <c r="AW143" i="1"/>
  <c r="BH149" i="1"/>
  <c r="BI40" i="1"/>
  <c r="BI149" i="1" s="1"/>
  <c r="CJ27" i="2"/>
  <c r="AF56" i="22" s="1"/>
  <c r="S85" i="1"/>
  <c r="S101" i="1"/>
  <c r="AS93" i="1"/>
  <c r="AS91" i="1"/>
  <c r="AT91" i="1" s="1"/>
  <c r="L52" i="22"/>
  <c r="BP17" i="2"/>
  <c r="L46" i="22" s="1"/>
  <c r="AM55" i="22"/>
  <c r="CQ61" i="2"/>
  <c r="AR20" i="9"/>
  <c r="AQ60" i="1"/>
  <c r="AQ6" i="15"/>
  <c r="BK141" i="1"/>
  <c r="BK69" i="1"/>
  <c r="BK5" i="1"/>
  <c r="BK4" i="1" s="1"/>
  <c r="AV65" i="1"/>
  <c r="AV67" i="1"/>
  <c r="BW73" i="1"/>
  <c r="BR112" i="1"/>
  <c r="BS111" i="1"/>
  <c r="N34" i="22"/>
  <c r="BR36" i="9"/>
  <c r="BS36" i="9" s="1"/>
  <c r="BR61" i="1"/>
  <c r="AT34" i="22"/>
  <c r="CX36" i="9"/>
  <c r="CX43" i="9" s="1"/>
  <c r="CX4" i="2"/>
  <c r="DA5" i="2"/>
  <c r="BX9" i="2"/>
  <c r="AE56" i="2"/>
  <c r="N47" i="22"/>
  <c r="M52" i="22"/>
  <c r="BQ17" i="2"/>
  <c r="M46" i="22" s="1"/>
  <c r="X53" i="22"/>
  <c r="CB60" i="2"/>
  <c r="CB23" i="2"/>
  <c r="CR26" i="2"/>
  <c r="BA81" i="2"/>
  <c r="AZ81" i="2"/>
  <c r="AV10" i="15"/>
  <c r="AV50" i="1"/>
  <c r="AV146" i="1"/>
  <c r="AV145" i="1" s="1"/>
  <c r="G57" i="1"/>
  <c r="G26" i="1"/>
  <c r="CT52" i="1"/>
  <c r="BJ80" i="1"/>
  <c r="BJ81" i="1" s="1"/>
  <c r="W29" i="15"/>
  <c r="W89" i="1"/>
  <c r="AX18" i="7"/>
  <c r="BA19" i="7"/>
  <c r="CI19" i="7"/>
  <c r="CK19" i="7"/>
  <c r="CI18" i="7"/>
  <c r="F3" i="2"/>
  <c r="K4" i="2"/>
  <c r="K10" i="2" s="1"/>
  <c r="AL10" i="2"/>
  <c r="AE34" i="22"/>
  <c r="CI61" i="1"/>
  <c r="CI36" i="9"/>
  <c r="CI43" i="9" s="1"/>
  <c r="AS53" i="2"/>
  <c r="AS55" i="2" s="1"/>
  <c r="AS22" i="2"/>
  <c r="AE42" i="22"/>
  <c r="CI12" i="2"/>
  <c r="BS18" i="2"/>
  <c r="AX25" i="2"/>
  <c r="AX60" i="2"/>
  <c r="AX59" i="2" s="1"/>
  <c r="CC24" i="2"/>
  <c r="AV88" i="2"/>
  <c r="U42" i="22"/>
  <c r="BY54" i="2"/>
  <c r="BY70" i="1"/>
  <c r="BY71" i="2"/>
  <c r="U80" i="22" s="1"/>
  <c r="N55" i="22"/>
  <c r="BR85" i="2"/>
  <c r="BS85" i="2" s="1"/>
  <c r="BR61" i="2"/>
  <c r="BD32" i="2"/>
  <c r="D61" i="22" s="1"/>
  <c r="AE62" i="22"/>
  <c r="CL33" i="2"/>
  <c r="CI32" i="2"/>
  <c r="AC66" i="22"/>
  <c r="CG160" i="1"/>
  <c r="D76" i="22"/>
  <c r="BD65" i="2"/>
  <c r="AH88" i="2"/>
  <c r="H62" i="1"/>
  <c r="H67" i="1"/>
  <c r="DO86" i="2"/>
  <c r="BK54" i="22"/>
  <c r="CT19" i="7"/>
  <c r="F4" i="2"/>
  <c r="F10" i="2" s="1"/>
  <c r="B10" i="2"/>
  <c r="BF10" i="2"/>
  <c r="AE50" i="22"/>
  <c r="CI56" i="2"/>
  <c r="CL21" i="2"/>
  <c r="CM21" i="2" s="1"/>
  <c r="BH23" i="2"/>
  <c r="BH25" i="2"/>
  <c r="BY5" i="15"/>
  <c r="BY92" i="1"/>
  <c r="C51" i="9"/>
  <c r="C23" i="9"/>
  <c r="C3" i="9"/>
  <c r="C3" i="15"/>
  <c r="C45" i="9"/>
  <c r="C106" i="1"/>
  <c r="C130" i="1"/>
  <c r="C59" i="1"/>
  <c r="C77" i="2"/>
  <c r="C32" i="9"/>
  <c r="C52" i="2"/>
  <c r="DR86" i="2"/>
  <c r="DR25" i="2"/>
  <c r="BT64" i="1"/>
  <c r="BT65" i="1" s="1"/>
  <c r="EF18" i="7"/>
  <c r="BJ19" i="7"/>
  <c r="DW19" i="7"/>
  <c r="AU11" i="2"/>
  <c r="R33" i="22"/>
  <c r="BV11" i="2"/>
  <c r="D34" i="22"/>
  <c r="AP34" i="22"/>
  <c r="CT36" i="9"/>
  <c r="CT61" i="1"/>
  <c r="AR36" i="22"/>
  <c r="CV42" i="9"/>
  <c r="CW7" i="2"/>
  <c r="AS36" i="22" s="1"/>
  <c r="J38" i="22"/>
  <c r="AK10" i="2"/>
  <c r="CD10" i="2"/>
  <c r="Z39" i="22" s="1"/>
  <c r="O11" i="2"/>
  <c r="AL11" i="2"/>
  <c r="CD11" i="2"/>
  <c r="CD22" i="2" s="1"/>
  <c r="Z51" i="22" s="1"/>
  <c r="Q70" i="1"/>
  <c r="S70" i="1"/>
  <c r="BC71" i="2"/>
  <c r="BC113" i="1" s="1"/>
  <c r="BC12" i="2"/>
  <c r="BD12" i="2" s="1"/>
  <c r="BD13" i="2"/>
  <c r="BD2" i="2" s="1"/>
  <c r="BC70" i="1"/>
  <c r="Z72" i="2"/>
  <c r="Z54" i="2"/>
  <c r="AP17" i="2"/>
  <c r="AR47" i="22"/>
  <c r="AE20" i="2"/>
  <c r="BC25" i="2"/>
  <c r="CO27" i="2"/>
  <c r="AK56" i="22" s="1"/>
  <c r="H58" i="22"/>
  <c r="BL17" i="2"/>
  <c r="AG60" i="22"/>
  <c r="CM31" i="2"/>
  <c r="AF159" i="1"/>
  <c r="AE64" i="2"/>
  <c r="AN43" i="2"/>
  <c r="CJ54" i="2"/>
  <c r="BH64" i="2"/>
  <c r="BW64" i="2"/>
  <c r="F68" i="2"/>
  <c r="F5" i="15" s="1"/>
  <c r="R5" i="15"/>
  <c r="R8" i="15" s="1"/>
  <c r="R9" i="15" s="1"/>
  <c r="R92" i="1"/>
  <c r="CO5" i="15"/>
  <c r="CO8" i="15" s="1"/>
  <c r="CO9" i="15" s="1"/>
  <c r="CO92" i="1"/>
  <c r="AS71" i="2"/>
  <c r="AS113" i="1" s="1"/>
  <c r="AS115" i="1" s="1"/>
  <c r="AL81" i="2"/>
  <c r="AS8" i="1"/>
  <c r="AS66" i="1"/>
  <c r="AT66" i="1" s="1"/>
  <c r="BY5" i="1"/>
  <c r="BY4" i="1" s="1"/>
  <c r="DA144" i="1"/>
  <c r="DB18" i="1"/>
  <c r="DB144" i="1" s="1"/>
  <c r="G143" i="1"/>
  <c r="CK143" i="1"/>
  <c r="CF10" i="15"/>
  <c r="CF146" i="1"/>
  <c r="CF50" i="1"/>
  <c r="CF27" i="1"/>
  <c r="CF26" i="1" s="1"/>
  <c r="CS146" i="1"/>
  <c r="CS27" i="1"/>
  <c r="CS26" i="1" s="1"/>
  <c r="CS50" i="1"/>
  <c r="CT85" i="2" s="1"/>
  <c r="CT84" i="2" s="1"/>
  <c r="BD79" i="1"/>
  <c r="CP52" i="1"/>
  <c r="CP121" i="1"/>
  <c r="CP57" i="1"/>
  <c r="AE50" i="1"/>
  <c r="T57" i="1"/>
  <c r="K63" i="1"/>
  <c r="F63" i="1"/>
  <c r="BG62" i="1"/>
  <c r="CB92" i="1"/>
  <c r="AQ95" i="1"/>
  <c r="AW116" i="1"/>
  <c r="AW118" i="1" s="1"/>
  <c r="CY146" i="1"/>
  <c r="CY145" i="1" s="1"/>
  <c r="F10" i="15"/>
  <c r="F12" i="15" s="1"/>
  <c r="F146" i="1"/>
  <c r="R10" i="15"/>
  <c r="R146" i="1"/>
  <c r="R145" i="1" s="1"/>
  <c r="R50" i="1"/>
  <c r="AF10" i="15"/>
  <c r="AF146" i="1"/>
  <c r="AF145" i="1" s="1"/>
  <c r="AF50" i="1"/>
  <c r="AS27" i="1"/>
  <c r="AS26" i="1" s="1"/>
  <c r="AS10" i="15"/>
  <c r="AS146" i="1"/>
  <c r="AT28" i="1"/>
  <c r="AU10" i="15" s="1"/>
  <c r="AS50" i="1"/>
  <c r="CD146" i="1"/>
  <c r="CD27" i="1"/>
  <c r="BH120" i="1"/>
  <c r="BH121" i="1"/>
  <c r="BH52" i="1"/>
  <c r="CG121" i="1"/>
  <c r="CG52" i="1"/>
  <c r="AG80" i="1"/>
  <c r="AG81" i="1" s="1"/>
  <c r="AX13" i="22"/>
  <c r="DB13" i="9"/>
  <c r="AX14" i="22" s="1"/>
  <c r="CG18" i="7"/>
  <c r="CG64" i="1" s="1"/>
  <c r="CH64" i="1" s="1"/>
  <c r="DE18" i="7"/>
  <c r="DE64" i="1" s="1"/>
  <c r="DE65" i="1" s="1"/>
  <c r="CG19" i="7"/>
  <c r="BC36" i="9"/>
  <c r="BD36" i="9" s="1"/>
  <c r="BC61" i="1"/>
  <c r="W34" i="22"/>
  <c r="CA36" i="9"/>
  <c r="CA43" i="9" s="1"/>
  <c r="CB43" i="9" s="1"/>
  <c r="CA61" i="1"/>
  <c r="AU34" i="22"/>
  <c r="CY36" i="9"/>
  <c r="CY61" i="1"/>
  <c r="CB42" i="9"/>
  <c r="CC42" i="9" s="1"/>
  <c r="X36" i="22"/>
  <c r="D11" i="2"/>
  <c r="G70" i="1"/>
  <c r="W42" i="22"/>
  <c r="CA71" i="2"/>
  <c r="CA12" i="2"/>
  <c r="W41" i="22" s="1"/>
  <c r="CA54" i="2"/>
  <c r="CA70" i="1"/>
  <c r="AJ42" i="22"/>
  <c r="CN71" i="2"/>
  <c r="AJ80" i="22" s="1"/>
  <c r="CN54" i="2"/>
  <c r="AV42" i="22"/>
  <c r="CZ71" i="2"/>
  <c r="AR44" i="22"/>
  <c r="CV72" i="2"/>
  <c r="AS56" i="2"/>
  <c r="AI23" i="2"/>
  <c r="AM53" i="22"/>
  <c r="CV25" i="2"/>
  <c r="AR54" i="22" s="1"/>
  <c r="AS85" i="2"/>
  <c r="BI29" i="2"/>
  <c r="E58" i="22" s="1"/>
  <c r="Z58" i="22"/>
  <c r="N63" i="22"/>
  <c r="BR21" i="2"/>
  <c r="AM66" i="22"/>
  <c r="CQ160" i="1"/>
  <c r="CS56" i="2"/>
  <c r="Z64" i="2"/>
  <c r="BC65" i="2"/>
  <c r="J5" i="15"/>
  <c r="J8" i="15" s="1"/>
  <c r="J9" i="15" s="1"/>
  <c r="J92" i="1"/>
  <c r="V5" i="15"/>
  <c r="V92" i="1"/>
  <c r="CD5" i="15"/>
  <c r="CD92" i="1"/>
  <c r="CD95" i="1" s="1"/>
  <c r="CP5" i="15"/>
  <c r="CP8" i="15" s="1"/>
  <c r="CP9" i="15" s="1"/>
  <c r="CP92" i="1"/>
  <c r="DD5" i="15"/>
  <c r="DD8" i="15" s="1"/>
  <c r="DD9" i="15" s="1"/>
  <c r="DD92" i="1"/>
  <c r="AV115" i="1"/>
  <c r="AV117" i="1" s="1"/>
  <c r="AV114" i="1"/>
  <c r="AV116" i="1" s="1"/>
  <c r="AV118" i="1" s="1"/>
  <c r="BG81" i="2"/>
  <c r="AX6" i="15"/>
  <c r="AX60" i="1"/>
  <c r="AX140" i="1"/>
  <c r="L141" i="1"/>
  <c r="L69" i="1"/>
  <c r="L5" i="1"/>
  <c r="L4" i="1" s="1"/>
  <c r="Y6" i="15"/>
  <c r="Y141" i="1"/>
  <c r="Y69" i="1"/>
  <c r="AL141" i="1"/>
  <c r="AL69" i="1"/>
  <c r="AZ141" i="1"/>
  <c r="AZ5" i="1"/>
  <c r="AZ4" i="1" s="1"/>
  <c r="U73" i="1"/>
  <c r="U74" i="1" s="1"/>
  <c r="U88" i="1"/>
  <c r="CL73" i="1"/>
  <c r="CL13" i="1"/>
  <c r="CL11" i="1" s="1"/>
  <c r="CX13" i="1"/>
  <c r="CX11" i="1" s="1"/>
  <c r="CX73" i="1"/>
  <c r="CX74" i="1" s="1"/>
  <c r="AT142" i="1"/>
  <c r="BJ143" i="1"/>
  <c r="BY143" i="1"/>
  <c r="AF27" i="1"/>
  <c r="AF26" i="1" s="1"/>
  <c r="DC146" i="1"/>
  <c r="DC27" i="1"/>
  <c r="DC26" i="1" s="1"/>
  <c r="AT29" i="1"/>
  <c r="BI103" i="1"/>
  <c r="AY37" i="1"/>
  <c r="AY148" i="1" s="1"/>
  <c r="BI44" i="1"/>
  <c r="BI43" i="1" s="1"/>
  <c r="CH44" i="1"/>
  <c r="CH43" i="1" s="1"/>
  <c r="AE43" i="1"/>
  <c r="O65" i="1"/>
  <c r="O62" i="1"/>
  <c r="AB65" i="1"/>
  <c r="AB67" i="1"/>
  <c r="BT80" i="1"/>
  <c r="BT81" i="1" s="1"/>
  <c r="R98" i="1"/>
  <c r="R85" i="1"/>
  <c r="AQ85" i="1"/>
  <c r="AQ98" i="1"/>
  <c r="AN93" i="1"/>
  <c r="AN91" i="1"/>
  <c r="AO91" i="1" s="1"/>
  <c r="CH109" i="1"/>
  <c r="CH110" i="1" s="1"/>
  <c r="CG110" i="1"/>
  <c r="AD10" i="22"/>
  <c r="AP11" i="2"/>
  <c r="Z67" i="1"/>
  <c r="Z62" i="1"/>
  <c r="Z65" i="1"/>
  <c r="BH36" i="9"/>
  <c r="BH43" i="9" s="1"/>
  <c r="BH61" i="1"/>
  <c r="AK34" i="22"/>
  <c r="CO36" i="9"/>
  <c r="CO43" i="9" s="1"/>
  <c r="CO61" i="1"/>
  <c r="X70" i="1"/>
  <c r="V70" i="1"/>
  <c r="AR66" i="22"/>
  <c r="CV160" i="1"/>
  <c r="AL88" i="2"/>
  <c r="AK146" i="1"/>
  <c r="AK145" i="1" s="1"/>
  <c r="AK50" i="1"/>
  <c r="AK27" i="1"/>
  <c r="AK26" i="1" s="1"/>
  <c r="BI35" i="1"/>
  <c r="BI87" i="1" s="1"/>
  <c r="BH87" i="1"/>
  <c r="BH57" i="1"/>
  <c r="AA27" i="22"/>
  <c r="CD26" i="9"/>
  <c r="Z27" i="22" s="1"/>
  <c r="CY4" i="2"/>
  <c r="BI5" i="2"/>
  <c r="CG7" i="2"/>
  <c r="CH7" i="2" s="1"/>
  <c r="DB15" i="2"/>
  <c r="F56" i="2"/>
  <c r="F20" i="2"/>
  <c r="AO24" i="2"/>
  <c r="BS24" i="2"/>
  <c r="AC55" i="22"/>
  <c r="CH26" i="2"/>
  <c r="AP62" i="22"/>
  <c r="CT32" i="2"/>
  <c r="P159" i="1"/>
  <c r="CW36" i="2"/>
  <c r="AJ40" i="2"/>
  <c r="CW40" i="2"/>
  <c r="CH42" i="2"/>
  <c r="BI81" i="2"/>
  <c r="BI32" i="11" s="1"/>
  <c r="AN60" i="2"/>
  <c r="M5" i="15"/>
  <c r="M8" i="15" s="1"/>
  <c r="M9" i="15" s="1"/>
  <c r="M92" i="1"/>
  <c r="BH5" i="15"/>
  <c r="BH8" i="15" s="1"/>
  <c r="BH9" i="15" s="1"/>
  <c r="BH92" i="1"/>
  <c r="BI92" i="1" s="1"/>
  <c r="BI68" i="2"/>
  <c r="BI5" i="15" s="1"/>
  <c r="CT5" i="15"/>
  <c r="CT8" i="15" s="1"/>
  <c r="CT9" i="15" s="1"/>
  <c r="CT92" i="1"/>
  <c r="Z71" i="2"/>
  <c r="BW51" i="1"/>
  <c r="BW139" i="1"/>
  <c r="CM6" i="1"/>
  <c r="DA14" i="15"/>
  <c r="CZ51" i="1"/>
  <c r="BA20" i="9"/>
  <c r="AZ140" i="1"/>
  <c r="AZ60" i="1"/>
  <c r="AZ62" i="1" s="1"/>
  <c r="BR8" i="1"/>
  <c r="BS9" i="1"/>
  <c r="BR66" i="1"/>
  <c r="BS66" i="1" s="1"/>
  <c r="B6" i="15"/>
  <c r="B141" i="1"/>
  <c r="B138" i="1" s="1"/>
  <c r="B5" i="1"/>
  <c r="B4" i="1" s="1"/>
  <c r="B69" i="1"/>
  <c r="B72" i="1" s="1"/>
  <c r="O6" i="15"/>
  <c r="O69" i="1"/>
  <c r="O141" i="1"/>
  <c r="O138" i="1" s="1"/>
  <c r="O5" i="1"/>
  <c r="O4" i="1" s="1"/>
  <c r="AB6" i="15"/>
  <c r="AB5" i="1"/>
  <c r="AB4" i="1" s="1"/>
  <c r="AB69" i="1"/>
  <c r="AX75" i="1"/>
  <c r="AY13" i="1"/>
  <c r="AY88" i="1" s="1"/>
  <c r="AX88" i="1"/>
  <c r="Z101" i="1"/>
  <c r="DD143" i="1"/>
  <c r="K19" i="1"/>
  <c r="BP10" i="15"/>
  <c r="BP146" i="1"/>
  <c r="BP145" i="1" s="1"/>
  <c r="BP27" i="1"/>
  <c r="BP26" i="1" s="1"/>
  <c r="BP50" i="1"/>
  <c r="BQ86" i="2" s="1"/>
  <c r="BQ87" i="2" s="1"/>
  <c r="AO79" i="1"/>
  <c r="AU121" i="1"/>
  <c r="BY120" i="1"/>
  <c r="BY121" i="1"/>
  <c r="BY57" i="1"/>
  <c r="BY52" i="1"/>
  <c r="CU121" i="1"/>
  <c r="CU57" i="1"/>
  <c r="CU120" i="1"/>
  <c r="O63" i="1"/>
  <c r="N63" i="1"/>
  <c r="Z63" i="1"/>
  <c r="R62" i="1"/>
  <c r="AF65" i="1"/>
  <c r="BO67" i="1"/>
  <c r="AZ69" i="1"/>
  <c r="AD29" i="15"/>
  <c r="BQ93" i="1"/>
  <c r="BQ95" i="1"/>
  <c r="CF147" i="1"/>
  <c r="AS5" i="22"/>
  <c r="AZ7" i="22"/>
  <c r="AN29" i="9"/>
  <c r="AN30" i="9"/>
  <c r="AW57" i="9"/>
  <c r="AW37" i="9"/>
  <c r="AW58" i="9" s="1"/>
  <c r="BY35" i="9"/>
  <c r="BY40" i="9"/>
  <c r="BY111" i="1" s="1"/>
  <c r="AD11" i="2"/>
  <c r="H70" i="1"/>
  <c r="AY59" i="22"/>
  <c r="DC64" i="1"/>
  <c r="S63" i="22"/>
  <c r="BW68" i="2"/>
  <c r="I66" i="22"/>
  <c r="BM160" i="1"/>
  <c r="BZ78" i="2"/>
  <c r="BY81" i="2"/>
  <c r="CZ14" i="15"/>
  <c r="CY139" i="1"/>
  <c r="CY51" i="1"/>
  <c r="BD20" i="9"/>
  <c r="D21" i="22" s="1"/>
  <c r="AZ20" i="9"/>
  <c r="AY140" i="1"/>
  <c r="AY60" i="1"/>
  <c r="AE88" i="1"/>
  <c r="AE29" i="15" s="1"/>
  <c r="AE73" i="1"/>
  <c r="AE74" i="1" s="1"/>
  <c r="CN73" i="1"/>
  <c r="CN74" i="1" s="1"/>
  <c r="CZ73" i="1"/>
  <c r="CZ74" i="1" s="1"/>
  <c r="CZ13" i="1"/>
  <c r="CN13" i="1"/>
  <c r="J143" i="1"/>
  <c r="J138" i="1" s="1"/>
  <c r="DC143" i="1"/>
  <c r="CM19" i="1"/>
  <c r="CK10" i="15"/>
  <c r="CK50" i="1"/>
  <c r="CK27" i="1"/>
  <c r="CK26" i="1" s="1"/>
  <c r="C62" i="1"/>
  <c r="C67" i="1"/>
  <c r="I70" i="1"/>
  <c r="BV80" i="1"/>
  <c r="BV81" i="1" s="1"/>
  <c r="AY73" i="1"/>
  <c r="AY74" i="1" s="1"/>
  <c r="AX74" i="1"/>
  <c r="AI110" i="1"/>
  <c r="AJ109" i="1"/>
  <c r="AJ110" i="1" s="1"/>
  <c r="BC4" i="2"/>
  <c r="BD4" i="2" s="1"/>
  <c r="BD10" i="2" s="1"/>
  <c r="D39" i="22" s="1"/>
  <c r="CA4" i="2"/>
  <c r="AE67" i="1"/>
  <c r="AE65" i="1"/>
  <c r="AE62" i="1"/>
  <c r="Z34" i="22"/>
  <c r="CD61" i="1"/>
  <c r="CD36" i="9"/>
  <c r="CD43" i="9" s="1"/>
  <c r="CG9" i="2"/>
  <c r="CH9" i="2" s="1"/>
  <c r="AA42" i="22"/>
  <c r="CE70" i="1"/>
  <c r="CQ13" i="2"/>
  <c r="CR13" i="2" s="1"/>
  <c r="CC14" i="2"/>
  <c r="Y43" i="22" s="1"/>
  <c r="AS19" i="2"/>
  <c r="AU50" i="22"/>
  <c r="CW24" i="2"/>
  <c r="CY25" i="2"/>
  <c r="AU54" i="22" s="1"/>
  <c r="AY26" i="2"/>
  <c r="BH1" i="2"/>
  <c r="BC2" i="2"/>
  <c r="I34" i="22"/>
  <c r="BM36" i="9"/>
  <c r="BM43" i="9" s="1"/>
  <c r="BM61" i="1"/>
  <c r="AA34" i="22"/>
  <c r="CE36" i="9"/>
  <c r="AY34" i="22"/>
  <c r="DC36" i="9"/>
  <c r="DC43" i="9" s="1"/>
  <c r="BO10" i="2"/>
  <c r="K39" i="22" s="1"/>
  <c r="N70" i="1"/>
  <c r="L70" i="1"/>
  <c r="Y70" i="1"/>
  <c r="AI12" i="2"/>
  <c r="AI16" i="2" s="1"/>
  <c r="I42" i="22"/>
  <c r="BM70" i="1"/>
  <c r="BM54" i="2"/>
  <c r="AB42" i="22"/>
  <c r="CF70" i="1"/>
  <c r="P72" i="2"/>
  <c r="T44" i="22"/>
  <c r="BX72" i="2"/>
  <c r="CH18" i="2"/>
  <c r="V50" i="22"/>
  <c r="BZ56" i="2"/>
  <c r="AJ50" i="22"/>
  <c r="AV50" i="22"/>
  <c r="CZ25" i="2"/>
  <c r="AV54" i="22" s="1"/>
  <c r="BC85" i="2"/>
  <c r="BD85" i="2" s="1"/>
  <c r="BD26" i="2"/>
  <c r="J60" i="22"/>
  <c r="DB31" i="2"/>
  <c r="CV33" i="2"/>
  <c r="CW33" i="2" s="1"/>
  <c r="AS62" i="22" s="1"/>
  <c r="AE92" i="1"/>
  <c r="AE68" i="2"/>
  <c r="AE5" i="15" s="1"/>
  <c r="X63" i="22"/>
  <c r="CC34" i="2"/>
  <c r="Y63" i="22" s="1"/>
  <c r="U159" i="1"/>
  <c r="O66" i="22"/>
  <c r="BS160" i="1"/>
  <c r="AW66" i="22"/>
  <c r="DA160" i="1"/>
  <c r="BS40" i="2"/>
  <c r="AW70" i="22"/>
  <c r="DA64" i="2"/>
  <c r="AH72" i="22"/>
  <c r="CM42" i="2"/>
  <c r="AI72" i="22" s="1"/>
  <c r="K65" i="2"/>
  <c r="CM46" i="2"/>
  <c r="BN81" i="2"/>
  <c r="BN32" i="11" s="1"/>
  <c r="P61" i="2"/>
  <c r="BC61" i="2"/>
  <c r="BR64" i="2"/>
  <c r="CG64" i="2"/>
  <c r="B5" i="15"/>
  <c r="B8" i="15" s="1"/>
  <c r="B9" i="15" s="1"/>
  <c r="B92" i="1"/>
  <c r="N5" i="15"/>
  <c r="N8" i="15" s="1"/>
  <c r="N9" i="15" s="1"/>
  <c r="N92" i="1"/>
  <c r="Z68" i="2"/>
  <c r="Z5" i="15" s="1"/>
  <c r="BM5" i="15"/>
  <c r="BM8" i="15" s="1"/>
  <c r="BM9" i="15" s="1"/>
  <c r="BM92" i="1"/>
  <c r="BN92" i="1" s="1"/>
  <c r="AV81" i="2"/>
  <c r="BF88" i="2"/>
  <c r="AL5" i="1"/>
  <c r="AL4" i="1" s="1"/>
  <c r="BX6" i="1"/>
  <c r="CO14" i="15"/>
  <c r="CN139" i="1"/>
  <c r="CN51" i="1"/>
  <c r="CN53" i="1" s="1"/>
  <c r="DA139" i="1"/>
  <c r="DA51" i="1"/>
  <c r="AK140" i="1"/>
  <c r="AL20" i="9"/>
  <c r="DD8" i="1"/>
  <c r="DE20" i="9" s="1"/>
  <c r="BA21" i="22" s="1"/>
  <c r="BX9" i="1"/>
  <c r="DC66" i="1"/>
  <c r="DC8" i="1"/>
  <c r="BS10" i="1"/>
  <c r="C6" i="15"/>
  <c r="C141" i="1"/>
  <c r="C138" i="1" s="1"/>
  <c r="C5" i="1"/>
  <c r="C4" i="1" s="1"/>
  <c r="C69" i="1"/>
  <c r="P11" i="1"/>
  <c r="Q6" i="15" s="1"/>
  <c r="CP73" i="1"/>
  <c r="CP74" i="1" s="1"/>
  <c r="CP13" i="1"/>
  <c r="BM100" i="1"/>
  <c r="BN15" i="1"/>
  <c r="BN100" i="1" s="1"/>
  <c r="Z98" i="1"/>
  <c r="Z144" i="1"/>
  <c r="CD143" i="1"/>
  <c r="CQ143" i="1"/>
  <c r="BW19" i="1"/>
  <c r="BX20" i="1"/>
  <c r="BX19" i="1" s="1"/>
  <c r="Z19" i="1"/>
  <c r="K10" i="15"/>
  <c r="K146" i="1"/>
  <c r="X10" i="15"/>
  <c r="X146" i="1"/>
  <c r="X145" i="1" s="1"/>
  <c r="X50" i="1"/>
  <c r="X27" i="1"/>
  <c r="X26" i="1" s="1"/>
  <c r="AT79" i="1"/>
  <c r="AT149" i="1"/>
  <c r="AV120" i="1"/>
  <c r="AV121" i="1"/>
  <c r="AV52" i="1"/>
  <c r="BJ121" i="1"/>
  <c r="BJ120" i="1"/>
  <c r="BJ57" i="1"/>
  <c r="BZ52" i="1"/>
  <c r="BZ120" i="1"/>
  <c r="BZ121" i="1"/>
  <c r="BJ52" i="1"/>
  <c r="AG67" i="1"/>
  <c r="AG65" i="1"/>
  <c r="AZ67" i="1"/>
  <c r="BP67" i="1"/>
  <c r="BP62" i="1"/>
  <c r="AA62" i="1"/>
  <c r="BF80" i="1"/>
  <c r="BF81" i="1" s="1"/>
  <c r="BF71" i="1"/>
  <c r="AS74" i="1"/>
  <c r="CT85" i="1"/>
  <c r="CT101" i="1"/>
  <c r="CT98" i="1"/>
  <c r="T98" i="1"/>
  <c r="H104" i="1"/>
  <c r="CG120" i="1"/>
  <c r="D5" i="22"/>
  <c r="BD6" i="9"/>
  <c r="AX5" i="22"/>
  <c r="DB6" i="9"/>
  <c r="BB7" i="22"/>
  <c r="R11" i="2"/>
  <c r="BB11" i="2"/>
  <c r="AT50" i="22"/>
  <c r="CX56" i="2"/>
  <c r="CO4" i="2"/>
  <c r="AZ34" i="22"/>
  <c r="DD36" i="9"/>
  <c r="AG36" i="22"/>
  <c r="CK42" i="9"/>
  <c r="CK72" i="2"/>
  <c r="AP10" i="2"/>
  <c r="K12" i="2"/>
  <c r="K70" i="1" s="1"/>
  <c r="W70" i="1"/>
  <c r="J42" i="22"/>
  <c r="BN54" i="2"/>
  <c r="AO42" i="22"/>
  <c r="CS70" i="1"/>
  <c r="AH47" i="22"/>
  <c r="W50" i="22"/>
  <c r="DA21" i="2"/>
  <c r="K52" i="22"/>
  <c r="BO17" i="2"/>
  <c r="CO28" i="2"/>
  <c r="K62" i="2"/>
  <c r="AY60" i="22"/>
  <c r="CG33" i="2"/>
  <c r="Z159" i="1"/>
  <c r="T66" i="22"/>
  <c r="BX160" i="1"/>
  <c r="AX66" i="22"/>
  <c r="DB160" i="1"/>
  <c r="S70" i="22"/>
  <c r="AX70" i="22"/>
  <c r="DB64" i="2"/>
  <c r="AM76" i="22"/>
  <c r="BS81" i="2"/>
  <c r="BS32" i="11" s="1"/>
  <c r="CS54" i="2"/>
  <c r="CY56" i="2"/>
  <c r="CL65" i="2"/>
  <c r="DA72" i="2"/>
  <c r="CB139" i="1"/>
  <c r="CB51" i="1"/>
  <c r="CP14" i="15"/>
  <c r="CO139" i="1"/>
  <c r="DG14" i="15"/>
  <c r="DC14" i="15"/>
  <c r="DB51" i="1"/>
  <c r="DB139" i="1"/>
  <c r="CQ75" i="1"/>
  <c r="CQ11" i="1"/>
  <c r="BP8" i="15"/>
  <c r="BP9" i="15" s="1"/>
  <c r="BP143" i="1"/>
  <c r="CE143" i="1"/>
  <c r="CC19" i="1"/>
  <c r="L10" i="15"/>
  <c r="L146" i="1"/>
  <c r="L145" i="1" s="1"/>
  <c r="L50" i="1"/>
  <c r="Y10" i="15"/>
  <c r="Y146" i="1"/>
  <c r="Y145" i="1" s="1"/>
  <c r="Z28" i="1"/>
  <c r="AE10" i="15" s="1"/>
  <c r="Y27" i="1"/>
  <c r="Y26" i="1" s="1"/>
  <c r="AP146" i="1"/>
  <c r="AP145" i="1" s="1"/>
  <c r="AP27" i="1"/>
  <c r="AP26" i="1" s="1"/>
  <c r="AP50" i="1"/>
  <c r="BT50" i="1"/>
  <c r="BT27" i="1"/>
  <c r="BT26" i="1" s="1"/>
  <c r="BT146" i="1"/>
  <c r="BT145" i="1" s="1"/>
  <c r="CO10" i="15"/>
  <c r="CO27" i="1"/>
  <c r="CO26" i="1" s="1"/>
  <c r="CO146" i="1"/>
  <c r="AY31" i="1"/>
  <c r="CM147" i="1"/>
  <c r="CM79" i="1"/>
  <c r="Z104" i="1"/>
  <c r="CB148" i="1"/>
  <c r="CB103" i="1"/>
  <c r="CC36" i="1"/>
  <c r="AH120" i="1"/>
  <c r="AH121" i="1"/>
  <c r="AH57" i="1"/>
  <c r="AH52" i="1"/>
  <c r="AW120" i="1"/>
  <c r="AW52" i="1"/>
  <c r="AW121" i="1"/>
  <c r="BK121" i="1"/>
  <c r="BK120" i="1"/>
  <c r="CD50" i="1"/>
  <c r="BK52" i="1"/>
  <c r="AA63" i="1"/>
  <c r="AT74" i="1"/>
  <c r="W98" i="1"/>
  <c r="W104" i="1"/>
  <c r="BB95" i="1"/>
  <c r="BB93" i="1"/>
  <c r="CF93" i="1"/>
  <c r="T104" i="1"/>
  <c r="CK146" i="1"/>
  <c r="Z148" i="1"/>
  <c r="BH5" i="9"/>
  <c r="BI28" i="9" s="1"/>
  <c r="E29" i="22" s="1"/>
  <c r="BH8" i="9"/>
  <c r="BH15" i="9"/>
  <c r="BI4" i="9"/>
  <c r="CF5" i="15"/>
  <c r="CF8" i="15" s="1"/>
  <c r="CF9" i="15" s="1"/>
  <c r="C5" i="15"/>
  <c r="C8" i="15" s="1"/>
  <c r="C9" i="15" s="1"/>
  <c r="C92" i="1"/>
  <c r="O5" i="15"/>
  <c r="O8" i="15" s="1"/>
  <c r="O9" i="15" s="1"/>
  <c r="O92" i="1"/>
  <c r="AA5" i="15"/>
  <c r="AA92" i="1"/>
  <c r="CE5" i="15"/>
  <c r="CE8" i="15" s="1"/>
  <c r="CE9" i="15" s="1"/>
  <c r="CE92" i="1"/>
  <c r="DC5" i="15"/>
  <c r="DC92" i="1"/>
  <c r="DC95" i="1" s="1"/>
  <c r="AR5" i="1"/>
  <c r="AR4" i="1" s="1"/>
  <c r="CQ14" i="15"/>
  <c r="CP139" i="1"/>
  <c r="BL6" i="15"/>
  <c r="BM20" i="9"/>
  <c r="I21" i="22" s="1"/>
  <c r="BL60" i="1"/>
  <c r="BZ6" i="15"/>
  <c r="CA20" i="9"/>
  <c r="W21" i="22" s="1"/>
  <c r="BZ140" i="1"/>
  <c r="BZ60" i="1"/>
  <c r="CG140" i="1"/>
  <c r="CH8" i="1"/>
  <c r="CM20" i="9" s="1"/>
  <c r="AI21" i="22" s="1"/>
  <c r="N6" i="15"/>
  <c r="N141" i="1"/>
  <c r="N138" i="1" s="1"/>
  <c r="N69" i="1"/>
  <c r="AA6" i="15"/>
  <c r="AA69" i="1"/>
  <c r="AA141" i="1"/>
  <c r="CE11" i="1"/>
  <c r="CB73" i="1"/>
  <c r="CO88" i="1"/>
  <c r="CO73" i="1"/>
  <c r="CO74" i="1" s="1"/>
  <c r="DA73" i="1"/>
  <c r="DA88" i="1"/>
  <c r="CB144" i="1"/>
  <c r="CC18" i="1"/>
  <c r="H143" i="1"/>
  <c r="V143" i="1"/>
  <c r="AH8" i="15"/>
  <c r="AH9" i="15" s="1"/>
  <c r="AH143" i="1"/>
  <c r="AU143" i="1"/>
  <c r="BH143" i="1"/>
  <c r="BV8" i="15"/>
  <c r="BV9" i="15" s="1"/>
  <c r="BV143" i="1"/>
  <c r="P19" i="1"/>
  <c r="AP95" i="1"/>
  <c r="AD10" i="15"/>
  <c r="AD50" i="1"/>
  <c r="AY79" i="1"/>
  <c r="CH79" i="1"/>
  <c r="AS148" i="1"/>
  <c r="AT37" i="1"/>
  <c r="AT148" i="1" s="1"/>
  <c r="CG149" i="1"/>
  <c r="CH39" i="1"/>
  <c r="CH149" i="1" s="1"/>
  <c r="BC149" i="1"/>
  <c r="AT150" i="1"/>
  <c r="DB150" i="1"/>
  <c r="BP121" i="1"/>
  <c r="BP120" i="1"/>
  <c r="BP52" i="1"/>
  <c r="CN121" i="1"/>
  <c r="CN120" i="1"/>
  <c r="G67" i="1"/>
  <c r="G65" i="1"/>
  <c r="T62" i="1"/>
  <c r="T67" i="1"/>
  <c r="BH70" i="1"/>
  <c r="DD88" i="1"/>
  <c r="CL98" i="1"/>
  <c r="AG104" i="1"/>
  <c r="CM35" i="9"/>
  <c r="CI35" i="9"/>
  <c r="CI40" i="9"/>
  <c r="BR147" i="1"/>
  <c r="AI6" i="22"/>
  <c r="CL47" i="9"/>
  <c r="CM6" i="9"/>
  <c r="AI7" i="22" s="1"/>
  <c r="AI10" i="22"/>
  <c r="CM30" i="9"/>
  <c r="AI30" i="22" s="1"/>
  <c r="AT11" i="9"/>
  <c r="AT13" i="9"/>
  <c r="AW84" i="1"/>
  <c r="BP35" i="9"/>
  <c r="BP37" i="9" s="1"/>
  <c r="BP40" i="9"/>
  <c r="BG88" i="2"/>
  <c r="Q14" i="15"/>
  <c r="U14" i="15"/>
  <c r="P15" i="15"/>
  <c r="P139" i="1"/>
  <c r="BC139" i="1"/>
  <c r="BD6" i="1"/>
  <c r="CU14" i="15"/>
  <c r="CT139" i="1"/>
  <c r="AL6" i="15"/>
  <c r="AM20" i="9"/>
  <c r="AL140" i="1"/>
  <c r="BA6" i="15"/>
  <c r="BB20" i="9"/>
  <c r="BA60" i="1"/>
  <c r="BA62" i="1" s="1"/>
  <c r="BA140" i="1"/>
  <c r="AX66" i="1"/>
  <c r="AY66" i="1" s="1"/>
  <c r="AY9" i="1"/>
  <c r="D6" i="15"/>
  <c r="D5" i="1"/>
  <c r="D4" i="1" s="1"/>
  <c r="D141" i="1"/>
  <c r="AR71" i="1"/>
  <c r="BC88" i="1"/>
  <c r="BC73" i="1"/>
  <c r="BC11" i="1"/>
  <c r="L143" i="1"/>
  <c r="Y143" i="1"/>
  <c r="AL8" i="15"/>
  <c r="AL9" i="15" s="1"/>
  <c r="AX8" i="15"/>
  <c r="AX9" i="15" s="1"/>
  <c r="AX143" i="1"/>
  <c r="CX146" i="1"/>
  <c r="CX145" i="1" s="1"/>
  <c r="CX50" i="1"/>
  <c r="F147" i="1"/>
  <c r="CW147" i="1"/>
  <c r="CW79" i="1"/>
  <c r="AS147" i="1"/>
  <c r="AT34" i="1"/>
  <c r="AS83" i="1"/>
  <c r="AS85" i="1" s="1"/>
  <c r="CU147" i="1"/>
  <c r="CU87" i="1"/>
  <c r="CU27" i="1"/>
  <c r="CU26" i="1" s="1"/>
  <c r="BR148" i="1"/>
  <c r="BS36" i="1"/>
  <c r="BR103" i="1"/>
  <c r="BR104" i="1" s="1"/>
  <c r="CG148" i="1"/>
  <c r="CH37" i="1"/>
  <c r="CH148" i="1" s="1"/>
  <c r="B52" i="1"/>
  <c r="B26" i="1"/>
  <c r="BU120" i="1"/>
  <c r="BU52" i="1"/>
  <c r="CD43" i="1"/>
  <c r="AM67" i="1"/>
  <c r="AM65" i="1"/>
  <c r="BE67" i="1"/>
  <c r="AW80" i="1"/>
  <c r="AW81" i="1" s="1"/>
  <c r="W85" i="1"/>
  <c r="CL104" i="1"/>
  <c r="CL101" i="1"/>
  <c r="CY85" i="1"/>
  <c r="F98" i="1"/>
  <c r="CO98" i="1"/>
  <c r="CQ110" i="1"/>
  <c r="CR109" i="1"/>
  <c r="CR110" i="1" s="1"/>
  <c r="AJ6" i="9"/>
  <c r="AJ8" i="9"/>
  <c r="C18" i="22"/>
  <c r="AY18" i="9"/>
  <c r="C19" i="22" s="1"/>
  <c r="AY29" i="9"/>
  <c r="AH27" i="22"/>
  <c r="CM26" i="9"/>
  <c r="AI27" i="22" s="1"/>
  <c r="AQ57" i="9"/>
  <c r="AQ37" i="9"/>
  <c r="AQ58" i="9" s="1"/>
  <c r="BE40" i="9"/>
  <c r="BE35" i="9"/>
  <c r="BE37" i="9" s="1"/>
  <c r="R70" i="1"/>
  <c r="AK42" i="22"/>
  <c r="CO70" i="1"/>
  <c r="AT72" i="2"/>
  <c r="AW53" i="22"/>
  <c r="X66" i="22"/>
  <c r="CB160" i="1"/>
  <c r="BA66" i="22"/>
  <c r="DE160" i="1"/>
  <c r="BP59" i="2"/>
  <c r="S5" i="15"/>
  <c r="S8" i="15" s="1"/>
  <c r="S9" i="15" s="1"/>
  <c r="S92" i="1"/>
  <c r="AY72" i="2"/>
  <c r="CH6" i="1"/>
  <c r="CV14" i="15"/>
  <c r="CU139" i="1"/>
  <c r="AN20" i="9"/>
  <c r="AM140" i="1"/>
  <c r="AM60" i="1"/>
  <c r="BB6" i="15"/>
  <c r="BB140" i="1"/>
  <c r="BC20" i="9"/>
  <c r="BP6" i="15"/>
  <c r="BP140" i="1"/>
  <c r="BQ20" i="9"/>
  <c r="M21" i="22" s="1"/>
  <c r="CJ8" i="1"/>
  <c r="BC9" i="1"/>
  <c r="BD10" i="1"/>
  <c r="BD12" i="1"/>
  <c r="CF73" i="1"/>
  <c r="CF74" i="1" s="1"/>
  <c r="CF13" i="1"/>
  <c r="M143" i="1"/>
  <c r="CO143" i="1"/>
  <c r="DA143" i="1"/>
  <c r="AJ19" i="1"/>
  <c r="BK26" i="1"/>
  <c r="BK10" i="15"/>
  <c r="BK146" i="1"/>
  <c r="BK145" i="1" s="1"/>
  <c r="BK50" i="1"/>
  <c r="CC31" i="1"/>
  <c r="CC149" i="1" s="1"/>
  <c r="CB149" i="1"/>
  <c r="BN35" i="1"/>
  <c r="BN87" i="1" s="1"/>
  <c r="CV147" i="1"/>
  <c r="CV87" i="1"/>
  <c r="BW103" i="1"/>
  <c r="BW148" i="1"/>
  <c r="BD37" i="1"/>
  <c r="CV148" i="1"/>
  <c r="CW37" i="1"/>
  <c r="DD149" i="1"/>
  <c r="F150" i="1"/>
  <c r="BN150" i="1"/>
  <c r="BG57" i="1"/>
  <c r="BV121" i="1"/>
  <c r="BV120" i="1"/>
  <c r="AA53" i="1"/>
  <c r="AA49" i="1" s="1"/>
  <c r="CT53" i="1"/>
  <c r="B57" i="1"/>
  <c r="X67" i="1"/>
  <c r="CG66" i="1"/>
  <c r="CH66" i="1" s="1"/>
  <c r="L89" i="1"/>
  <c r="CE88" i="1"/>
  <c r="AO92" i="1"/>
  <c r="AX93" i="1"/>
  <c r="AX95" i="1"/>
  <c r="CT104" i="1"/>
  <c r="AF112" i="1"/>
  <c r="AC145" i="1"/>
  <c r="AI5" i="22"/>
  <c r="CM8" i="9"/>
  <c r="CX52" i="9" s="1"/>
  <c r="AO6" i="9"/>
  <c r="AJ47" i="9"/>
  <c r="AO8" i="9"/>
  <c r="D16" i="22"/>
  <c r="BD16" i="9"/>
  <c r="D17" i="22" s="1"/>
  <c r="Z42" i="22"/>
  <c r="CD70" i="1"/>
  <c r="BS14" i="2"/>
  <c r="AM44" i="22"/>
  <c r="CQ72" i="2"/>
  <c r="BN18" i="2"/>
  <c r="CR18" i="2"/>
  <c r="AT59" i="22"/>
  <c r="CX64" i="1"/>
  <c r="CX65" i="1" s="1"/>
  <c r="Y66" i="22"/>
  <c r="CC160" i="1"/>
  <c r="CO54" i="2"/>
  <c r="AF59" i="2"/>
  <c r="AR59" i="2"/>
  <c r="CD71" i="2"/>
  <c r="Z80" i="22" s="1"/>
  <c r="BJ88" i="2"/>
  <c r="BN14" i="15"/>
  <c r="BJ14" i="15"/>
  <c r="BI51" i="1"/>
  <c r="AN140" i="1"/>
  <c r="AO8" i="1"/>
  <c r="S6" i="15"/>
  <c r="S141" i="1"/>
  <c r="S5" i="1"/>
  <c r="S4" i="1" s="1"/>
  <c r="AF69" i="1"/>
  <c r="AF141" i="1"/>
  <c r="AF5" i="1"/>
  <c r="AF4" i="1" s="1"/>
  <c r="CO11" i="1"/>
  <c r="CG11" i="1"/>
  <c r="CH13" i="1"/>
  <c r="BW100" i="1"/>
  <c r="BX15" i="1"/>
  <c r="BX100" i="1" s="1"/>
  <c r="CP143" i="1"/>
  <c r="AD27" i="1"/>
  <c r="AD26" i="1" s="1"/>
  <c r="V146" i="1"/>
  <c r="V145" i="1" s="1"/>
  <c r="V27" i="1"/>
  <c r="V26" i="1" s="1"/>
  <c r="AI28" i="1"/>
  <c r="AZ146" i="1"/>
  <c r="AZ145" i="1" s="1"/>
  <c r="AZ27" i="1"/>
  <c r="AZ26" i="1" s="1"/>
  <c r="AZ50" i="1"/>
  <c r="BL10" i="15"/>
  <c r="BL27" i="1"/>
  <c r="BL26" i="1" s="1"/>
  <c r="CI146" i="1"/>
  <c r="CI145" i="1" s="1"/>
  <c r="CI27" i="1"/>
  <c r="CI26" i="1" s="1"/>
  <c r="CZ10" i="15"/>
  <c r="CZ146" i="1"/>
  <c r="CZ50" i="1"/>
  <c r="CZ27" i="1"/>
  <c r="CF149" i="1"/>
  <c r="BS149" i="1"/>
  <c r="DG40" i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K150" i="1"/>
  <c r="BS42" i="1"/>
  <c r="AU120" i="1"/>
  <c r="AU57" i="1"/>
  <c r="AB53" i="1"/>
  <c r="AB122" i="1" s="1"/>
  <c r="CU53" i="1"/>
  <c r="Y62" i="1"/>
  <c r="AQ67" i="1"/>
  <c r="AQ65" i="1"/>
  <c r="AZ81" i="1"/>
  <c r="F79" i="1"/>
  <c r="Y85" i="1"/>
  <c r="M89" i="1"/>
  <c r="BG93" i="1"/>
  <c r="H98" i="1"/>
  <c r="V98" i="1"/>
  <c r="K103" i="1"/>
  <c r="K104" i="1" s="1"/>
  <c r="AG115" i="1"/>
  <c r="AG117" i="1" s="1"/>
  <c r="AG112" i="1"/>
  <c r="AG116" i="1" s="1"/>
  <c r="AG118" i="1" s="1"/>
  <c r="AD146" i="1"/>
  <c r="AD145" i="1" s="1"/>
  <c r="BR150" i="1"/>
  <c r="CO26" i="9"/>
  <c r="AK27" i="22" s="1"/>
  <c r="AK26" i="22"/>
  <c r="AW26" i="22"/>
  <c r="DA26" i="9"/>
  <c r="DB25" i="9"/>
  <c r="AX26" i="22" s="1"/>
  <c r="CG92" i="2"/>
  <c r="CM78" i="2"/>
  <c r="AG88" i="2"/>
  <c r="CT14" i="15"/>
  <c r="CS139" i="1"/>
  <c r="BP20" i="9"/>
  <c r="L21" i="22" s="1"/>
  <c r="BQ141" i="1"/>
  <c r="BQ69" i="1"/>
  <c r="DC88" i="1"/>
  <c r="CW142" i="1"/>
  <c r="X143" i="1"/>
  <c r="AV8" i="15"/>
  <c r="AV9" i="15" s="1"/>
  <c r="AV143" i="1"/>
  <c r="BU8" i="15"/>
  <c r="BU9" i="15" s="1"/>
  <c r="J10" i="15"/>
  <c r="J146" i="1"/>
  <c r="J145" i="1" s="1"/>
  <c r="W10" i="15"/>
  <c r="W146" i="1"/>
  <c r="W145" i="1" s="1"/>
  <c r="CN146" i="1"/>
  <c r="CE10" i="15"/>
  <c r="CE146" i="1"/>
  <c r="CE27" i="1"/>
  <c r="CC30" i="1"/>
  <c r="CB29" i="1"/>
  <c r="CZ147" i="1"/>
  <c r="CZ87" i="1"/>
  <c r="AE148" i="1"/>
  <c r="AE103" i="1"/>
  <c r="M52" i="1"/>
  <c r="AM121" i="1"/>
  <c r="BA121" i="1"/>
  <c r="CS121" i="1"/>
  <c r="CS120" i="1"/>
  <c r="CS52" i="1"/>
  <c r="P43" i="1"/>
  <c r="BD44" i="1"/>
  <c r="BD43" i="1" s="1"/>
  <c r="BC43" i="1"/>
  <c r="AP57" i="1"/>
  <c r="N62" i="1"/>
  <c r="BQ67" i="1"/>
  <c r="BG69" i="1"/>
  <c r="AH80" i="1"/>
  <c r="AH81" i="1" s="1"/>
  <c r="AR81" i="1"/>
  <c r="AK98" i="1"/>
  <c r="AK104" i="1"/>
  <c r="B29" i="15"/>
  <c r="N29" i="15"/>
  <c r="BG29" i="15"/>
  <c r="BV95" i="1"/>
  <c r="AL98" i="1"/>
  <c r="B104" i="1"/>
  <c r="AQ104" i="1"/>
  <c r="DC120" i="1"/>
  <c r="AN5" i="22"/>
  <c r="CR8" i="9"/>
  <c r="AS6" i="22"/>
  <c r="CV47" i="9"/>
  <c r="CW8" i="9"/>
  <c r="DE52" i="9" s="1"/>
  <c r="CW6" i="9"/>
  <c r="AS7" i="22" s="1"/>
  <c r="AE9" i="22"/>
  <c r="CQ52" i="9"/>
  <c r="CS52" i="9"/>
  <c r="AP16" i="22"/>
  <c r="CT16" i="9"/>
  <c r="AP17" i="22" s="1"/>
  <c r="D25" i="22"/>
  <c r="BH111" i="1"/>
  <c r="BF43" i="9"/>
  <c r="BI42" i="9"/>
  <c r="CI5" i="15"/>
  <c r="CI92" i="1"/>
  <c r="CU5" i="15"/>
  <c r="CU8" i="15" s="1"/>
  <c r="CU9" i="15" s="1"/>
  <c r="CU92" i="1"/>
  <c r="CK93" i="2"/>
  <c r="AI15" i="15"/>
  <c r="AI139" i="1"/>
  <c r="CJ14" i="15"/>
  <c r="CI139" i="1"/>
  <c r="CI51" i="1"/>
  <c r="CI53" i="1" s="1"/>
  <c r="CV139" i="1"/>
  <c r="CV51" i="1"/>
  <c r="AG20" i="9"/>
  <c r="AR6" i="15"/>
  <c r="AS20" i="9"/>
  <c r="AR140" i="1"/>
  <c r="I6" i="15"/>
  <c r="I141" i="1"/>
  <c r="BI12" i="1"/>
  <c r="BH13" i="1"/>
  <c r="BH88" i="1" s="1"/>
  <c r="BD142" i="1"/>
  <c r="K98" i="1"/>
  <c r="K144" i="1"/>
  <c r="BC144" i="1"/>
  <c r="BZ143" i="1"/>
  <c r="CL143" i="1"/>
  <c r="CX143" i="1"/>
  <c r="BB27" i="1"/>
  <c r="BB26" i="1" s="1"/>
  <c r="M10" i="15"/>
  <c r="M146" i="1"/>
  <c r="M145" i="1" s="1"/>
  <c r="AA146" i="1"/>
  <c r="AA145" i="1" s="1"/>
  <c r="AA27" i="1"/>
  <c r="AA26" i="1" s="1"/>
  <c r="AM10" i="15"/>
  <c r="AM146" i="1"/>
  <c r="AM145" i="1" s="1"/>
  <c r="BA10" i="15"/>
  <c r="BA50" i="1"/>
  <c r="BM28" i="1"/>
  <c r="CA146" i="1"/>
  <c r="CA145" i="1" s="1"/>
  <c r="CA10" i="15"/>
  <c r="CT10" i="15"/>
  <c r="CT146" i="1"/>
  <c r="Z147" i="1"/>
  <c r="Z79" i="1"/>
  <c r="BW147" i="1"/>
  <c r="BW79" i="1"/>
  <c r="AI147" i="1"/>
  <c r="AI83" i="1"/>
  <c r="AI85" i="1" s="1"/>
  <c r="CP147" i="1"/>
  <c r="CP87" i="1"/>
  <c r="BW149" i="1"/>
  <c r="AQ120" i="1"/>
  <c r="AQ121" i="1"/>
  <c r="BR43" i="1"/>
  <c r="C53" i="1"/>
  <c r="CE50" i="1"/>
  <c r="C63" i="1"/>
  <c r="AR65" i="1"/>
  <c r="BU65" i="1"/>
  <c r="J69" i="1"/>
  <c r="DC73" i="1"/>
  <c r="DC74" i="1" s="1"/>
  <c r="AV80" i="1"/>
  <c r="AV81" i="1" s="1"/>
  <c r="BF85" i="1"/>
  <c r="R29" i="15"/>
  <c r="AU29" i="15"/>
  <c r="BL29" i="15"/>
  <c r="CS88" i="1"/>
  <c r="AP98" i="1"/>
  <c r="BC98" i="1"/>
  <c r="DA104" i="1"/>
  <c r="BS33" i="9"/>
  <c r="BH110" i="1"/>
  <c r="BI109" i="1"/>
  <c r="BI110" i="1" s="1"/>
  <c r="P142" i="1"/>
  <c r="E145" i="1"/>
  <c r="F8" i="9"/>
  <c r="F16" i="9"/>
  <c r="CT17" i="9"/>
  <c r="CT14" i="9" s="1"/>
  <c r="BA8" i="15"/>
  <c r="BA9" i="15" s="1"/>
  <c r="BF81" i="2"/>
  <c r="BE81" i="2"/>
  <c r="CX14" i="15"/>
  <c r="DB14" i="15"/>
  <c r="CW139" i="1"/>
  <c r="CW51" i="1"/>
  <c r="BG6" i="15"/>
  <c r="BH20" i="9"/>
  <c r="BG140" i="1"/>
  <c r="BU20" i="9"/>
  <c r="Q21" i="22" s="1"/>
  <c r="BT140" i="1"/>
  <c r="V141" i="1"/>
  <c r="BU141" i="1"/>
  <c r="BU69" i="1"/>
  <c r="CI13" i="1"/>
  <c r="BI142" i="1"/>
  <c r="P144" i="1"/>
  <c r="BM143" i="1"/>
  <c r="CA143" i="1"/>
  <c r="CY143" i="1"/>
  <c r="W27" i="1"/>
  <c r="W26" i="1" s="1"/>
  <c r="AB10" i="15"/>
  <c r="AB146" i="1"/>
  <c r="AB145" i="1" s="1"/>
  <c r="AB27" i="1"/>
  <c r="AB26" i="1" s="1"/>
  <c r="CU10" i="15"/>
  <c r="CU146" i="1"/>
  <c r="AE147" i="1"/>
  <c r="BX79" i="1"/>
  <c r="BX149" i="1"/>
  <c r="E57" i="1"/>
  <c r="R52" i="1"/>
  <c r="R57" i="1"/>
  <c r="AR121" i="1"/>
  <c r="BF121" i="1"/>
  <c r="M57" i="1"/>
  <c r="AR60" i="1"/>
  <c r="BG65" i="1"/>
  <c r="BV67" i="1"/>
  <c r="S62" i="1"/>
  <c r="AU69" i="1"/>
  <c r="BH73" i="1"/>
  <c r="X89" i="1"/>
  <c r="BZ29" i="15"/>
  <c r="AH93" i="1"/>
  <c r="N98" i="1"/>
  <c r="S104" i="1"/>
  <c r="AF113" i="1"/>
  <c r="AF114" i="1" s="1"/>
  <c r="AJ114" i="1" s="1"/>
  <c r="J110" i="1"/>
  <c r="BB112" i="1"/>
  <c r="BB116" i="1" s="1"/>
  <c r="BB118" i="1" s="1"/>
  <c r="BB115" i="1"/>
  <c r="BB117" i="1" s="1"/>
  <c r="AR29" i="9"/>
  <c r="AR30" i="9"/>
  <c r="BE28" i="9"/>
  <c r="CM47" i="9"/>
  <c r="AN15" i="15"/>
  <c r="AN139" i="1"/>
  <c r="BS6" i="1"/>
  <c r="CL14" i="15"/>
  <c r="CK139" i="1"/>
  <c r="CK51" i="1"/>
  <c r="CY14" i="15"/>
  <c r="CX51" i="1"/>
  <c r="AV6" i="15"/>
  <c r="AW20" i="9"/>
  <c r="BU6" i="15"/>
  <c r="BU140" i="1"/>
  <c r="BV20" i="9"/>
  <c r="R21" i="22" s="1"/>
  <c r="W6" i="15"/>
  <c r="W141" i="1"/>
  <c r="CJ73" i="1"/>
  <c r="CJ74" i="1" s="1"/>
  <c r="CJ13" i="1"/>
  <c r="CV73" i="1"/>
  <c r="CV13" i="1"/>
  <c r="CV88" i="1" s="1"/>
  <c r="BW142" i="1"/>
  <c r="BW97" i="1"/>
  <c r="BW18" i="1"/>
  <c r="U144" i="1"/>
  <c r="BH144" i="1"/>
  <c r="Q143" i="1"/>
  <c r="AC143" i="1"/>
  <c r="AC138" i="1" s="1"/>
  <c r="BB8" i="15"/>
  <c r="BB9" i="15" s="1"/>
  <c r="BB143" i="1"/>
  <c r="CB8" i="15"/>
  <c r="CB9" i="15" s="1"/>
  <c r="CB143" i="1"/>
  <c r="CN143" i="1"/>
  <c r="AY19" i="1"/>
  <c r="AZ8" i="15" s="1"/>
  <c r="J27" i="1"/>
  <c r="J26" i="1" s="1"/>
  <c r="O10" i="15"/>
  <c r="O27" i="1"/>
  <c r="O26" i="1" s="1"/>
  <c r="AC10" i="15"/>
  <c r="AC50" i="1"/>
  <c r="AC27" i="1"/>
  <c r="AC26" i="1" s="1"/>
  <c r="AO34" i="1"/>
  <c r="AN147" i="1"/>
  <c r="DB103" i="1"/>
  <c r="AS149" i="1"/>
  <c r="CH150" i="1"/>
  <c r="AF120" i="1"/>
  <c r="AF121" i="1"/>
  <c r="AF57" i="1"/>
  <c r="BG120" i="1"/>
  <c r="BG121" i="1"/>
  <c r="CI120" i="1"/>
  <c r="CI121" i="1"/>
  <c r="CX120" i="1"/>
  <c r="CX52" i="1"/>
  <c r="BB50" i="1"/>
  <c r="AI51" i="1"/>
  <c r="AC63" i="1"/>
  <c r="AV69" i="1"/>
  <c r="B98" i="1"/>
  <c r="I101" i="1"/>
  <c r="AR120" i="1"/>
  <c r="BD158" i="1"/>
  <c r="BU143" i="1"/>
  <c r="BA146" i="1"/>
  <c r="BA145" i="1" s="1"/>
  <c r="CD147" i="1"/>
  <c r="CC150" i="1"/>
  <c r="AJ9" i="22"/>
  <c r="CV52" i="9"/>
  <c r="AJ13" i="9"/>
  <c r="AJ11" i="9"/>
  <c r="AJ84" i="1"/>
  <c r="AI11" i="22"/>
  <c r="CM13" i="9"/>
  <c r="AI14" i="22" s="1"/>
  <c r="CM11" i="9"/>
  <c r="AI12" i="22" s="1"/>
  <c r="CP84" i="1"/>
  <c r="BQ89" i="1"/>
  <c r="D29" i="15"/>
  <c r="P88" i="1"/>
  <c r="AB29" i="15"/>
  <c r="BB29" i="15"/>
  <c r="B101" i="1"/>
  <c r="N101" i="1"/>
  <c r="CC33" i="9"/>
  <c r="AK113" i="1"/>
  <c r="AK114" i="1" s="1"/>
  <c r="AO114" i="1" s="1"/>
  <c r="BR142" i="1"/>
  <c r="AJ158" i="1"/>
  <c r="AD11" i="22"/>
  <c r="CH11" i="9"/>
  <c r="AD12" i="22" s="1"/>
  <c r="CH13" i="9"/>
  <c r="AD14" i="22" s="1"/>
  <c r="CK84" i="1"/>
  <c r="AO16" i="22"/>
  <c r="CS16" i="9"/>
  <c r="AO17" i="22" s="1"/>
  <c r="CS17" i="9"/>
  <c r="AJ18" i="9"/>
  <c r="AL26" i="22"/>
  <c r="CP26" i="9"/>
  <c r="AL27" i="22" s="1"/>
  <c r="Z43" i="9"/>
  <c r="U15" i="15"/>
  <c r="U139" i="1"/>
  <c r="DD14" i="15"/>
  <c r="DC139" i="1"/>
  <c r="AG6" i="15"/>
  <c r="BF20" i="9"/>
  <c r="BE140" i="1"/>
  <c r="BR20" i="9"/>
  <c r="N21" i="22" s="1"/>
  <c r="BQ6" i="15"/>
  <c r="E6" i="15"/>
  <c r="Q141" i="1"/>
  <c r="AC6" i="15"/>
  <c r="AS144" i="1"/>
  <c r="AA143" i="1"/>
  <c r="AM8" i="15"/>
  <c r="AM9" i="15" s="1"/>
  <c r="BK8" i="15"/>
  <c r="BK9" i="15" s="1"/>
  <c r="BK143" i="1"/>
  <c r="CI143" i="1"/>
  <c r="CU143" i="1"/>
  <c r="G10" i="15"/>
  <c r="S10" i="15"/>
  <c r="S146" i="1"/>
  <c r="S145" i="1" s="1"/>
  <c r="BF10" i="15"/>
  <c r="BF146" i="1"/>
  <c r="BF145" i="1" s="1"/>
  <c r="CL148" i="1"/>
  <c r="CM37" i="1"/>
  <c r="CM148" i="1" s="1"/>
  <c r="Z149" i="1"/>
  <c r="DA149" i="1"/>
  <c r="DB40" i="1"/>
  <c r="DB149" i="1" s="1"/>
  <c r="P150" i="1"/>
  <c r="BB121" i="1"/>
  <c r="BB52" i="1"/>
  <c r="BB120" i="1"/>
  <c r="CA120" i="1"/>
  <c r="CA121" i="1"/>
  <c r="U51" i="1"/>
  <c r="C57" i="1"/>
  <c r="J63" i="1"/>
  <c r="V63" i="1"/>
  <c r="W67" i="1"/>
  <c r="BB69" i="1"/>
  <c r="AV89" i="1"/>
  <c r="BV89" i="1"/>
  <c r="BT29" i="15"/>
  <c r="C98" i="1"/>
  <c r="R101" i="1"/>
  <c r="DA101" i="1"/>
  <c r="I104" i="1"/>
  <c r="CX40" i="9"/>
  <c r="DB35" i="9"/>
  <c r="CX35" i="9"/>
  <c r="G146" i="1"/>
  <c r="G145" i="1" s="1"/>
  <c r="C11" i="22"/>
  <c r="AY11" i="9"/>
  <c r="C12" i="22" s="1"/>
  <c r="AY13" i="9"/>
  <c r="C14" i="22" s="1"/>
  <c r="AY30" i="9"/>
  <c r="C30" i="22" s="1"/>
  <c r="AZ84" i="1"/>
  <c r="AZ98" i="1" s="1"/>
  <c r="AE16" i="22"/>
  <c r="CI17" i="9"/>
  <c r="CI14" i="9" s="1"/>
  <c r="CM15" i="9"/>
  <c r="CW15" i="9"/>
  <c r="D18" i="22"/>
  <c r="BD18" i="9"/>
  <c r="D19" i="22" s="1"/>
  <c r="Z20" i="9"/>
  <c r="R29" i="22"/>
  <c r="BV29" i="9"/>
  <c r="BV30" i="9"/>
  <c r="R30" i="22" s="1"/>
  <c r="E5" i="1"/>
  <c r="E4" i="1" s="1"/>
  <c r="Q5" i="1"/>
  <c r="Q4" i="1" s="1"/>
  <c r="AC5" i="1"/>
  <c r="AC4" i="1" s="1"/>
  <c r="BA5" i="1"/>
  <c r="BA4" i="1" s="1"/>
  <c r="Z15" i="15"/>
  <c r="Z139" i="1"/>
  <c r="BH139" i="1"/>
  <c r="BH51" i="1"/>
  <c r="CG14" i="15"/>
  <c r="CF51" i="1"/>
  <c r="CR6" i="1"/>
  <c r="DE14" i="15"/>
  <c r="DD139" i="1"/>
  <c r="DD51" i="1"/>
  <c r="AH6" i="15"/>
  <c r="AH60" i="1"/>
  <c r="BF6" i="15"/>
  <c r="BF140" i="1"/>
  <c r="BG20" i="9"/>
  <c r="BF60" i="1"/>
  <c r="CP140" i="1"/>
  <c r="CP60" i="1"/>
  <c r="F11" i="1"/>
  <c r="G6" i="15" s="1"/>
  <c r="R6" i="15"/>
  <c r="R141" i="1"/>
  <c r="AD141" i="1"/>
  <c r="AD6" i="15"/>
  <c r="AO13" i="1"/>
  <c r="AO88" i="1" s="1"/>
  <c r="BX142" i="1"/>
  <c r="AT18" i="1"/>
  <c r="D143" i="1"/>
  <c r="AN8" i="15"/>
  <c r="AN9" i="15" s="1"/>
  <c r="AN143" i="1"/>
  <c r="BL8" i="15"/>
  <c r="BL9" i="15" s="1"/>
  <c r="CJ143" i="1"/>
  <c r="H10" i="15"/>
  <c r="H146" i="1"/>
  <c r="H145" i="1" s="1"/>
  <c r="T146" i="1"/>
  <c r="T145" i="1" s="1"/>
  <c r="T10" i="15"/>
  <c r="U28" i="1"/>
  <c r="AU146" i="1"/>
  <c r="AU145" i="1" s="1"/>
  <c r="BG10" i="15"/>
  <c r="BG146" i="1"/>
  <c r="BG145" i="1" s="1"/>
  <c r="P147" i="1"/>
  <c r="AX147" i="1"/>
  <c r="AX83" i="1"/>
  <c r="AX85" i="1" s="1"/>
  <c r="CR35" i="1"/>
  <c r="AE149" i="1"/>
  <c r="DC149" i="1"/>
  <c r="BW150" i="1"/>
  <c r="BX42" i="1"/>
  <c r="AD52" i="1"/>
  <c r="AP121" i="1"/>
  <c r="AP52" i="1"/>
  <c r="DC121" i="1"/>
  <c r="AS120" i="1"/>
  <c r="AS121" i="1"/>
  <c r="AS57" i="1"/>
  <c r="S50" i="1"/>
  <c r="AU50" i="1"/>
  <c r="BO52" i="1"/>
  <c r="J85" i="1"/>
  <c r="V85" i="1"/>
  <c r="V89" i="1"/>
  <c r="DC87" i="1"/>
  <c r="AH29" i="15"/>
  <c r="AH89" i="1"/>
  <c r="BU29" i="15"/>
  <c r="AS98" i="1"/>
  <c r="CO101" i="1"/>
  <c r="DB33" i="9"/>
  <c r="CW157" i="1"/>
  <c r="I145" i="1"/>
  <c r="J20" i="22"/>
  <c r="AH20" i="9"/>
  <c r="U22" i="22"/>
  <c r="CW47" i="9"/>
  <c r="I10" i="15"/>
  <c r="AG10" i="15"/>
  <c r="BE146" i="1"/>
  <c r="BE145" i="1" s="1"/>
  <c r="BQ10" i="15"/>
  <c r="K147" i="1"/>
  <c r="Z150" i="1"/>
  <c r="BL120" i="1"/>
  <c r="CJ120" i="1"/>
  <c r="D57" i="1"/>
  <c r="AB57" i="1"/>
  <c r="BL57" i="1"/>
  <c r="CJ57" i="1"/>
  <c r="E89" i="1"/>
  <c r="Q89" i="1"/>
  <c r="AC89" i="1"/>
  <c r="BA89" i="1"/>
  <c r="BY89" i="1"/>
  <c r="C29" i="15"/>
  <c r="O29" i="15"/>
  <c r="AA29" i="15"/>
  <c r="AM29" i="15"/>
  <c r="BK29" i="15"/>
  <c r="M98" i="1"/>
  <c r="Y98" i="1"/>
  <c r="AB101" i="1"/>
  <c r="AP101" i="1"/>
  <c r="R104" i="1"/>
  <c r="CR103" i="1"/>
  <c r="AF20" i="9"/>
  <c r="AE33" i="9"/>
  <c r="CM33" i="9"/>
  <c r="AU113" i="1"/>
  <c r="AU114" i="1" s="1"/>
  <c r="AY114" i="1" s="1"/>
  <c r="BQ146" i="1"/>
  <c r="BQ145" i="1" s="1"/>
  <c r="AN6" i="22"/>
  <c r="CQ47" i="9"/>
  <c r="CT52" i="9"/>
  <c r="AH9" i="22"/>
  <c r="BT34" i="9"/>
  <c r="P15" i="22"/>
  <c r="AO18" i="9"/>
  <c r="AX57" i="9"/>
  <c r="AX44" i="9"/>
  <c r="AX59" i="9" s="1"/>
  <c r="DG53" i="9"/>
  <c r="G29" i="15"/>
  <c r="S29" i="15"/>
  <c r="AQ29" i="15"/>
  <c r="CJ101" i="1"/>
  <c r="AH115" i="1"/>
  <c r="AH117" i="1" s="1"/>
  <c r="Z30" i="9"/>
  <c r="Z13" i="9"/>
  <c r="Z11" i="9"/>
  <c r="AR29" i="22"/>
  <c r="CV30" i="9"/>
  <c r="AR30" i="22" s="1"/>
  <c r="AN57" i="9"/>
  <c r="AN44" i="9"/>
  <c r="AN59" i="9" s="1"/>
  <c r="BQ40" i="9"/>
  <c r="BQ38" i="9" s="1"/>
  <c r="BQ39" i="9" s="1"/>
  <c r="BQ35" i="9"/>
  <c r="BQ37" i="9" s="1"/>
  <c r="AV37" i="9"/>
  <c r="AV58" i="9" s="1"/>
  <c r="AV43" i="9"/>
  <c r="N10" i="15"/>
  <c r="AL10" i="15"/>
  <c r="AL146" i="1"/>
  <c r="AL145" i="1" s="1"/>
  <c r="BJ10" i="15"/>
  <c r="BJ146" i="1"/>
  <c r="BJ145" i="1" s="1"/>
  <c r="BV10" i="15"/>
  <c r="CB147" i="1"/>
  <c r="P148" i="1"/>
  <c r="P103" i="1"/>
  <c r="AX149" i="1"/>
  <c r="AY150" i="1"/>
  <c r="CW150" i="1"/>
  <c r="AG120" i="1"/>
  <c r="BE121" i="1"/>
  <c r="BQ121" i="1"/>
  <c r="I57" i="1"/>
  <c r="AG57" i="1"/>
  <c r="BE57" i="1"/>
  <c r="E101" i="1"/>
  <c r="E104" i="1"/>
  <c r="Q101" i="1"/>
  <c r="Q104" i="1"/>
  <c r="AC98" i="1"/>
  <c r="AC101" i="1"/>
  <c r="AC104" i="1"/>
  <c r="H29" i="15"/>
  <c r="T29" i="15"/>
  <c r="AF29" i="15"/>
  <c r="AR29" i="15"/>
  <c r="BP29" i="15"/>
  <c r="AJ111" i="1"/>
  <c r="AW115" i="1"/>
  <c r="AW117" i="1" s="1"/>
  <c r="BL121" i="1"/>
  <c r="CJ121" i="1"/>
  <c r="BD157" i="1"/>
  <c r="AG34" i="9"/>
  <c r="AG39" i="9" s="1"/>
  <c r="AJ14" i="9"/>
  <c r="AJ34" i="9" s="1"/>
  <c r="AJ39" i="9" s="1"/>
  <c r="AU34" i="9"/>
  <c r="AU39" i="9" s="1"/>
  <c r="AY14" i="9"/>
  <c r="CA17" i="9"/>
  <c r="CA14" i="9" s="1"/>
  <c r="CA16" i="9"/>
  <c r="W17" i="22" s="1"/>
  <c r="AF18" i="9"/>
  <c r="AJ28" i="9"/>
  <c r="AF28" i="9"/>
  <c r="AN25" i="22"/>
  <c r="CS28" i="9"/>
  <c r="CW28" i="9"/>
  <c r="M29" i="22"/>
  <c r="BQ30" i="9"/>
  <c r="M30" i="22" s="1"/>
  <c r="AU29" i="22"/>
  <c r="CY30" i="9"/>
  <c r="AU30" i="22" s="1"/>
  <c r="BA44" i="9"/>
  <c r="BA59" i="9" s="1"/>
  <c r="BA57" i="9"/>
  <c r="BA37" i="9"/>
  <c r="BA58" i="9" s="1"/>
  <c r="AP43" i="9"/>
  <c r="AT42" i="9"/>
  <c r="AR52" i="9"/>
  <c r="AC27" i="22"/>
  <c r="E110" i="1"/>
  <c r="K6" i="9"/>
  <c r="K8" i="9"/>
  <c r="I5" i="22"/>
  <c r="BM8" i="9"/>
  <c r="X9" i="22"/>
  <c r="AL9" i="22"/>
  <c r="AX10" i="22"/>
  <c r="H15" i="22"/>
  <c r="BL34" i="9"/>
  <c r="AO26" i="22"/>
  <c r="CS26" i="9"/>
  <c r="AO27" i="22" s="1"/>
  <c r="BU35" i="9"/>
  <c r="BU37" i="9" s="1"/>
  <c r="BU40" i="9"/>
  <c r="CG40" i="9"/>
  <c r="CG35" i="9"/>
  <c r="BO40" i="9"/>
  <c r="C104" i="1"/>
  <c r="O104" i="1"/>
  <c r="AA104" i="1"/>
  <c r="AM115" i="1"/>
  <c r="AM117" i="1" s="1"/>
  <c r="AM112" i="1"/>
  <c r="AM116" i="1" s="1"/>
  <c r="AM118" i="1" s="1"/>
  <c r="P6" i="9"/>
  <c r="P8" i="9"/>
  <c r="BN4" i="9"/>
  <c r="AT8" i="9"/>
  <c r="Z9" i="22"/>
  <c r="E10" i="22"/>
  <c r="BI13" i="9"/>
  <c r="BD11" i="9"/>
  <c r="D12" i="22" s="1"/>
  <c r="AG16" i="22"/>
  <c r="CK16" i="9"/>
  <c r="AG17" i="22" s="1"/>
  <c r="CK17" i="9"/>
  <c r="C20" i="22"/>
  <c r="AU20" i="22"/>
  <c r="DB19" i="9"/>
  <c r="AX25" i="22"/>
  <c r="DC28" i="9"/>
  <c r="AP26" i="22"/>
  <c r="CT26" i="9"/>
  <c r="AP27" i="22" s="1"/>
  <c r="AG30" i="9"/>
  <c r="AG29" i="9"/>
  <c r="BV35" i="9"/>
  <c r="BV37" i="9" s="1"/>
  <c r="BV40" i="9"/>
  <c r="BO35" i="9"/>
  <c r="BO37" i="9" s="1"/>
  <c r="AG43" i="9"/>
  <c r="AJ42" i="9"/>
  <c r="AU43" i="9"/>
  <c r="AY42" i="9"/>
  <c r="BJ35" i="9"/>
  <c r="BJ37" i="9" s="1"/>
  <c r="BJ40" i="9"/>
  <c r="BJ113" i="1" s="1"/>
  <c r="BJ114" i="1" s="1"/>
  <c r="BN114" i="1" s="1"/>
  <c r="U8" i="9"/>
  <c r="U6" i="9"/>
  <c r="N5" i="22"/>
  <c r="BR5" i="9"/>
  <c r="BR8" i="9"/>
  <c r="BS4" i="9"/>
  <c r="BR15" i="9"/>
  <c r="BB52" i="9"/>
  <c r="BC52" i="9"/>
  <c r="I16" i="22"/>
  <c r="BM17" i="9"/>
  <c r="AV16" i="22"/>
  <c r="CZ17" i="9"/>
  <c r="CZ14" i="9" s="1"/>
  <c r="AP29" i="22"/>
  <c r="CT30" i="9"/>
  <c r="AP30" i="22" s="1"/>
  <c r="AO47" i="9"/>
  <c r="C101" i="1"/>
  <c r="O101" i="1"/>
  <c r="AA101" i="1"/>
  <c r="AO111" i="1"/>
  <c r="AB138" i="1"/>
  <c r="DB157" i="1"/>
  <c r="S5" i="22"/>
  <c r="BW15" i="9"/>
  <c r="BM5" i="9"/>
  <c r="BM16" i="9" s="1"/>
  <c r="I17" i="22" s="1"/>
  <c r="AQ52" i="9"/>
  <c r="AU52" i="9"/>
  <c r="AY52" i="9" s="1"/>
  <c r="BN15" i="9"/>
  <c r="AJ16" i="22"/>
  <c r="CN16" i="9"/>
  <c r="AJ17" i="22" s="1"/>
  <c r="CN17" i="9"/>
  <c r="CR15" i="9"/>
  <c r="E20" i="22"/>
  <c r="CC27" i="9"/>
  <c r="Y28" i="22" s="1"/>
  <c r="AQ29" i="22"/>
  <c r="CU30" i="9"/>
  <c r="AQ30" i="22" s="1"/>
  <c r="CR47" i="9"/>
  <c r="G15" i="22"/>
  <c r="BK34" i="9"/>
  <c r="AU16" i="22"/>
  <c r="DB15" i="9"/>
  <c r="P20" i="9"/>
  <c r="AS25" i="22"/>
  <c r="CX28" i="9"/>
  <c r="DB28" i="9"/>
  <c r="AX29" i="22" s="1"/>
  <c r="X26" i="22"/>
  <c r="CB26" i="9"/>
  <c r="CC25" i="9"/>
  <c r="AZ26" i="22"/>
  <c r="BF30" i="9"/>
  <c r="BF29" i="9"/>
  <c r="AZ29" i="22"/>
  <c r="DD30" i="9"/>
  <c r="BV43" i="9"/>
  <c r="D6" i="22"/>
  <c r="AY47" i="9"/>
  <c r="BD8" i="9"/>
  <c r="I11" i="22"/>
  <c r="BN10" i="9"/>
  <c r="BM11" i="9"/>
  <c r="I12" i="22" s="1"/>
  <c r="AL34" i="9"/>
  <c r="AL39" i="9" s="1"/>
  <c r="AO14" i="9"/>
  <c r="AO34" i="9" s="1"/>
  <c r="AO39" i="9" s="1"/>
  <c r="AJ16" i="9"/>
  <c r="AT18" i="22"/>
  <c r="CX21" i="9"/>
  <c r="CX14" i="9"/>
  <c r="AE20" i="9"/>
  <c r="AH20" i="22"/>
  <c r="AL29" i="22"/>
  <c r="CP30" i="9"/>
  <c r="AL30" i="22" s="1"/>
  <c r="AH37" i="9"/>
  <c r="AH58" i="9" s="1"/>
  <c r="DJ52" i="9"/>
  <c r="AT9" i="22"/>
  <c r="N11" i="22"/>
  <c r="BR11" i="9"/>
  <c r="N12" i="22" s="1"/>
  <c r="M15" i="22"/>
  <c r="BQ34" i="9"/>
  <c r="AZ16" i="22"/>
  <c r="DD17" i="9"/>
  <c r="CY17" i="9"/>
  <c r="CY14" i="9" s="1"/>
  <c r="AM27" i="22"/>
  <c r="CR26" i="9"/>
  <c r="AN27" i="22" s="1"/>
  <c r="BK30" i="9"/>
  <c r="G30" i="22" s="1"/>
  <c r="AL44" i="9"/>
  <c r="AL59" i="9" s="1"/>
  <c r="AL57" i="9"/>
  <c r="CO40" i="9"/>
  <c r="CO35" i="9"/>
  <c r="AW52" i="9"/>
  <c r="P30" i="9"/>
  <c r="AB16" i="22"/>
  <c r="CF16" i="9"/>
  <c r="AB17" i="22" s="1"/>
  <c r="CF17" i="9"/>
  <c r="AF26" i="22"/>
  <c r="CJ26" i="9"/>
  <c r="AF27" i="22" s="1"/>
  <c r="CP40" i="9"/>
  <c r="CP35" i="9"/>
  <c r="Z11" i="22"/>
  <c r="CD11" i="9"/>
  <c r="Z12" i="22" s="1"/>
  <c r="Z16" i="9"/>
  <c r="AH16" i="22"/>
  <c r="CL16" i="9"/>
  <c r="AH17" i="22" s="1"/>
  <c r="AT16" i="22"/>
  <c r="CX16" i="9"/>
  <c r="AT17" i="22" s="1"/>
  <c r="AC26" i="22"/>
  <c r="CH25" i="9"/>
  <c r="AD26" i="22" s="1"/>
  <c r="CU40" i="9"/>
  <c r="CU35" i="9"/>
  <c r="BW40" i="9"/>
  <c r="BJ43" i="9"/>
  <c r="AV52" i="9"/>
  <c r="DK52" i="9"/>
  <c r="X5" i="22"/>
  <c r="BW24" i="9"/>
  <c r="BW27" i="9" s="1"/>
  <c r="U15" i="22"/>
  <c r="BY34" i="9"/>
  <c r="CB15" i="9"/>
  <c r="CC15" i="9" s="1"/>
  <c r="K20" i="9"/>
  <c r="O20" i="22"/>
  <c r="Z25" i="22"/>
  <c r="CD27" i="9"/>
  <c r="Z28" i="22" s="1"/>
  <c r="AK28" i="9"/>
  <c r="BM35" i="9"/>
  <c r="BM40" i="9"/>
  <c r="BB44" i="9"/>
  <c r="BB59" i="9" s="1"/>
  <c r="BB57" i="9"/>
  <c r="BZ40" i="9"/>
  <c r="BD42" i="9"/>
  <c r="AZ43" i="9"/>
  <c r="P47" i="9"/>
  <c r="AP52" i="9"/>
  <c r="AT52" i="9" s="1"/>
  <c r="AN52" i="9"/>
  <c r="DA52" i="9"/>
  <c r="AO9" i="22"/>
  <c r="BD14" i="9"/>
  <c r="V15" i="22"/>
  <c r="BZ34" i="9"/>
  <c r="AH26" i="22"/>
  <c r="CM25" i="9"/>
  <c r="AI26" i="22" s="1"/>
  <c r="AZ34" i="9"/>
  <c r="AZ39" i="9" s="1"/>
  <c r="BC57" i="9"/>
  <c r="BC44" i="9"/>
  <c r="BC59" i="9" s="1"/>
  <c r="P43" i="9"/>
  <c r="BO29" i="15"/>
  <c r="CA29" i="15"/>
  <c r="CC7" i="9"/>
  <c r="Y8" i="22" s="1"/>
  <c r="CO52" i="9"/>
  <c r="AC9" i="22"/>
  <c r="BI10" i="9"/>
  <c r="BI35" i="9" s="1"/>
  <c r="BH11" i="9"/>
  <c r="N13" i="22"/>
  <c r="BS12" i="9"/>
  <c r="AA16" i="22"/>
  <c r="CE17" i="9"/>
  <c r="AM16" i="22"/>
  <c r="CQ17" i="9"/>
  <c r="AY16" i="22"/>
  <c r="DC17" i="9"/>
  <c r="DC16" i="9"/>
  <c r="AY17" i="22" s="1"/>
  <c r="CP17" i="9"/>
  <c r="CP14" i="9" s="1"/>
  <c r="AJ26" i="22"/>
  <c r="CN26" i="9"/>
  <c r="CO30" i="9"/>
  <c r="AK30" i="22" s="1"/>
  <c r="BB43" i="9"/>
  <c r="BO43" i="9"/>
  <c r="CH47" i="9"/>
  <c r="DB11" i="9"/>
  <c r="AX12" i="22" s="1"/>
  <c r="AJ21" i="9"/>
  <c r="BP30" i="9"/>
  <c r="L30" i="22" s="1"/>
  <c r="BR35" i="9"/>
  <c r="DL53" i="9"/>
  <c r="CH8" i="9"/>
  <c r="CB10" i="9"/>
  <c r="Q15" i="22"/>
  <c r="BU34" i="9"/>
  <c r="CJ17" i="9"/>
  <c r="CV17" i="9"/>
  <c r="CV20" i="2" s="1"/>
  <c r="AR49" i="22" s="1"/>
  <c r="DC26" i="9"/>
  <c r="AY27" i="22" s="1"/>
  <c r="BU30" i="9"/>
  <c r="Q30" i="22" s="1"/>
  <c r="AV57" i="9"/>
  <c r="AV44" i="9"/>
  <c r="AV59" i="9" s="1"/>
  <c r="AR37" i="9"/>
  <c r="AR58" i="9" s="1"/>
  <c r="AF43" i="9"/>
  <c r="AR43" i="9"/>
  <c r="BZ30" i="9"/>
  <c r="V30" i="22" s="1"/>
  <c r="CL30" i="9"/>
  <c r="AH30" i="22" s="1"/>
  <c r="C3" i="20"/>
  <c r="C19" i="20" s="1"/>
  <c r="F39" i="24"/>
  <c r="H39" i="24"/>
  <c r="J43" i="24"/>
  <c r="R45" i="24"/>
  <c r="DS86" i="2"/>
  <c r="DT87" i="2"/>
  <c r="CE67" i="1" l="1"/>
  <c r="BS37" i="9"/>
  <c r="DH52" i="9"/>
  <c r="DL52" i="9" s="1"/>
  <c r="CS98" i="1"/>
  <c r="AO8" i="15"/>
  <c r="AO9" i="15" s="1"/>
  <c r="CQ28" i="1"/>
  <c r="CQ10" i="15" s="1"/>
  <c r="BX28" i="1"/>
  <c r="BX146" i="1" s="1"/>
  <c r="CS104" i="1"/>
  <c r="DA52" i="1"/>
  <c r="CN98" i="1"/>
  <c r="AX120" i="1"/>
  <c r="CW85" i="1"/>
  <c r="AX121" i="1"/>
  <c r="CZ52" i="1"/>
  <c r="AH30" i="15"/>
  <c r="H138" i="1"/>
  <c r="H151" i="1" s="1"/>
  <c r="H154" i="1" s="1"/>
  <c r="BD35" i="9"/>
  <c r="BD37" i="9" s="1"/>
  <c r="S48" i="1"/>
  <c r="AX52" i="1"/>
  <c r="AZ35" i="9"/>
  <c r="AZ44" i="9" s="1"/>
  <c r="AZ59" i="9" s="1"/>
  <c r="DF56" i="2"/>
  <c r="DF4" i="2"/>
  <c r="DF36" i="9"/>
  <c r="DF61" i="1"/>
  <c r="DF65" i="1" s="1"/>
  <c r="DF12" i="2"/>
  <c r="DF71" i="2"/>
  <c r="DF113" i="1" s="1"/>
  <c r="DF54" i="2"/>
  <c r="DF70" i="1"/>
  <c r="DC67" i="1"/>
  <c r="CR30" i="2"/>
  <c r="AN59" i="22" s="1"/>
  <c r="DC65" i="1"/>
  <c r="P59" i="2"/>
  <c r="B22" i="2"/>
  <c r="B53" i="2"/>
  <c r="B55" i="2" s="1"/>
  <c r="B57" i="2" s="1"/>
  <c r="B74" i="2" s="1"/>
  <c r="BQ122" i="1"/>
  <c r="BJ71" i="22"/>
  <c r="AO29" i="15"/>
  <c r="B19" i="2"/>
  <c r="DC8" i="15"/>
  <c r="DC9" i="15" s="1"/>
  <c r="B16" i="2"/>
  <c r="B37" i="2" s="1"/>
  <c r="CB71" i="2"/>
  <c r="X80" i="22" s="1"/>
  <c r="R48" i="1"/>
  <c r="AM86" i="2"/>
  <c r="AM87" i="2" s="1"/>
  <c r="AI140" i="1"/>
  <c r="AI60" i="1"/>
  <c r="AI63" i="1" s="1"/>
  <c r="AI91" i="2" s="1"/>
  <c r="CR30" i="9"/>
  <c r="AN30" i="22" s="1"/>
  <c r="T54" i="1"/>
  <c r="I51" i="9"/>
  <c r="I45" i="9"/>
  <c r="DB88" i="1"/>
  <c r="DB89" i="1" s="1"/>
  <c r="BK104" i="1"/>
  <c r="N9" i="7"/>
  <c r="N83" i="2" s="1"/>
  <c r="N151" i="1"/>
  <c r="N152" i="1" s="1"/>
  <c r="I59" i="1"/>
  <c r="BK19" i="2"/>
  <c r="G48" i="22" s="1"/>
  <c r="BF72" i="1"/>
  <c r="I3" i="15"/>
  <c r="N42" i="22"/>
  <c r="I23" i="9"/>
  <c r="AQ53" i="2"/>
  <c r="AQ55" i="2" s="1"/>
  <c r="AQ57" i="2" s="1"/>
  <c r="AB151" i="1"/>
  <c r="AB152" i="1" s="1"/>
  <c r="BJ73" i="22"/>
  <c r="AC22" i="2"/>
  <c r="K52" i="2"/>
  <c r="BK16" i="2"/>
  <c r="G45" i="22" s="1"/>
  <c r="DA57" i="1"/>
  <c r="CK145" i="1"/>
  <c r="AM101" i="1"/>
  <c r="K59" i="1"/>
  <c r="B51" i="2"/>
  <c r="F57" i="1"/>
  <c r="BC146" i="1"/>
  <c r="BC145" i="1" s="1"/>
  <c r="BC10" i="15"/>
  <c r="G16" i="2"/>
  <c r="G37" i="2" s="1"/>
  <c r="DB29" i="2"/>
  <c r="AX58" i="22" s="1"/>
  <c r="W72" i="1"/>
  <c r="CN29" i="2"/>
  <c r="CN17" i="2" s="1"/>
  <c r="AJ46" i="22" s="1"/>
  <c r="AA51" i="2"/>
  <c r="CL20" i="2"/>
  <c r="AH49" i="22" s="1"/>
  <c r="AM98" i="1"/>
  <c r="AS43" i="9"/>
  <c r="AM85" i="1"/>
  <c r="CL57" i="1"/>
  <c r="BX5" i="9"/>
  <c r="T6" i="22" s="1"/>
  <c r="BH19" i="2"/>
  <c r="P104" i="1"/>
  <c r="E138" i="1"/>
  <c r="E151" i="1" s="1"/>
  <c r="BV55" i="1"/>
  <c r="BC50" i="1"/>
  <c r="BC53" i="1" s="1"/>
  <c r="CO60" i="1"/>
  <c r="CO63" i="1" s="1"/>
  <c r="CO41" i="2" s="1"/>
  <c r="AK71" i="22" s="1"/>
  <c r="BQ55" i="1"/>
  <c r="CL121" i="1"/>
  <c r="L48" i="1"/>
  <c r="K89" i="1"/>
  <c r="BV86" i="2"/>
  <c r="BV87" i="2" s="1"/>
  <c r="BW54" i="2"/>
  <c r="BR54" i="2"/>
  <c r="H93" i="1"/>
  <c r="AZ48" i="1"/>
  <c r="CW111" i="1"/>
  <c r="BR12" i="2"/>
  <c r="N41" i="22" s="1"/>
  <c r="BS13" i="2"/>
  <c r="BS54" i="2" s="1"/>
  <c r="BW70" i="1"/>
  <c r="BW80" i="1" s="1"/>
  <c r="BW81" i="1" s="1"/>
  <c r="BR113" i="1"/>
  <c r="BR115" i="1" s="1"/>
  <c r="BR117" i="1" s="1"/>
  <c r="BW12" i="2"/>
  <c r="S41" i="22" s="1"/>
  <c r="BG27" i="2"/>
  <c r="BC27" i="1"/>
  <c r="BC26" i="1" s="1"/>
  <c r="CL14" i="9"/>
  <c r="CL34" i="9" s="1"/>
  <c r="AE104" i="1"/>
  <c r="BR2" i="2"/>
  <c r="BW71" i="2"/>
  <c r="S80" i="22" s="1"/>
  <c r="BN12" i="2"/>
  <c r="J41" i="22" s="1"/>
  <c r="AA16" i="2"/>
  <c r="AA37" i="2" s="1"/>
  <c r="BD88" i="1"/>
  <c r="BD29" i="15" s="1"/>
  <c r="BX13" i="2"/>
  <c r="T42" i="22" s="1"/>
  <c r="BD144" i="1"/>
  <c r="CN60" i="2"/>
  <c r="CN59" i="2" s="1"/>
  <c r="BR70" i="1"/>
  <c r="BR80" i="1" s="1"/>
  <c r="BR81" i="1" s="1"/>
  <c r="S42" i="22"/>
  <c r="BF27" i="2"/>
  <c r="DP20" i="9"/>
  <c r="BK21" i="22"/>
  <c r="BD50" i="1"/>
  <c r="BE86" i="2" s="1"/>
  <c r="BE87" i="2" s="1"/>
  <c r="C48" i="1"/>
  <c r="AC43" i="2"/>
  <c r="DC101" i="1"/>
  <c r="BK19" i="22"/>
  <c r="AC53" i="2"/>
  <c r="AC55" i="2" s="1"/>
  <c r="AC57" i="2" s="1"/>
  <c r="CK64" i="1"/>
  <c r="CK60" i="2"/>
  <c r="CK59" i="2" s="1"/>
  <c r="CV20" i="9"/>
  <c r="AR21" i="22" s="1"/>
  <c r="BK38" i="9"/>
  <c r="BK39" i="9" s="1"/>
  <c r="AM30" i="15"/>
  <c r="Q8" i="15"/>
  <c r="Q9" i="15" s="1"/>
  <c r="DE38" i="9"/>
  <c r="DE39" i="9" s="1"/>
  <c r="DE111" i="1"/>
  <c r="DE113" i="1"/>
  <c r="DE114" i="1" s="1"/>
  <c r="BB138" i="1"/>
  <c r="BB151" i="1" s="1"/>
  <c r="BB165" i="1" s="1"/>
  <c r="BL122" i="1"/>
  <c r="Y55" i="1"/>
  <c r="C22" i="2"/>
  <c r="AL30" i="15"/>
  <c r="BG17" i="22"/>
  <c r="BF17" i="22"/>
  <c r="DE85" i="1"/>
  <c r="DE98" i="1"/>
  <c r="DE101" i="1"/>
  <c r="DE104" i="1"/>
  <c r="BG7" i="22"/>
  <c r="BF7" i="22"/>
  <c r="BQ54" i="1"/>
  <c r="C43" i="2"/>
  <c r="J19" i="2"/>
  <c r="DB81" i="2"/>
  <c r="DB32" i="11" s="1"/>
  <c r="CZ57" i="1"/>
  <c r="AY28" i="1"/>
  <c r="AY10" i="15" s="1"/>
  <c r="BE10" i="15"/>
  <c r="AZ138" i="1"/>
  <c r="AZ151" i="1" s="1"/>
  <c r="AZ154" i="1" s="1"/>
  <c r="T48" i="1"/>
  <c r="CM121" i="1"/>
  <c r="F26" i="1"/>
  <c r="CM52" i="1"/>
  <c r="BL71" i="22"/>
  <c r="BK71" i="22"/>
  <c r="BN23" i="2"/>
  <c r="J52" i="22" s="1"/>
  <c r="BJ39" i="22"/>
  <c r="BH43" i="2"/>
  <c r="BL73" i="22"/>
  <c r="BK73" i="22"/>
  <c r="AH38" i="22"/>
  <c r="J53" i="22"/>
  <c r="CR42" i="9"/>
  <c r="BW59" i="2"/>
  <c r="BF49" i="22"/>
  <c r="BH22" i="2"/>
  <c r="D53" i="22"/>
  <c r="AQ72" i="1"/>
  <c r="CB66" i="1"/>
  <c r="CC66" i="1" s="1"/>
  <c r="DA121" i="1"/>
  <c r="CL21" i="9"/>
  <c r="AH22" i="22" s="1"/>
  <c r="BZ84" i="1"/>
  <c r="BZ104" i="1" s="1"/>
  <c r="AU138" i="1"/>
  <c r="AU151" i="1" s="1"/>
  <c r="BG113" i="1"/>
  <c r="BG114" i="1" s="1"/>
  <c r="BG86" i="2"/>
  <c r="BG87" i="2" s="1"/>
  <c r="AU101" i="1"/>
  <c r="CS101" i="1"/>
  <c r="BG38" i="9"/>
  <c r="BG39" i="9" s="1"/>
  <c r="BM120" i="1"/>
  <c r="T22" i="2"/>
  <c r="AH18" i="22"/>
  <c r="BU101" i="1"/>
  <c r="CN30" i="9"/>
  <c r="AJ30" i="22" s="1"/>
  <c r="BU98" i="1"/>
  <c r="AX17" i="2"/>
  <c r="AY17" i="2" s="1"/>
  <c r="C46" i="22" s="1"/>
  <c r="CG98" i="1"/>
  <c r="CL52" i="1"/>
  <c r="CG104" i="1"/>
  <c r="AY95" i="1"/>
  <c r="BS32" i="2"/>
  <c r="O61" i="22" s="1"/>
  <c r="L95" i="1"/>
  <c r="AA19" i="2"/>
  <c r="AU104" i="1"/>
  <c r="AR72" i="1"/>
  <c r="AE101" i="1"/>
  <c r="CM23" i="2"/>
  <c r="AI52" i="22" s="1"/>
  <c r="AK20" i="9"/>
  <c r="CL56" i="2"/>
  <c r="BM57" i="1"/>
  <c r="CR64" i="2"/>
  <c r="AZ22" i="2"/>
  <c r="G22" i="2"/>
  <c r="M53" i="1"/>
  <c r="M49" i="1" s="1"/>
  <c r="CL8" i="2"/>
  <c r="AH37" i="22" s="1"/>
  <c r="BO138" i="1"/>
  <c r="BO151" i="1" s="1"/>
  <c r="BO154" i="1" s="1"/>
  <c r="BU104" i="1"/>
  <c r="CB8" i="1"/>
  <c r="CB140" i="1" s="1"/>
  <c r="X48" i="1"/>
  <c r="CP20" i="9"/>
  <c r="AL21" i="22" s="1"/>
  <c r="AY33" i="22"/>
  <c r="BQ30" i="15"/>
  <c r="BL63" i="1"/>
  <c r="BL41" i="2" s="1"/>
  <c r="H71" i="22" s="1"/>
  <c r="CF71" i="2"/>
  <c r="CF113" i="1" s="1"/>
  <c r="CB59" i="2"/>
  <c r="BM52" i="1"/>
  <c r="DC11" i="2"/>
  <c r="DC22" i="2" s="1"/>
  <c r="AY51" i="22" s="1"/>
  <c r="AZ43" i="2"/>
  <c r="AI6" i="15"/>
  <c r="G51" i="2"/>
  <c r="N48" i="1"/>
  <c r="CG101" i="1"/>
  <c r="AY144" i="1"/>
  <c r="BH27" i="2"/>
  <c r="BB30" i="15"/>
  <c r="BK113" i="1"/>
  <c r="BK114" i="1" s="1"/>
  <c r="Y122" i="1"/>
  <c r="G43" i="2"/>
  <c r="BA30" i="15"/>
  <c r="BH85" i="1"/>
  <c r="AI59" i="2"/>
  <c r="AE85" i="1"/>
  <c r="BJ8" i="15"/>
  <c r="BJ9" i="15" s="1"/>
  <c r="G53" i="2"/>
  <c r="G55" i="2" s="1"/>
  <c r="G70" i="2" s="1"/>
  <c r="AA53" i="2"/>
  <c r="AA55" i="2" s="1"/>
  <c r="AA57" i="2" s="1"/>
  <c r="AQ48" i="1"/>
  <c r="CW98" i="1"/>
  <c r="AU48" i="1"/>
  <c r="AW48" i="1"/>
  <c r="DC104" i="1"/>
  <c r="BR88" i="2"/>
  <c r="O48" i="1"/>
  <c r="AA48" i="1"/>
  <c r="AF6" i="15"/>
  <c r="BR28" i="1"/>
  <c r="BR50" i="1" s="1"/>
  <c r="AX72" i="1"/>
  <c r="AY121" i="1"/>
  <c r="N3" i="11"/>
  <c r="K25" i="1"/>
  <c r="K26" i="1"/>
  <c r="AQ22" i="2"/>
  <c r="AJ93" i="1"/>
  <c r="AQ43" i="2"/>
  <c r="R72" i="1"/>
  <c r="BB48" i="1"/>
  <c r="AE5" i="1"/>
  <c r="AE4" i="1" s="1"/>
  <c r="DD11" i="2"/>
  <c r="DD22" i="2" s="1"/>
  <c r="AZ51" i="22" s="1"/>
  <c r="AO144" i="1"/>
  <c r="AV48" i="1"/>
  <c r="DB111" i="1"/>
  <c r="BY47" i="9"/>
  <c r="AE6" i="15"/>
  <c r="D47" i="22"/>
  <c r="AA8" i="15"/>
  <c r="AA9" i="15" s="1"/>
  <c r="X16" i="2"/>
  <c r="X37" i="2" s="1"/>
  <c r="X39" i="2" s="1"/>
  <c r="X63" i="2" s="1"/>
  <c r="H22" i="2"/>
  <c r="DD69" i="1"/>
  <c r="DE72" i="1" s="1"/>
  <c r="AJ57" i="1"/>
  <c r="CG54" i="2"/>
  <c r="K130" i="1"/>
  <c r="AT56" i="2"/>
  <c r="AE69" i="1"/>
  <c r="AE72" i="1" s="1"/>
  <c r="CW8" i="15"/>
  <c r="CW9" i="15" s="1"/>
  <c r="BN25" i="2"/>
  <c r="J54" i="22" s="1"/>
  <c r="K106" i="1"/>
  <c r="V8" i="15"/>
  <c r="V9" i="15" s="1"/>
  <c r="BW27" i="1"/>
  <c r="BW26" i="1" s="1"/>
  <c r="CC12" i="9"/>
  <c r="Y13" i="22" s="1"/>
  <c r="CX8" i="15"/>
  <c r="CX9" i="15" s="1"/>
  <c r="BC29" i="15"/>
  <c r="BC30" i="15" s="1"/>
  <c r="AL138" i="1"/>
  <c r="AL151" i="1" s="1"/>
  <c r="AL152" i="1" s="1"/>
  <c r="CO145" i="1"/>
  <c r="BI10" i="15"/>
  <c r="CG12" i="2"/>
  <c r="AC41" i="22" s="1"/>
  <c r="K32" i="9"/>
  <c r="EA18" i="7"/>
  <c r="BK43" i="2"/>
  <c r="G73" i="22" s="1"/>
  <c r="DC85" i="1"/>
  <c r="CD88" i="1"/>
  <c r="CD89" i="1" s="1"/>
  <c r="AK138" i="1"/>
  <c r="AK151" i="1" s="1"/>
  <c r="AK152" i="1" s="1"/>
  <c r="BX29" i="1"/>
  <c r="X6" i="22"/>
  <c r="BP63" i="1"/>
  <c r="BP41" i="2" s="1"/>
  <c r="L71" i="22" s="1"/>
  <c r="CH30" i="9"/>
  <c r="AD30" i="22" s="1"/>
  <c r="U17" i="2"/>
  <c r="Y30" i="15"/>
  <c r="K23" i="9"/>
  <c r="CS11" i="1"/>
  <c r="CS5" i="1" s="1"/>
  <c r="CS4" i="1" s="1"/>
  <c r="CS48" i="1" s="1"/>
  <c r="CV52" i="1"/>
  <c r="K77" i="2"/>
  <c r="BK22" i="2"/>
  <c r="G51" i="22" s="1"/>
  <c r="K3" i="9"/>
  <c r="K52" i="1"/>
  <c r="K122" i="1" s="1"/>
  <c r="BD27" i="1"/>
  <c r="BD26" i="1" s="1"/>
  <c r="CG70" i="1"/>
  <c r="CG80" i="1" s="1"/>
  <c r="CG81" i="1" s="1"/>
  <c r="CQ60" i="1"/>
  <c r="CQ63" i="1" s="1"/>
  <c r="K83" i="2"/>
  <c r="K51" i="9"/>
  <c r="CW61" i="2"/>
  <c r="CV120" i="1"/>
  <c r="CJ17" i="2"/>
  <c r="AF46" i="22" s="1"/>
  <c r="AQ16" i="2"/>
  <c r="AQ37" i="2" s="1"/>
  <c r="Z52" i="1"/>
  <c r="DD85" i="2"/>
  <c r="DD84" i="2" s="1"/>
  <c r="CX60" i="1"/>
  <c r="CX62" i="1" s="1"/>
  <c r="AH138" i="1"/>
  <c r="AH151" i="1" s="1"/>
  <c r="BQ62" i="1"/>
  <c r="AC42" i="22"/>
  <c r="CB52" i="1"/>
  <c r="BN144" i="1"/>
  <c r="J27" i="2"/>
  <c r="CQ140" i="1"/>
  <c r="K3" i="2"/>
  <c r="K45" i="9"/>
  <c r="BW63" i="1"/>
  <c r="BW41" i="2" s="1"/>
  <c r="S71" i="22" s="1"/>
  <c r="CI122" i="1"/>
  <c r="CW104" i="1"/>
  <c r="AK48" i="1"/>
  <c r="AG86" i="2"/>
  <c r="AG87" i="2" s="1"/>
  <c r="K3" i="1"/>
  <c r="J33" i="22"/>
  <c r="BN10" i="2"/>
  <c r="J39" i="22" s="1"/>
  <c r="DD121" i="1"/>
  <c r="DD52" i="1"/>
  <c r="DD57" i="1"/>
  <c r="CW26" i="9"/>
  <c r="AS27" i="22" s="1"/>
  <c r="CO21" i="9"/>
  <c r="AK22" i="22" s="1"/>
  <c r="CO29" i="9"/>
  <c r="AM16" i="2"/>
  <c r="AM19" i="2"/>
  <c r="AM43" i="2"/>
  <c r="AM22" i="2"/>
  <c r="BN71" i="2"/>
  <c r="J80" i="22" s="1"/>
  <c r="J34" i="22"/>
  <c r="BN61" i="1"/>
  <c r="BN65" i="1" s="1"/>
  <c r="AN6" i="15"/>
  <c r="BP48" i="1"/>
  <c r="S61" i="22"/>
  <c r="BX32" i="2"/>
  <c r="T61" i="22" s="1"/>
  <c r="AG62" i="2"/>
  <c r="BK53" i="2"/>
  <c r="BK55" i="2" s="1"/>
  <c r="BK70" i="2" s="1"/>
  <c r="G79" i="22" s="1"/>
  <c r="H19" i="2"/>
  <c r="H16" i="2"/>
  <c r="H37" i="2" s="1"/>
  <c r="H39" i="2" s="1"/>
  <c r="H45" i="2" s="1"/>
  <c r="I51" i="2"/>
  <c r="H51" i="2"/>
  <c r="BT47" i="9"/>
  <c r="BW6" i="9"/>
  <c r="S7" i="22" s="1"/>
  <c r="BZ30" i="15"/>
  <c r="AF14" i="15"/>
  <c r="X53" i="2"/>
  <c r="X55" i="2" s="1"/>
  <c r="X70" i="2" s="1"/>
  <c r="CP60" i="2"/>
  <c r="CP59" i="2" s="1"/>
  <c r="BC89" i="1"/>
  <c r="S6" i="22"/>
  <c r="H53" i="2"/>
  <c r="H55" i="2" s="1"/>
  <c r="H70" i="2" s="1"/>
  <c r="AN89" i="1"/>
  <c r="AN29" i="15"/>
  <c r="AP30" i="15" s="1"/>
  <c r="AH38" i="2"/>
  <c r="AI38" i="2" s="1"/>
  <c r="CV36" i="9"/>
  <c r="CV43" i="9" s="1"/>
  <c r="CV61" i="1"/>
  <c r="CV65" i="1" s="1"/>
  <c r="AZ53" i="2"/>
  <c r="AZ55" i="2" s="1"/>
  <c r="AZ57" i="2" s="1"/>
  <c r="AZ16" i="2"/>
  <c r="AZ37" i="2" s="1"/>
  <c r="R5" i="7"/>
  <c r="M3" i="7"/>
  <c r="M27" i="11" s="1"/>
  <c r="CL146" i="1"/>
  <c r="CL145" i="1" s="1"/>
  <c r="CL50" i="1"/>
  <c r="CL53" i="1" s="1"/>
  <c r="CM28" i="1"/>
  <c r="CN10" i="15" s="1"/>
  <c r="CL27" i="1"/>
  <c r="CL26" i="1" s="1"/>
  <c r="AW78" i="2"/>
  <c r="P101" i="1"/>
  <c r="P98" i="1"/>
  <c r="F29" i="15"/>
  <c r="AL57" i="22"/>
  <c r="BU47" i="9"/>
  <c r="BS88" i="2"/>
  <c r="AT20" i="2"/>
  <c r="C51" i="2"/>
  <c r="CD11" i="1"/>
  <c r="CD141" i="1" s="1"/>
  <c r="DA28" i="1"/>
  <c r="DA50" i="1" s="1"/>
  <c r="DB29" i="1"/>
  <c r="CB75" i="1"/>
  <c r="CB76" i="1" s="1"/>
  <c r="CB88" i="1"/>
  <c r="CB89" i="1" s="1"/>
  <c r="BL53" i="2"/>
  <c r="BL55" i="2" s="1"/>
  <c r="BL57" i="2" s="1"/>
  <c r="H40" i="22"/>
  <c r="CU85" i="1"/>
  <c r="CU104" i="1"/>
  <c r="O53" i="1"/>
  <c r="O27" i="2"/>
  <c r="CJ113" i="1"/>
  <c r="CJ114" i="1" s="1"/>
  <c r="CJ116" i="1" s="1"/>
  <c r="CJ118" i="1" s="1"/>
  <c r="AL63" i="1"/>
  <c r="AL41" i="2" s="1"/>
  <c r="AL62" i="1"/>
  <c r="CS8" i="15"/>
  <c r="CS9" i="15" s="1"/>
  <c r="CR143" i="1"/>
  <c r="CO14" i="9"/>
  <c r="CO34" i="9" s="1"/>
  <c r="CM7" i="2"/>
  <c r="AI36" i="22" s="1"/>
  <c r="AH36" i="22"/>
  <c r="CL42" i="9"/>
  <c r="CM42" i="9" s="1"/>
  <c r="AG16" i="2"/>
  <c r="AG37" i="2" s="1"/>
  <c r="AG39" i="2" s="1"/>
  <c r="AG63" i="2" s="1"/>
  <c r="AG22" i="2"/>
  <c r="AG53" i="2"/>
  <c r="AG55" i="2" s="1"/>
  <c r="AG57" i="2" s="1"/>
  <c r="AG19" i="2"/>
  <c r="S53" i="2"/>
  <c r="S55" i="2" s="1"/>
  <c r="S70" i="2" s="1"/>
  <c r="S16" i="2"/>
  <c r="S37" i="2" s="1"/>
  <c r="S39" i="2" s="1"/>
  <c r="S43" i="2"/>
  <c r="S19" i="2"/>
  <c r="S22" i="2"/>
  <c r="AO30" i="9"/>
  <c r="AO29" i="9"/>
  <c r="AY41" i="9"/>
  <c r="AU35" i="9"/>
  <c r="AU37" i="9" s="1"/>
  <c r="AU58" i="9" s="1"/>
  <c r="D95" i="1"/>
  <c r="C19" i="2"/>
  <c r="CX101" i="1"/>
  <c r="CX98" i="1"/>
  <c r="BM11" i="2"/>
  <c r="BN11" i="2" s="1"/>
  <c r="I33" i="22"/>
  <c r="BM10" i="2"/>
  <c r="I39" i="22" s="1"/>
  <c r="CU98" i="1"/>
  <c r="AK91" i="1"/>
  <c r="AL93" i="1" s="1"/>
  <c r="BX8" i="9"/>
  <c r="T9" i="22" s="1"/>
  <c r="T5" i="22"/>
  <c r="AP30" i="9"/>
  <c r="AP29" i="9"/>
  <c r="CV57" i="1"/>
  <c r="P50" i="1"/>
  <c r="P53" i="1" s="1"/>
  <c r="BE53" i="1"/>
  <c r="BE55" i="1" s="1"/>
  <c r="AG43" i="2"/>
  <c r="C16" i="2"/>
  <c r="C37" i="2" s="1"/>
  <c r="C39" i="2" s="1"/>
  <c r="C63" i="2" s="1"/>
  <c r="AM53" i="2"/>
  <c r="AM55" i="2" s="1"/>
  <c r="AM70" i="2" s="1"/>
  <c r="X19" i="2"/>
  <c r="X43" i="2"/>
  <c r="BW146" i="1"/>
  <c r="BW145" i="1" s="1"/>
  <c r="BW10" i="15"/>
  <c r="BI70" i="1"/>
  <c r="BI80" i="1" s="1"/>
  <c r="E41" i="22"/>
  <c r="CE121" i="1"/>
  <c r="CE120" i="1"/>
  <c r="CE57" i="1"/>
  <c r="CE52" i="1"/>
  <c r="AY35" i="9"/>
  <c r="P27" i="1"/>
  <c r="P26" i="1" s="1"/>
  <c r="CC147" i="1"/>
  <c r="AD30" i="15"/>
  <c r="T19" i="2"/>
  <c r="BS147" i="1"/>
  <c r="T53" i="2"/>
  <c r="T55" i="2" s="1"/>
  <c r="T57" i="2" s="1"/>
  <c r="AJ144" i="1"/>
  <c r="Q10" i="15"/>
  <c r="AR22" i="2"/>
  <c r="AR19" i="2"/>
  <c r="AR43" i="2"/>
  <c r="AR16" i="2"/>
  <c r="AR37" i="2" s="1"/>
  <c r="AR53" i="2"/>
  <c r="AR55" i="2" s="1"/>
  <c r="AR70" i="2" s="1"/>
  <c r="I3" i="1"/>
  <c r="I3" i="2"/>
  <c r="I77" i="2"/>
  <c r="I52" i="2"/>
  <c r="I25" i="1"/>
  <c r="L8" i="15"/>
  <c r="L9" i="15" s="1"/>
  <c r="CA54" i="1"/>
  <c r="J22" i="2"/>
  <c r="J43" i="2"/>
  <c r="J53" i="2"/>
  <c r="J55" i="2" s="1"/>
  <c r="J70" i="2" s="1"/>
  <c r="CV50" i="1"/>
  <c r="CV27" i="2" s="1"/>
  <c r="AR56" i="22" s="1"/>
  <c r="CV146" i="1"/>
  <c r="CV145" i="1" s="1"/>
  <c r="CW28" i="1"/>
  <c r="CX10" i="15" s="1"/>
  <c r="CV27" i="1"/>
  <c r="CV26" i="1" s="1"/>
  <c r="BS68" i="2"/>
  <c r="BS5" i="15" s="1"/>
  <c r="BR5" i="15"/>
  <c r="BR8" i="15" s="1"/>
  <c r="BR9" i="15" s="1"/>
  <c r="AA33" i="22"/>
  <c r="CE10" i="2"/>
  <c r="AA39" i="22" s="1"/>
  <c r="P10" i="15"/>
  <c r="N72" i="1"/>
  <c r="I83" i="2"/>
  <c r="E66" i="22"/>
  <c r="CU140" i="1"/>
  <c r="BX85" i="2"/>
  <c r="BX88" i="2" s="1"/>
  <c r="T43" i="2"/>
  <c r="CZ121" i="1"/>
  <c r="CA55" i="1"/>
  <c r="CX85" i="1"/>
  <c r="L138" i="1"/>
  <c r="L151" i="1" s="1"/>
  <c r="AQ138" i="1"/>
  <c r="AQ151" i="1" s="1"/>
  <c r="CL59" i="2"/>
  <c r="AJ95" i="1"/>
  <c r="DQ18" i="7"/>
  <c r="BO48" i="1"/>
  <c r="Z15" i="22"/>
  <c r="AA30" i="15"/>
  <c r="K69" i="1"/>
  <c r="K71" i="1" s="1"/>
  <c r="N30" i="15"/>
  <c r="CZ26" i="1"/>
  <c r="AF138" i="1"/>
  <c r="AF151" i="1" s="1"/>
  <c r="AF152" i="1" s="1"/>
  <c r="C151" i="1"/>
  <c r="C154" i="1" s="1"/>
  <c r="B151" i="1"/>
  <c r="B152" i="1" s="1"/>
  <c r="AN59" i="2"/>
  <c r="BG53" i="1"/>
  <c r="BG122" i="1" s="1"/>
  <c r="CL18" i="9"/>
  <c r="AH19" i="22" s="1"/>
  <c r="BZ48" i="1"/>
  <c r="BW11" i="9"/>
  <c r="S12" i="22" s="1"/>
  <c r="DD26" i="1"/>
  <c r="DG21" i="2"/>
  <c r="BC50" i="22" s="1"/>
  <c r="DV18" i="7"/>
  <c r="BS19" i="1"/>
  <c r="BT8" i="15" s="1"/>
  <c r="BT9" i="15" s="1"/>
  <c r="CD8" i="15"/>
  <c r="CD9" i="15" s="1"/>
  <c r="F8" i="15"/>
  <c r="F9" i="15" s="1"/>
  <c r="BA138" i="1"/>
  <c r="BA151" i="1" s="1"/>
  <c r="CT145" i="1"/>
  <c r="AE93" i="1"/>
  <c r="BH16" i="2"/>
  <c r="AA43" i="2"/>
  <c r="AY23" i="2"/>
  <c r="C52" i="22" s="1"/>
  <c r="AD72" i="1"/>
  <c r="AZ115" i="1"/>
  <c r="AZ117" i="1" s="1"/>
  <c r="Y37" i="2"/>
  <c r="Y39" i="2" s="1"/>
  <c r="Y45" i="2" s="1"/>
  <c r="CA48" i="1"/>
  <c r="J48" i="1"/>
  <c r="CR104" i="1"/>
  <c r="CE26" i="1"/>
  <c r="AD48" i="1"/>
  <c r="BZ138" i="1"/>
  <c r="BZ151" i="1" s="1"/>
  <c r="BZ154" i="1" s="1"/>
  <c r="BZ155" i="1" s="1"/>
  <c r="M48" i="1"/>
  <c r="I48" i="1"/>
  <c r="AT59" i="2"/>
  <c r="BG104" i="1"/>
  <c r="BG98" i="1"/>
  <c r="AQ57" i="1"/>
  <c r="AR78" i="2"/>
  <c r="AR81" i="2" s="1"/>
  <c r="DB85" i="1"/>
  <c r="CC21" i="2"/>
  <c r="Y50" i="22" s="1"/>
  <c r="X50" i="22"/>
  <c r="BG85" i="1"/>
  <c r="V48" i="1"/>
  <c r="CG56" i="2"/>
  <c r="CI8" i="15"/>
  <c r="CI9" i="15" s="1"/>
  <c r="CV4" i="2"/>
  <c r="CV10" i="2" s="1"/>
  <c r="AR39" i="22" s="1"/>
  <c r="AP112" i="1"/>
  <c r="AP116" i="1" s="1"/>
  <c r="AP115" i="1"/>
  <c r="AP117" i="1" s="1"/>
  <c r="AE29" i="22"/>
  <c r="CI30" i="9"/>
  <c r="AE30" i="22" s="1"/>
  <c r="CQ89" i="1"/>
  <c r="T37" i="2"/>
  <c r="T39" i="2" s="1"/>
  <c r="BQ138" i="1"/>
  <c r="BQ151" i="1" s="1"/>
  <c r="AF62" i="1"/>
  <c r="AF63" i="1"/>
  <c r="AF41" i="2" s="1"/>
  <c r="DB98" i="1"/>
  <c r="S13" i="22"/>
  <c r="BX12" i="9"/>
  <c r="T13" i="22" s="1"/>
  <c r="AJ120" i="1"/>
  <c r="E42" i="22"/>
  <c r="BI54" i="2"/>
  <c r="CQ120" i="1"/>
  <c r="CQ121" i="1"/>
  <c r="CQ52" i="1"/>
  <c r="CQ57" i="1"/>
  <c r="N52" i="22"/>
  <c r="BS23" i="2"/>
  <c r="O52" i="22" s="1"/>
  <c r="BH101" i="1"/>
  <c r="CM85" i="1"/>
  <c r="CM101" i="1"/>
  <c r="T5" i="7"/>
  <c r="O3" i="7"/>
  <c r="O27" i="11" s="1"/>
  <c r="BE85" i="1"/>
  <c r="BE98" i="1"/>
  <c r="BE101" i="1"/>
  <c r="CI104" i="1"/>
  <c r="CI101" i="1"/>
  <c r="CI98" i="1"/>
  <c r="CZ60" i="1"/>
  <c r="CZ62" i="1" s="1"/>
  <c r="CZ140" i="1"/>
  <c r="BN8" i="15"/>
  <c r="BN9" i="15" s="1"/>
  <c r="BN143" i="1"/>
  <c r="BO8" i="15"/>
  <c r="BO9" i="15" s="1"/>
  <c r="X95" i="1"/>
  <c r="X93" i="1"/>
  <c r="DD67" i="1"/>
  <c r="DD65" i="1"/>
  <c r="AR98" i="1"/>
  <c r="AR101" i="1"/>
  <c r="AY98" i="1"/>
  <c r="AY104" i="1"/>
  <c r="AY85" i="1"/>
  <c r="AY101" i="1"/>
  <c r="Q5" i="7"/>
  <c r="V5" i="7" s="1"/>
  <c r="L3" i="7"/>
  <c r="L27" i="11" s="1"/>
  <c r="M30" i="15"/>
  <c r="L30" i="15"/>
  <c r="DC69" i="1"/>
  <c r="DC71" i="1" s="1"/>
  <c r="DC141" i="1"/>
  <c r="AQ81" i="2"/>
  <c r="AT35" i="9"/>
  <c r="AT41" i="9"/>
  <c r="AS5" i="1"/>
  <c r="AS4" i="1" s="1"/>
  <c r="AS48" i="1" s="1"/>
  <c r="CG14" i="9"/>
  <c r="AC15" i="22" s="1"/>
  <c r="BS18" i="7"/>
  <c r="Y76" i="22"/>
  <c r="CC65" i="2"/>
  <c r="E55" i="22"/>
  <c r="BI61" i="2"/>
  <c r="BI59" i="2" s="1"/>
  <c r="AZ80" i="22"/>
  <c r="DD113" i="1"/>
  <c r="DD115" i="1" s="1"/>
  <c r="DD117" i="1" s="1"/>
  <c r="AI43" i="22"/>
  <c r="CM61" i="2"/>
  <c r="DB75" i="1"/>
  <c r="DB76" i="1" s="1"/>
  <c r="Z61" i="22"/>
  <c r="AF85" i="1"/>
  <c r="AF98" i="1"/>
  <c r="AF101" i="1"/>
  <c r="AF104" i="1"/>
  <c r="AT29" i="9"/>
  <c r="BM75" i="1"/>
  <c r="BN75" i="1" s="1"/>
  <c r="BM11" i="1"/>
  <c r="BN11" i="1" s="1"/>
  <c r="T53" i="22"/>
  <c r="BX60" i="2"/>
  <c r="AY70" i="1"/>
  <c r="AY80" i="1" s="1"/>
  <c r="AY81" i="1" s="1"/>
  <c r="AU91" i="1"/>
  <c r="AV93" i="1" s="1"/>
  <c r="AU93" i="1"/>
  <c r="BT48" i="1"/>
  <c r="BJ86" i="2"/>
  <c r="BJ87" i="2" s="1"/>
  <c r="CW5" i="2"/>
  <c r="AS34" i="22" s="1"/>
  <c r="AR34" i="22"/>
  <c r="AR104" i="1"/>
  <c r="E48" i="1"/>
  <c r="AM138" i="1"/>
  <c r="AM151" i="1" s="1"/>
  <c r="CX140" i="1"/>
  <c r="E55" i="1"/>
  <c r="AG48" i="1"/>
  <c r="AF19" i="2"/>
  <c r="AF43" i="2"/>
  <c r="AJ11" i="2"/>
  <c r="AJ53" i="2" s="1"/>
  <c r="AJ55" i="2" s="1"/>
  <c r="AF16" i="2"/>
  <c r="AF37" i="2" s="1"/>
  <c r="BH98" i="1"/>
  <c r="BH104" i="1"/>
  <c r="AY87" i="1"/>
  <c r="AY29" i="15" s="1"/>
  <c r="AY147" i="1"/>
  <c r="BE104" i="1"/>
  <c r="BR59" i="2"/>
  <c r="E76" i="22"/>
  <c r="BD148" i="1"/>
  <c r="W138" i="1"/>
  <c r="W151" i="1" s="1"/>
  <c r="W152" i="1" s="1"/>
  <c r="AP8" i="15"/>
  <c r="AP9" i="15" s="1"/>
  <c r="P5" i="7"/>
  <c r="P3" i="7" s="1"/>
  <c r="P3" i="11" s="1"/>
  <c r="Y93" i="1"/>
  <c r="U143" i="1"/>
  <c r="AT143" i="1"/>
  <c r="AT8" i="15"/>
  <c r="AT9" i="15" s="1"/>
  <c r="T72" i="22"/>
  <c r="BX64" i="2"/>
  <c r="CC8" i="2"/>
  <c r="Y37" i="22" s="1"/>
  <c r="F59" i="2"/>
  <c r="CI85" i="1"/>
  <c r="U98" i="1"/>
  <c r="U101" i="1"/>
  <c r="AP35" i="9"/>
  <c r="AP37" i="9" s="1"/>
  <c r="AP58" i="9" s="1"/>
  <c r="AJ30" i="9"/>
  <c r="AJ29" i="9"/>
  <c r="DA20" i="9"/>
  <c r="AW21" i="22" s="1"/>
  <c r="CM98" i="1"/>
  <c r="AT89" i="1"/>
  <c r="DA140" i="1"/>
  <c r="DA138" i="1" s="1"/>
  <c r="DA60" i="1"/>
  <c r="W48" i="1"/>
  <c r="BF30" i="15"/>
  <c r="BW120" i="1"/>
  <c r="DD89" i="1"/>
  <c r="BM101" i="1"/>
  <c r="O151" i="1"/>
  <c r="O154" i="1" s="1"/>
  <c r="G138" i="1"/>
  <c r="G151" i="1" s="1"/>
  <c r="BF48" i="1"/>
  <c r="AO95" i="1"/>
  <c r="CE11" i="2"/>
  <c r="AA40" i="22" s="1"/>
  <c r="CB11" i="1"/>
  <c r="BN13" i="9"/>
  <c r="BO13" i="9" s="1"/>
  <c r="BO122" i="1"/>
  <c r="F17" i="2"/>
  <c r="BL16" i="2"/>
  <c r="H45" i="22" s="1"/>
  <c r="CT75" i="1"/>
  <c r="CT76" i="1" s="1"/>
  <c r="BE48" i="1"/>
  <c r="J37" i="2"/>
  <c r="J39" i="2" s="1"/>
  <c r="J45" i="2" s="1"/>
  <c r="J48" i="2" s="1"/>
  <c r="BQ48" i="1"/>
  <c r="CG5" i="2"/>
  <c r="CG4" i="2" s="1"/>
  <c r="CG10" i="2" s="1"/>
  <c r="AC39" i="22" s="1"/>
  <c r="CB6" i="9"/>
  <c r="X7" i="22" s="1"/>
  <c r="AV138" i="1"/>
  <c r="AV151" i="1" s="1"/>
  <c r="AV165" i="1" s="1"/>
  <c r="BI9" i="1"/>
  <c r="CE89" i="1"/>
  <c r="BP138" i="1"/>
  <c r="BP151" i="1" s="1"/>
  <c r="BP152" i="1" s="1"/>
  <c r="AA138" i="1"/>
  <c r="AA151" i="1" s="1"/>
  <c r="AX27" i="1"/>
  <c r="AX26" i="1" s="1"/>
  <c r="AX48" i="1" s="1"/>
  <c r="Y48" i="1"/>
  <c r="AJ140" i="1"/>
  <c r="BI8" i="15"/>
  <c r="BI9" i="15" s="1"/>
  <c r="BI56" i="2"/>
  <c r="BE8" i="15"/>
  <c r="BE9" i="15" s="1"/>
  <c r="DD120" i="1"/>
  <c r="AG63" i="1"/>
  <c r="AG41" i="2" s="1"/>
  <c r="CE17" i="2"/>
  <c r="AA46" i="22" s="1"/>
  <c r="AY57" i="1"/>
  <c r="CY88" i="1"/>
  <c r="CY89" i="1" s="1"/>
  <c r="BL43" i="2"/>
  <c r="H73" i="22" s="1"/>
  <c r="BH59" i="2"/>
  <c r="CT11" i="1"/>
  <c r="BZ72" i="1"/>
  <c r="AH72" i="1"/>
  <c r="P17" i="2"/>
  <c r="BV122" i="1"/>
  <c r="S30" i="15"/>
  <c r="AT144" i="1"/>
  <c r="BT138" i="1"/>
  <c r="BT151" i="1" s="1"/>
  <c r="AG59" i="22"/>
  <c r="AD93" i="1"/>
  <c r="BK138" i="1"/>
  <c r="BK151" i="1" s="1"/>
  <c r="BK152" i="1" s="1"/>
  <c r="K17" i="2"/>
  <c r="T30" i="15"/>
  <c r="AX10" i="15"/>
  <c r="AT36" i="9"/>
  <c r="AT43" i="9" s="1"/>
  <c r="CC5" i="9"/>
  <c r="CC6" i="9" s="1"/>
  <c r="Y7" i="22" s="1"/>
  <c r="CA47" i="9"/>
  <c r="BH8" i="1"/>
  <c r="BH140" i="1" s="1"/>
  <c r="AH54" i="1"/>
  <c r="BH88" i="2"/>
  <c r="BF86" i="2"/>
  <c r="BF87" i="2" s="1"/>
  <c r="AJ60" i="1"/>
  <c r="AJ63" i="1" s="1"/>
  <c r="BI4" i="2"/>
  <c r="BI10" i="2" s="1"/>
  <c r="E39" i="22" s="1"/>
  <c r="CM30" i="2"/>
  <c r="AI59" i="22" s="1"/>
  <c r="BW47" i="9"/>
  <c r="E54" i="1"/>
  <c r="BR92" i="1"/>
  <c r="BR95" i="1" s="1"/>
  <c r="BR91" i="1" s="1"/>
  <c r="BS91" i="1" s="1"/>
  <c r="DB61" i="2"/>
  <c r="R138" i="1"/>
  <c r="R151" i="1" s="1"/>
  <c r="R152" i="1" s="1"/>
  <c r="DL18" i="7"/>
  <c r="AY120" i="1"/>
  <c r="BL22" i="2"/>
  <c r="H51" i="22" s="1"/>
  <c r="AM48" i="1"/>
  <c r="G8" i="15"/>
  <c r="G9" i="15" s="1"/>
  <c r="AU98" i="1"/>
  <c r="AW30" i="15"/>
  <c r="BV48" i="1"/>
  <c r="I53" i="1"/>
  <c r="I27" i="2"/>
  <c r="CO20" i="2"/>
  <c r="AK49" i="22" s="1"/>
  <c r="BL151" i="1"/>
  <c r="BL154" i="1" s="1"/>
  <c r="CA72" i="1"/>
  <c r="V138" i="1"/>
  <c r="V151" i="1" s="1"/>
  <c r="V152" i="1" s="1"/>
  <c r="BW121" i="1"/>
  <c r="AC16" i="2"/>
  <c r="AC37" i="2" s="1"/>
  <c r="AC39" i="2" s="1"/>
  <c r="AC45" i="2" s="1"/>
  <c r="CV89" i="1"/>
  <c r="BH86" i="2"/>
  <c r="BH87" i="2" s="1"/>
  <c r="BJ48" i="1"/>
  <c r="AX50" i="1"/>
  <c r="AD138" i="1"/>
  <c r="AD151" i="1" s="1"/>
  <c r="BA48" i="1"/>
  <c r="DB104" i="1"/>
  <c r="CS89" i="1"/>
  <c r="X138" i="1"/>
  <c r="X151" i="1" s="1"/>
  <c r="X154" i="1" s="1"/>
  <c r="CH88" i="1"/>
  <c r="AS29" i="15"/>
  <c r="AU30" i="15" s="1"/>
  <c r="DA56" i="2"/>
  <c r="AS53" i="1"/>
  <c r="AS122" i="1" s="1"/>
  <c r="AG138" i="1"/>
  <c r="AG151" i="1" s="1"/>
  <c r="AG165" i="1" s="1"/>
  <c r="BH10" i="2"/>
  <c r="X72" i="1"/>
  <c r="BM59" i="2"/>
  <c r="BU48" i="1"/>
  <c r="CQ56" i="2"/>
  <c r="AE17" i="2"/>
  <c r="BL19" i="2"/>
  <c r="H48" i="22" s="1"/>
  <c r="BV138" i="1"/>
  <c r="BV151" i="1" s="1"/>
  <c r="BV152" i="1" s="1"/>
  <c r="BG48" i="1"/>
  <c r="CS140" i="1"/>
  <c r="AA10" i="15"/>
  <c r="CN75" i="1"/>
  <c r="CN76" i="1" s="1"/>
  <c r="CN88" i="1"/>
  <c r="CN89" i="1" s="1"/>
  <c r="CN11" i="1"/>
  <c r="B26" i="20"/>
  <c r="CF75" i="1"/>
  <c r="CF76" i="1" s="1"/>
  <c r="CF88" i="1"/>
  <c r="CF89" i="1" s="1"/>
  <c r="CL88" i="1"/>
  <c r="CL89" i="1" s="1"/>
  <c r="DG18" i="7"/>
  <c r="BK101" i="1"/>
  <c r="BK85" i="1"/>
  <c r="AT57" i="1"/>
  <c r="AT52" i="1"/>
  <c r="AT121" i="1"/>
  <c r="CM8" i="1"/>
  <c r="CL140" i="1"/>
  <c r="CL60" i="1"/>
  <c r="AO75" i="1"/>
  <c r="AO76" i="1" s="1"/>
  <c r="AN76" i="1"/>
  <c r="G27" i="2"/>
  <c r="K27" i="2"/>
  <c r="BD23" i="2"/>
  <c r="D52" i="22" s="1"/>
  <c r="BC17" i="2"/>
  <c r="BD17" i="2" s="1"/>
  <c r="D46" i="22" s="1"/>
  <c r="H49" i="1"/>
  <c r="H54" i="1"/>
  <c r="H55" i="1"/>
  <c r="BP57" i="1"/>
  <c r="BQ78" i="2"/>
  <c r="BQ81" i="2" s="1"/>
  <c r="BM17" i="2"/>
  <c r="I46" i="22" s="1"/>
  <c r="CK140" i="1"/>
  <c r="CL20" i="9"/>
  <c r="AH21" i="22" s="1"/>
  <c r="BR11" i="2"/>
  <c r="BR10" i="2"/>
  <c r="N39" i="22" s="1"/>
  <c r="AD42" i="22"/>
  <c r="CH54" i="2"/>
  <c r="BX83" i="1"/>
  <c r="BX147" i="1"/>
  <c r="BS121" i="1"/>
  <c r="BS57" i="1"/>
  <c r="W49" i="1"/>
  <c r="W55" i="1"/>
  <c r="W54" i="1"/>
  <c r="DG44" i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DA69" i="1"/>
  <c r="DA5" i="1"/>
  <c r="DA4" i="1" s="1"/>
  <c r="DB11" i="1"/>
  <c r="DB141" i="1" s="1"/>
  <c r="AH63" i="1"/>
  <c r="AH41" i="2" s="1"/>
  <c r="AH62" i="1"/>
  <c r="BN32" i="2"/>
  <c r="J61" i="22" s="1"/>
  <c r="I43" i="2"/>
  <c r="I16" i="2"/>
  <c r="I37" i="2" s="1"/>
  <c r="I39" i="2" s="1"/>
  <c r="J51" i="2"/>
  <c r="K11" i="2"/>
  <c r="K19" i="2" s="1"/>
  <c r="I19" i="2"/>
  <c r="I22" i="2"/>
  <c r="I53" i="2"/>
  <c r="I55" i="2" s="1"/>
  <c r="I70" i="2" s="1"/>
  <c r="D66" i="22"/>
  <c r="BD160" i="1"/>
  <c r="AK16" i="2"/>
  <c r="AK53" i="2"/>
  <c r="AK55" i="2" s="1"/>
  <c r="AK57" i="2" s="1"/>
  <c r="CZ20" i="9"/>
  <c r="AV21" i="22" s="1"/>
  <c r="CY60" i="1"/>
  <c r="CY140" i="1"/>
  <c r="Z41" i="22"/>
  <c r="AB19" i="2"/>
  <c r="AC51" i="2"/>
  <c r="AB16" i="2"/>
  <c r="AB37" i="2" s="1"/>
  <c r="AB39" i="2" s="1"/>
  <c r="AB63" i="2" s="1"/>
  <c r="AB22" i="2"/>
  <c r="CC57" i="1"/>
  <c r="CC52" i="1"/>
  <c r="CC121" i="1"/>
  <c r="AK25" i="2"/>
  <c r="AJ15" i="15"/>
  <c r="AK14" i="15" s="1"/>
  <c r="AJ25" i="2"/>
  <c r="AH101" i="1"/>
  <c r="AH104" i="1"/>
  <c r="AH98" i="1"/>
  <c r="AH85" i="1"/>
  <c r="AB48" i="1"/>
  <c r="CT20" i="9"/>
  <c r="AP21" i="22" s="1"/>
  <c r="CH87" i="1"/>
  <c r="CH147" i="1"/>
  <c r="CB56" i="2"/>
  <c r="K6" i="15"/>
  <c r="AJ139" i="1"/>
  <c r="AH71" i="1"/>
  <c r="AN17" i="2"/>
  <c r="AO17" i="2" s="1"/>
  <c r="AE11" i="2"/>
  <c r="AB51" i="2"/>
  <c r="CR21" i="2"/>
  <c r="AN50" i="22" s="1"/>
  <c r="V6" i="15"/>
  <c r="H122" i="1"/>
  <c r="CV140" i="1"/>
  <c r="AB43" i="2"/>
  <c r="AI4" i="2"/>
  <c r="AJ4" i="2" s="1"/>
  <c r="AI9" i="2"/>
  <c r="AJ5" i="2"/>
  <c r="AI36" i="9"/>
  <c r="AJ36" i="9" s="1"/>
  <c r="AJ43" i="9" s="1"/>
  <c r="AI61" i="1"/>
  <c r="AI65" i="1" s="1"/>
  <c r="BU138" i="1"/>
  <c r="BU151" i="1" s="1"/>
  <c r="BU154" i="1" s="1"/>
  <c r="AD51" i="2"/>
  <c r="CV60" i="1"/>
  <c r="CV63" i="1" s="1"/>
  <c r="AB53" i="2"/>
  <c r="AB55" i="2" s="1"/>
  <c r="AB70" i="2" s="1"/>
  <c r="BG52" i="9"/>
  <c r="C9" i="22"/>
  <c r="CW120" i="1"/>
  <c r="CW121" i="1"/>
  <c r="CW57" i="1"/>
  <c r="AZ30" i="9"/>
  <c r="AZ29" i="9"/>
  <c r="V55" i="1"/>
  <c r="V54" i="1"/>
  <c r="AL52" i="22"/>
  <c r="CP17" i="2"/>
  <c r="AL46" i="22" s="1"/>
  <c r="AT11" i="1"/>
  <c r="AT69" i="1" s="1"/>
  <c r="AU72" i="1" s="1"/>
  <c r="AS69" i="1"/>
  <c r="AS72" i="1" s="1"/>
  <c r="AS141" i="1"/>
  <c r="X42" i="22"/>
  <c r="CC13" i="2"/>
  <c r="Y42" i="22" s="1"/>
  <c r="CB70" i="1"/>
  <c r="CB80" i="1" s="1"/>
  <c r="CB81" i="1" s="1"/>
  <c r="CB54" i="2"/>
  <c r="D50" i="22"/>
  <c r="BD56" i="2"/>
  <c r="BM74" i="1"/>
  <c r="BN73" i="1"/>
  <c r="BN74" i="1" s="1"/>
  <c r="BW56" i="2"/>
  <c r="S50" i="22"/>
  <c r="BX21" i="2"/>
  <c r="BX56" i="2" s="1"/>
  <c r="CZ75" i="1"/>
  <c r="CZ76" i="1" s="1"/>
  <c r="CZ11" i="1"/>
  <c r="CZ141" i="1" s="1"/>
  <c r="CK75" i="1"/>
  <c r="CK76" i="1" s="1"/>
  <c r="CK11" i="1"/>
  <c r="CL6" i="15" s="1"/>
  <c r="CK88" i="1"/>
  <c r="CK89" i="1" s="1"/>
  <c r="CW52" i="1"/>
  <c r="BW17" i="2"/>
  <c r="AP80" i="22"/>
  <c r="CT113" i="1"/>
  <c r="E19" i="2"/>
  <c r="E53" i="2"/>
  <c r="E55" i="2" s="1"/>
  <c r="E70" i="2" s="1"/>
  <c r="E16" i="2"/>
  <c r="E37" i="2" s="1"/>
  <c r="E39" i="2" s="1"/>
  <c r="E63" i="2" s="1"/>
  <c r="E22" i="2"/>
  <c r="DA21" i="9"/>
  <c r="AW22" i="22" s="1"/>
  <c r="DA29" i="9"/>
  <c r="AW18" i="22"/>
  <c r="DA14" i="9"/>
  <c r="DB14" i="9" s="1"/>
  <c r="DA18" i="9"/>
  <c r="AW19" i="22" s="1"/>
  <c r="DA20" i="2"/>
  <c r="AW49" i="22" s="1"/>
  <c r="AA80" i="22"/>
  <c r="CE113" i="1"/>
  <c r="CE115" i="1" s="1"/>
  <c r="CE117" i="1" s="1"/>
  <c r="AO52" i="1"/>
  <c r="AO121" i="1"/>
  <c r="AO57" i="1"/>
  <c r="CG74" i="1"/>
  <c r="CH73" i="1"/>
  <c r="CH74" i="1" s="1"/>
  <c r="BD29" i="9"/>
  <c r="BD30" i="9"/>
  <c r="D30" i="22" s="1"/>
  <c r="BU63" i="1"/>
  <c r="BU41" i="2" s="1"/>
  <c r="Q71" i="22" s="1"/>
  <c r="BT62" i="1"/>
  <c r="D29" i="22"/>
  <c r="H46" i="22"/>
  <c r="BP81" i="2"/>
  <c r="AZ33" i="22"/>
  <c r="W122" i="1"/>
  <c r="BS4" i="2"/>
  <c r="BS10" i="2" s="1"/>
  <c r="O39" i="22" s="1"/>
  <c r="CB12" i="2"/>
  <c r="X41" i="22" s="1"/>
  <c r="AK19" i="2"/>
  <c r="BX10" i="9"/>
  <c r="BX35" i="9" s="1"/>
  <c r="BX37" i="9" s="1"/>
  <c r="BW84" i="1"/>
  <c r="BW85" i="1" s="1"/>
  <c r="S11" i="22"/>
  <c r="AT29" i="15"/>
  <c r="BW25" i="9"/>
  <c r="BF63" i="1"/>
  <c r="BF41" i="2" s="1"/>
  <c r="BF62" i="1"/>
  <c r="CK60" i="1"/>
  <c r="AT12" i="2"/>
  <c r="AT70" i="1" s="1"/>
  <c r="AS16" i="2"/>
  <c r="AS2" i="2" s="1"/>
  <c r="AW138" i="1"/>
  <c r="AW151" i="1" s="1"/>
  <c r="AW152" i="1" s="1"/>
  <c r="BK64" i="1"/>
  <c r="BK65" i="1" s="1"/>
  <c r="BN18" i="7"/>
  <c r="AK43" i="2"/>
  <c r="BF38" i="9"/>
  <c r="BF39" i="9" s="1"/>
  <c r="BF111" i="1"/>
  <c r="BF113" i="1"/>
  <c r="BF114" i="1" s="1"/>
  <c r="S138" i="1"/>
  <c r="S151" i="1" s="1"/>
  <c r="AT95" i="1"/>
  <c r="W61" i="22"/>
  <c r="CA17" i="2"/>
  <c r="W46" i="22" s="1"/>
  <c r="BF22" i="2"/>
  <c r="BF19" i="2"/>
  <c r="BF43" i="2"/>
  <c r="BX8" i="1"/>
  <c r="BW140" i="1"/>
  <c r="CB57" i="1"/>
  <c r="CB121" i="1"/>
  <c r="BM66" i="1"/>
  <c r="BN66" i="1" s="1"/>
  <c r="BM8" i="1"/>
  <c r="CN104" i="1"/>
  <c r="CN101" i="1"/>
  <c r="DE150" i="1"/>
  <c r="CA138" i="1"/>
  <c r="CA151" i="1" s="1"/>
  <c r="CA152" i="1" s="1"/>
  <c r="CN145" i="1"/>
  <c r="BE113" i="1"/>
  <c r="BE114" i="1" s="1"/>
  <c r="BI114" i="1" s="1"/>
  <c r="BE38" i="9"/>
  <c r="BZ63" i="1"/>
  <c r="BZ41" i="2" s="1"/>
  <c r="V71" i="22" s="1"/>
  <c r="U29" i="15"/>
  <c r="U89" i="1"/>
  <c r="T138" i="1"/>
  <c r="T151" i="1" s="1"/>
  <c r="BD83" i="1"/>
  <c r="BD85" i="1" s="1"/>
  <c r="BD147" i="1"/>
  <c r="BW10" i="2"/>
  <c r="S39" i="22" s="1"/>
  <c r="D54" i="1"/>
  <c r="AN50" i="1"/>
  <c r="AO27" i="2" s="1"/>
  <c r="AN146" i="1"/>
  <c r="AN145" i="1" s="1"/>
  <c r="AN10" i="15"/>
  <c r="AN27" i="1"/>
  <c r="AN26" i="1" s="1"/>
  <c r="C47" i="22"/>
  <c r="AY20" i="2"/>
  <c r="C49" i="22" s="1"/>
  <c r="AY56" i="2"/>
  <c r="CZ64" i="1"/>
  <c r="CZ65" i="1" s="1"/>
  <c r="DB18" i="7"/>
  <c r="AO93" i="1"/>
  <c r="AV63" i="1"/>
  <c r="AV41" i="2" s="1"/>
  <c r="AN72" i="1"/>
  <c r="DC122" i="1"/>
  <c r="DC55" i="1"/>
  <c r="AJ87" i="1"/>
  <c r="AJ147" i="1"/>
  <c r="V122" i="1"/>
  <c r="D55" i="1"/>
  <c r="AS17" i="2"/>
  <c r="AT17" i="2" s="1"/>
  <c r="AT32" i="2"/>
  <c r="CQ74" i="1"/>
  <c r="CR73" i="1"/>
  <c r="CR74" i="1" s="1"/>
  <c r="BI100" i="1"/>
  <c r="BI144" i="1"/>
  <c r="N49" i="1"/>
  <c r="N54" i="1"/>
  <c r="N122" i="1"/>
  <c r="CU88" i="1"/>
  <c r="CU89" i="1" s="1"/>
  <c r="CU75" i="1"/>
  <c r="CU76" i="1" s="1"/>
  <c r="CU11" i="1"/>
  <c r="CU141" i="1" s="1"/>
  <c r="U61" i="22"/>
  <c r="BY17" i="2"/>
  <c r="U46" i="22" s="1"/>
  <c r="AP48" i="1"/>
  <c r="G48" i="1"/>
  <c r="CU64" i="1"/>
  <c r="CU65" i="1" s="1"/>
  <c r="CW18" i="7"/>
  <c r="BF16" i="2"/>
  <c r="BF37" i="2" s="1"/>
  <c r="BL113" i="1"/>
  <c r="BL114" i="1" s="1"/>
  <c r="BL111" i="1"/>
  <c r="CR57" i="1"/>
  <c r="CR121" i="1"/>
  <c r="CR52" i="1"/>
  <c r="T95" i="1"/>
  <c r="T93" i="1"/>
  <c r="BP101" i="1"/>
  <c r="BP85" i="1"/>
  <c r="BP98" i="1"/>
  <c r="CC88" i="1"/>
  <c r="CC29" i="15" s="1"/>
  <c r="J122" i="1"/>
  <c r="BF53" i="2"/>
  <c r="BF55" i="2" s="1"/>
  <c r="BF57" i="2" s="1"/>
  <c r="F122" i="1"/>
  <c r="AN141" i="1"/>
  <c r="AN138" i="1" s="1"/>
  <c r="AO11" i="1"/>
  <c r="AP6" i="15" s="1"/>
  <c r="AN5" i="1"/>
  <c r="AN4" i="1" s="1"/>
  <c r="CF61" i="1"/>
  <c r="CF67" i="1" s="1"/>
  <c r="CF4" i="2"/>
  <c r="CF36" i="9"/>
  <c r="CF43" i="9" s="1"/>
  <c r="K5" i="1"/>
  <c r="K4" i="1" s="1"/>
  <c r="K141" i="1"/>
  <c r="BH89" i="1"/>
  <c r="AX63" i="1"/>
  <c r="AX91" i="2" s="1"/>
  <c r="AT75" i="1"/>
  <c r="AT76" i="1" s="1"/>
  <c r="H48" i="1"/>
  <c r="CR85" i="1"/>
  <c r="CR98" i="1"/>
  <c r="AU30" i="9"/>
  <c r="AU29" i="9"/>
  <c r="Y19" i="2"/>
  <c r="Y22" i="2"/>
  <c r="Y53" i="2"/>
  <c r="Y55" i="2" s="1"/>
  <c r="Y57" i="2" s="1"/>
  <c r="CH98" i="1"/>
  <c r="CH101" i="1"/>
  <c r="AN52" i="1"/>
  <c r="AN120" i="1"/>
  <c r="AI57" i="2"/>
  <c r="AI74" i="2" s="1"/>
  <c r="BP30" i="15"/>
  <c r="BF138" i="1"/>
  <c r="BF151" i="1" s="1"/>
  <c r="BG30" i="15"/>
  <c r="BW57" i="1"/>
  <c r="F145" i="1"/>
  <c r="BM98" i="1"/>
  <c r="BM104" i="1"/>
  <c r="AX53" i="22"/>
  <c r="DB25" i="2"/>
  <c r="AX54" i="22" s="1"/>
  <c r="CH85" i="1"/>
  <c r="BM88" i="1"/>
  <c r="BN13" i="1"/>
  <c r="BN88" i="1" s="1"/>
  <c r="BN29" i="15" s="1"/>
  <c r="AO101" i="1"/>
  <c r="CR18" i="7"/>
  <c r="CN64" i="1"/>
  <c r="CN65" i="1" s="1"/>
  <c r="P145" i="1"/>
  <c r="I138" i="1"/>
  <c r="I151" i="1" s="1"/>
  <c r="I154" i="1" s="1"/>
  <c r="Y72" i="1"/>
  <c r="AP138" i="1"/>
  <c r="AP151" i="1" s="1"/>
  <c r="Y43" i="2"/>
  <c r="CU14" i="9"/>
  <c r="CU34" i="9" s="1"/>
  <c r="CU20" i="2"/>
  <c r="AQ49" i="22" s="1"/>
  <c r="CG89" i="1"/>
  <c r="AM27" i="2"/>
  <c r="AM53" i="1"/>
  <c r="AM122" i="1" s="1"/>
  <c r="BB64" i="22"/>
  <c r="AN121" i="1"/>
  <c r="AC151" i="1"/>
  <c r="AC154" i="1" s="1"/>
  <c r="AE145" i="1"/>
  <c r="U85" i="1"/>
  <c r="BS52" i="1"/>
  <c r="D48" i="1"/>
  <c r="CC144" i="1"/>
  <c r="U104" i="1"/>
  <c r="AL37" i="22"/>
  <c r="CR8" i="2"/>
  <c r="AN37" i="22" s="1"/>
  <c r="S5" i="7"/>
  <c r="BL54" i="1"/>
  <c r="CM104" i="1"/>
  <c r="AI70" i="2"/>
  <c r="CC18" i="7"/>
  <c r="O11" i="22"/>
  <c r="BT84" i="1"/>
  <c r="BS11" i="9"/>
  <c r="BV84" i="1"/>
  <c r="BS84" i="1"/>
  <c r="G95" i="1"/>
  <c r="G93" i="1"/>
  <c r="DG35" i="2"/>
  <c r="BC64" i="22" s="1"/>
  <c r="CM111" i="1"/>
  <c r="CL112" i="1"/>
  <c r="CR101" i="1"/>
  <c r="AF22" i="2"/>
  <c r="AF53" i="2"/>
  <c r="AF55" i="2" s="1"/>
  <c r="AY85" i="2"/>
  <c r="AY88" i="2" s="1"/>
  <c r="AQ30" i="15"/>
  <c r="BK30" i="15"/>
  <c r="BE138" i="1"/>
  <c r="BE151" i="1" s="1"/>
  <c r="BG138" i="1"/>
  <c r="BG151" i="1" s="1"/>
  <c r="BG152" i="1" s="1"/>
  <c r="R30" i="15"/>
  <c r="AR138" i="1"/>
  <c r="AR151" i="1" s="1"/>
  <c r="AR152" i="1" s="1"/>
  <c r="BL48" i="1"/>
  <c r="BK48" i="1"/>
  <c r="B48" i="1"/>
  <c r="CS145" i="1"/>
  <c r="AO104" i="1"/>
  <c r="CH104" i="1"/>
  <c r="H72" i="1"/>
  <c r="I32" i="9"/>
  <c r="I3" i="9"/>
  <c r="I130" i="1"/>
  <c r="J76" i="22"/>
  <c r="BN65" i="2"/>
  <c r="BV78" i="2"/>
  <c r="BV81" i="2" s="1"/>
  <c r="BU81" i="2"/>
  <c r="AH27" i="2"/>
  <c r="AG53" i="1"/>
  <c r="BS97" i="1"/>
  <c r="BS142" i="1"/>
  <c r="CG5" i="15"/>
  <c r="CG8" i="15" s="1"/>
  <c r="CG9" i="15" s="1"/>
  <c r="CG92" i="1"/>
  <c r="CE145" i="1"/>
  <c r="BC59" i="2"/>
  <c r="CJ145" i="1"/>
  <c r="Z17" i="2"/>
  <c r="BW43" i="9"/>
  <c r="CH23" i="2"/>
  <c r="AD52" i="22" s="1"/>
  <c r="E122" i="1"/>
  <c r="BR144" i="1"/>
  <c r="BS18" i="1"/>
  <c r="BS144" i="1" s="1"/>
  <c r="CA30" i="15"/>
  <c r="N9" i="22"/>
  <c r="CI95" i="1"/>
  <c r="AU15" i="22"/>
  <c r="CY34" i="9"/>
  <c r="AZ18" i="22"/>
  <c r="DD21" i="9"/>
  <c r="AZ22" i="22" s="1"/>
  <c r="DD18" i="9"/>
  <c r="AZ19" i="22" s="1"/>
  <c r="DD29" i="9"/>
  <c r="DD20" i="2"/>
  <c r="AZ49" i="22" s="1"/>
  <c r="DD14" i="9"/>
  <c r="AJ18" i="22"/>
  <c r="CN29" i="9"/>
  <c r="CN18" i="9"/>
  <c r="AJ19" i="22" s="1"/>
  <c r="CN21" i="9"/>
  <c r="CR17" i="9"/>
  <c r="CR20" i="2" s="1"/>
  <c r="AN49" i="22" s="1"/>
  <c r="CN20" i="2"/>
  <c r="AJ49" i="22" s="1"/>
  <c r="CN14" i="9"/>
  <c r="C15" i="22"/>
  <c r="AY34" i="9"/>
  <c r="AY39" i="9" s="1"/>
  <c r="BX14" i="15"/>
  <c r="BT14" i="15"/>
  <c r="BS139" i="1"/>
  <c r="BS51" i="1"/>
  <c r="BT25" i="2"/>
  <c r="P54" i="22" s="1"/>
  <c r="D138" i="1"/>
  <c r="D151" i="1" s="1"/>
  <c r="CN54" i="1"/>
  <c r="CN55" i="1"/>
  <c r="CN122" i="1"/>
  <c r="BW111" i="1"/>
  <c r="Y16" i="22"/>
  <c r="CC16" i="9"/>
  <c r="Y17" i="22" s="1"/>
  <c r="AF18" i="22"/>
  <c r="CJ21" i="9"/>
  <c r="AF22" i="22" s="1"/>
  <c r="CJ29" i="9"/>
  <c r="CJ14" i="9"/>
  <c r="CJ18" i="9"/>
  <c r="AF19" i="22" s="1"/>
  <c r="CJ20" i="2"/>
  <c r="AF49" i="22" s="1"/>
  <c r="AX20" i="22"/>
  <c r="DB20" i="9"/>
  <c r="AX21" i="22" s="1"/>
  <c r="CK101" i="1"/>
  <c r="CK98" i="1"/>
  <c r="CK104" i="1"/>
  <c r="CK85" i="1"/>
  <c r="BI73" i="1"/>
  <c r="BI74" i="1" s="1"/>
  <c r="BH74" i="1"/>
  <c r="BP111" i="1"/>
  <c r="BP38" i="9"/>
  <c r="BP39" i="9" s="1"/>
  <c r="BP113" i="1"/>
  <c r="BP114" i="1" s="1"/>
  <c r="AY29" i="22"/>
  <c r="DC30" i="9"/>
  <c r="AY30" i="22" s="1"/>
  <c r="AV15" i="22"/>
  <c r="CZ34" i="9"/>
  <c r="BU38" i="9"/>
  <c r="BU39" i="9" s="1"/>
  <c r="BU113" i="1"/>
  <c r="BU114" i="1" s="1"/>
  <c r="BU111" i="1"/>
  <c r="I9" i="22"/>
  <c r="AR30" i="15"/>
  <c r="BG72" i="1"/>
  <c r="BG71" i="1"/>
  <c r="E14" i="22"/>
  <c r="BJ13" i="9"/>
  <c r="BD8" i="15"/>
  <c r="BD9" i="15" s="1"/>
  <c r="AZ9" i="15"/>
  <c r="CB28" i="1"/>
  <c r="CC29" i="1"/>
  <c r="C23" i="11"/>
  <c r="CV5" i="11" s="1"/>
  <c r="D21" i="11"/>
  <c r="D15" i="22"/>
  <c r="BD34" i="9"/>
  <c r="BD39" i="9" s="1"/>
  <c r="BZ111" i="1"/>
  <c r="BZ113" i="1"/>
  <c r="BZ114" i="1" s="1"/>
  <c r="Y26" i="22"/>
  <c r="AF30" i="15"/>
  <c r="AG30" i="15"/>
  <c r="S53" i="1"/>
  <c r="S27" i="2"/>
  <c r="CP101" i="1"/>
  <c r="CP104" i="1"/>
  <c r="CP85" i="1"/>
  <c r="CP98" i="1"/>
  <c r="J151" i="1"/>
  <c r="CG141" i="1"/>
  <c r="CG138" i="1" s="1"/>
  <c r="CG69" i="1"/>
  <c r="CH11" i="1"/>
  <c r="CG5" i="1"/>
  <c r="CG4" i="1" s="1"/>
  <c r="AY149" i="1"/>
  <c r="AZ30" i="22"/>
  <c r="DD31" i="9"/>
  <c r="BS40" i="9"/>
  <c r="BS41" i="9" s="1"/>
  <c r="BO113" i="1"/>
  <c r="BO114" i="1" s="1"/>
  <c r="BS114" i="1" s="1"/>
  <c r="BO111" i="1"/>
  <c r="BO38" i="9"/>
  <c r="CI75" i="1"/>
  <c r="CI76" i="1" s="1"/>
  <c r="CI11" i="1"/>
  <c r="CI88" i="1"/>
  <c r="CI89" i="1" s="1"/>
  <c r="O5" i="22"/>
  <c r="BS8" i="9"/>
  <c r="AS16" i="22"/>
  <c r="CW16" i="9"/>
  <c r="AS17" i="22" s="1"/>
  <c r="AO18" i="22"/>
  <c r="CS18" i="9"/>
  <c r="AO19" i="22" s="1"/>
  <c r="CS21" i="9"/>
  <c r="CS29" i="9"/>
  <c r="CW17" i="9"/>
  <c r="CW20" i="2" s="1"/>
  <c r="AS49" i="22" s="1"/>
  <c r="CS20" i="2"/>
  <c r="AO49" i="22" s="1"/>
  <c r="CS14" i="9"/>
  <c r="CD40" i="9"/>
  <c r="CD38" i="9" s="1"/>
  <c r="CH35" i="9"/>
  <c r="CD35" i="9"/>
  <c r="CD37" i="9" s="1"/>
  <c r="BR121" i="1"/>
  <c r="BR57" i="1"/>
  <c r="BR120" i="1"/>
  <c r="BR52" i="1"/>
  <c r="AJ27" i="22"/>
  <c r="CO18" i="9"/>
  <c r="AK19" i="22" s="1"/>
  <c r="O13" i="22"/>
  <c r="BS13" i="9"/>
  <c r="I18" i="22"/>
  <c r="BM21" i="9"/>
  <c r="BN17" i="9"/>
  <c r="BM20" i="2"/>
  <c r="I49" i="22" s="1"/>
  <c r="BM14" i="9"/>
  <c r="J5" i="22"/>
  <c r="BN8" i="9"/>
  <c r="BU30" i="15"/>
  <c r="BV30" i="15"/>
  <c r="AB30" i="15"/>
  <c r="AC30" i="15"/>
  <c r="BA53" i="1"/>
  <c r="BB27" i="2"/>
  <c r="AI146" i="1"/>
  <c r="AI145" i="1" s="1"/>
  <c r="AI10" i="15"/>
  <c r="AI50" i="1"/>
  <c r="AJ28" i="1"/>
  <c r="AO10" i="15" s="1"/>
  <c r="AI27" i="1"/>
  <c r="AI26" i="1" s="1"/>
  <c r="BX143" i="1"/>
  <c r="BY8" i="15"/>
  <c r="BY9" i="15" s="1"/>
  <c r="AF29" i="9"/>
  <c r="AF30" i="9"/>
  <c r="CR87" i="1"/>
  <c r="CR89" i="1" s="1"/>
  <c r="CR147" i="1"/>
  <c r="CR120" i="1"/>
  <c r="P29" i="15"/>
  <c r="P89" i="1"/>
  <c r="BA28" i="22"/>
  <c r="AT22" i="22"/>
  <c r="I6" i="22"/>
  <c r="BM47" i="9"/>
  <c r="BM6" i="9"/>
  <c r="I7" i="22" s="1"/>
  <c r="BK47" i="9"/>
  <c r="BL47" i="9"/>
  <c r="BJ47" i="9"/>
  <c r="BN5" i="9"/>
  <c r="AF35" i="9"/>
  <c r="AJ35" i="9"/>
  <c r="AJ41" i="9"/>
  <c r="AO83" i="1"/>
  <c r="AO85" i="1" s="1"/>
  <c r="AO120" i="1"/>
  <c r="AO147" i="1"/>
  <c r="BE30" i="9"/>
  <c r="BE29" i="9"/>
  <c r="BY112" i="1"/>
  <c r="CZ53" i="1"/>
  <c r="CZ85" i="2"/>
  <c r="CZ84" i="2" s="1"/>
  <c r="AM63" i="1"/>
  <c r="AM41" i="2" s="1"/>
  <c r="AN63" i="1"/>
  <c r="AN91" i="2" s="1"/>
  <c r="AM62" i="1"/>
  <c r="BB86" i="2"/>
  <c r="BB87" i="2" s="1"/>
  <c r="W15" i="22"/>
  <c r="CA34" i="9"/>
  <c r="AD9" i="22"/>
  <c r="CP52" i="9"/>
  <c r="CR52" i="9" s="1"/>
  <c r="S16" i="22"/>
  <c r="BW17" i="9"/>
  <c r="BW14" i="9" s="1"/>
  <c r="BW16" i="9"/>
  <c r="S17" i="22" s="1"/>
  <c r="BX15" i="9"/>
  <c r="AW27" i="22"/>
  <c r="DB26" i="9"/>
  <c r="AX27" i="22" s="1"/>
  <c r="BV113" i="1"/>
  <c r="BV114" i="1" s="1"/>
  <c r="BV111" i="1"/>
  <c r="BV38" i="9"/>
  <c r="BV39" i="9" s="1"/>
  <c r="AT15" i="22"/>
  <c r="CX34" i="9"/>
  <c r="AY18" i="22"/>
  <c r="DC29" i="9"/>
  <c r="DC14" i="9"/>
  <c r="DC21" i="9"/>
  <c r="DC20" i="2"/>
  <c r="AY49" i="22" s="1"/>
  <c r="AK30" i="9"/>
  <c r="AK29" i="9"/>
  <c r="S28" i="22"/>
  <c r="BX27" i="9"/>
  <c r="T28" i="22" s="1"/>
  <c r="DB30" i="9"/>
  <c r="AX30" i="22" s="1"/>
  <c r="AX145" i="1"/>
  <c r="AY8" i="15"/>
  <c r="AY9" i="15" s="1"/>
  <c r="AY143" i="1"/>
  <c r="AP15" i="22"/>
  <c r="CT34" i="9"/>
  <c r="BD121" i="1"/>
  <c r="BD120" i="1"/>
  <c r="BD52" i="1"/>
  <c r="BD57" i="1"/>
  <c r="DA74" i="1"/>
  <c r="DB73" i="1"/>
  <c r="DB74" i="1" s="1"/>
  <c r="BJ55" i="1"/>
  <c r="BJ54" i="1"/>
  <c r="BX150" i="1"/>
  <c r="AE14" i="15"/>
  <c r="AA14" i="15"/>
  <c r="DB40" i="9"/>
  <c r="DB41" i="9" s="1"/>
  <c r="CX111" i="1"/>
  <c r="AC48" i="1"/>
  <c r="X11" i="22"/>
  <c r="CB11" i="9"/>
  <c r="X12" i="22" s="1"/>
  <c r="CC10" i="9"/>
  <c r="CB84" i="1"/>
  <c r="CB104" i="1" s="1"/>
  <c r="CB35" i="9"/>
  <c r="CE84" i="1"/>
  <c r="AL15" i="22"/>
  <c r="CP34" i="9"/>
  <c r="BD43" i="9"/>
  <c r="X16" i="22"/>
  <c r="CB17" i="9"/>
  <c r="CB20" i="2" s="1"/>
  <c r="X49" i="22" s="1"/>
  <c r="CB16" i="9"/>
  <c r="X17" i="22" s="1"/>
  <c r="CU113" i="1"/>
  <c r="CU114" i="1" s="1"/>
  <c r="CU111" i="1"/>
  <c r="CX30" i="9"/>
  <c r="AT30" i="22" s="1"/>
  <c r="AT29" i="22"/>
  <c r="CX29" i="9"/>
  <c r="CG111" i="1"/>
  <c r="W18" i="22"/>
  <c r="CA29" i="9"/>
  <c r="CA18" i="9"/>
  <c r="W19" i="22" s="1"/>
  <c r="CA21" i="9"/>
  <c r="CA20" i="2"/>
  <c r="W49" i="22" s="1"/>
  <c r="BQ113" i="1"/>
  <c r="BQ114" i="1" s="1"/>
  <c r="BQ111" i="1"/>
  <c r="O30" i="15"/>
  <c r="Q30" i="15"/>
  <c r="AS117" i="1"/>
  <c r="AT115" i="1"/>
  <c r="AT117" i="1" s="1"/>
  <c r="AU53" i="1"/>
  <c r="AV27" i="2"/>
  <c r="Q138" i="1"/>
  <c r="Q151" i="1" s="1"/>
  <c r="AV72" i="1"/>
  <c r="AC53" i="1"/>
  <c r="AC27" i="2"/>
  <c r="AE27" i="2"/>
  <c r="AR62" i="1"/>
  <c r="AR63" i="1"/>
  <c r="CF27" i="2"/>
  <c r="AB56" i="22" s="1"/>
  <c r="CE53" i="1"/>
  <c r="BH29" i="15"/>
  <c r="BH115" i="1"/>
  <c r="BI111" i="1"/>
  <c r="BH112" i="1"/>
  <c r="CU52" i="9"/>
  <c r="CW52" i="9" s="1"/>
  <c r="AI9" i="22"/>
  <c r="B122" i="1"/>
  <c r="B54" i="1"/>
  <c r="AT83" i="1"/>
  <c r="AT85" i="1" s="1"/>
  <c r="AT120" i="1"/>
  <c r="C95" i="1"/>
  <c r="C93" i="1"/>
  <c r="BP52" i="9"/>
  <c r="AX91" i="1"/>
  <c r="AY91" i="1" s="1"/>
  <c r="CD53" i="1"/>
  <c r="CE27" i="2"/>
  <c r="AA56" i="22" s="1"/>
  <c r="CC8" i="15"/>
  <c r="CC9" i="15" s="1"/>
  <c r="CC143" i="1"/>
  <c r="CF80" i="1"/>
  <c r="CF81" i="1" s="1"/>
  <c r="AD36" i="22"/>
  <c r="CH72" i="2"/>
  <c r="CD67" i="1"/>
  <c r="CD65" i="1"/>
  <c r="H80" i="1"/>
  <c r="H81" i="1" s="1"/>
  <c r="H71" i="1"/>
  <c r="K8" i="15"/>
  <c r="K9" i="15" s="1"/>
  <c r="K143" i="1"/>
  <c r="AD72" i="22"/>
  <c r="CH64" i="2"/>
  <c r="BH38" i="9"/>
  <c r="BH39" i="9" s="1"/>
  <c r="BH37" i="9"/>
  <c r="BI36" i="9"/>
  <c r="BI37" i="9" s="1"/>
  <c r="AP91" i="1"/>
  <c r="AQ93" i="1" s="1"/>
  <c r="BI120" i="1"/>
  <c r="BI52" i="1"/>
  <c r="BI57" i="1"/>
  <c r="BI121" i="1"/>
  <c r="AL71" i="1"/>
  <c r="AL72" i="1"/>
  <c r="CA71" i="1"/>
  <c r="CA80" i="1"/>
  <c r="CA81" i="1" s="1"/>
  <c r="CA67" i="1"/>
  <c r="CA65" i="1"/>
  <c r="CA62" i="1"/>
  <c r="CD145" i="1"/>
  <c r="AT113" i="1"/>
  <c r="AS114" i="1"/>
  <c r="AS116" i="1" s="1"/>
  <c r="AS118" i="1" s="1"/>
  <c r="D42" i="22"/>
  <c r="BD54" i="2"/>
  <c r="BD71" i="2"/>
  <c r="D80" i="22" s="1"/>
  <c r="AU53" i="2"/>
  <c r="AU55" i="2" s="1"/>
  <c r="AU22" i="2"/>
  <c r="AU19" i="2"/>
  <c r="AU43" i="2"/>
  <c r="AY11" i="2"/>
  <c r="AY43" i="2" s="1"/>
  <c r="C73" i="22" s="1"/>
  <c r="AU16" i="2"/>
  <c r="BH17" i="2"/>
  <c r="BI23" i="2"/>
  <c r="E52" i="22" s="1"/>
  <c r="AE61" i="22"/>
  <c r="CI17" i="2"/>
  <c r="W30" i="15"/>
  <c r="X30" i="15"/>
  <c r="AX76" i="22"/>
  <c r="DB65" i="2"/>
  <c r="AS76" i="22"/>
  <c r="CW65" i="2"/>
  <c r="AN88" i="2"/>
  <c r="AO85" i="2"/>
  <c r="Y47" i="22"/>
  <c r="CJ80" i="1"/>
  <c r="CJ81" i="1" s="1"/>
  <c r="C54" i="1"/>
  <c r="C55" i="1"/>
  <c r="AN9" i="22"/>
  <c r="CZ52" i="9"/>
  <c r="CY52" i="9"/>
  <c r="BC120" i="1"/>
  <c r="BC121" i="1"/>
  <c r="BC52" i="1"/>
  <c r="BC57" i="1"/>
  <c r="R71" i="1"/>
  <c r="R80" i="1"/>
  <c r="R81" i="1" s="1"/>
  <c r="BJ17" i="22"/>
  <c r="AD53" i="1"/>
  <c r="AD122" i="1" s="1"/>
  <c r="AD27" i="2"/>
  <c r="AA72" i="1"/>
  <c r="AA71" i="1"/>
  <c r="BE47" i="9"/>
  <c r="BH28" i="9"/>
  <c r="BH30" i="9" s="1"/>
  <c r="BH47" i="9"/>
  <c r="BI5" i="9"/>
  <c r="BH6" i="9"/>
  <c r="BF47" i="9"/>
  <c r="BG47" i="9"/>
  <c r="AQ86" i="2"/>
  <c r="AQ87" i="2" s="1"/>
  <c r="AP53" i="1"/>
  <c r="AP122" i="1" s="1"/>
  <c r="AQ27" i="2"/>
  <c r="AT27" i="2"/>
  <c r="DD43" i="9"/>
  <c r="DD37" i="9"/>
  <c r="DD38" i="9"/>
  <c r="DD39" i="9" s="1"/>
  <c r="AX7" i="22"/>
  <c r="BB12" i="22"/>
  <c r="BA12" i="22"/>
  <c r="Z8" i="15"/>
  <c r="Z9" i="15" s="1"/>
  <c r="Z143" i="1"/>
  <c r="Z138" i="1" s="1"/>
  <c r="AR62" i="22"/>
  <c r="CV32" i="2"/>
  <c r="AR61" i="22" s="1"/>
  <c r="C55" i="22"/>
  <c r="AY61" i="2"/>
  <c r="AY59" i="2" s="1"/>
  <c r="AZ71" i="1"/>
  <c r="V93" i="1"/>
  <c r="V95" i="1"/>
  <c r="CO95" i="1"/>
  <c r="D41" i="22"/>
  <c r="BD70" i="1"/>
  <c r="T33" i="22"/>
  <c r="AI88" i="2"/>
  <c r="DC80" i="1"/>
  <c r="DC81" i="1" s="1"/>
  <c r="T47" i="22"/>
  <c r="CU38" i="9"/>
  <c r="CU39" i="9" s="1"/>
  <c r="CU37" i="9"/>
  <c r="AQ53" i="1"/>
  <c r="AR27" i="2"/>
  <c r="AR86" i="2"/>
  <c r="AR87" i="2" s="1"/>
  <c r="CM8" i="15"/>
  <c r="CM9" i="15" s="1"/>
  <c r="CM143" i="1"/>
  <c r="AS70" i="22"/>
  <c r="CW64" i="2"/>
  <c r="AI17" i="2"/>
  <c r="AI37" i="2" s="1"/>
  <c r="AJ23" i="2"/>
  <c r="BC114" i="1"/>
  <c r="BC116" i="1" s="1"/>
  <c r="BC118" i="1" s="1"/>
  <c r="BD113" i="1"/>
  <c r="BC115" i="1"/>
  <c r="CW42" i="9"/>
  <c r="AI50" i="22"/>
  <c r="AY113" i="1"/>
  <c r="AX115" i="1"/>
  <c r="AX114" i="1"/>
  <c r="AX116" i="1" s="1"/>
  <c r="AX118" i="1" s="1"/>
  <c r="BH57" i="2"/>
  <c r="BH70" i="2"/>
  <c r="E70" i="22"/>
  <c r="BI64" i="2"/>
  <c r="DG20" i="1"/>
  <c r="F80" i="1"/>
  <c r="F81" i="1" s="1"/>
  <c r="BV62" i="1"/>
  <c r="BV63" i="1"/>
  <c r="BV41" i="2" s="1"/>
  <c r="R71" i="22" s="1"/>
  <c r="CT95" i="1"/>
  <c r="S25" i="22"/>
  <c r="CB28" i="9"/>
  <c r="X29" i="22" s="1"/>
  <c r="BR24" i="9"/>
  <c r="BX24" i="9"/>
  <c r="CO113" i="1"/>
  <c r="CO114" i="1" s="1"/>
  <c r="CO111" i="1"/>
  <c r="J11" i="22"/>
  <c r="BN11" i="9"/>
  <c r="BO84" i="1"/>
  <c r="BN84" i="1"/>
  <c r="BN98" i="1" s="1"/>
  <c r="BQ84" i="1"/>
  <c r="BN35" i="9"/>
  <c r="AX16" i="22"/>
  <c r="DB16" i="9"/>
  <c r="AX17" i="22" s="1"/>
  <c r="BD112" i="1"/>
  <c r="AZ116" i="1"/>
  <c r="AG18" i="22"/>
  <c r="CK18" i="9"/>
  <c r="AG19" i="22" s="1"/>
  <c r="CK29" i="9"/>
  <c r="CK21" i="9"/>
  <c r="AG22" i="22" s="1"/>
  <c r="CK14" i="9"/>
  <c r="CK20" i="2"/>
  <c r="AG49" i="22" s="1"/>
  <c r="AI117" i="1"/>
  <c r="AJ115" i="1"/>
  <c r="AJ117" i="1" s="1"/>
  <c r="DC35" i="9"/>
  <c r="DC37" i="9" s="1"/>
  <c r="DC40" i="9"/>
  <c r="DC38" i="9" s="1"/>
  <c r="DC39" i="9" s="1"/>
  <c r="F6" i="15"/>
  <c r="F141" i="1"/>
  <c r="F138" i="1" s="1"/>
  <c r="F69" i="1"/>
  <c r="F71" i="1" s="1"/>
  <c r="F5" i="1"/>
  <c r="F4" i="1" s="1"/>
  <c r="AE15" i="22"/>
  <c r="CI34" i="9"/>
  <c r="BB72" i="1"/>
  <c r="BB71" i="1"/>
  <c r="AV30" i="15"/>
  <c r="BN121" i="1"/>
  <c r="BN52" i="1"/>
  <c r="BN57" i="1"/>
  <c r="BN120" i="1"/>
  <c r="AV71" i="1"/>
  <c r="P57" i="1"/>
  <c r="P52" i="1"/>
  <c r="CR81" i="2"/>
  <c r="CR32" i="11" s="1"/>
  <c r="CM57" i="1"/>
  <c r="CM81" i="2"/>
  <c r="CM32" i="11" s="1"/>
  <c r="V30" i="15"/>
  <c r="BS150" i="1"/>
  <c r="CZ145" i="1"/>
  <c r="BC66" i="1"/>
  <c r="BD66" i="1" s="1"/>
  <c r="BD67" i="1" s="1"/>
  <c r="BC8" i="1"/>
  <c r="BC5" i="1" s="1"/>
  <c r="BC4" i="1" s="1"/>
  <c r="BD9" i="1"/>
  <c r="BW143" i="1"/>
  <c r="CP75" i="1"/>
  <c r="CP76" i="1" s="1"/>
  <c r="CP11" i="1"/>
  <c r="CQ6" i="15" s="1"/>
  <c r="O70" i="22"/>
  <c r="BS64" i="2"/>
  <c r="BM80" i="1"/>
  <c r="BM81" i="1" s="1"/>
  <c r="CE37" i="9"/>
  <c r="CE38" i="9"/>
  <c r="CE39" i="9" s="1"/>
  <c r="CE43" i="9"/>
  <c r="AS53" i="22"/>
  <c r="CW25" i="2"/>
  <c r="AS54" i="22" s="1"/>
  <c r="AZ6" i="15"/>
  <c r="AJ64" i="2"/>
  <c r="AC36" i="22"/>
  <c r="CG42" i="9"/>
  <c r="CG72" i="2"/>
  <c r="CX75" i="1"/>
  <c r="CX76" i="1" s="1"/>
  <c r="CX88" i="1"/>
  <c r="CX89" i="1" s="1"/>
  <c r="Y138" i="1"/>
  <c r="Y151" i="1" s="1"/>
  <c r="J95" i="1"/>
  <c r="J93" i="1"/>
  <c r="N50" i="22"/>
  <c r="BS21" i="2"/>
  <c r="BR17" i="2"/>
  <c r="N46" i="22" s="1"/>
  <c r="BR56" i="2"/>
  <c r="W80" i="22"/>
  <c r="CA113" i="1"/>
  <c r="BC65" i="1"/>
  <c r="AT10" i="15"/>
  <c r="AT50" i="1"/>
  <c r="AT146" i="1"/>
  <c r="AT27" i="1"/>
  <c r="AT26" i="1" s="1"/>
  <c r="R93" i="1"/>
  <c r="R95" i="1"/>
  <c r="O47" i="22"/>
  <c r="X52" i="22"/>
  <c r="CC23" i="2"/>
  <c r="Y52" i="22" s="1"/>
  <c r="AW34" i="22"/>
  <c r="DA36" i="9"/>
  <c r="DA61" i="1"/>
  <c r="DA4" i="2"/>
  <c r="DB4" i="2" s="1"/>
  <c r="DB10" i="2" s="1"/>
  <c r="AX39" i="22" s="1"/>
  <c r="DB5" i="2"/>
  <c r="DB71" i="2" s="1"/>
  <c r="AX80" i="22" s="1"/>
  <c r="AT93" i="1"/>
  <c r="AG58" i="22"/>
  <c r="CM29" i="2"/>
  <c r="AI58" i="22" s="1"/>
  <c r="CK17" i="2"/>
  <c r="AG46" i="22" s="1"/>
  <c r="AX80" i="1"/>
  <c r="AX81" i="1" s="1"/>
  <c r="AX71" i="1"/>
  <c r="AN36" i="22"/>
  <c r="CR72" i="2"/>
  <c r="BL72" i="1"/>
  <c r="BL71" i="1"/>
  <c r="CJ49" i="1"/>
  <c r="CJ55" i="1"/>
  <c r="CJ54" i="1"/>
  <c r="CY95" i="1"/>
  <c r="Z29" i="22"/>
  <c r="CD30" i="9"/>
  <c r="Z30" i="22" s="1"/>
  <c r="CD29" i="9"/>
  <c r="BM111" i="1"/>
  <c r="BM113" i="1"/>
  <c r="AS29" i="22"/>
  <c r="CW30" i="9"/>
  <c r="AS30" i="22" s="1"/>
  <c r="U146" i="1"/>
  <c r="U145" i="1" s="1"/>
  <c r="U10" i="15"/>
  <c r="U50" i="1"/>
  <c r="U53" i="1" s="1"/>
  <c r="U49" i="1" s="1"/>
  <c r="U27" i="1"/>
  <c r="U26" i="1" s="1"/>
  <c r="DC20" i="9"/>
  <c r="AY21" i="22" s="1"/>
  <c r="DB60" i="1"/>
  <c r="DB140" i="1"/>
  <c r="DC52" i="9"/>
  <c r="AI16" i="22"/>
  <c r="CM16" i="9"/>
  <c r="AI17" i="22" s="1"/>
  <c r="Z14" i="15"/>
  <c r="V14" i="15"/>
  <c r="BB53" i="1"/>
  <c r="BB122" i="1" s="1"/>
  <c r="CV75" i="1"/>
  <c r="CW13" i="1"/>
  <c r="CW88" i="1" s="1"/>
  <c r="CW89" i="1" s="1"/>
  <c r="CV11" i="1"/>
  <c r="BI86" i="2"/>
  <c r="BI87" i="2" s="1"/>
  <c r="BI88" i="2"/>
  <c r="CU93" i="1"/>
  <c r="CU95" i="1"/>
  <c r="CO69" i="1"/>
  <c r="CO71" i="1" s="1"/>
  <c r="CO5" i="1"/>
  <c r="CO4" i="1" s="1"/>
  <c r="CO48" i="1" s="1"/>
  <c r="CO141" i="1"/>
  <c r="CO138" i="1" s="1"/>
  <c r="BI40" i="9"/>
  <c r="BI41" i="9" s="1"/>
  <c r="BE111" i="1"/>
  <c r="BI14" i="15"/>
  <c r="BE14" i="15"/>
  <c r="BD139" i="1"/>
  <c r="BD51" i="1"/>
  <c r="BE25" i="2"/>
  <c r="BD25" i="2"/>
  <c r="D54" i="22" s="1"/>
  <c r="AW101" i="1"/>
  <c r="AW104" i="1"/>
  <c r="AW98" i="1"/>
  <c r="AW85" i="1"/>
  <c r="CA78" i="2"/>
  <c r="BZ81" i="2"/>
  <c r="BZ57" i="1"/>
  <c r="AX29" i="15"/>
  <c r="AX30" i="15" s="1"/>
  <c r="AX89" i="1"/>
  <c r="AS66" i="22"/>
  <c r="CW160" i="1"/>
  <c r="E34" i="22"/>
  <c r="BI61" i="1"/>
  <c r="BI2" i="2"/>
  <c r="BI71" i="2"/>
  <c r="E80" i="22" s="1"/>
  <c r="AK53" i="1"/>
  <c r="AK122" i="1" s="1"/>
  <c r="AL27" i="2"/>
  <c r="AL86" i="2"/>
  <c r="AL87" i="2" s="1"/>
  <c r="CX141" i="1"/>
  <c r="CX69" i="1"/>
  <c r="CX71" i="1" s="1"/>
  <c r="CX5" i="1"/>
  <c r="CX4" i="1" s="1"/>
  <c r="CX48" i="1" s="1"/>
  <c r="BC37" i="9"/>
  <c r="BC58" i="9" s="1"/>
  <c r="BC43" i="9"/>
  <c r="C122" i="1"/>
  <c r="CS53" i="1"/>
  <c r="CT49" i="1" s="1"/>
  <c r="CT82" i="2" s="1"/>
  <c r="CT27" i="2"/>
  <c r="AP56" i="22" s="1"/>
  <c r="CV56" i="2"/>
  <c r="Q80" i="1"/>
  <c r="Q81" i="1" s="1"/>
  <c r="Q71" i="1"/>
  <c r="CT67" i="1"/>
  <c r="CT65" i="1"/>
  <c r="CT122" i="1"/>
  <c r="AT33" i="22"/>
  <c r="CX11" i="2"/>
  <c r="CX10" i="2"/>
  <c r="AT39" i="22" s="1"/>
  <c r="AP93" i="1"/>
  <c r="Y55" i="22"/>
  <c r="CC61" i="2"/>
  <c r="J50" i="22"/>
  <c r="AE80" i="1"/>
  <c r="AE81" i="1" s="1"/>
  <c r="BG22" i="2"/>
  <c r="BG53" i="2"/>
  <c r="BG55" i="2" s="1"/>
  <c r="BG16" i="2"/>
  <c r="BG19" i="2"/>
  <c r="BG43" i="2"/>
  <c r="AJ12" i="2"/>
  <c r="AJ70" i="1" s="1"/>
  <c r="AG34" i="22"/>
  <c r="CK36" i="9"/>
  <c r="CK43" i="9" s="1"/>
  <c r="CK61" i="1"/>
  <c r="CK4" i="2"/>
  <c r="CK71" i="2"/>
  <c r="CL5" i="2"/>
  <c r="CM5" i="2" s="1"/>
  <c r="DD20" i="9"/>
  <c r="AZ21" i="22" s="1"/>
  <c r="DC140" i="1"/>
  <c r="DC60" i="1"/>
  <c r="DC5" i="1"/>
  <c r="DC4" i="1" s="1"/>
  <c r="DC48" i="1" s="1"/>
  <c r="AX60" i="22"/>
  <c r="CC40" i="9"/>
  <c r="CC41" i="9" s="1"/>
  <c r="BY113" i="1"/>
  <c r="BY114" i="1" s="1"/>
  <c r="AX44" i="22"/>
  <c r="DB72" i="2"/>
  <c r="AL18" i="22"/>
  <c r="CP29" i="9"/>
  <c r="CP18" i="9"/>
  <c r="AL19" i="22" s="1"/>
  <c r="CP21" i="9"/>
  <c r="AL22" i="22" s="1"/>
  <c r="CP20" i="2"/>
  <c r="AL49" i="22" s="1"/>
  <c r="E11" i="22"/>
  <c r="BI30" i="9"/>
  <c r="E30" i="22" s="1"/>
  <c r="BL84" i="1"/>
  <c r="BJ84" i="1"/>
  <c r="BI11" i="9"/>
  <c r="BI84" i="1"/>
  <c r="BI104" i="1" s="1"/>
  <c r="CP111" i="1"/>
  <c r="D9" i="22"/>
  <c r="BL52" i="9"/>
  <c r="BA18" i="22"/>
  <c r="AN16" i="22"/>
  <c r="CR16" i="9"/>
  <c r="AN17" i="22" s="1"/>
  <c r="N16" i="22"/>
  <c r="BR17" i="9"/>
  <c r="BR14" i="9" s="1"/>
  <c r="BS15" i="9"/>
  <c r="BR16" i="9"/>
  <c r="N17" i="22" s="1"/>
  <c r="BJ38" i="9"/>
  <c r="BN40" i="9"/>
  <c r="BN41" i="9" s="1"/>
  <c r="BJ111" i="1"/>
  <c r="AO29" i="22"/>
  <c r="CS30" i="9"/>
  <c r="AO30" i="22" s="1"/>
  <c r="CR35" i="9"/>
  <c r="CN40" i="9"/>
  <c r="CN38" i="9" s="1"/>
  <c r="CN35" i="9"/>
  <c r="CN37" i="9" s="1"/>
  <c r="DC89" i="1"/>
  <c r="CS14" i="15"/>
  <c r="CW14" i="15"/>
  <c r="CR139" i="1"/>
  <c r="CR51" i="1"/>
  <c r="CS25" i="2"/>
  <c r="AO54" i="22" s="1"/>
  <c r="AE18" i="22"/>
  <c r="CI21" i="9"/>
  <c r="CI18" i="9"/>
  <c r="AE19" i="22" s="1"/>
  <c r="CI29" i="9"/>
  <c r="CM17" i="9"/>
  <c r="CM20" i="2" s="1"/>
  <c r="AI49" i="22" s="1"/>
  <c r="CI20" i="2"/>
  <c r="AE49" i="22" s="1"/>
  <c r="AJ85" i="1"/>
  <c r="AJ98" i="1"/>
  <c r="AJ104" i="1"/>
  <c r="CV74" i="1"/>
  <c r="CW73" i="1"/>
  <c r="CW74" i="1" s="1"/>
  <c r="BD88" i="2"/>
  <c r="J72" i="1"/>
  <c r="J71" i="1"/>
  <c r="CU54" i="1"/>
  <c r="CU49" i="1"/>
  <c r="CU55" i="1"/>
  <c r="CU122" i="1"/>
  <c r="V10" i="15"/>
  <c r="AY112" i="1"/>
  <c r="AU116" i="1"/>
  <c r="CT54" i="1"/>
  <c r="CT55" i="1"/>
  <c r="G55" i="1"/>
  <c r="G54" i="1"/>
  <c r="G122" i="1"/>
  <c r="G49" i="1"/>
  <c r="BS148" i="1"/>
  <c r="BS103" i="1"/>
  <c r="CX53" i="1"/>
  <c r="CY27" i="2"/>
  <c r="AU56" i="22" s="1"/>
  <c r="CY85" i="2"/>
  <c r="CY84" i="2" s="1"/>
  <c r="CC73" i="1"/>
  <c r="CC74" i="1" s="1"/>
  <c r="CB74" i="1"/>
  <c r="Z10" i="15"/>
  <c r="Z146" i="1"/>
  <c r="Z145" i="1" s="1"/>
  <c r="Z27" i="1"/>
  <c r="Z26" i="1" s="1"/>
  <c r="Z50" i="1"/>
  <c r="Z53" i="1" s="1"/>
  <c r="W71" i="1"/>
  <c r="W80" i="1"/>
  <c r="W81" i="1" s="1"/>
  <c r="AT147" i="1"/>
  <c r="CP88" i="1"/>
  <c r="CP89" i="1" s="1"/>
  <c r="DD6" i="15"/>
  <c r="DD140" i="1"/>
  <c r="DD138" i="1" s="1"/>
  <c r="DD60" i="1"/>
  <c r="DE63" i="1" s="1"/>
  <c r="DD5" i="1"/>
  <c r="DD4" i="1" s="1"/>
  <c r="CC14" i="15"/>
  <c r="BY14" i="15"/>
  <c r="BX139" i="1"/>
  <c r="BX51" i="1"/>
  <c r="BY25" i="2"/>
  <c r="U54" i="22" s="1"/>
  <c r="BX25" i="2"/>
  <c r="T54" i="22" s="1"/>
  <c r="BM93" i="1"/>
  <c r="BM95" i="1"/>
  <c r="BN95" i="1" s="1"/>
  <c r="D55" i="22"/>
  <c r="BD61" i="2"/>
  <c r="BD59" i="2" s="1"/>
  <c r="AI2" i="2"/>
  <c r="BM65" i="1"/>
  <c r="W33" i="22"/>
  <c r="CA10" i="2"/>
  <c r="W39" i="22" s="1"/>
  <c r="CA11" i="2"/>
  <c r="I80" i="1"/>
  <c r="I81" i="1" s="1"/>
  <c r="I71" i="1"/>
  <c r="BH93" i="1"/>
  <c r="BH95" i="1"/>
  <c r="CL75" i="1"/>
  <c r="CM13" i="1"/>
  <c r="CM88" i="1" s="1"/>
  <c r="CM89" i="1" s="1"/>
  <c r="AE53" i="1"/>
  <c r="AE49" i="1" s="1"/>
  <c r="AF86" i="2"/>
  <c r="AF87" i="2" s="1"/>
  <c r="AF27" i="2"/>
  <c r="AJ85" i="2"/>
  <c r="W95" i="1"/>
  <c r="W93" i="1"/>
  <c r="AI66" i="22"/>
  <c r="CM160" i="1"/>
  <c r="R51" i="2"/>
  <c r="Q19" i="2"/>
  <c r="U11" i="2"/>
  <c r="S51" i="2"/>
  <c r="T51" i="2"/>
  <c r="Q43" i="2"/>
  <c r="Q22" i="2"/>
  <c r="Q16" i="2"/>
  <c r="Q51" i="2"/>
  <c r="Q53" i="2"/>
  <c r="Q55" i="2" s="1"/>
  <c r="Y34" i="22"/>
  <c r="CC61" i="1"/>
  <c r="BH53" i="1"/>
  <c r="BH122" i="1" s="1"/>
  <c r="BI27" i="2"/>
  <c r="E56" i="22" s="1"/>
  <c r="BA5" i="22"/>
  <c r="BA29" i="22"/>
  <c r="DG28" i="9"/>
  <c r="BC29" i="22" s="1"/>
  <c r="AP14" i="15"/>
  <c r="AT14" i="15"/>
  <c r="CO55" i="1"/>
  <c r="CO54" i="1"/>
  <c r="CO49" i="1"/>
  <c r="AN47" i="22"/>
  <c r="AU115" i="1"/>
  <c r="AU117" i="1" s="1"/>
  <c r="AA54" i="1"/>
  <c r="AA55" i="1"/>
  <c r="AA122" i="1"/>
  <c r="CF11" i="1"/>
  <c r="CG6" i="15" s="1"/>
  <c r="CD121" i="1"/>
  <c r="CD120" i="1"/>
  <c r="CD57" i="1"/>
  <c r="CD52" i="1"/>
  <c r="BC141" i="1"/>
  <c r="BC69" i="1"/>
  <c r="BC72" i="1" s="1"/>
  <c r="BD11" i="1"/>
  <c r="CX113" i="1"/>
  <c r="CX114" i="1" s="1"/>
  <c r="CE95" i="1"/>
  <c r="K80" i="1"/>
  <c r="K81" i="1" s="1"/>
  <c r="BC88" i="2"/>
  <c r="Y80" i="1"/>
  <c r="Y81" i="1" s="1"/>
  <c r="Y71" i="1"/>
  <c r="BM38" i="9"/>
  <c r="BM39" i="9" s="1"/>
  <c r="BM37" i="9"/>
  <c r="BN36" i="9"/>
  <c r="BC10" i="2"/>
  <c r="BC11" i="2"/>
  <c r="BD11" i="2" s="1"/>
  <c r="B55" i="1"/>
  <c r="BP53" i="1"/>
  <c r="BP122" i="1" s="1"/>
  <c r="BP86" i="2"/>
  <c r="BP87" i="2" s="1"/>
  <c r="BQ27" i="2"/>
  <c r="M56" i="22" s="1"/>
  <c r="BP27" i="2"/>
  <c r="L56" i="22" s="1"/>
  <c r="AX76" i="1"/>
  <c r="AY75" i="1"/>
  <c r="AY76" i="1" s="1"/>
  <c r="AP61" i="22"/>
  <c r="V80" i="1"/>
  <c r="V81" i="1" s="1"/>
  <c r="V71" i="1"/>
  <c r="D53" i="2"/>
  <c r="D55" i="2" s="1"/>
  <c r="D19" i="2"/>
  <c r="D43" i="2"/>
  <c r="D16" i="2"/>
  <c r="D22" i="2"/>
  <c r="F11" i="2"/>
  <c r="E51" i="2"/>
  <c r="D51" i="2"/>
  <c r="DB120" i="1"/>
  <c r="DB121" i="1"/>
  <c r="DB57" i="1"/>
  <c r="DB52" i="1"/>
  <c r="M53" i="2"/>
  <c r="M55" i="2" s="1"/>
  <c r="M16" i="2"/>
  <c r="M37" i="2" s="1"/>
  <c r="M39" i="2" s="1"/>
  <c r="M22" i="2"/>
  <c r="M43" i="2"/>
  <c r="M19" i="2"/>
  <c r="CN67" i="1"/>
  <c r="CN62" i="1"/>
  <c r="AI29" i="15"/>
  <c r="AI89" i="1"/>
  <c r="CE20" i="9"/>
  <c r="AA21" i="22" s="1"/>
  <c r="CD60" i="1"/>
  <c r="CD62" i="1" s="1"/>
  <c r="CD140" i="1"/>
  <c r="AT41" i="22"/>
  <c r="AZ104" i="1"/>
  <c r="AZ101" i="1"/>
  <c r="AZ85" i="1"/>
  <c r="CJ75" i="1"/>
  <c r="CJ76" i="1" s="1"/>
  <c r="CJ11" i="1"/>
  <c r="AF71" i="1"/>
  <c r="AG72" i="1"/>
  <c r="AF116" i="1"/>
  <c r="AJ112" i="1"/>
  <c r="AO146" i="1"/>
  <c r="AO50" i="1"/>
  <c r="AO27" i="1"/>
  <c r="AO26" i="1" s="1"/>
  <c r="AP10" i="15"/>
  <c r="AJ8" i="15"/>
  <c r="AJ9" i="15" s="1"/>
  <c r="AJ143" i="1"/>
  <c r="AK8" i="15"/>
  <c r="AK9" i="15" s="1"/>
  <c r="CJ140" i="1"/>
  <c r="CK20" i="9"/>
  <c r="AG21" i="22" s="1"/>
  <c r="CJ60" i="1"/>
  <c r="CJ63" i="1" s="1"/>
  <c r="CJ41" i="2" s="1"/>
  <c r="AF71" i="22" s="1"/>
  <c r="CI14" i="15"/>
  <c r="CM14" i="15"/>
  <c r="CH139" i="1"/>
  <c r="CH51" i="1"/>
  <c r="CI25" i="2"/>
  <c r="AE54" i="22" s="1"/>
  <c r="BD73" i="1"/>
  <c r="BD74" i="1" s="1"/>
  <c r="BC74" i="1"/>
  <c r="CM40" i="9"/>
  <c r="CM41" i="9" s="1"/>
  <c r="CI111" i="1"/>
  <c r="P8" i="15"/>
  <c r="P9" i="15" s="1"/>
  <c r="P143" i="1"/>
  <c r="U8" i="15"/>
  <c r="U9" i="15" s="1"/>
  <c r="AK33" i="22"/>
  <c r="CO11" i="2"/>
  <c r="CO10" i="2"/>
  <c r="AK39" i="22" s="1"/>
  <c r="L80" i="1"/>
  <c r="L81" i="1" s="1"/>
  <c r="L71" i="1"/>
  <c r="BG112" i="1"/>
  <c r="X80" i="1"/>
  <c r="X81" i="1" s="1"/>
  <c r="X71" i="1"/>
  <c r="CL141" i="1"/>
  <c r="CL5" i="1"/>
  <c r="CL4" i="1" s="1"/>
  <c r="CM11" i="1"/>
  <c r="CL69" i="1"/>
  <c r="DD95" i="1"/>
  <c r="AF53" i="1"/>
  <c r="AG27" i="2"/>
  <c r="CR111" i="1"/>
  <c r="CQ112" i="1"/>
  <c r="AL43" i="2"/>
  <c r="AL22" i="2"/>
  <c r="AL16" i="2"/>
  <c r="AL19" i="2"/>
  <c r="AL53" i="2"/>
  <c r="AL55" i="2" s="1"/>
  <c r="AO11" i="2"/>
  <c r="AO19" i="2" s="1"/>
  <c r="AI42" i="22"/>
  <c r="CM54" i="2"/>
  <c r="BK72" i="1"/>
  <c r="BK71" i="1"/>
  <c r="CS62" i="1"/>
  <c r="CS65" i="1"/>
  <c r="CS67" i="1"/>
  <c r="AC93" i="1"/>
  <c r="AC95" i="1"/>
  <c r="N51" i="2"/>
  <c r="M51" i="2"/>
  <c r="L53" i="2"/>
  <c r="L55" i="2" s="1"/>
  <c r="L19" i="2"/>
  <c r="L16" i="2"/>
  <c r="L43" i="2"/>
  <c r="O51" i="2"/>
  <c r="L22" i="2"/>
  <c r="L51" i="2"/>
  <c r="P11" i="2"/>
  <c r="AH42" i="22"/>
  <c r="CL70" i="1"/>
  <c r="CL12" i="2"/>
  <c r="CL54" i="2"/>
  <c r="Z4" i="1"/>
  <c r="BI147" i="1"/>
  <c r="BI145" i="1" s="1"/>
  <c r="BI79" i="1"/>
  <c r="BI27" i="1"/>
  <c r="BI26" i="1" s="1"/>
  <c r="BQ72" i="1"/>
  <c r="BQ71" i="1"/>
  <c r="AB55" i="1"/>
  <c r="AB54" i="1"/>
  <c r="AB49" i="1"/>
  <c r="AT20" i="9"/>
  <c r="AP20" i="9"/>
  <c r="AO140" i="1"/>
  <c r="AO60" i="1"/>
  <c r="J47" i="22"/>
  <c r="BN56" i="2"/>
  <c r="BA63" i="1"/>
  <c r="BA41" i="2" s="1"/>
  <c r="BB63" i="1"/>
  <c r="BB41" i="2" s="1"/>
  <c r="AR18" i="22"/>
  <c r="CV21" i="9"/>
  <c r="AR22" i="22" s="1"/>
  <c r="CV29" i="9"/>
  <c r="CV14" i="9"/>
  <c r="CV18" i="9"/>
  <c r="AR19" i="22" s="1"/>
  <c r="AM18" i="22"/>
  <c r="CQ21" i="9"/>
  <c r="AM22" i="22" s="1"/>
  <c r="CQ29" i="9"/>
  <c r="CQ18" i="9"/>
  <c r="AM19" i="22" s="1"/>
  <c r="CQ14" i="9"/>
  <c r="CQ20" i="2"/>
  <c r="AM49" i="22" s="1"/>
  <c r="CF21" i="9"/>
  <c r="AB22" i="22" s="1"/>
  <c r="CF18" i="9"/>
  <c r="AB19" i="22" s="1"/>
  <c r="CF14" i="9"/>
  <c r="AB18" i="22"/>
  <c r="CF29" i="9"/>
  <c r="CF20" i="2"/>
  <c r="AB49" i="22" s="1"/>
  <c r="CC8" i="9"/>
  <c r="X27" i="22"/>
  <c r="CC26" i="9"/>
  <c r="Y27" i="22" s="1"/>
  <c r="CZ29" i="9"/>
  <c r="AV18" i="22"/>
  <c r="CZ18" i="9"/>
  <c r="AV19" i="22" s="1"/>
  <c r="CZ21" i="9"/>
  <c r="AV22" i="22" s="1"/>
  <c r="CZ20" i="2"/>
  <c r="AV49" i="22" s="1"/>
  <c r="N6" i="22"/>
  <c r="BR47" i="9"/>
  <c r="BQ47" i="9"/>
  <c r="BP47" i="9"/>
  <c r="BO47" i="9"/>
  <c r="BS5" i="9"/>
  <c r="BR6" i="9"/>
  <c r="N7" i="22" s="1"/>
  <c r="CT112" i="1"/>
  <c r="CN8" i="15"/>
  <c r="CN9" i="15" s="1"/>
  <c r="CJ88" i="1"/>
  <c r="CJ89" i="1" s="1"/>
  <c r="AJ101" i="1"/>
  <c r="CI113" i="1"/>
  <c r="CI114" i="1" s="1"/>
  <c r="BM10" i="15"/>
  <c r="BM50" i="1"/>
  <c r="BM86" i="2" s="1"/>
  <c r="BM87" i="2" s="1"/>
  <c r="BN28" i="1"/>
  <c r="BM27" i="1"/>
  <c r="BM26" i="1" s="1"/>
  <c r="BM146" i="1"/>
  <c r="BM145" i="1" s="1"/>
  <c r="BH11" i="1"/>
  <c r="BI13" i="1"/>
  <c r="BI88" i="1" s="1"/>
  <c r="BH75" i="1"/>
  <c r="BX43" i="9"/>
  <c r="AH48" i="1"/>
  <c r="AF115" i="1"/>
  <c r="AF117" i="1" s="1"/>
  <c r="CE141" i="1"/>
  <c r="CE69" i="1"/>
  <c r="CE71" i="1" s="1"/>
  <c r="CE5" i="1"/>
  <c r="CE4" i="1" s="1"/>
  <c r="AA95" i="1"/>
  <c r="AA93" i="1"/>
  <c r="L53" i="1"/>
  <c r="L27" i="2"/>
  <c r="P27" i="2"/>
  <c r="CR75" i="1"/>
  <c r="CR76" i="1" s="1"/>
  <c r="CQ76" i="1"/>
  <c r="N93" i="1"/>
  <c r="N95" i="1"/>
  <c r="CE80" i="1"/>
  <c r="CE81" i="1" s="1"/>
  <c r="AD55" i="22"/>
  <c r="CH61" i="2"/>
  <c r="K49" i="1"/>
  <c r="O53" i="2"/>
  <c r="O55" i="2" s="1"/>
  <c r="O16" i="2"/>
  <c r="O37" i="2" s="1"/>
  <c r="O39" i="2" s="1"/>
  <c r="O19" i="2"/>
  <c r="O22" i="2"/>
  <c r="O43" i="2"/>
  <c r="AV86" i="2"/>
  <c r="AV87" i="2" s="1"/>
  <c r="BR67" i="1"/>
  <c r="BR65" i="1"/>
  <c r="BX73" i="1"/>
  <c r="BX74" i="1" s="1"/>
  <c r="BW74" i="1"/>
  <c r="AM62" i="22"/>
  <c r="CQ32" i="2"/>
  <c r="CR33" i="2"/>
  <c r="AN62" i="22" s="1"/>
  <c r="N19" i="2"/>
  <c r="N53" i="2"/>
  <c r="N55" i="2" s="1"/>
  <c r="N16" i="2"/>
  <c r="N37" i="2" s="1"/>
  <c r="N39" i="2" s="1"/>
  <c r="N43" i="2"/>
  <c r="N22" i="2"/>
  <c r="CS43" i="9"/>
  <c r="CZ95" i="1"/>
  <c r="CZ93" i="1"/>
  <c r="DG132" i="1"/>
  <c r="DG21" i="1"/>
  <c r="CW72" i="2"/>
  <c r="AU71" i="1"/>
  <c r="AD16" i="22"/>
  <c r="CH16" i="9"/>
  <c r="AD17" i="22" s="1"/>
  <c r="AN2" i="2"/>
  <c r="CP53" i="1"/>
  <c r="CP122" i="1" s="1"/>
  <c r="CP85" i="2"/>
  <c r="CP84" i="2" s="1"/>
  <c r="CP27" i="2"/>
  <c r="AL56" i="22" s="1"/>
  <c r="AB72" i="1"/>
  <c r="AC72" i="1"/>
  <c r="AB71" i="1"/>
  <c r="CO38" i="9"/>
  <c r="CO39" i="9" s="1"/>
  <c r="CO37" i="9"/>
  <c r="AS86" i="2"/>
  <c r="AS87" i="2" s="1"/>
  <c r="AS88" i="2"/>
  <c r="AT85" i="2"/>
  <c r="CY67" i="1"/>
  <c r="CY65" i="1"/>
  <c r="CF53" i="1"/>
  <c r="CF122" i="1" s="1"/>
  <c r="R40" i="22"/>
  <c r="BV16" i="2"/>
  <c r="BV19" i="2"/>
  <c r="R48" i="22" s="1"/>
  <c r="BV22" i="2"/>
  <c r="R51" i="22" s="1"/>
  <c r="BV53" i="2"/>
  <c r="BV55" i="2" s="1"/>
  <c r="BV43" i="2"/>
  <c r="R73" i="22" s="1"/>
  <c r="AS57" i="2"/>
  <c r="AS70" i="2"/>
  <c r="BR37" i="9"/>
  <c r="BR38" i="9"/>
  <c r="BR39" i="9" s="1"/>
  <c r="AP62" i="1"/>
  <c r="Q48" i="1"/>
  <c r="CR25" i="2"/>
  <c r="AN54" i="22" s="1"/>
  <c r="AX2" i="2"/>
  <c r="CK93" i="1"/>
  <c r="CK95" i="1"/>
  <c r="AE33" i="22"/>
  <c r="CI11" i="2"/>
  <c r="CI10" i="2"/>
  <c r="AE39" i="22" s="1"/>
  <c r="U57" i="1"/>
  <c r="U52" i="1"/>
  <c r="F55" i="1"/>
  <c r="F54" i="1"/>
  <c r="BW67" i="1"/>
  <c r="BW65" i="1"/>
  <c r="BW62" i="1"/>
  <c r="BR141" i="1"/>
  <c r="BR69" i="1"/>
  <c r="BR5" i="1"/>
  <c r="BR4" i="1" s="1"/>
  <c r="BS11" i="1"/>
  <c r="CW148" i="1"/>
  <c r="S93" i="1"/>
  <c r="S95" i="1"/>
  <c r="BJ122" i="1"/>
  <c r="C72" i="1"/>
  <c r="D72" i="1"/>
  <c r="AA18" i="22"/>
  <c r="CE21" i="9"/>
  <c r="CE14" i="9"/>
  <c r="CE18" i="9"/>
  <c r="AA19" i="22" s="1"/>
  <c r="CH17" i="9"/>
  <c r="CH20" i="2" s="1"/>
  <c r="AD49" i="22" s="1"/>
  <c r="CE29" i="9"/>
  <c r="CE20" i="2"/>
  <c r="AA49" i="22" s="1"/>
  <c r="AU18" i="22"/>
  <c r="CY21" i="9"/>
  <c r="CY29" i="9"/>
  <c r="DB17" i="9"/>
  <c r="DB20" i="2" s="1"/>
  <c r="AX49" i="22" s="1"/>
  <c r="CY18" i="9"/>
  <c r="AU19" i="22" s="1"/>
  <c r="CY20" i="2"/>
  <c r="AU49" i="22" s="1"/>
  <c r="BN16" i="9"/>
  <c r="J17" i="22" s="1"/>
  <c r="J16" i="22"/>
  <c r="CU145" i="1"/>
  <c r="AP18" i="22"/>
  <c r="CT18" i="9"/>
  <c r="AP19" i="22" s="1"/>
  <c r="CT29" i="9"/>
  <c r="CT21" i="9"/>
  <c r="AP22" i="22" s="1"/>
  <c r="CT20" i="2"/>
  <c r="AP49" i="22" s="1"/>
  <c r="BT40" i="9"/>
  <c r="BT35" i="9"/>
  <c r="BT37" i="9" s="1"/>
  <c r="BL30" i="15"/>
  <c r="CI54" i="1"/>
  <c r="CI55" i="1"/>
  <c r="AS9" i="22"/>
  <c r="DD52" i="9"/>
  <c r="BA27" i="2"/>
  <c r="AZ53" i="1"/>
  <c r="BA86" i="2"/>
  <c r="BA87" i="2" s="1"/>
  <c r="O43" i="22"/>
  <c r="BS61" i="2"/>
  <c r="BX120" i="1"/>
  <c r="BX57" i="1"/>
  <c r="BX121" i="1"/>
  <c r="BX52" i="1"/>
  <c r="BW53" i="1"/>
  <c r="BW27" i="2"/>
  <c r="S56" i="22" s="1"/>
  <c r="CI20" i="9"/>
  <c r="AE21" i="22" s="1"/>
  <c r="CH140" i="1"/>
  <c r="CH60" i="1"/>
  <c r="O95" i="1"/>
  <c r="O93" i="1"/>
  <c r="E5" i="22"/>
  <c r="BI8" i="9"/>
  <c r="K46" i="22"/>
  <c r="CS80" i="1"/>
  <c r="CS81" i="1" s="1"/>
  <c r="BB16" i="2"/>
  <c r="BB43" i="2"/>
  <c r="BB19" i="2"/>
  <c r="BB22" i="2"/>
  <c r="BB53" i="2"/>
  <c r="BB55" i="2" s="1"/>
  <c r="BA72" i="1"/>
  <c r="B93" i="1"/>
  <c r="B95" i="1"/>
  <c r="F95" i="1" s="1"/>
  <c r="AD38" i="22"/>
  <c r="D33" i="22"/>
  <c r="AC38" i="22"/>
  <c r="CG8" i="2"/>
  <c r="CZ88" i="1"/>
  <c r="CZ89" i="1" s="1"/>
  <c r="BR6" i="15"/>
  <c r="BR60" i="1"/>
  <c r="BR63" i="1" s="1"/>
  <c r="BR41" i="2" s="1"/>
  <c r="N71" i="22" s="1"/>
  <c r="BR140" i="1"/>
  <c r="BS8" i="1"/>
  <c r="CR14" i="15"/>
  <c r="CN14" i="15"/>
  <c r="CM139" i="1"/>
  <c r="CM51" i="1"/>
  <c r="CN25" i="2"/>
  <c r="AJ54" i="22" s="1"/>
  <c r="CM25" i="2"/>
  <c r="AI54" i="22" s="1"/>
  <c r="O53" i="22"/>
  <c r="BS60" i="2"/>
  <c r="BS25" i="2"/>
  <c r="O54" i="22" s="1"/>
  <c r="CY38" i="9"/>
  <c r="CY39" i="9" s="1"/>
  <c r="CY43" i="9"/>
  <c r="CY37" i="9"/>
  <c r="BY71" i="1"/>
  <c r="BY80" i="1"/>
  <c r="BY81" i="1" s="1"/>
  <c r="CI37" i="9"/>
  <c r="CI38" i="9"/>
  <c r="BZ67" i="1"/>
  <c r="BZ65" i="1"/>
  <c r="BZ62" i="1"/>
  <c r="BE16" i="2"/>
  <c r="BI11" i="2"/>
  <c r="BI22" i="2" s="1"/>
  <c r="E51" i="22" s="1"/>
  <c r="BE43" i="2"/>
  <c r="BE19" i="2"/>
  <c r="BE22" i="2"/>
  <c r="BE53" i="2"/>
  <c r="BE55" i="2" s="1"/>
  <c r="CT89" i="1"/>
  <c r="M138" i="1"/>
  <c r="M151" i="1" s="1"/>
  <c r="AS80" i="1"/>
  <c r="AS81" i="1" s="1"/>
  <c r="CE85" i="2"/>
  <c r="CE84" i="2" s="1"/>
  <c r="AI44" i="22"/>
  <c r="BL62" i="1"/>
  <c r="AX70" i="2"/>
  <c r="AX57" i="2"/>
  <c r="AT9" i="2"/>
  <c r="AT10" i="2" s="1"/>
  <c r="AS8" i="2"/>
  <c r="AT8" i="2" s="1"/>
  <c r="AV53" i="2"/>
  <c r="AV55" i="2" s="1"/>
  <c r="AV43" i="2"/>
  <c r="AV22" i="2"/>
  <c r="AV16" i="2"/>
  <c r="AV19" i="2"/>
  <c r="AO58" i="22"/>
  <c r="CW29" i="2"/>
  <c r="AS58" i="22" s="1"/>
  <c r="BW144" i="1"/>
  <c r="BX18" i="1"/>
  <c r="BX144" i="1" s="1"/>
  <c r="BU72" i="1"/>
  <c r="BV72" i="1"/>
  <c r="BU71" i="1"/>
  <c r="BI113" i="1"/>
  <c r="BH114" i="1"/>
  <c r="CD80" i="1"/>
  <c r="CD81" i="1" s="1"/>
  <c r="BK53" i="1"/>
  <c r="BK122" i="1" s="1"/>
  <c r="BL27" i="2"/>
  <c r="H56" i="22" s="1"/>
  <c r="BK27" i="2"/>
  <c r="G56" i="22" s="1"/>
  <c r="BL86" i="2"/>
  <c r="BL87" i="2" s="1"/>
  <c r="BK86" i="2"/>
  <c r="BK87" i="2" s="1"/>
  <c r="CO80" i="1"/>
  <c r="CO81" i="1" s="1"/>
  <c r="BH80" i="1"/>
  <c r="BH81" i="1" s="1"/>
  <c r="BH17" i="9"/>
  <c r="BH14" i="9" s="1"/>
  <c r="BH16" i="9"/>
  <c r="BI15" i="9"/>
  <c r="AH122" i="1"/>
  <c r="AH55" i="1"/>
  <c r="R16" i="2"/>
  <c r="R37" i="2" s="1"/>
  <c r="R39" i="2" s="1"/>
  <c r="R19" i="2"/>
  <c r="R53" i="2"/>
  <c r="R55" i="2" s="1"/>
  <c r="R43" i="2"/>
  <c r="R22" i="2"/>
  <c r="K145" i="1"/>
  <c r="AN42" i="22"/>
  <c r="CR54" i="2"/>
  <c r="AE89" i="1"/>
  <c r="CK53" i="1"/>
  <c r="CK85" i="2"/>
  <c r="CK84" i="2" s="1"/>
  <c r="CK27" i="2"/>
  <c r="AG56" i="22" s="1"/>
  <c r="CH121" i="1"/>
  <c r="CH52" i="1"/>
  <c r="CH120" i="1"/>
  <c r="CH57" i="1"/>
  <c r="CD26" i="1"/>
  <c r="BG63" i="1"/>
  <c r="BG41" i="2" s="1"/>
  <c r="CF85" i="2"/>
  <c r="CF84" i="2" s="1"/>
  <c r="BZ37" i="9"/>
  <c r="BZ38" i="9"/>
  <c r="BZ39" i="9" s="1"/>
  <c r="J70" i="22"/>
  <c r="BN64" i="2"/>
  <c r="T71" i="1"/>
  <c r="T80" i="1"/>
  <c r="T81" i="1" s="1"/>
  <c r="BW86" i="2"/>
  <c r="BW87" i="2" s="1"/>
  <c r="AU61" i="22"/>
  <c r="CS40" i="9"/>
  <c r="CS38" i="9" s="1"/>
  <c r="CW35" i="9"/>
  <c r="CS35" i="9"/>
  <c r="CS37" i="9" s="1"/>
  <c r="AK35" i="9"/>
  <c r="AO35" i="9"/>
  <c r="C70" i="2"/>
  <c r="C57" i="2"/>
  <c r="AN81" i="2"/>
  <c r="AM57" i="1"/>
  <c r="C76" i="22"/>
  <c r="AY65" i="2"/>
  <c r="J55" i="22"/>
  <c r="BN61" i="2"/>
  <c r="BN59" i="2" s="1"/>
  <c r="AN80" i="1"/>
  <c r="AN81" i="1" s="1"/>
  <c r="AN71" i="1"/>
  <c r="AC50" i="22"/>
  <c r="CZ67" i="1"/>
  <c r="AZ64" i="1"/>
  <c r="AZ65" i="1" s="1"/>
  <c r="BD18" i="7"/>
  <c r="AO89" i="1"/>
  <c r="AX47" i="22"/>
  <c r="AR42" i="22"/>
  <c r="CV71" i="2"/>
  <c r="CV70" i="1"/>
  <c r="CV12" i="2"/>
  <c r="CV54" i="2"/>
  <c r="CS20" i="9"/>
  <c r="AO21" i="22" s="1"/>
  <c r="CW20" i="9"/>
  <c r="AS21" i="22" s="1"/>
  <c r="CR140" i="1"/>
  <c r="CR60" i="1"/>
  <c r="AH53" i="2"/>
  <c r="AH55" i="2" s="1"/>
  <c r="AH22" i="2"/>
  <c r="AH16" i="2"/>
  <c r="AH43" i="2"/>
  <c r="AH19" i="2"/>
  <c r="AP40" i="22"/>
  <c r="CT53" i="2"/>
  <c r="CT55" i="2" s="1"/>
  <c r="CT19" i="2"/>
  <c r="AP48" i="22" s="1"/>
  <c r="CT16" i="2"/>
  <c r="CT43" i="2"/>
  <c r="AP73" i="22" s="1"/>
  <c r="CT22" i="2"/>
  <c r="AP51" i="22" s="1"/>
  <c r="CY11" i="1"/>
  <c r="BY138" i="1"/>
  <c r="BY151" i="1" s="1"/>
  <c r="AW62" i="22"/>
  <c r="DA32" i="2"/>
  <c r="AW61" i="22" s="1"/>
  <c r="AN114" i="1"/>
  <c r="AN116" i="1" s="1"/>
  <c r="AN118" i="1" s="1"/>
  <c r="AO113" i="1"/>
  <c r="AN115" i="1"/>
  <c r="CO89" i="1"/>
  <c r="CZ37" i="9"/>
  <c r="CZ38" i="9"/>
  <c r="CZ39" i="9" s="1"/>
  <c r="AE26" i="1"/>
  <c r="AD76" i="22"/>
  <c r="CH65" i="2"/>
  <c r="U80" i="1"/>
  <c r="U81" i="1" s="1"/>
  <c r="CU62" i="1"/>
  <c r="CU67" i="1"/>
  <c r="CT80" i="1"/>
  <c r="CT81" i="1" s="1"/>
  <c r="F40" i="22"/>
  <c r="BJ53" i="2"/>
  <c r="BJ55" i="2" s="1"/>
  <c r="BJ43" i="2"/>
  <c r="F73" i="22" s="1"/>
  <c r="BJ19" i="2"/>
  <c r="F48" i="22" s="1"/>
  <c r="BJ22" i="2"/>
  <c r="F51" i="22" s="1"/>
  <c r="BJ16" i="2"/>
  <c r="CF20" i="9"/>
  <c r="AB21" i="22" s="1"/>
  <c r="CE140" i="1"/>
  <c r="CE60" i="1"/>
  <c r="BU86" i="2"/>
  <c r="BU87" i="2" s="1"/>
  <c r="BT53" i="1"/>
  <c r="BU27" i="2"/>
  <c r="Q56" i="22" s="1"/>
  <c r="CQ141" i="1"/>
  <c r="CQ5" i="1"/>
  <c r="CQ4" i="1" s="1"/>
  <c r="CQ69" i="1"/>
  <c r="CR11" i="1"/>
  <c r="AK57" i="22"/>
  <c r="CO60" i="2"/>
  <c r="CO59" i="2" s="1"/>
  <c r="CO23" i="2"/>
  <c r="CQ28" i="2"/>
  <c r="D7" i="22"/>
  <c r="BE6" i="9"/>
  <c r="BF6" i="9" s="1"/>
  <c r="BG6" i="9" s="1"/>
  <c r="N80" i="1"/>
  <c r="N81" i="1" s="1"/>
  <c r="N71" i="1"/>
  <c r="AM42" i="22"/>
  <c r="CQ70" i="1"/>
  <c r="CQ54" i="2"/>
  <c r="CQ12" i="2"/>
  <c r="BK112" i="1"/>
  <c r="AZ63" i="1"/>
  <c r="CO65" i="1"/>
  <c r="CO67" i="1"/>
  <c r="DC145" i="1"/>
  <c r="CL74" i="1"/>
  <c r="CM73" i="1"/>
  <c r="CM74" i="1" s="1"/>
  <c r="AJ113" i="1"/>
  <c r="AI114" i="1"/>
  <c r="AI116" i="1" s="1"/>
  <c r="AI118" i="1" s="1"/>
  <c r="G71" i="1"/>
  <c r="G80" i="1"/>
  <c r="G81" i="1" s="1"/>
  <c r="CF145" i="1"/>
  <c r="AS140" i="1"/>
  <c r="AS6" i="15"/>
  <c r="AT8" i="1"/>
  <c r="AS60" i="1"/>
  <c r="AS63" i="1" s="1"/>
  <c r="AS41" i="2" s="1"/>
  <c r="S71" i="1"/>
  <c r="S80" i="1"/>
  <c r="S81" i="1" s="1"/>
  <c r="AX64" i="1"/>
  <c r="AY64" i="1" s="1"/>
  <c r="AY18" i="7"/>
  <c r="CO122" i="1"/>
  <c r="CA95" i="1"/>
  <c r="CA93" i="1"/>
  <c r="X34" i="22"/>
  <c r="CB4" i="2"/>
  <c r="CB61" i="1"/>
  <c r="AJ61" i="2"/>
  <c r="AJ59" i="2" s="1"/>
  <c r="AX36" i="9"/>
  <c r="AX61" i="1"/>
  <c r="AX9" i="2"/>
  <c r="AY5" i="2"/>
  <c r="AX4" i="2"/>
  <c r="BH145" i="1"/>
  <c r="AT64" i="2"/>
  <c r="BA9" i="22"/>
  <c r="BO71" i="1"/>
  <c r="AI141" i="1"/>
  <c r="AI69" i="1"/>
  <c r="AJ11" i="1"/>
  <c r="AI5" i="1"/>
  <c r="AI4" i="1" s="1"/>
  <c r="AD53" i="22"/>
  <c r="CH25" i="2"/>
  <c r="AD54" i="22" s="1"/>
  <c r="T34" i="22"/>
  <c r="BX61" i="1"/>
  <c r="AI70" i="22"/>
  <c r="CM64" i="2"/>
  <c r="CH21" i="2"/>
  <c r="AW42" i="22"/>
  <c r="DA71" i="2"/>
  <c r="DA54" i="2"/>
  <c r="DA70" i="1"/>
  <c r="DA12" i="2"/>
  <c r="AW41" i="22" s="1"/>
  <c r="AF33" i="22"/>
  <c r="CJ11" i="2"/>
  <c r="CJ10" i="2"/>
  <c r="AF39" i="22" s="1"/>
  <c r="CH8" i="15"/>
  <c r="CH9" i="15" s="1"/>
  <c r="CH143" i="1"/>
  <c r="C80" i="1"/>
  <c r="C81" i="1" s="1"/>
  <c r="C76" i="1"/>
  <c r="C71" i="1"/>
  <c r="Q93" i="1"/>
  <c r="Q95" i="1"/>
  <c r="Q40" i="22"/>
  <c r="BU53" i="2"/>
  <c r="BU55" i="2" s="1"/>
  <c r="BU16" i="2"/>
  <c r="BU19" i="2"/>
  <c r="Q48" i="22" s="1"/>
  <c r="BU43" i="2"/>
  <c r="Q73" i="22" s="1"/>
  <c r="BU22" i="2"/>
  <c r="Q51" i="22" s="1"/>
  <c r="DA5" i="15"/>
  <c r="DA8" i="15" s="1"/>
  <c r="DA9" i="15" s="1"/>
  <c r="DA92" i="1"/>
  <c r="DB92" i="1" s="1"/>
  <c r="BZ71" i="1"/>
  <c r="BZ80" i="1"/>
  <c r="BZ81" i="1" s="1"/>
  <c r="AL34" i="22"/>
  <c r="CP36" i="9"/>
  <c r="CP61" i="1"/>
  <c r="CP4" i="2"/>
  <c r="CP71" i="2"/>
  <c r="AL80" i="22" s="1"/>
  <c r="AX138" i="1"/>
  <c r="E50" i="22"/>
  <c r="Z29" i="15"/>
  <c r="Z89" i="1"/>
  <c r="AR53" i="1"/>
  <c r="AS27" i="2"/>
  <c r="Y54" i="1"/>
  <c r="AI76" i="1"/>
  <c r="AJ75" i="1"/>
  <c r="AJ76" i="1" s="1"/>
  <c r="AB59" i="22"/>
  <c r="CF29" i="2"/>
  <c r="CF64" i="1"/>
  <c r="CH30" i="2"/>
  <c r="AD59" i="22" s="1"/>
  <c r="CF60" i="2"/>
  <c r="CF59" i="2" s="1"/>
  <c r="AT15" i="15"/>
  <c r="AT51" i="1"/>
  <c r="AT139" i="1"/>
  <c r="AU25" i="2"/>
  <c r="AU80" i="22"/>
  <c r="CY113" i="1"/>
  <c r="AX42" i="22"/>
  <c r="DB54" i="2"/>
  <c r="DB8" i="2"/>
  <c r="AX37" i="22" s="1"/>
  <c r="CJ65" i="1"/>
  <c r="CJ67" i="1"/>
  <c r="Q53" i="1"/>
  <c r="Q27" i="2"/>
  <c r="U27" i="2"/>
  <c r="AE8" i="15"/>
  <c r="AE9" i="15" s="1"/>
  <c r="AE143" i="1"/>
  <c r="AE138" i="1" s="1"/>
  <c r="CC120" i="1"/>
  <c r="DG16" i="1"/>
  <c r="BS120" i="1"/>
  <c r="Z71" i="1"/>
  <c r="BW5" i="15"/>
  <c r="BW8" i="15" s="1"/>
  <c r="BW9" i="15" s="1"/>
  <c r="BW92" i="1"/>
  <c r="BX68" i="2"/>
  <c r="BX5" i="15" s="1"/>
  <c r="O72" i="1"/>
  <c r="AO60" i="2"/>
  <c r="AO25" i="2"/>
  <c r="AL54" i="1"/>
  <c r="AL55" i="1"/>
  <c r="AF48" i="1"/>
  <c r="AV80" i="22"/>
  <c r="CZ113" i="1"/>
  <c r="AS145" i="1"/>
  <c r="AI60" i="22"/>
  <c r="CT37" i="9"/>
  <c r="CT38" i="9"/>
  <c r="CT39" i="9" s="1"/>
  <c r="CT43" i="9"/>
  <c r="BX18" i="7"/>
  <c r="AH50" i="22"/>
  <c r="AH62" i="22"/>
  <c r="CL32" i="2"/>
  <c r="CM32" i="2" s="1"/>
  <c r="AI61" i="22" s="1"/>
  <c r="Y53" i="22"/>
  <c r="CC60" i="2"/>
  <c r="CC25" i="2"/>
  <c r="Y54" i="22" s="1"/>
  <c r="CI62" i="1"/>
  <c r="CI67" i="1"/>
  <c r="AV53" i="1"/>
  <c r="AV122" i="1" s="1"/>
  <c r="AW86" i="2"/>
  <c r="AW87" i="2" s="1"/>
  <c r="AW27" i="2"/>
  <c r="CX37" i="9"/>
  <c r="CX38" i="9"/>
  <c r="BY48" i="1"/>
  <c r="AD60" i="22"/>
  <c r="C42" i="22"/>
  <c r="AY54" i="2"/>
  <c r="CL5" i="15"/>
  <c r="CL8" i="15" s="1"/>
  <c r="CL9" i="15" s="1"/>
  <c r="CL92" i="1"/>
  <c r="CM92" i="1" s="1"/>
  <c r="AJ33" i="22"/>
  <c r="CN10" i="2"/>
  <c r="AJ39" i="22" s="1"/>
  <c r="CN11" i="2"/>
  <c r="T122" i="1"/>
  <c r="T55" i="1"/>
  <c r="BX23" i="2"/>
  <c r="T52" i="22" s="1"/>
  <c r="BY53" i="1"/>
  <c r="BY122" i="1" s="1"/>
  <c r="BZ27" i="2"/>
  <c r="V56" i="22" s="1"/>
  <c r="AR48" i="1"/>
  <c r="AS60" i="22"/>
  <c r="AL48" i="1"/>
  <c r="AY141" i="1"/>
  <c r="AY5" i="1"/>
  <c r="AY4" i="1" s="1"/>
  <c r="AY69" i="1"/>
  <c r="AZ72" i="1" s="1"/>
  <c r="CG20" i="9"/>
  <c r="AC21" i="22" s="1"/>
  <c r="CF140" i="1"/>
  <c r="CF60" i="1"/>
  <c r="BB60" i="22"/>
  <c r="BD60" i="22"/>
  <c r="DG31" i="2"/>
  <c r="DD53" i="1"/>
  <c r="DD27" i="2"/>
  <c r="AZ56" i="22" s="1"/>
  <c r="C70" i="22"/>
  <c r="AY64" i="2"/>
  <c r="CX80" i="1"/>
  <c r="CX81" i="1" s="1"/>
  <c r="CJ43" i="9"/>
  <c r="CJ37" i="9"/>
  <c r="CJ38" i="9"/>
  <c r="CJ39" i="9" s="1"/>
  <c r="DA89" i="1"/>
  <c r="BK63" i="1"/>
  <c r="BK41" i="2" s="1"/>
  <c r="G71" i="22" s="1"/>
  <c r="BK62" i="1"/>
  <c r="CY53" i="1"/>
  <c r="CZ27" i="2"/>
  <c r="AV56" i="22" s="1"/>
  <c r="J54" i="1"/>
  <c r="J55" i="1"/>
  <c r="AF91" i="1"/>
  <c r="AG93" i="1" s="1"/>
  <c r="AF93" i="1"/>
  <c r="AR37" i="22"/>
  <c r="CW8" i="2"/>
  <c r="AS37" i="22" s="1"/>
  <c r="BJ27" i="2"/>
  <c r="F56" i="22" s="1"/>
  <c r="BI53" i="1"/>
  <c r="AW43" i="2"/>
  <c r="AW22" i="2"/>
  <c r="AW16" i="2"/>
  <c r="AW53" i="2"/>
  <c r="AW55" i="2" s="1"/>
  <c r="AW19" i="2"/>
  <c r="BR74" i="1"/>
  <c r="BS73" i="1"/>
  <c r="BS74" i="1" s="1"/>
  <c r="BB50" i="22"/>
  <c r="CM33" i="2"/>
  <c r="AI62" i="22" s="1"/>
  <c r="AO81" i="1"/>
  <c r="Z81" i="1"/>
  <c r="BS8" i="2"/>
  <c r="O37" i="22" s="1"/>
  <c r="BR88" i="1"/>
  <c r="BH65" i="1"/>
  <c r="BH67" i="1"/>
  <c r="AE57" i="1"/>
  <c r="AE52" i="1"/>
  <c r="CP95" i="1"/>
  <c r="CP93" i="1"/>
  <c r="Z40" i="22"/>
  <c r="CD43" i="2"/>
  <c r="Z73" i="22" s="1"/>
  <c r="CD19" i="2"/>
  <c r="Z48" i="22" s="1"/>
  <c r="CD53" i="2"/>
  <c r="CD55" i="2" s="1"/>
  <c r="CD16" i="2"/>
  <c r="BC93" i="1"/>
  <c r="BC95" i="1"/>
  <c r="BD95" i="1" s="1"/>
  <c r="E93" i="1"/>
  <c r="E95" i="1"/>
  <c r="AB95" i="1"/>
  <c r="AB93" i="1"/>
  <c r="AC71" i="1"/>
  <c r="AC80" i="1"/>
  <c r="AC81" i="1" s="1"/>
  <c r="CQ5" i="2"/>
  <c r="CQ71" i="2" s="1"/>
  <c r="U6" i="15"/>
  <c r="U141" i="1"/>
  <c r="U5" i="1"/>
  <c r="U4" i="1" s="1"/>
  <c r="U69" i="1"/>
  <c r="Z72" i="1" s="1"/>
  <c r="M72" i="1"/>
  <c r="AT54" i="2"/>
  <c r="AT71" i="2"/>
  <c r="CU20" i="9"/>
  <c r="AQ21" i="22" s="1"/>
  <c r="CT60" i="1"/>
  <c r="CT63" i="1" s="1"/>
  <c r="CT41" i="2" s="1"/>
  <c r="AP71" i="22" s="1"/>
  <c r="CT140" i="1"/>
  <c r="AL122" i="1"/>
  <c r="DD145" i="1"/>
  <c r="BP72" i="1"/>
  <c r="BP71" i="1"/>
  <c r="AJ121" i="1"/>
  <c r="BZ53" i="1"/>
  <c r="BZ122" i="1" s="1"/>
  <c r="CA27" i="2"/>
  <c r="W56" i="22" s="1"/>
  <c r="BW75" i="1"/>
  <c r="BX13" i="1"/>
  <c r="BX88" i="1" s="1"/>
  <c r="DB147" i="1"/>
  <c r="AJ56" i="2"/>
  <c r="AQ18" i="22"/>
  <c r="CU21" i="9"/>
  <c r="AQ22" i="22" s="1"/>
  <c r="CU29" i="9"/>
  <c r="CU18" i="9"/>
  <c r="AQ19" i="22" s="1"/>
  <c r="I72" i="1"/>
  <c r="K40" i="22"/>
  <c r="BO16" i="2"/>
  <c r="BO43" i="2"/>
  <c r="K73" i="22" s="1"/>
  <c r="BO19" i="2"/>
  <c r="K48" i="22" s="1"/>
  <c r="BO22" i="2"/>
  <c r="K51" i="22" s="1"/>
  <c r="BO53" i="2"/>
  <c r="BO55" i="2" s="1"/>
  <c r="CK112" i="1"/>
  <c r="BF55" i="1"/>
  <c r="BF54" i="1"/>
  <c r="BF122" i="1"/>
  <c r="AK71" i="1"/>
  <c r="CK80" i="1"/>
  <c r="CK81" i="1" s="1"/>
  <c r="CQ5" i="15"/>
  <c r="CQ8" i="15" s="1"/>
  <c r="CQ9" i="15" s="1"/>
  <c r="CQ92" i="1"/>
  <c r="CR68" i="2"/>
  <c r="CR5" i="15" s="1"/>
  <c r="CR8" i="15" s="1"/>
  <c r="CR9" i="15" s="1"/>
  <c r="M40" i="22"/>
  <c r="BQ16" i="2"/>
  <c r="BQ53" i="2"/>
  <c r="BQ55" i="2" s="1"/>
  <c r="BQ19" i="2"/>
  <c r="M48" i="22" s="1"/>
  <c r="BQ43" i="2"/>
  <c r="M73" i="22" s="1"/>
  <c r="BQ22" i="2"/>
  <c r="M51" i="22" s="1"/>
  <c r="CU80" i="1"/>
  <c r="CU81" i="1" s="1"/>
  <c r="BS14" i="15"/>
  <c r="BN139" i="1"/>
  <c r="BN51" i="1"/>
  <c r="BO14" i="15"/>
  <c r="BO25" i="2"/>
  <c r="K54" i="22" s="1"/>
  <c r="U40" i="22"/>
  <c r="BY19" i="2"/>
  <c r="U48" i="22" s="1"/>
  <c r="BY53" i="2"/>
  <c r="BY55" i="2" s="1"/>
  <c r="BY43" i="2"/>
  <c r="U73" i="22" s="1"/>
  <c r="BY22" i="2"/>
  <c r="U51" i="22" s="1"/>
  <c r="BY16" i="2"/>
  <c r="AS38" i="22"/>
  <c r="V22" i="2"/>
  <c r="V51" i="2"/>
  <c r="V43" i="2"/>
  <c r="Y51" i="2"/>
  <c r="X51" i="2"/>
  <c r="W51" i="2"/>
  <c r="V53" i="2"/>
  <c r="V55" i="2" s="1"/>
  <c r="V16" i="2"/>
  <c r="Z11" i="2"/>
  <c r="V19" i="2"/>
  <c r="AT65" i="1"/>
  <c r="AT67" i="1"/>
  <c r="BS13" i="1"/>
  <c r="BS88" i="1" s="1"/>
  <c r="BR75" i="1"/>
  <c r="AN36" i="9"/>
  <c r="AN61" i="1"/>
  <c r="AN4" i="2"/>
  <c r="AN9" i="2"/>
  <c r="AO5" i="2"/>
  <c r="AO40" i="22"/>
  <c r="CS16" i="2"/>
  <c r="CS19" i="2"/>
  <c r="AO48" i="22" s="1"/>
  <c r="CS53" i="2"/>
  <c r="CS55" i="2" s="1"/>
  <c r="CS43" i="2"/>
  <c r="AO73" i="22" s="1"/>
  <c r="CS22" i="2"/>
  <c r="AO51" i="22" s="1"/>
  <c r="D76" i="1"/>
  <c r="D71" i="1"/>
  <c r="D80" i="1"/>
  <c r="D81" i="1" s="1"/>
  <c r="BB66" i="22"/>
  <c r="DF160" i="1"/>
  <c r="DG36" i="2"/>
  <c r="DB68" i="2"/>
  <c r="DB5" i="15" s="1"/>
  <c r="DB8" i="15" s="1"/>
  <c r="DB9" i="15" s="1"/>
  <c r="M80" i="1"/>
  <c r="M81" i="1" s="1"/>
  <c r="M71" i="1"/>
  <c r="CW140" i="1"/>
  <c r="CX20" i="9"/>
  <c r="AT21" i="22" s="1"/>
  <c r="CW60" i="1"/>
  <c r="AX38" i="22"/>
  <c r="AR50" i="22"/>
  <c r="CW21" i="2"/>
  <c r="BW38" i="9"/>
  <c r="BW39" i="9" s="1"/>
  <c r="BW37" i="9"/>
  <c r="BW11" i="1"/>
  <c r="CG18" i="9"/>
  <c r="AC19" i="22" s="1"/>
  <c r="CG21" i="9"/>
  <c r="AC22" i="22" s="1"/>
  <c r="AC18" i="22"/>
  <c r="CG29" i="9"/>
  <c r="CW13" i="2"/>
  <c r="S33" i="22"/>
  <c r="BW11" i="2"/>
  <c r="BX11" i="2" s="1"/>
  <c r="X62" i="22"/>
  <c r="CB32" i="2"/>
  <c r="BN85" i="2"/>
  <c r="E71" i="1"/>
  <c r="E76" i="1"/>
  <c r="E80" i="1"/>
  <c r="E81" i="1" s="1"/>
  <c r="O71" i="1"/>
  <c r="CH18" i="7"/>
  <c r="AE41" i="22"/>
  <c r="AD71" i="1"/>
  <c r="AD80" i="1"/>
  <c r="AD81" i="1" s="1"/>
  <c r="BR43" i="9"/>
  <c r="BS42" i="9"/>
  <c r="BS43" i="9" s="1"/>
  <c r="P40" i="22"/>
  <c r="BT53" i="2"/>
  <c r="BT55" i="2" s="1"/>
  <c r="BT16" i="2"/>
  <c r="BT19" i="2"/>
  <c r="P48" i="22" s="1"/>
  <c r="BT43" i="2"/>
  <c r="P73" i="22" s="1"/>
  <c r="BT22" i="2"/>
  <c r="P51" i="22" s="1"/>
  <c r="CV5" i="15"/>
  <c r="CV8" i="15" s="1"/>
  <c r="CV9" i="15" s="1"/>
  <c r="CV92" i="1"/>
  <c r="CW92" i="1" s="1"/>
  <c r="BY62" i="1"/>
  <c r="BY67" i="1"/>
  <c r="BY65" i="1"/>
  <c r="BN147" i="1"/>
  <c r="BJ138" i="1"/>
  <c r="BJ151" i="1" s="1"/>
  <c r="BB74" i="22"/>
  <c r="BD74" i="22"/>
  <c r="BZ95" i="1"/>
  <c r="T55" i="22"/>
  <c r="BX27" i="2"/>
  <c r="T56" i="22" s="1"/>
  <c r="BX61" i="2"/>
  <c r="BA19" i="2"/>
  <c r="BA16" i="2"/>
  <c r="BA53" i="2"/>
  <c r="BA55" i="2" s="1"/>
  <c r="BA22" i="2"/>
  <c r="BA43" i="2"/>
  <c r="O34" i="22"/>
  <c r="BS61" i="1"/>
  <c r="Y70" i="22"/>
  <c r="CC64" i="2"/>
  <c r="W22" i="2"/>
  <c r="W43" i="2"/>
  <c r="W53" i="2"/>
  <c r="W55" i="2" s="1"/>
  <c r="W16" i="2"/>
  <c r="W37" i="2" s="1"/>
  <c r="W39" i="2" s="1"/>
  <c r="W19" i="2"/>
  <c r="AW53" i="1"/>
  <c r="AW122" i="1" s="1"/>
  <c r="AW72" i="1"/>
  <c r="S37" i="22"/>
  <c r="BX8" i="2"/>
  <c r="T37" i="22" s="1"/>
  <c r="BW88" i="1"/>
  <c r="AS65" i="1"/>
  <c r="AS67" i="1"/>
  <c r="AN55" i="2"/>
  <c r="B76" i="1"/>
  <c r="B80" i="1"/>
  <c r="B81" i="1" s="1"/>
  <c r="B71" i="1"/>
  <c r="L40" i="22"/>
  <c r="BP43" i="2"/>
  <c r="L73" i="22" s="1"/>
  <c r="BP22" i="2"/>
  <c r="L51" i="22" s="1"/>
  <c r="BP53" i="2"/>
  <c r="BP55" i="2" s="1"/>
  <c r="BP16" i="2"/>
  <c r="BP19" i="2"/>
  <c r="L48" i="22" s="1"/>
  <c r="CP145" i="1"/>
  <c r="CC148" i="1"/>
  <c r="CC103" i="1"/>
  <c r="AC62" i="22"/>
  <c r="CG32" i="2"/>
  <c r="CG17" i="2" s="1"/>
  <c r="AC46" i="22" s="1"/>
  <c r="CH33" i="2"/>
  <c r="AD62" i="22" s="1"/>
  <c r="AW50" i="22"/>
  <c r="DB21" i="2"/>
  <c r="DB56" i="2" s="1"/>
  <c r="Z27" i="2"/>
  <c r="X53" i="1"/>
  <c r="X122" i="1" s="1"/>
  <c r="X27" i="2"/>
  <c r="P6" i="15"/>
  <c r="P141" i="1"/>
  <c r="P5" i="1"/>
  <c r="P4" i="1" s="1"/>
  <c r="P69" i="1"/>
  <c r="DJ88" i="2"/>
  <c r="DK88" i="2" s="1"/>
  <c r="DM88" i="2" s="1"/>
  <c r="DN88" i="2" s="1"/>
  <c r="DO88" i="2" s="1"/>
  <c r="DP88" i="2" s="1"/>
  <c r="DR88" i="2" s="1"/>
  <c r="DS88" i="2" s="1"/>
  <c r="DT88" i="2" s="1"/>
  <c r="DU88" i="2" s="1"/>
  <c r="DW88" i="2" s="1"/>
  <c r="DX88" i="2" s="1"/>
  <c r="DY88" i="2" s="1"/>
  <c r="DZ88" i="2" s="1"/>
  <c r="EB88" i="2" s="1"/>
  <c r="EC88" i="2" s="1"/>
  <c r="ED88" i="2" s="1"/>
  <c r="EE88" i="2" s="1"/>
  <c r="AI76" i="22"/>
  <c r="CM65" i="2"/>
  <c r="AD47" i="22"/>
  <c r="BO54" i="1"/>
  <c r="BO55" i="1"/>
  <c r="AD16" i="2"/>
  <c r="AD37" i="2" s="1"/>
  <c r="AD39" i="2" s="1"/>
  <c r="AD53" i="2"/>
  <c r="AD55" i="2" s="1"/>
  <c r="AD19" i="2"/>
  <c r="AD43" i="2"/>
  <c r="AD22" i="2"/>
  <c r="M95" i="1"/>
  <c r="M93" i="1"/>
  <c r="AU33" i="22"/>
  <c r="CY10" i="2"/>
  <c r="AU39" i="22" s="1"/>
  <c r="CY11" i="2"/>
  <c r="AP16" i="2"/>
  <c r="AT11" i="2"/>
  <c r="AP19" i="2"/>
  <c r="AP22" i="2"/>
  <c r="AP53" i="2"/>
  <c r="AP55" i="2" s="1"/>
  <c r="AP43" i="2"/>
  <c r="CA38" i="9"/>
  <c r="CA39" i="9" s="1"/>
  <c r="CA37" i="9"/>
  <c r="R53" i="1"/>
  <c r="R27" i="2"/>
  <c r="CB95" i="1"/>
  <c r="CB91" i="1" s="1"/>
  <c r="CC91" i="1" s="1"/>
  <c r="CD91" i="1" s="1"/>
  <c r="CE93" i="1" s="1"/>
  <c r="CB93" i="1"/>
  <c r="BC80" i="1"/>
  <c r="BC81" i="1" s="1"/>
  <c r="CC92" i="1"/>
  <c r="BY95" i="1"/>
  <c r="CI64" i="1"/>
  <c r="CI65" i="1" s="1"/>
  <c r="CM18" i="7"/>
  <c r="AN55" i="22"/>
  <c r="CR61" i="2"/>
  <c r="T38" i="22"/>
  <c r="BX10" i="2"/>
  <c r="T39" i="22" s="1"/>
  <c r="AQ63" i="1"/>
  <c r="AQ41" i="2" s="1"/>
  <c r="AQ62" i="1"/>
  <c r="AO61" i="2"/>
  <c r="C66" i="22"/>
  <c r="AY160" i="1"/>
  <c r="V33" i="22"/>
  <c r="BZ11" i="2"/>
  <c r="BZ10" i="2"/>
  <c r="V39" i="22" s="1"/>
  <c r="BY43" i="9"/>
  <c r="BY38" i="9"/>
  <c r="BY37" i="9"/>
  <c r="BJ62" i="1"/>
  <c r="AM72" i="1"/>
  <c r="AM71" i="1"/>
  <c r="I93" i="1"/>
  <c r="I95" i="1"/>
  <c r="AK112" i="1"/>
  <c r="AK115" i="1"/>
  <c r="AK117" i="1" s="1"/>
  <c r="AW63" i="1"/>
  <c r="AW41" i="2" s="1"/>
  <c r="AW62" i="1"/>
  <c r="AM81" i="2"/>
  <c r="AO20" i="2"/>
  <c r="AO56" i="2"/>
  <c r="CA63" i="1"/>
  <c r="CA41" i="2" s="1"/>
  <c r="W71" i="22" s="1"/>
  <c r="Z46" i="22"/>
  <c r="AV33" i="22"/>
  <c r="CZ11" i="2"/>
  <c r="CZ10" i="2"/>
  <c r="AV39" i="22" s="1"/>
  <c r="BU53" i="1"/>
  <c r="BU122" i="1" s="1"/>
  <c r="BV27" i="2"/>
  <c r="R56" i="22" s="1"/>
  <c r="AQ33" i="22"/>
  <c r="CU10" i="2"/>
  <c r="AQ39" i="22" s="1"/>
  <c r="CU11" i="2"/>
  <c r="CG28" i="1"/>
  <c r="CH29" i="1"/>
  <c r="BB57" i="1"/>
  <c r="BC81" i="2"/>
  <c r="AM50" i="22"/>
  <c r="C25" i="11"/>
  <c r="DT86" i="2"/>
  <c r="DU87" i="2"/>
  <c r="BD29" i="11"/>
  <c r="BI29" i="11" s="1"/>
  <c r="BN29" i="11" s="1"/>
  <c r="BS29" i="11" s="1"/>
  <c r="BX29" i="11" s="1"/>
  <c r="CC29" i="11" s="1"/>
  <c r="CH29" i="11" s="1"/>
  <c r="CM29" i="11" s="1"/>
  <c r="CR29" i="11" s="1"/>
  <c r="CW29" i="11" s="1"/>
  <c r="DB29" i="11" s="1"/>
  <c r="DG29" i="11" s="1"/>
  <c r="DL29" i="11" s="1"/>
  <c r="DQ29" i="11" s="1"/>
  <c r="DV29" i="11" s="1"/>
  <c r="EA29" i="11" s="1"/>
  <c r="EF29" i="11" s="1"/>
  <c r="N77" i="2" l="1"/>
  <c r="N106" i="1"/>
  <c r="CO62" i="1"/>
  <c r="CQ27" i="1"/>
  <c r="CQ26" i="1" s="1"/>
  <c r="CQ48" i="1" s="1"/>
  <c r="BY10" i="15"/>
  <c r="CQ50" i="1"/>
  <c r="CQ53" i="1" s="1"/>
  <c r="CQ122" i="1" s="1"/>
  <c r="BX50" i="1"/>
  <c r="BY27" i="2" s="1"/>
  <c r="U56" i="22" s="1"/>
  <c r="CR28" i="1"/>
  <c r="CR50" i="1" s="1"/>
  <c r="BS71" i="2"/>
  <c r="O80" i="22" s="1"/>
  <c r="BX27" i="1"/>
  <c r="BX26" i="1" s="1"/>
  <c r="CQ146" i="1"/>
  <c r="CQ145" i="1" s="1"/>
  <c r="AK165" i="1"/>
  <c r="AZ37" i="9"/>
  <c r="AZ58" i="9" s="1"/>
  <c r="AZ57" i="9"/>
  <c r="AK154" i="1"/>
  <c r="AF154" i="1"/>
  <c r="R154" i="1"/>
  <c r="BR146" i="1"/>
  <c r="BR145" i="1" s="1"/>
  <c r="BR27" i="1"/>
  <c r="BR26" i="1" s="1"/>
  <c r="BR48" i="1" s="1"/>
  <c r="AJ58" i="22"/>
  <c r="L9" i="7"/>
  <c r="L23" i="9" s="1"/>
  <c r="N23" i="9"/>
  <c r="N3" i="9"/>
  <c r="N25" i="1"/>
  <c r="N3" i="15"/>
  <c r="BZ85" i="1"/>
  <c r="AB154" i="1"/>
  <c r="N51" i="9"/>
  <c r="N45" i="9"/>
  <c r="CZ122" i="1"/>
  <c r="N52" i="2"/>
  <c r="N3" i="2"/>
  <c r="N59" i="1"/>
  <c r="N3" i="1"/>
  <c r="BZ101" i="1"/>
  <c r="N154" i="1"/>
  <c r="N130" i="1"/>
  <c r="BK57" i="2"/>
  <c r="BK58" i="2" s="1"/>
  <c r="N32" i="9"/>
  <c r="DC6" i="15"/>
  <c r="BS115" i="1"/>
  <c r="BS117" i="1" s="1"/>
  <c r="BR10" i="15"/>
  <c r="AI138" i="1"/>
  <c r="AI151" i="1" s="1"/>
  <c r="AI152" i="1" s="1"/>
  <c r="BO165" i="1"/>
  <c r="J14" i="22"/>
  <c r="BS28" i="1"/>
  <c r="BS10" i="15" s="1"/>
  <c r="BO152" i="1"/>
  <c r="B70" i="2"/>
  <c r="M9" i="7"/>
  <c r="M130" i="1" s="1"/>
  <c r="M54" i="1"/>
  <c r="M55" i="1"/>
  <c r="M3" i="11"/>
  <c r="M122" i="1"/>
  <c r="BS2" i="2"/>
  <c r="DF114" i="1"/>
  <c r="DF116" i="1" s="1"/>
  <c r="DF118" i="1" s="1"/>
  <c r="DF115" i="1"/>
  <c r="DF117" i="1" s="1"/>
  <c r="DF67" i="1"/>
  <c r="DF62" i="1"/>
  <c r="DF38" i="9"/>
  <c r="DF39" i="9" s="1"/>
  <c r="DF43" i="9"/>
  <c r="DF37" i="9"/>
  <c r="BR114" i="1"/>
  <c r="BR116" i="1" s="1"/>
  <c r="BR118" i="1" s="1"/>
  <c r="DF80" i="1"/>
  <c r="DF81" i="1" s="1"/>
  <c r="DF71" i="1"/>
  <c r="BK37" i="2"/>
  <c r="G67" i="22" s="1"/>
  <c r="CR29" i="2"/>
  <c r="AN58" i="22" s="1"/>
  <c r="DF11" i="2"/>
  <c r="DF10" i="2"/>
  <c r="BB39" i="22" s="1"/>
  <c r="AO6" i="15"/>
  <c r="CB113" i="1"/>
  <c r="CB115" i="1" s="1"/>
  <c r="AC63" i="2"/>
  <c r="AL154" i="1"/>
  <c r="CP63" i="1"/>
  <c r="CP41" i="2" s="1"/>
  <c r="AL71" i="22" s="1"/>
  <c r="BS113" i="1"/>
  <c r="AH154" i="1"/>
  <c r="AH152" i="1"/>
  <c r="AH165" i="1"/>
  <c r="BC122" i="1"/>
  <c r="O42" i="22"/>
  <c r="Y63" i="2"/>
  <c r="BD27" i="2"/>
  <c r="D56" i="22" s="1"/>
  <c r="BG116" i="1"/>
  <c r="BG118" i="1" s="1"/>
  <c r="AY50" i="1"/>
  <c r="AY53" i="1" s="1"/>
  <c r="AY122" i="1" s="1"/>
  <c r="AY27" i="1"/>
  <c r="AY26" i="1" s="1"/>
  <c r="AY48" i="1" s="1"/>
  <c r="AY146" i="1"/>
  <c r="AY145" i="1" s="1"/>
  <c r="CZ5" i="1"/>
  <c r="CZ4" i="1" s="1"/>
  <c r="CZ48" i="1" s="1"/>
  <c r="DC19" i="2"/>
  <c r="AY48" i="22" s="1"/>
  <c r="DC16" i="2"/>
  <c r="AY45" i="22" s="1"/>
  <c r="BZ98" i="1"/>
  <c r="DD19" i="2"/>
  <c r="AZ48" i="22" s="1"/>
  <c r="BD10" i="15"/>
  <c r="DC53" i="2"/>
  <c r="DC55" i="2" s="1"/>
  <c r="DC70" i="2" s="1"/>
  <c r="AY79" i="22" s="1"/>
  <c r="DD43" i="2"/>
  <c r="AZ73" i="22" s="1"/>
  <c r="AZ70" i="2"/>
  <c r="BC86" i="2"/>
  <c r="BC87" i="2" s="1"/>
  <c r="BC27" i="2"/>
  <c r="AZ10" i="15"/>
  <c r="DC43" i="2"/>
  <c r="AY73" i="22" s="1"/>
  <c r="AQ70" i="2"/>
  <c r="BD86" i="2"/>
  <c r="BD87" i="2" s="1"/>
  <c r="AY40" i="22"/>
  <c r="BD89" i="1"/>
  <c r="BX12" i="2"/>
  <c r="AC70" i="2"/>
  <c r="BX2" i="2"/>
  <c r="CC8" i="1"/>
  <c r="CC60" i="1" s="1"/>
  <c r="BD53" i="1"/>
  <c r="BD122" i="1" s="1"/>
  <c r="BB152" i="1"/>
  <c r="BS12" i="2"/>
  <c r="O41" i="22" s="1"/>
  <c r="BX71" i="2"/>
  <c r="T80" i="22" s="1"/>
  <c r="CL85" i="2"/>
  <c r="CL84" i="2" s="1"/>
  <c r="AU44" i="9"/>
  <c r="AU59" i="9" s="1"/>
  <c r="BB154" i="1"/>
  <c r="BX54" i="2"/>
  <c r="C45" i="2"/>
  <c r="C47" i="2" s="1"/>
  <c r="CB60" i="1"/>
  <c r="CB63" i="1" s="1"/>
  <c r="CB41" i="2" s="1"/>
  <c r="X71" i="22" s="1"/>
  <c r="CW27" i="1"/>
  <c r="CW26" i="1" s="1"/>
  <c r="AK15" i="22"/>
  <c r="BE30" i="15"/>
  <c r="AJ19" i="2"/>
  <c r="CK141" i="1"/>
  <c r="CK138" i="1" s="1"/>
  <c r="CK151" i="1" s="1"/>
  <c r="CK152" i="1" s="1"/>
  <c r="CL49" i="1"/>
  <c r="H57" i="2"/>
  <c r="H74" i="2" s="1"/>
  <c r="CC75" i="1"/>
  <c r="CC76" i="1" s="1"/>
  <c r="X45" i="2"/>
  <c r="X48" i="2" s="1"/>
  <c r="BX6" i="9"/>
  <c r="T7" i="22" s="1"/>
  <c r="CE48" i="1"/>
  <c r="BS143" i="1"/>
  <c r="AH15" i="22"/>
  <c r="BS47" i="9"/>
  <c r="F48" i="1"/>
  <c r="BW113" i="1"/>
  <c r="BW115" i="1" s="1"/>
  <c r="AN48" i="1"/>
  <c r="U138" i="1"/>
  <c r="U151" i="1" s="1"/>
  <c r="U152" i="1" s="1"/>
  <c r="AR57" i="2"/>
  <c r="AR58" i="2" s="1"/>
  <c r="AR73" i="2" s="1"/>
  <c r="AY138" i="1"/>
  <c r="AJ22" i="2"/>
  <c r="CX18" i="9"/>
  <c r="AT19" i="22" s="1"/>
  <c r="AG152" i="1"/>
  <c r="AI67" i="1"/>
  <c r="AI62" i="1"/>
  <c r="BE27" i="2"/>
  <c r="CU138" i="1"/>
  <c r="CU151" i="1" s="1"/>
  <c r="CU154" i="1" s="1"/>
  <c r="CC13" i="9"/>
  <c r="Y14" i="22" s="1"/>
  <c r="CB6" i="15"/>
  <c r="CL27" i="2"/>
  <c r="AH56" i="22" s="1"/>
  <c r="AG154" i="1"/>
  <c r="BN70" i="1"/>
  <c r="BN80" i="1" s="1"/>
  <c r="BN81" i="1" s="1"/>
  <c r="BG115" i="1"/>
  <c r="BG117" i="1" s="1"/>
  <c r="AU57" i="9"/>
  <c r="BS8" i="15"/>
  <c r="BS9" i="15" s="1"/>
  <c r="BG54" i="1"/>
  <c r="DD16" i="2"/>
  <c r="AZ45" i="22" s="1"/>
  <c r="AH159" i="1"/>
  <c r="BR20" i="2"/>
  <c r="N49" i="22" s="1"/>
  <c r="DD72" i="1"/>
  <c r="P48" i="1"/>
  <c r="CS69" i="1"/>
  <c r="CS71" i="1" s="1"/>
  <c r="BK116" i="1"/>
  <c r="BK118" i="1" s="1"/>
  <c r="CU69" i="1"/>
  <c r="CU71" i="1" s="1"/>
  <c r="BE54" i="1"/>
  <c r="DR18" i="9"/>
  <c r="DS18" i="9" s="1"/>
  <c r="DT18" i="9" s="1"/>
  <c r="DU18" i="9" s="1"/>
  <c r="DW18" i="9" s="1"/>
  <c r="DX18" i="9" s="1"/>
  <c r="DY18" i="9" s="1"/>
  <c r="DZ18" i="9" s="1"/>
  <c r="EB18" i="9" s="1"/>
  <c r="EC18" i="9" s="1"/>
  <c r="ED18" i="9" s="1"/>
  <c r="EE18" i="9" s="1"/>
  <c r="BL19" i="22"/>
  <c r="CU5" i="1"/>
  <c r="CU4" i="1" s="1"/>
  <c r="CU48" i="1" s="1"/>
  <c r="BE122" i="1"/>
  <c r="BC5" i="11"/>
  <c r="BE5" i="11" s="1"/>
  <c r="DE115" i="1"/>
  <c r="DE117" i="1" s="1"/>
  <c r="DE112" i="1"/>
  <c r="DE116" i="1" s="1"/>
  <c r="DE118" i="1" s="1"/>
  <c r="AH62" i="2"/>
  <c r="DD71" i="1"/>
  <c r="AL165" i="1"/>
  <c r="S57" i="2"/>
  <c r="S58" i="2" s="1"/>
  <c r="S73" i="2" s="1"/>
  <c r="CK69" i="1"/>
  <c r="CK71" i="1" s="1"/>
  <c r="CK5" i="1"/>
  <c r="CK4" i="1" s="1"/>
  <c r="CK48" i="1" s="1"/>
  <c r="H152" i="1"/>
  <c r="DR20" i="9"/>
  <c r="DS20" i="9" s="1"/>
  <c r="DT20" i="9" s="1"/>
  <c r="DU20" i="9" s="1"/>
  <c r="DW20" i="9" s="1"/>
  <c r="DX20" i="9" s="1"/>
  <c r="DY20" i="9" s="1"/>
  <c r="DZ20" i="9" s="1"/>
  <c r="EB20" i="9" s="1"/>
  <c r="EC20" i="9" s="1"/>
  <c r="ED20" i="9" s="1"/>
  <c r="EE20" i="9" s="1"/>
  <c r="BL21" i="22"/>
  <c r="K55" i="1"/>
  <c r="K54" i="1"/>
  <c r="Z122" i="1"/>
  <c r="DJ5" i="11"/>
  <c r="DK5" i="11" s="1"/>
  <c r="DM5" i="11" s="1"/>
  <c r="DN5" i="11" s="1"/>
  <c r="DO5" i="11" s="1"/>
  <c r="DP5" i="11" s="1"/>
  <c r="DR5" i="11" s="1"/>
  <c r="DS5" i="11" s="1"/>
  <c r="DT5" i="11" s="1"/>
  <c r="DU5" i="11" s="1"/>
  <c r="DW5" i="11" s="1"/>
  <c r="DX5" i="11" s="1"/>
  <c r="DY5" i="11" s="1"/>
  <c r="DZ5" i="11" s="1"/>
  <c r="EB5" i="11" s="1"/>
  <c r="EC5" i="11" s="1"/>
  <c r="ED5" i="11" s="1"/>
  <c r="EE5" i="11" s="1"/>
  <c r="BD64" i="22"/>
  <c r="J57" i="2"/>
  <c r="J58" i="2" s="1"/>
  <c r="G57" i="2"/>
  <c r="G58" i="2" s="1"/>
  <c r="CM8" i="2"/>
  <c r="AI37" i="22" s="1"/>
  <c r="AA70" i="2"/>
  <c r="X57" i="2"/>
  <c r="X74" i="2" s="1"/>
  <c r="AI58" i="2"/>
  <c r="AI73" i="2" s="1"/>
  <c r="CC56" i="2"/>
  <c r="BK39" i="22"/>
  <c r="CY63" i="1"/>
  <c r="CY41" i="2" s="1"/>
  <c r="AU71" i="22" s="1"/>
  <c r="BG49" i="22"/>
  <c r="BD50" i="22"/>
  <c r="CE5" i="11"/>
  <c r="CF5" i="11" s="1"/>
  <c r="CF38" i="9"/>
  <c r="CF39" i="9" s="1"/>
  <c r="CF37" i="9"/>
  <c r="CV67" i="1"/>
  <c r="BL70" i="2"/>
  <c r="H79" i="22" s="1"/>
  <c r="BS104" i="1"/>
  <c r="AB80" i="22"/>
  <c r="CG71" i="1"/>
  <c r="CG71" i="2"/>
  <c r="AC80" i="22" s="1"/>
  <c r="CT6" i="15"/>
  <c r="AB57" i="2"/>
  <c r="AB74" i="2" s="1"/>
  <c r="AZ40" i="22"/>
  <c r="CH56" i="2"/>
  <c r="CB29" i="15"/>
  <c r="CB30" i="15" s="1"/>
  <c r="DB138" i="1"/>
  <c r="BI8" i="1"/>
  <c r="BN20" i="9" s="1"/>
  <c r="J21" i="22" s="1"/>
  <c r="BN67" i="1"/>
  <c r="CG36" i="9"/>
  <c r="CG37" i="9" s="1"/>
  <c r="CL54" i="1"/>
  <c r="CV11" i="2"/>
  <c r="CV22" i="2" s="1"/>
  <c r="AR51" i="22" s="1"/>
  <c r="CX138" i="1"/>
  <c r="CX151" i="1" s="1"/>
  <c r="CX154" i="1" s="1"/>
  <c r="AE48" i="1"/>
  <c r="DB5" i="1"/>
  <c r="DB4" i="1" s="1"/>
  <c r="DB1" i="1" s="1"/>
  <c r="CB5" i="1"/>
  <c r="CB4" i="1" s="1"/>
  <c r="BH60" i="1"/>
  <c r="BH63" i="1" s="1"/>
  <c r="BH41" i="2" s="1"/>
  <c r="BS98" i="1"/>
  <c r="BK115" i="1"/>
  <c r="BK117" i="1" s="1"/>
  <c r="B58" i="2"/>
  <c r="B73" i="2" s="1"/>
  <c r="AK70" i="2"/>
  <c r="CV62" i="1"/>
  <c r="BH6" i="15"/>
  <c r="AO14" i="15"/>
  <c r="DB69" i="1"/>
  <c r="DC72" i="1" s="1"/>
  <c r="AX37" i="2"/>
  <c r="CL138" i="1"/>
  <c r="CL151" i="1" s="1"/>
  <c r="CO151" i="1"/>
  <c r="CO165" i="1" s="1"/>
  <c r="Y6" i="22"/>
  <c r="AT112" i="1"/>
  <c r="CH89" i="1"/>
  <c r="CZ69" i="1"/>
  <c r="CZ71" i="1" s="1"/>
  <c r="CY62" i="1"/>
  <c r="CV41" i="2"/>
  <c r="AR71" i="22" s="1"/>
  <c r="BX11" i="9"/>
  <c r="BY11" i="9" s="1"/>
  <c r="DD53" i="2"/>
  <c r="DD55" i="2" s="1"/>
  <c r="DD70" i="2" s="1"/>
  <c r="AZ79" i="22" s="1"/>
  <c r="CQ138" i="1"/>
  <c r="CQ151" i="1" s="1"/>
  <c r="CQ152" i="1" s="1"/>
  <c r="CW27" i="2"/>
  <c r="AS56" i="22" s="1"/>
  <c r="T50" i="22"/>
  <c r="CJ6" i="15"/>
  <c r="DD48" i="1"/>
  <c r="O9" i="7"/>
  <c r="O3" i="9" s="1"/>
  <c r="K48" i="1"/>
  <c r="CH12" i="2"/>
  <c r="CH70" i="1" s="1"/>
  <c r="CH80" i="1" s="1"/>
  <c r="CH81" i="1" s="1"/>
  <c r="BY8" i="9"/>
  <c r="U9" i="22" s="1"/>
  <c r="DA6" i="15"/>
  <c r="CW146" i="1"/>
  <c r="CW145" i="1" s="1"/>
  <c r="AP5" i="11"/>
  <c r="BG55" i="1"/>
  <c r="AS71" i="1"/>
  <c r="CW50" i="1"/>
  <c r="CX85" i="2" s="1"/>
  <c r="CX84" i="2" s="1"/>
  <c r="CS141" i="1"/>
  <c r="CS138" i="1" s="1"/>
  <c r="CS151" i="1" s="1"/>
  <c r="CS165" i="1" s="1"/>
  <c r="CE138" i="1"/>
  <c r="CE151" i="1" s="1"/>
  <c r="CE152" i="1" s="1"/>
  <c r="AS91" i="2"/>
  <c r="L72" i="1"/>
  <c r="BX86" i="2"/>
  <c r="BX87" i="2" s="1"/>
  <c r="CA84" i="1"/>
  <c r="CA85" i="1" s="1"/>
  <c r="O3" i="11"/>
  <c r="BX84" i="1"/>
  <c r="BX101" i="1" s="1"/>
  <c r="AE71" i="1"/>
  <c r="BL37" i="2"/>
  <c r="H67" i="22" s="1"/>
  <c r="BH37" i="2"/>
  <c r="BW98" i="1"/>
  <c r="CL63" i="1"/>
  <c r="I57" i="2"/>
  <c r="I74" i="2" s="1"/>
  <c r="P95" i="1"/>
  <c r="CH60" i="2"/>
  <c r="CH59" i="2" s="1"/>
  <c r="BY84" i="1"/>
  <c r="BY98" i="1" s="1"/>
  <c r="BL91" i="2"/>
  <c r="CV85" i="2"/>
  <c r="CV84" i="2" s="1"/>
  <c r="T11" i="22"/>
  <c r="AJ16" i="2"/>
  <c r="AJ2" i="2" s="1"/>
  <c r="CW61" i="1"/>
  <c r="CW62" i="1" s="1"/>
  <c r="BU152" i="1"/>
  <c r="CV53" i="1"/>
  <c r="CV49" i="1" s="1"/>
  <c r="CV82" i="2" s="1"/>
  <c r="CV38" i="9"/>
  <c r="CV39" i="9" s="1"/>
  <c r="AM57" i="2"/>
  <c r="AM58" i="2" s="1"/>
  <c r="K53" i="2"/>
  <c r="K55" i="2" s="1"/>
  <c r="K70" i="2" s="1"/>
  <c r="AS54" i="1"/>
  <c r="AM91" i="2"/>
  <c r="CM60" i="2"/>
  <c r="CM59" i="2" s="1"/>
  <c r="CV37" i="9"/>
  <c r="AS55" i="1"/>
  <c r="AF72" i="1"/>
  <c r="DC138" i="1"/>
  <c r="DC151" i="1" s="1"/>
  <c r="AY89" i="1"/>
  <c r="BL115" i="1"/>
  <c r="BL117" i="1" s="1"/>
  <c r="BM6" i="15"/>
  <c r="AO16" i="2"/>
  <c r="AO2" i="2" s="1"/>
  <c r="CW36" i="9"/>
  <c r="CW37" i="9" s="1"/>
  <c r="CM14" i="9"/>
  <c r="AI15" i="22" s="1"/>
  <c r="CW4" i="2"/>
  <c r="AS33" i="22" s="1"/>
  <c r="P49" i="1"/>
  <c r="P55" i="1"/>
  <c r="P54" i="1"/>
  <c r="DA53" i="1"/>
  <c r="DA122" i="1" s="1"/>
  <c r="DA85" i="2"/>
  <c r="DA84" i="2" s="1"/>
  <c r="AQ165" i="1"/>
  <c r="AQ152" i="1"/>
  <c r="L154" i="1"/>
  <c r="L152" i="1"/>
  <c r="AX81" i="2"/>
  <c r="AW57" i="1"/>
  <c r="AW154" i="1"/>
  <c r="AW165" i="1"/>
  <c r="DB28" i="1"/>
  <c r="DB10" i="15" s="1"/>
  <c r="CD5" i="1"/>
  <c r="CD4" i="1" s="1"/>
  <c r="CD48" i="1" s="1"/>
  <c r="AR33" i="22"/>
  <c r="BN17" i="2"/>
  <c r="J46" i="22" s="1"/>
  <c r="BN85" i="1"/>
  <c r="BM69" i="1"/>
  <c r="BM72" i="1" s="1"/>
  <c r="CM27" i="2"/>
  <c r="AI56" i="22" s="1"/>
  <c r="CL122" i="1"/>
  <c r="DA10" i="15"/>
  <c r="BN27" i="2"/>
  <c r="J56" i="22" s="1"/>
  <c r="DB63" i="1"/>
  <c r="DB41" i="2" s="1"/>
  <c r="AX71" i="22" s="1"/>
  <c r="T70" i="2"/>
  <c r="AY86" i="2"/>
  <c r="AY87" i="2" s="1"/>
  <c r="DA63" i="1"/>
  <c r="DA41" i="2" s="1"/>
  <c r="AW71" i="22" s="1"/>
  <c r="P27" i="11"/>
  <c r="CL55" i="1"/>
  <c r="J47" i="2"/>
  <c r="AG45" i="2"/>
  <c r="AG48" i="2" s="1"/>
  <c r="C152" i="1"/>
  <c r="CM72" i="2"/>
  <c r="AO145" i="1"/>
  <c r="AM37" i="2"/>
  <c r="AG70" i="2"/>
  <c r="O152" i="1"/>
  <c r="AP44" i="9"/>
  <c r="AP59" i="9" s="1"/>
  <c r="BL165" i="1"/>
  <c r="AI48" i="1"/>
  <c r="W154" i="1"/>
  <c r="CJ115" i="1"/>
  <c r="CJ117" i="1" s="1"/>
  <c r="DA27" i="1"/>
  <c r="DA26" i="1" s="1"/>
  <c r="DA48" i="1" s="1"/>
  <c r="Y70" i="2"/>
  <c r="P9" i="7"/>
  <c r="P45" i="9" s="1"/>
  <c r="CC59" i="2"/>
  <c r="AK63" i="1"/>
  <c r="AK41" i="2" s="1"/>
  <c r="W5" i="7"/>
  <c r="R3" i="7"/>
  <c r="AP57" i="9"/>
  <c r="BM141" i="1"/>
  <c r="J63" i="2"/>
  <c r="P138" i="1"/>
  <c r="P151" i="1" s="1"/>
  <c r="P154" i="1" s="1"/>
  <c r="BX59" i="2"/>
  <c r="BX8" i="15"/>
  <c r="BX9" i="15" s="1"/>
  <c r="AK37" i="2"/>
  <c r="CM27" i="1"/>
  <c r="CM26" i="1" s="1"/>
  <c r="AZ165" i="1"/>
  <c r="BL152" i="1"/>
  <c r="AN30" i="15"/>
  <c r="DA146" i="1"/>
  <c r="DA145" i="1" s="1"/>
  <c r="DA151" i="1" s="1"/>
  <c r="B154" i="1"/>
  <c r="E33" i="22"/>
  <c r="CE6" i="15"/>
  <c r="CD138" i="1"/>
  <c r="CD151" i="1" s="1"/>
  <c r="Z151" i="1"/>
  <c r="Z154" i="1" s="1"/>
  <c r="CG93" i="2"/>
  <c r="AJ43" i="2"/>
  <c r="H63" i="2"/>
  <c r="O33" i="22"/>
  <c r="CM50" i="1"/>
  <c r="CM53" i="1" s="1"/>
  <c r="AZ152" i="1"/>
  <c r="AF165" i="1"/>
  <c r="BX47" i="9"/>
  <c r="CD69" i="1"/>
  <c r="CD71" i="1" s="1"/>
  <c r="K16" i="2"/>
  <c r="AE122" i="1"/>
  <c r="BX13" i="9"/>
  <c r="T14" i="22" s="1"/>
  <c r="E45" i="2"/>
  <c r="E47" i="2" s="1"/>
  <c r="AS30" i="15"/>
  <c r="AT30" i="15" s="1"/>
  <c r="AR165" i="1"/>
  <c r="O122" i="1"/>
  <c r="O49" i="1"/>
  <c r="O54" i="1"/>
  <c r="O55" i="1"/>
  <c r="CL48" i="1"/>
  <c r="CM146" i="1"/>
  <c r="CM145" i="1" s="1"/>
  <c r="K95" i="1"/>
  <c r="AY27" i="2"/>
  <c r="C56" i="22" s="1"/>
  <c r="BY115" i="1"/>
  <c r="BY117" i="1" s="1"/>
  <c r="CU6" i="15"/>
  <c r="AC34" i="22"/>
  <c r="I40" i="22"/>
  <c r="BM43" i="2"/>
  <c r="I73" i="22" s="1"/>
  <c r="BM53" i="2"/>
  <c r="BM55" i="2" s="1"/>
  <c r="BM70" i="2" s="1"/>
  <c r="I79" i="22" s="1"/>
  <c r="BM22" i="2"/>
  <c r="I51" i="22" s="1"/>
  <c r="BM19" i="2"/>
  <c r="I48" i="22" s="1"/>
  <c r="BM16" i="2"/>
  <c r="BN16" i="2" s="1"/>
  <c r="AW81" i="2"/>
  <c r="G154" i="1"/>
  <c r="G152" i="1"/>
  <c r="AJ41" i="2"/>
  <c r="I54" i="1"/>
  <c r="I49" i="1"/>
  <c r="I122" i="1"/>
  <c r="I55" i="1"/>
  <c r="BR93" i="1"/>
  <c r="BS92" i="1"/>
  <c r="CB69" i="1"/>
  <c r="CB141" i="1"/>
  <c r="CB138" i="1" s="1"/>
  <c r="CC11" i="1"/>
  <c r="CE22" i="2"/>
  <c r="AA51" i="22" s="1"/>
  <c r="CE16" i="2"/>
  <c r="CE43" i="2"/>
  <c r="AA73" i="22" s="1"/>
  <c r="CE53" i="2"/>
  <c r="CE55" i="2" s="1"/>
  <c r="Y5" i="7"/>
  <c r="T3" i="7"/>
  <c r="U5" i="7"/>
  <c r="U3" i="7" s="1"/>
  <c r="DG52" i="9"/>
  <c r="AC152" i="1"/>
  <c r="T45" i="2"/>
  <c r="T63" i="2"/>
  <c r="CQ5" i="11"/>
  <c r="L3" i="11"/>
  <c r="BF70" i="2"/>
  <c r="P30" i="15"/>
  <c r="DB32" i="2"/>
  <c r="AX61" i="22" s="1"/>
  <c r="BU165" i="1"/>
  <c r="AI39" i="2"/>
  <c r="AI45" i="2" s="1"/>
  <c r="V154" i="1"/>
  <c r="I152" i="1"/>
  <c r="AE30" i="15"/>
  <c r="BH20" i="2"/>
  <c r="X152" i="1"/>
  <c r="BL112" i="1"/>
  <c r="BL116" i="1" s="1"/>
  <c r="BL118" i="1" s="1"/>
  <c r="CH5" i="2"/>
  <c r="AX53" i="1"/>
  <c r="CE19" i="2"/>
  <c r="AA48" i="22" s="1"/>
  <c r="CG61" i="1"/>
  <c r="CG62" i="1" s="1"/>
  <c r="BO5" i="11"/>
  <c r="BP5" i="11" s="1"/>
  <c r="AX27" i="2"/>
  <c r="AR57" i="1"/>
  <c r="CC54" i="2"/>
  <c r="AF91" i="2"/>
  <c r="AS81" i="2"/>
  <c r="AT37" i="9"/>
  <c r="BX145" i="1"/>
  <c r="BM67" i="1"/>
  <c r="BF91" i="2"/>
  <c r="DB52" i="9"/>
  <c r="AQ154" i="1"/>
  <c r="CT141" i="1"/>
  <c r="CT138" i="1" s="1"/>
  <c r="CT151" i="1" s="1"/>
  <c r="CT165" i="1" s="1"/>
  <c r="CT69" i="1"/>
  <c r="CT5" i="1"/>
  <c r="CT4" i="1" s="1"/>
  <c r="CT48" i="1" s="1"/>
  <c r="CE114" i="1"/>
  <c r="CE116" i="1" s="1"/>
  <c r="CE118" i="1" s="1"/>
  <c r="AR154" i="1"/>
  <c r="BZ165" i="1"/>
  <c r="AV154" i="1"/>
  <c r="BN89" i="1"/>
  <c r="BD145" i="1"/>
  <c r="CG34" i="9"/>
  <c r="Q3" i="7"/>
  <c r="Q3" i="11" s="1"/>
  <c r="AX86" i="2"/>
  <c r="AX87" i="2" s="1"/>
  <c r="BP154" i="1"/>
  <c r="AO63" i="1"/>
  <c r="BZ152" i="1"/>
  <c r="CI6" i="15"/>
  <c r="AV152" i="1"/>
  <c r="CM6" i="15"/>
  <c r="AG91" i="2"/>
  <c r="E57" i="2"/>
  <c r="E74" i="2" s="1"/>
  <c r="DD114" i="1"/>
  <c r="DD116" i="1" s="1"/>
  <c r="DD118" i="1" s="1"/>
  <c r="AS37" i="2"/>
  <c r="AS138" i="1"/>
  <c r="AS151" i="1" s="1"/>
  <c r="AS165" i="1" s="1"/>
  <c r="CA165" i="1"/>
  <c r="K138" i="1"/>
  <c r="K151" i="1" s="1"/>
  <c r="K154" i="1" s="1"/>
  <c r="CZ138" i="1"/>
  <c r="CZ151" i="1" s="1"/>
  <c r="CZ154" i="1" s="1"/>
  <c r="CD18" i="9"/>
  <c r="Z19" i="22" s="1"/>
  <c r="AJ17" i="2"/>
  <c r="U71" i="1"/>
  <c r="BR72" i="1"/>
  <c r="BR71" i="1"/>
  <c r="AJ89" i="1"/>
  <c r="AJ29" i="15"/>
  <c r="BE39" i="9"/>
  <c r="BI38" i="9"/>
  <c r="BM140" i="1"/>
  <c r="BN8" i="1"/>
  <c r="BS6" i="15" s="1"/>
  <c r="BM60" i="1"/>
  <c r="BM5" i="1"/>
  <c r="BM4" i="1" s="1"/>
  <c r="BM48" i="1" s="1"/>
  <c r="BR19" i="2"/>
  <c r="N48" i="22" s="1"/>
  <c r="BR43" i="2"/>
  <c r="N73" i="22" s="1"/>
  <c r="X61" i="22"/>
  <c r="CC32" i="2"/>
  <c r="Y61" i="22" s="1"/>
  <c r="CB17" i="2"/>
  <c r="X46" i="22" s="1"/>
  <c r="AM55" i="1"/>
  <c r="BS59" i="2"/>
  <c r="CN6" i="15"/>
  <c r="CW32" i="2"/>
  <c r="AS61" i="22" s="1"/>
  <c r="K22" i="2"/>
  <c r="K43" i="2"/>
  <c r="DG78" i="2"/>
  <c r="DI81" i="2" s="1"/>
  <c r="AM54" i="1"/>
  <c r="BR22" i="2"/>
  <c r="N51" i="22" s="1"/>
  <c r="U30" i="15"/>
  <c r="AF70" i="2"/>
  <c r="AF57" i="2"/>
  <c r="O12" i="22"/>
  <c r="BT11" i="9"/>
  <c r="BF112" i="1"/>
  <c r="BF116" i="1" s="1"/>
  <c r="BF118" i="1" s="1"/>
  <c r="BF115" i="1"/>
  <c r="BF117" i="1" s="1"/>
  <c r="CT114" i="1"/>
  <c r="CT116" i="1" s="1"/>
  <c r="CT118" i="1" s="1"/>
  <c r="CT115" i="1"/>
  <c r="CT117" i="1" s="1"/>
  <c r="BR16" i="2"/>
  <c r="BR37" i="2" s="1"/>
  <c r="AO5" i="1"/>
  <c r="AO4" i="1" s="1"/>
  <c r="AO48" i="1" s="1"/>
  <c r="BC48" i="1"/>
  <c r="CP113" i="1"/>
  <c r="CP114" i="1" s="1"/>
  <c r="BW81" i="2"/>
  <c r="BV57" i="1"/>
  <c r="BV154" i="1"/>
  <c r="BV165" i="1"/>
  <c r="BT85" i="1"/>
  <c r="BT98" i="1"/>
  <c r="BT104" i="1"/>
  <c r="BT101" i="1"/>
  <c r="CF10" i="2"/>
  <c r="AB39" i="22" s="1"/>
  <c r="AB33" i="22"/>
  <c r="CF11" i="2"/>
  <c r="AN53" i="1"/>
  <c r="AN122" i="1" s="1"/>
  <c r="AN27" i="2"/>
  <c r="AN86" i="2"/>
  <c r="AN87" i="2" s="1"/>
  <c r="S26" i="22"/>
  <c r="BW26" i="9"/>
  <c r="S27" i="22" s="1"/>
  <c r="AT141" i="1"/>
  <c r="AT5" i="1"/>
  <c r="AT4" i="1" s="1"/>
  <c r="AT48" i="1" s="1"/>
  <c r="I45" i="2"/>
  <c r="I63" i="2"/>
  <c r="BS11" i="2"/>
  <c r="BS43" i="2" s="1"/>
  <c r="O73" i="22" s="1"/>
  <c r="AE151" i="1"/>
  <c r="AE154" i="1" s="1"/>
  <c r="BR53" i="2"/>
  <c r="BR55" i="2" s="1"/>
  <c r="BR57" i="2" s="1"/>
  <c r="AZ41" i="2"/>
  <c r="AZ91" i="2"/>
  <c r="BS17" i="2"/>
  <c r="O46" i="22" s="1"/>
  <c r="AO69" i="1"/>
  <c r="AO71" i="1" s="1"/>
  <c r="AN151" i="1"/>
  <c r="AN165" i="1" s="1"/>
  <c r="Z30" i="15"/>
  <c r="S46" i="22"/>
  <c r="BX17" i="2"/>
  <c r="T46" i="22" s="1"/>
  <c r="AS62" i="1"/>
  <c r="N40" i="22"/>
  <c r="CC12" i="2"/>
  <c r="Y41" i="22" s="1"/>
  <c r="AO141" i="1"/>
  <c r="AO138" i="1" s="1"/>
  <c r="AT145" i="1"/>
  <c r="F151" i="1"/>
  <c r="F152" i="1" s="1"/>
  <c r="AQ15" i="22"/>
  <c r="BX25" i="9"/>
  <c r="T26" i="22" s="1"/>
  <c r="BM29" i="15"/>
  <c r="BM89" i="1"/>
  <c r="BX140" i="1"/>
  <c r="BX60" i="1"/>
  <c r="BY63" i="1" s="1"/>
  <c r="BY41" i="2" s="1"/>
  <c r="U71" i="22" s="1"/>
  <c r="CC20" i="9"/>
  <c r="Y21" i="22" s="1"/>
  <c r="BY20" i="9"/>
  <c r="U21" i="22" s="1"/>
  <c r="BR25" i="9"/>
  <c r="BR27" i="9"/>
  <c r="N28" i="22" s="1"/>
  <c r="BT154" i="1"/>
  <c r="BT165" i="1"/>
  <c r="BT152" i="1"/>
  <c r="D37" i="2"/>
  <c r="D39" i="2" s="1"/>
  <c r="D63" i="2" s="1"/>
  <c r="F16" i="2"/>
  <c r="CG95" i="1"/>
  <c r="CG91" i="1" s="1"/>
  <c r="CH91" i="1" s="1"/>
  <c r="CG93" i="1"/>
  <c r="BG154" i="1"/>
  <c r="BG165" i="1"/>
  <c r="CN141" i="1"/>
  <c r="CN138" i="1" s="1"/>
  <c r="CN151" i="1" s="1"/>
  <c r="CN152" i="1" s="1"/>
  <c r="CN69" i="1"/>
  <c r="CN5" i="1"/>
  <c r="CN4" i="1" s="1"/>
  <c r="CN48" i="1" s="1"/>
  <c r="AU22" i="22"/>
  <c r="DB21" i="9"/>
  <c r="AX22" i="22" s="1"/>
  <c r="AR41" i="2"/>
  <c r="AR91" i="2"/>
  <c r="BK165" i="1"/>
  <c r="BK154" i="1"/>
  <c r="CR20" i="9"/>
  <c r="AN21" i="22" s="1"/>
  <c r="CN20" i="9"/>
  <c r="AJ21" i="22" s="1"/>
  <c r="CM140" i="1"/>
  <c r="CM60" i="1"/>
  <c r="CR63" i="1" s="1"/>
  <c r="AY71" i="1"/>
  <c r="CR6" i="15"/>
  <c r="CH92" i="1"/>
  <c r="BC67" i="1"/>
  <c r="X5" i="7"/>
  <c r="AC5" i="7" s="1"/>
  <c r="S3" i="7"/>
  <c r="S27" i="11" s="1"/>
  <c r="AJ61" i="1"/>
  <c r="AJ71" i="2"/>
  <c r="CF6" i="15"/>
  <c r="CD93" i="1"/>
  <c r="AH41" i="22"/>
  <c r="CM12" i="2"/>
  <c r="CM70" i="1" s="1"/>
  <c r="CO6" i="15"/>
  <c r="U48" i="1"/>
  <c r="CZ63" i="1"/>
  <c r="CZ41" i="2" s="1"/>
  <c r="AV71" i="22" s="1"/>
  <c r="AT80" i="1"/>
  <c r="AT81" i="1" s="1"/>
  <c r="AT71" i="1"/>
  <c r="AI8" i="2"/>
  <c r="AJ8" i="2" s="1"/>
  <c r="AJ9" i="2"/>
  <c r="AJ10" i="2" s="1"/>
  <c r="AE53" i="2"/>
  <c r="AE55" i="2" s="1"/>
  <c r="AE43" i="2"/>
  <c r="AE22" i="2"/>
  <c r="AE19" i="2"/>
  <c r="AY30" i="15"/>
  <c r="BI122" i="1"/>
  <c r="AG54" i="1"/>
  <c r="AG122" i="1"/>
  <c r="AG55" i="1"/>
  <c r="BB76" i="22"/>
  <c r="DG46" i="2"/>
  <c r="DA34" i="9"/>
  <c r="AW15" i="22"/>
  <c r="BU5" i="11"/>
  <c r="BV5" i="11" s="1"/>
  <c r="CF65" i="1"/>
  <c r="U95" i="1"/>
  <c r="AB45" i="2"/>
  <c r="AB47" i="2" s="1"/>
  <c r="CC71" i="2"/>
  <c r="Y80" i="22" s="1"/>
  <c r="BR138" i="1"/>
  <c r="BP165" i="1"/>
  <c r="BS85" i="1"/>
  <c r="BS101" i="1"/>
  <c r="BR81" i="2"/>
  <c r="BQ57" i="1"/>
  <c r="AO59" i="2"/>
  <c r="AN37" i="2"/>
  <c r="P122" i="1"/>
  <c r="BV85" i="1"/>
  <c r="BV98" i="1"/>
  <c r="BV104" i="1"/>
  <c r="BV101" i="1"/>
  <c r="AI37" i="9"/>
  <c r="AI58" i="9" s="1"/>
  <c r="AI43" i="9"/>
  <c r="AI41" i="2"/>
  <c r="BW101" i="1"/>
  <c r="BC71" i="1"/>
  <c r="CC89" i="1"/>
  <c r="U122" i="1"/>
  <c r="AJ37" i="9"/>
  <c r="BW104" i="1"/>
  <c r="BX29" i="15"/>
  <c r="BX89" i="1"/>
  <c r="AI34" i="22"/>
  <c r="CM61" i="1"/>
  <c r="CM71" i="2"/>
  <c r="AI80" i="22" s="1"/>
  <c r="AM80" i="22"/>
  <c r="CQ113" i="1"/>
  <c r="D40" i="22"/>
  <c r="BD53" i="2"/>
  <c r="BD55" i="2" s="1"/>
  <c r="BD43" i="2"/>
  <c r="D73" i="22" s="1"/>
  <c r="BD22" i="2"/>
  <c r="D51" i="22" s="1"/>
  <c r="BD19" i="2"/>
  <c r="D48" i="22" s="1"/>
  <c r="T40" i="22"/>
  <c r="BX53" i="2"/>
  <c r="BX43" i="2"/>
  <c r="T73" i="22" s="1"/>
  <c r="BX19" i="2"/>
  <c r="T48" i="22" s="1"/>
  <c r="BX22" i="2"/>
  <c r="T51" i="22" s="1"/>
  <c r="BI29" i="15"/>
  <c r="BI89" i="1"/>
  <c r="BS29" i="15"/>
  <c r="BS89" i="1"/>
  <c r="V40" i="22"/>
  <c r="BZ16" i="2"/>
  <c r="BZ53" i="2"/>
  <c r="BZ55" i="2" s="1"/>
  <c r="BZ22" i="2"/>
  <c r="V51" i="22" s="1"/>
  <c r="BZ43" i="2"/>
  <c r="V73" i="22" s="1"/>
  <c r="BZ19" i="2"/>
  <c r="V48" i="22" s="1"/>
  <c r="AB58" i="22"/>
  <c r="CF17" i="2"/>
  <c r="CH29" i="2"/>
  <c r="AD58" i="22" s="1"/>
  <c r="F45" i="22"/>
  <c r="BJ37" i="2"/>
  <c r="AE22" i="22"/>
  <c r="CM21" i="9"/>
  <c r="AI22" i="22" s="1"/>
  <c r="BH58" i="2"/>
  <c r="BH73" i="2" s="1"/>
  <c r="BH74" i="2"/>
  <c r="AO86" i="2"/>
  <c r="AO87" i="2" s="1"/>
  <c r="AO88" i="2"/>
  <c r="AC54" i="1"/>
  <c r="AC55" i="1"/>
  <c r="AC122" i="1"/>
  <c r="AC49" i="1"/>
  <c r="AA22" i="22"/>
  <c r="CH21" i="9"/>
  <c r="AD22" i="22" s="1"/>
  <c r="BV70" i="2"/>
  <c r="R79" i="22" s="1"/>
  <c r="BV57" i="2"/>
  <c r="CN39" i="9"/>
  <c r="CX55" i="1"/>
  <c r="CX54" i="1"/>
  <c r="CR40" i="9"/>
  <c r="CR41" i="9" s="1"/>
  <c r="CN113" i="1"/>
  <c r="CN114" i="1" s="1"/>
  <c r="CN111" i="1"/>
  <c r="Y11" i="22"/>
  <c r="CC11" i="9"/>
  <c r="Y12" i="22" s="1"/>
  <c r="CF84" i="1"/>
  <c r="CC84" i="1"/>
  <c r="CC104" i="1" s="1"/>
  <c r="CD84" i="1"/>
  <c r="CC35" i="9"/>
  <c r="BC60" i="22"/>
  <c r="DA38" i="9"/>
  <c r="DA39" i="9" s="1"/>
  <c r="DA37" i="9"/>
  <c r="Z95" i="1"/>
  <c r="CY114" i="1"/>
  <c r="CY116" i="1" s="1"/>
  <c r="CY118" i="1" s="1"/>
  <c r="CY115" i="1"/>
  <c r="CY117" i="1" s="1"/>
  <c r="BR53" i="1"/>
  <c r="BR122" i="1" s="1"/>
  <c r="BR27" i="2"/>
  <c r="N56" i="22" s="1"/>
  <c r="BI95" i="1"/>
  <c r="BH91" i="1"/>
  <c r="BI91" i="1" s="1"/>
  <c r="O16" i="22"/>
  <c r="BS16" i="9"/>
  <c r="O17" i="22" s="1"/>
  <c r="AJ80" i="1"/>
  <c r="AJ81" i="1" s="1"/>
  <c r="CS54" i="1"/>
  <c r="CS55" i="1"/>
  <c r="BE115" i="1"/>
  <c r="BE117" i="1" s="1"/>
  <c r="BE112" i="1"/>
  <c r="BM114" i="1"/>
  <c r="BN113" i="1"/>
  <c r="BC91" i="1"/>
  <c r="BD91" i="1" s="1"/>
  <c r="BR29" i="15"/>
  <c r="BR89" i="1"/>
  <c r="BI55" i="1"/>
  <c r="BI24" i="15" s="1"/>
  <c r="BI54" i="1"/>
  <c r="AI159" i="1"/>
  <c r="AK38" i="2"/>
  <c r="AI62" i="2"/>
  <c r="AJ38" i="2"/>
  <c r="CQ71" i="1"/>
  <c r="CQ80" i="1"/>
  <c r="CQ81" i="1" s="1"/>
  <c r="AN117" i="1"/>
  <c r="AO115" i="1"/>
  <c r="AO117" i="1" s="1"/>
  <c r="AF39" i="2"/>
  <c r="AJ70" i="2"/>
  <c r="AJ57" i="2"/>
  <c r="R57" i="2"/>
  <c r="R70" i="2"/>
  <c r="L55" i="1"/>
  <c r="L54" i="1"/>
  <c r="L122" i="1"/>
  <c r="L49" i="1"/>
  <c r="BM115" i="1"/>
  <c r="BM112" i="1"/>
  <c r="BN111" i="1"/>
  <c r="AZ15" i="22"/>
  <c r="DD34" i="9"/>
  <c r="Y58" i="2"/>
  <c r="Y74" i="2"/>
  <c r="BW141" i="1"/>
  <c r="BW138" i="1" s="1"/>
  <c r="BW151" i="1" s="1"/>
  <c r="BW5" i="1"/>
  <c r="BW4" i="1" s="1"/>
  <c r="BW48" i="1" s="1"/>
  <c r="BX11" i="1"/>
  <c r="BX6" i="15" s="1"/>
  <c r="BW69" i="1"/>
  <c r="BW6" i="15"/>
  <c r="AO45" i="22"/>
  <c r="CS2" i="2"/>
  <c r="CK122" i="1"/>
  <c r="AW70" i="2"/>
  <c r="AW57" i="2"/>
  <c r="CY54" i="1"/>
  <c r="CY55" i="1"/>
  <c r="CY49" i="1"/>
  <c r="CY82" i="2" s="1"/>
  <c r="CX39" i="9"/>
  <c r="AH61" i="22"/>
  <c r="CL17" i="2"/>
  <c r="AH46" i="22" s="1"/>
  <c r="DA80" i="1"/>
  <c r="DA81" i="1" s="1"/>
  <c r="DA71" i="1"/>
  <c r="AZ74" i="2"/>
  <c r="AZ58" i="2"/>
  <c r="AZ73" i="2" s="1"/>
  <c r="AM57" i="22"/>
  <c r="CS28" i="2"/>
  <c r="CQ23" i="2"/>
  <c r="CR23" i="2" s="1"/>
  <c r="AN52" i="22" s="1"/>
  <c r="CQ60" i="2"/>
  <c r="CQ59" i="2" s="1"/>
  <c r="J40" i="22"/>
  <c r="BN53" i="2"/>
  <c r="BN55" i="2" s="1"/>
  <c r="AK57" i="9"/>
  <c r="AK44" i="9"/>
  <c r="AK59" i="9" s="1"/>
  <c r="AK37" i="9"/>
  <c r="AK58" i="9" s="1"/>
  <c r="E40" i="22"/>
  <c r="BI53" i="2"/>
  <c r="BI55" i="2" s="1"/>
  <c r="BI19" i="2"/>
  <c r="E48" i="22" s="1"/>
  <c r="BB91" i="2"/>
  <c r="BB37" i="2"/>
  <c r="AP63" i="1"/>
  <c r="AP41" i="2" s="1"/>
  <c r="BN10" i="15"/>
  <c r="BN27" i="1"/>
  <c r="BN26" i="1" s="1"/>
  <c r="BN50" i="1"/>
  <c r="BN146" i="1"/>
  <c r="BN145" i="1" s="1"/>
  <c r="BO10" i="15"/>
  <c r="BS86" i="2"/>
  <c r="BS87" i="2" s="1"/>
  <c r="AG74" i="2"/>
  <c r="AG58" i="2"/>
  <c r="CP112" i="1"/>
  <c r="BN22" i="2"/>
  <c r="J51" i="22" s="1"/>
  <c r="Y154" i="1"/>
  <c r="Y152" i="1"/>
  <c r="CF114" i="1"/>
  <c r="CF116" i="1" s="1"/>
  <c r="CF118" i="1" s="1"/>
  <c r="CF115" i="1"/>
  <c r="CF117" i="1" s="1"/>
  <c r="BC6" i="15"/>
  <c r="BC140" i="1"/>
  <c r="BC138" i="1" s="1"/>
  <c r="BC151" i="1" s="1"/>
  <c r="BD8" i="1"/>
  <c r="BC60" i="1"/>
  <c r="DD151" i="1"/>
  <c r="J12" i="22"/>
  <c r="BO11" i="9"/>
  <c r="C40" i="22"/>
  <c r="AY19" i="2"/>
  <c r="C48" i="22" s="1"/>
  <c r="AY53" i="2"/>
  <c r="AY55" i="2" s="1"/>
  <c r="AY22" i="2"/>
  <c r="C51" i="22" s="1"/>
  <c r="J6" i="22"/>
  <c r="BN6" i="9"/>
  <c r="BI47" i="9"/>
  <c r="CH141" i="1"/>
  <c r="CH138" i="1" s="1"/>
  <c r="CH69" i="1"/>
  <c r="CH5" i="1"/>
  <c r="CH4" i="1" s="1"/>
  <c r="F14" i="22"/>
  <c r="BK13" i="9"/>
  <c r="BN141" i="1"/>
  <c r="BN69" i="1"/>
  <c r="BP112" i="1"/>
  <c r="BP116" i="1" s="1"/>
  <c r="BP118" i="1" s="1"/>
  <c r="BP115" i="1"/>
  <c r="BP117" i="1" s="1"/>
  <c r="AX50" i="22"/>
  <c r="AN57" i="2"/>
  <c r="AN70" i="2"/>
  <c r="CY122" i="1"/>
  <c r="K45" i="22"/>
  <c r="BO37" i="2"/>
  <c r="AW91" i="2"/>
  <c r="AW37" i="2"/>
  <c r="CF63" i="1"/>
  <c r="CF41" i="2" s="1"/>
  <c r="AB71" i="22" s="1"/>
  <c r="CF62" i="1"/>
  <c r="CG63" i="1"/>
  <c r="CG41" i="2" s="1"/>
  <c r="AC71" i="22" s="1"/>
  <c r="CL95" i="1"/>
  <c r="CL91" i="1" s="1"/>
  <c r="CM91" i="1" s="1"/>
  <c r="CL93" i="1"/>
  <c r="AY4" i="2"/>
  <c r="AX41" i="2"/>
  <c r="CR28" i="2"/>
  <c r="R63" i="2"/>
  <c r="R45" i="2"/>
  <c r="BH34" i="9"/>
  <c r="BI14" i="9"/>
  <c r="BE37" i="2"/>
  <c r="BI16" i="2"/>
  <c r="BF165" i="1"/>
  <c r="BF152" i="1"/>
  <c r="BF154" i="1"/>
  <c r="O63" i="2"/>
  <c r="O45" i="2"/>
  <c r="BM53" i="1"/>
  <c r="BM27" i="2"/>
  <c r="I56" i="22" s="1"/>
  <c r="AO53" i="2"/>
  <c r="AO55" i="2" s="1"/>
  <c r="AO22" i="2"/>
  <c r="AO43" i="2"/>
  <c r="DB12" i="2"/>
  <c r="BS27" i="2"/>
  <c r="O56" i="22" s="1"/>
  <c r="BI85" i="1"/>
  <c r="BI98" i="1"/>
  <c r="BI101" i="1"/>
  <c r="CV76" i="1"/>
  <c r="CW75" i="1"/>
  <c r="CW76" i="1" s="1"/>
  <c r="CM56" i="2"/>
  <c r="AQ54" i="1"/>
  <c r="AQ55" i="1"/>
  <c r="AQ122" i="1"/>
  <c r="AP54" i="1"/>
  <c r="AP55" i="1"/>
  <c r="AD154" i="1"/>
  <c r="AD152" i="1"/>
  <c r="W22" i="22"/>
  <c r="CX115" i="1"/>
  <c r="CX117" i="1" s="1"/>
  <c r="CX112" i="1"/>
  <c r="O14" i="22"/>
  <c r="BT13" i="9"/>
  <c r="BJ154" i="1"/>
  <c r="BJ165" i="1"/>
  <c r="BJ152" i="1"/>
  <c r="AN37" i="9"/>
  <c r="AN58" i="9" s="1"/>
  <c r="AO36" i="9"/>
  <c r="AN43" i="9"/>
  <c r="M45" i="22"/>
  <c r="BQ91" i="2"/>
  <c r="BQ37" i="2"/>
  <c r="CP38" i="9"/>
  <c r="CP39" i="9" s="1"/>
  <c r="CP37" i="9"/>
  <c r="BF74" i="2"/>
  <c r="BF58" i="2"/>
  <c r="AF40" i="22"/>
  <c r="CJ53" i="2"/>
  <c r="CJ55" i="2" s="1"/>
  <c r="CJ19" i="2"/>
  <c r="AF48" i="22" s="1"/>
  <c r="CJ16" i="2"/>
  <c r="CJ22" i="2"/>
  <c r="AF51" i="22" s="1"/>
  <c r="CJ43" i="2"/>
  <c r="AF73" i="22" s="1"/>
  <c r="AI72" i="1"/>
  <c r="AI71" i="1"/>
  <c r="AA15" i="22"/>
  <c r="CH14" i="9"/>
  <c r="CE34" i="9"/>
  <c r="T154" i="1"/>
  <c r="T152" i="1"/>
  <c r="N45" i="2"/>
  <c r="N63" i="2"/>
  <c r="BI75" i="1"/>
  <c r="BA20" i="22"/>
  <c r="BG91" i="2"/>
  <c r="BG37" i="2"/>
  <c r="AK55" i="1"/>
  <c r="AK54" i="1"/>
  <c r="E152" i="1"/>
  <c r="E154" i="1"/>
  <c r="BH30" i="15"/>
  <c r="BJ30" i="15"/>
  <c r="CB101" i="1"/>
  <c r="CB98" i="1"/>
  <c r="CB85" i="1"/>
  <c r="AY15" i="22"/>
  <c r="DC34" i="9"/>
  <c r="BV115" i="1"/>
  <c r="BV117" i="1" s="1"/>
  <c r="BV112" i="1"/>
  <c r="BV116" i="1" s="1"/>
  <c r="BV118" i="1" s="1"/>
  <c r="S15" i="22"/>
  <c r="BX14" i="9"/>
  <c r="BW34" i="9"/>
  <c r="AF44" i="9"/>
  <c r="AF59" i="9" s="1"/>
  <c r="AF57" i="9"/>
  <c r="AF37" i="9"/>
  <c r="AF58" i="9" s="1"/>
  <c r="CW21" i="9"/>
  <c r="AS22" i="22" s="1"/>
  <c r="AO22" i="22"/>
  <c r="BO57" i="2"/>
  <c r="BO70" i="2"/>
  <c r="K79" i="22" s="1"/>
  <c r="AJ40" i="22"/>
  <c r="CN43" i="2"/>
  <c r="AJ73" i="22" s="1"/>
  <c r="CN22" i="2"/>
  <c r="AJ51" i="22" s="1"/>
  <c r="CN53" i="2"/>
  <c r="CN55" i="2" s="1"/>
  <c r="CN16" i="2"/>
  <c r="CN19" i="2"/>
  <c r="AJ48" i="22" s="1"/>
  <c r="AP154" i="1"/>
  <c r="AP165" i="1"/>
  <c r="AP152" i="1"/>
  <c r="CT70" i="2"/>
  <c r="AP79" i="22" s="1"/>
  <c r="CT57" i="2"/>
  <c r="Y48" i="2"/>
  <c r="Y47" i="2"/>
  <c r="AZ55" i="1"/>
  <c r="AZ122" i="1"/>
  <c r="AZ54" i="1"/>
  <c r="M57" i="2"/>
  <c r="M70" i="2"/>
  <c r="Q70" i="2"/>
  <c r="Q57" i="2"/>
  <c r="CM75" i="1"/>
  <c r="CM76" i="1" s="1"/>
  <c r="CL76" i="1"/>
  <c r="CA81" i="2"/>
  <c r="O50" i="22"/>
  <c r="T16" i="22"/>
  <c r="BX16" i="9"/>
  <c r="T17" i="22" s="1"/>
  <c r="J18" i="22"/>
  <c r="BO39" i="9"/>
  <c r="BS38" i="9"/>
  <c r="AP118" i="1"/>
  <c r="AT116" i="1"/>
  <c r="CB146" i="1"/>
  <c r="CB145" i="1" s="1"/>
  <c r="CB10" i="15"/>
  <c r="CC28" i="1"/>
  <c r="CB50" i="1"/>
  <c r="CB27" i="1"/>
  <c r="CB26" i="1" s="1"/>
  <c r="BA37" i="2"/>
  <c r="BA91" i="2"/>
  <c r="S40" i="22"/>
  <c r="BW53" i="2"/>
  <c r="BW55" i="2" s="1"/>
  <c r="BW16" i="2"/>
  <c r="BX16" i="2" s="1"/>
  <c r="BW43" i="2"/>
  <c r="S73" i="22" s="1"/>
  <c r="BW19" i="2"/>
  <c r="S48" i="22" s="1"/>
  <c r="BW22" i="2"/>
  <c r="S51" i="22" s="1"/>
  <c r="S63" i="2"/>
  <c r="S45" i="2"/>
  <c r="Q49" i="1"/>
  <c r="Q54" i="1"/>
  <c r="Q55" i="1"/>
  <c r="Q122" i="1"/>
  <c r="X33" i="22"/>
  <c r="CB11" i="2"/>
  <c r="CC11" i="2" s="1"/>
  <c r="CB10" i="2"/>
  <c r="X39" i="22" s="1"/>
  <c r="CI39" i="9"/>
  <c r="AI30" i="15"/>
  <c r="AJ30" i="15" s="1"/>
  <c r="AK30" i="15"/>
  <c r="BA152" i="1"/>
  <c r="BA165" i="1"/>
  <c r="BA154" i="1"/>
  <c r="AY116" i="1"/>
  <c r="AY118" i="1" s="1"/>
  <c r="AU118" i="1"/>
  <c r="AT40" i="22"/>
  <c r="CX16" i="2"/>
  <c r="CX19" i="2"/>
  <c r="AT48" i="22" s="1"/>
  <c r="CX53" i="2"/>
  <c r="CX55" i="2" s="1"/>
  <c r="CX43" i="2"/>
  <c r="AT73" i="22" s="1"/>
  <c r="CX22" i="2"/>
  <c r="AT51" i="22" s="1"/>
  <c r="BQ104" i="1"/>
  <c r="BQ101" i="1"/>
  <c r="BQ98" i="1"/>
  <c r="BQ85" i="1"/>
  <c r="B39" i="2"/>
  <c r="BK17" i="22"/>
  <c r="CE49" i="1"/>
  <c r="CE54" i="1"/>
  <c r="CE55" i="1"/>
  <c r="AU152" i="1"/>
  <c r="AU165" i="1"/>
  <c r="AU154" i="1"/>
  <c r="BY116" i="1"/>
  <c r="AJ10" i="15"/>
  <c r="AJ50" i="1"/>
  <c r="AJ27" i="1"/>
  <c r="AJ26" i="1" s="1"/>
  <c r="AJ146" i="1"/>
  <c r="AJ145" i="1" s="1"/>
  <c r="AK10" i="15"/>
  <c r="I22" i="22"/>
  <c r="BN21" i="9"/>
  <c r="J22" i="22" s="1"/>
  <c r="BO112" i="1"/>
  <c r="BO115" i="1"/>
  <c r="BO117" i="1" s="1"/>
  <c r="BU112" i="1"/>
  <c r="BU116" i="1" s="1"/>
  <c r="BU118" i="1" s="1"/>
  <c r="BU115" i="1"/>
  <c r="BU117" i="1" s="1"/>
  <c r="X54" i="1"/>
  <c r="X55" i="1"/>
  <c r="X49" i="1"/>
  <c r="CS70" i="2"/>
  <c r="AO79" i="22" s="1"/>
  <c r="CS57" i="2"/>
  <c r="CQ93" i="1"/>
  <c r="CQ95" i="1"/>
  <c r="CR95" i="1" s="1"/>
  <c r="BL58" i="2"/>
  <c r="BL74" i="2"/>
  <c r="H82" i="22" s="1"/>
  <c r="AC37" i="22"/>
  <c r="CH8" i="2"/>
  <c r="AD37" i="22" s="1"/>
  <c r="BX40" i="9"/>
  <c r="BX41" i="9" s="1"/>
  <c r="BT38" i="9"/>
  <c r="BT113" i="1"/>
  <c r="BT114" i="1" s="1"/>
  <c r="BX114" i="1" s="1"/>
  <c r="BT111" i="1"/>
  <c r="AB15" i="22"/>
  <c r="CF34" i="9"/>
  <c r="BN37" i="9"/>
  <c r="BN43" i="9"/>
  <c r="Q37" i="2"/>
  <c r="U16" i="2"/>
  <c r="AT53" i="1"/>
  <c r="AU27" i="2"/>
  <c r="AU86" i="2"/>
  <c r="AU87" i="2" s="1"/>
  <c r="CP43" i="9"/>
  <c r="Q152" i="1"/>
  <c r="Q154" i="1"/>
  <c r="X18" i="22"/>
  <c r="CB29" i="9"/>
  <c r="CB21" i="9"/>
  <c r="X22" i="22" s="1"/>
  <c r="S18" i="22"/>
  <c r="BW21" i="9"/>
  <c r="BX17" i="9"/>
  <c r="BX20" i="2" s="1"/>
  <c r="T49" i="22" s="1"/>
  <c r="BB28" i="22"/>
  <c r="DG27" i="9"/>
  <c r="AI53" i="1"/>
  <c r="AI27" i="2"/>
  <c r="AF15" i="22"/>
  <c r="CJ34" i="9"/>
  <c r="BW29" i="15"/>
  <c r="BW89" i="1"/>
  <c r="BS65" i="1"/>
  <c r="BS67" i="1"/>
  <c r="DA95" i="1"/>
  <c r="DB95" i="1" s="1"/>
  <c r="DA93" i="1"/>
  <c r="J4" i="15"/>
  <c r="J66" i="2"/>
  <c r="AM61" i="22"/>
  <c r="CR32" i="2"/>
  <c r="AN61" i="22" s="1"/>
  <c r="BD141" i="1"/>
  <c r="BD69" i="1"/>
  <c r="N18" i="22"/>
  <c r="BS17" i="9"/>
  <c r="BS20" i="2" s="1"/>
  <c r="O49" i="22" s="1"/>
  <c r="BR21" i="9"/>
  <c r="CV141" i="1"/>
  <c r="CV138" i="1" s="1"/>
  <c r="CV151" i="1" s="1"/>
  <c r="CW11" i="1"/>
  <c r="CV5" i="1"/>
  <c r="CV4" i="1" s="1"/>
  <c r="CV48" i="1" s="1"/>
  <c r="CV69" i="1"/>
  <c r="CV6" i="15"/>
  <c r="BO85" i="1"/>
  <c r="BO104" i="1"/>
  <c r="BO101" i="1"/>
  <c r="BO98" i="1"/>
  <c r="CB14" i="9"/>
  <c r="BZ115" i="1"/>
  <c r="BZ117" i="1" s="1"/>
  <c r="BZ112" i="1"/>
  <c r="BZ116" i="1" s="1"/>
  <c r="BZ118" i="1" s="1"/>
  <c r="CW63" i="1"/>
  <c r="DB36" i="9"/>
  <c r="AW80" i="22"/>
  <c r="DA113" i="1"/>
  <c r="C34" i="22"/>
  <c r="AY61" i="1"/>
  <c r="AK52" i="22"/>
  <c r="CO17" i="2"/>
  <c r="BI17" i="2"/>
  <c r="E46" i="22" s="1"/>
  <c r="CD39" i="9"/>
  <c r="O70" i="2"/>
  <c r="O57" i="2"/>
  <c r="AL57" i="2"/>
  <c r="AL70" i="2"/>
  <c r="CD122" i="1"/>
  <c r="E12" i="22"/>
  <c r="BJ11" i="9"/>
  <c r="F72" i="1"/>
  <c r="G72" i="1"/>
  <c r="AI86" i="2"/>
  <c r="AI87" i="2" s="1"/>
  <c r="CC17" i="9"/>
  <c r="AA152" i="1"/>
  <c r="AA154" i="1"/>
  <c r="CH40" i="9"/>
  <c r="CH41" i="9" s="1"/>
  <c r="CD113" i="1"/>
  <c r="CD114" i="1" s="1"/>
  <c r="CD111" i="1"/>
  <c r="K14" i="22"/>
  <c r="BP13" i="9"/>
  <c r="BU55" i="1"/>
  <c r="BU54" i="1"/>
  <c r="AD57" i="2"/>
  <c r="AD70" i="2"/>
  <c r="W70" i="2"/>
  <c r="W57" i="2"/>
  <c r="BY55" i="1"/>
  <c r="BY54" i="1"/>
  <c r="CC4" i="2"/>
  <c r="CS39" i="9"/>
  <c r="AE95" i="1"/>
  <c r="DG18" i="1"/>
  <c r="DJ18" i="1"/>
  <c r="DK18" i="1" s="1"/>
  <c r="CM5" i="1"/>
  <c r="CM4" i="1" s="1"/>
  <c r="CM141" i="1"/>
  <c r="CM69" i="1"/>
  <c r="U53" i="2"/>
  <c r="U55" i="2" s="1"/>
  <c r="U22" i="2"/>
  <c r="U43" i="2"/>
  <c r="U19" i="2"/>
  <c r="BJ98" i="1"/>
  <c r="BJ85" i="1"/>
  <c r="BJ101" i="1"/>
  <c r="BJ104" i="1"/>
  <c r="CO115" i="1"/>
  <c r="CO117" i="1" s="1"/>
  <c r="CO112" i="1"/>
  <c r="CO116" i="1" s="1"/>
  <c r="CO118" i="1" s="1"/>
  <c r="BA54" i="1"/>
  <c r="BA55" i="1"/>
  <c r="BA122" i="1"/>
  <c r="J154" i="1"/>
  <c r="J152" i="1"/>
  <c r="D154" i="1"/>
  <c r="D152" i="1"/>
  <c r="AD63" i="2"/>
  <c r="AD45" i="2"/>
  <c r="BT70" i="2"/>
  <c r="P79" i="22" s="1"/>
  <c r="BT57" i="2"/>
  <c r="BN86" i="2"/>
  <c r="BN87" i="2" s="1"/>
  <c r="BN88" i="2"/>
  <c r="AA74" i="2"/>
  <c r="AA58" i="2"/>
  <c r="V3" i="7"/>
  <c r="AA5" i="7"/>
  <c r="AO9" i="2"/>
  <c r="AN8" i="2"/>
  <c r="AO8" i="2" s="1"/>
  <c r="U45" i="22"/>
  <c r="BY37" i="2"/>
  <c r="BK91" i="2"/>
  <c r="BX75" i="1"/>
  <c r="BX76" i="1" s="1"/>
  <c r="BW76" i="1"/>
  <c r="U72" i="1"/>
  <c r="V72" i="1"/>
  <c r="AC47" i="2"/>
  <c r="AC48" i="2"/>
  <c r="AY71" i="2"/>
  <c r="C80" i="22" s="1"/>
  <c r="CZ114" i="1"/>
  <c r="CZ116" i="1" s="1"/>
  <c r="CZ118" i="1" s="1"/>
  <c r="CZ115" i="1"/>
  <c r="CZ117" i="1" s="1"/>
  <c r="AC74" i="2"/>
  <c r="AC58" i="2"/>
  <c r="AC73" i="2" s="1"/>
  <c r="Q45" i="22"/>
  <c r="BU91" i="2"/>
  <c r="BU37" i="2"/>
  <c r="AD50" i="22"/>
  <c r="AX67" i="1"/>
  <c r="AX65" i="1"/>
  <c r="AX62" i="1"/>
  <c r="AH37" i="2"/>
  <c r="AH39" i="2" s="1"/>
  <c r="AH91" i="2"/>
  <c r="CV80" i="1"/>
  <c r="CV81" i="1" s="1"/>
  <c r="CW40" i="9"/>
  <c r="CW41" i="9" s="1"/>
  <c r="CS113" i="1"/>
  <c r="CS114" i="1" s="1"/>
  <c r="CS111" i="1"/>
  <c r="BH21" i="9"/>
  <c r="BI21" i="9" s="1"/>
  <c r="E22" i="22" s="1"/>
  <c r="BH18" i="9"/>
  <c r="BI17" i="9"/>
  <c r="BI20" i="2" s="1"/>
  <c r="E49" i="22" s="1"/>
  <c r="BH29" i="9"/>
  <c r="BK54" i="1"/>
  <c r="BK55" i="1"/>
  <c r="AV91" i="2"/>
  <c r="AV37" i="2"/>
  <c r="AQ91" i="2"/>
  <c r="H47" i="2"/>
  <c r="H48" i="2"/>
  <c r="BN20" i="2"/>
  <c r="J49" i="22" s="1"/>
  <c r="CL71" i="2"/>
  <c r="P16" i="2"/>
  <c r="L37" i="2"/>
  <c r="AL91" i="2"/>
  <c r="AL37" i="2"/>
  <c r="CJ141" i="1"/>
  <c r="CJ138" i="1" s="1"/>
  <c r="CJ151" i="1" s="1"/>
  <c r="CJ5" i="1"/>
  <c r="CJ4" i="1" s="1"/>
  <c r="CJ48" i="1" s="1"/>
  <c r="CJ69" i="1"/>
  <c r="CK6" i="15"/>
  <c r="D57" i="2"/>
  <c r="D70" i="2"/>
  <c r="CS63" i="1"/>
  <c r="CS41" i="2" s="1"/>
  <c r="AO71" i="22" s="1"/>
  <c r="BA8" i="22"/>
  <c r="DM53" i="9"/>
  <c r="AI18" i="22"/>
  <c r="CM29" i="9"/>
  <c r="CM18" i="9"/>
  <c r="AI19" i="22" s="1"/>
  <c r="BJ115" i="1"/>
  <c r="BJ117" i="1" s="1"/>
  <c r="BJ112" i="1"/>
  <c r="BL104" i="1"/>
  <c r="BL101" i="1"/>
  <c r="BL85" i="1"/>
  <c r="BL98" i="1"/>
  <c r="CT62" i="1"/>
  <c r="BB54" i="1"/>
  <c r="BB55" i="1"/>
  <c r="BS56" i="2"/>
  <c r="AC33" i="22"/>
  <c r="CG11" i="2"/>
  <c r="CH4" i="2"/>
  <c r="BD116" i="1"/>
  <c r="BD118" i="1" s="1"/>
  <c r="AZ118" i="1"/>
  <c r="BI43" i="2"/>
  <c r="E73" i="22" s="1"/>
  <c r="AD55" i="1"/>
  <c r="AD49" i="1"/>
  <c r="AD54" i="1"/>
  <c r="AU70" i="2"/>
  <c r="AU57" i="2"/>
  <c r="BH116" i="1"/>
  <c r="BH118" i="1" s="1"/>
  <c r="K72" i="1"/>
  <c r="AX15" i="22"/>
  <c r="DB34" i="9"/>
  <c r="DA27" i="2"/>
  <c r="AW56" i="22" s="1"/>
  <c r="J9" i="22"/>
  <c r="BO8" i="9"/>
  <c r="BI43" i="9"/>
  <c r="AJ15" i="22"/>
  <c r="CN34" i="9"/>
  <c r="CR14" i="9"/>
  <c r="CG10" i="15"/>
  <c r="CG146" i="1"/>
  <c r="CG145" i="1" s="1"/>
  <c r="CG151" i="1" s="1"/>
  <c r="CH28" i="1"/>
  <c r="CG50" i="1"/>
  <c r="CG27" i="1"/>
  <c r="CG26" i="1" s="1"/>
  <c r="CG48" i="1" s="1"/>
  <c r="V57" i="2"/>
  <c r="V70" i="2"/>
  <c r="DD55" i="1"/>
  <c r="DD49" i="1"/>
  <c r="DD54" i="1"/>
  <c r="AV70" i="2"/>
  <c r="AV57" i="2"/>
  <c r="M63" i="2"/>
  <c r="M45" i="2"/>
  <c r="AX33" i="22"/>
  <c r="AJ22" i="22"/>
  <c r="CR21" i="9"/>
  <c r="AN22" i="22" s="1"/>
  <c r="BA57" i="2"/>
  <c r="BA70" i="2"/>
  <c r="BS75" i="1"/>
  <c r="BR76" i="1"/>
  <c r="DJ16" i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AM41" i="22"/>
  <c r="CR12" i="2"/>
  <c r="BY152" i="1"/>
  <c r="BY154" i="1"/>
  <c r="BY165" i="1"/>
  <c r="BB57" i="2"/>
  <c r="BB70" i="2"/>
  <c r="BG70" i="2"/>
  <c r="BG57" i="2"/>
  <c r="DA62" i="1"/>
  <c r="DA67" i="1"/>
  <c r="DA65" i="1"/>
  <c r="BW112" i="1"/>
  <c r="BX111" i="1"/>
  <c r="BH5" i="1"/>
  <c r="BH4" i="1" s="1"/>
  <c r="BH48" i="1" s="1"/>
  <c r="BH141" i="1"/>
  <c r="BH138" i="1" s="1"/>
  <c r="BH151" i="1" s="1"/>
  <c r="BI11" i="1"/>
  <c r="BH69" i="1"/>
  <c r="AR15" i="22"/>
  <c r="CV34" i="9"/>
  <c r="CX122" i="1"/>
  <c r="AX117" i="1"/>
  <c r="AY115" i="1"/>
  <c r="AY117" i="1" s="1"/>
  <c r="CH111" i="1"/>
  <c r="CG112" i="1"/>
  <c r="CE122" i="1"/>
  <c r="AM34" i="22"/>
  <c r="CQ36" i="9"/>
  <c r="CR36" i="9" s="1"/>
  <c r="CQ61" i="1"/>
  <c r="CQ4" i="2"/>
  <c r="CR5" i="2"/>
  <c r="BE60" i="22"/>
  <c r="AX58" i="2"/>
  <c r="AX74" i="2"/>
  <c r="BQ52" i="9"/>
  <c r="E9" i="22"/>
  <c r="BJ8" i="9"/>
  <c r="AJ116" i="1"/>
  <c r="AJ118" i="1" s="1"/>
  <c r="AF118" i="1"/>
  <c r="BA16" i="22"/>
  <c r="BI67" i="1"/>
  <c r="BI65" i="1"/>
  <c r="CD54" i="1"/>
  <c r="CD55" i="1"/>
  <c r="BQ115" i="1"/>
  <c r="BQ117" i="1" s="1"/>
  <c r="BQ112" i="1"/>
  <c r="BQ116" i="1" s="1"/>
  <c r="BQ118" i="1" s="1"/>
  <c r="CB30" i="9"/>
  <c r="X30" i="22" s="1"/>
  <c r="AS42" i="22"/>
  <c r="CW54" i="2"/>
  <c r="CW71" i="2"/>
  <c r="AS80" i="22" s="1"/>
  <c r="CJ62" i="1"/>
  <c r="BT55" i="1"/>
  <c r="BT54" i="1"/>
  <c r="BT122" i="1"/>
  <c r="BJ57" i="2"/>
  <c r="BJ70" i="2"/>
  <c r="F79" i="22" s="1"/>
  <c r="CR92" i="1"/>
  <c r="R45" i="22"/>
  <c r="BV91" i="2"/>
  <c r="BV37" i="2"/>
  <c r="F53" i="2"/>
  <c r="F55" i="2" s="1"/>
  <c r="F19" i="2"/>
  <c r="F22" i="2"/>
  <c r="F43" i="2"/>
  <c r="CK63" i="1"/>
  <c r="CK41" i="2" s="1"/>
  <c r="AG71" i="22" s="1"/>
  <c r="AP57" i="2"/>
  <c r="AP70" i="2"/>
  <c r="BY39" i="9"/>
  <c r="R55" i="1"/>
  <c r="R54" i="1"/>
  <c r="R49" i="1"/>
  <c r="W63" i="2"/>
  <c r="W45" i="2"/>
  <c r="E16" i="22"/>
  <c r="BI16" i="9"/>
  <c r="E17" i="22" s="1"/>
  <c r="AM15" i="22"/>
  <c r="CQ34" i="9"/>
  <c r="AK40" i="22"/>
  <c r="CO43" i="2"/>
  <c r="AK73" i="22" s="1"/>
  <c r="CO53" i="2"/>
  <c r="CO55" i="2" s="1"/>
  <c r="CO19" i="2"/>
  <c r="AK48" i="22" s="1"/>
  <c r="CO16" i="2"/>
  <c r="CO22" i="2"/>
  <c r="AK51" i="22" s="1"/>
  <c r="Z54" i="1"/>
  <c r="Z55" i="1"/>
  <c r="Z24" i="15" s="1"/>
  <c r="Z49" i="1"/>
  <c r="P45" i="22"/>
  <c r="BT37" i="2"/>
  <c r="AQ58" i="2"/>
  <c r="AQ73" i="2" s="1"/>
  <c r="AQ74" i="2"/>
  <c r="AX151" i="1"/>
  <c r="AY9" i="2"/>
  <c r="AX8" i="2"/>
  <c r="AY8" i="2" s="1"/>
  <c r="C37" i="22" s="1"/>
  <c r="CE63" i="1"/>
  <c r="CE62" i="1"/>
  <c r="CI63" i="1"/>
  <c r="CI41" i="2" s="1"/>
  <c r="AE71" i="22" s="1"/>
  <c r="CF49" i="1"/>
  <c r="CF54" i="1"/>
  <c r="CF55" i="1"/>
  <c r="BN19" i="2"/>
  <c r="J48" i="22" s="1"/>
  <c r="CR56" i="2"/>
  <c r="Z48" i="1"/>
  <c r="CA115" i="1"/>
  <c r="CA117" i="1" s="1"/>
  <c r="CA114" i="1"/>
  <c r="CA116" i="1" s="1"/>
  <c r="CA118" i="1" s="1"/>
  <c r="CI141" i="1"/>
  <c r="CI138" i="1" s="1"/>
  <c r="CI151" i="1" s="1"/>
  <c r="CI5" i="1"/>
  <c r="CI4" i="1" s="1"/>
  <c r="CI48" i="1" s="1"/>
  <c r="CI69" i="1"/>
  <c r="AT16" i="2"/>
  <c r="AP37" i="2"/>
  <c r="AW54" i="1"/>
  <c r="AW55" i="1"/>
  <c r="P72" i="1"/>
  <c r="Q72" i="1"/>
  <c r="P71" i="1"/>
  <c r="AC61" i="22"/>
  <c r="CH32" i="2"/>
  <c r="AD61" i="22" s="1"/>
  <c r="BP70" i="2"/>
  <c r="L79" i="22" s="1"/>
  <c r="BP57" i="2"/>
  <c r="AA39" i="2"/>
  <c r="AE37" i="2"/>
  <c r="AN41" i="2"/>
  <c r="AO4" i="2"/>
  <c r="Z43" i="2"/>
  <c r="Z22" i="2"/>
  <c r="Z53" i="2"/>
  <c r="Z55" i="2" s="1"/>
  <c r="Z19" i="2"/>
  <c r="DD122" i="1"/>
  <c r="Z45" i="22"/>
  <c r="CD37" i="2"/>
  <c r="CD2" i="2"/>
  <c r="AY72" i="1"/>
  <c r="BT91" i="1"/>
  <c r="BU93" i="1" s="1"/>
  <c r="BT93" i="1"/>
  <c r="AV55" i="1"/>
  <c r="AV54" i="1"/>
  <c r="AL33" i="22"/>
  <c r="CP11" i="2"/>
  <c r="CP10" i="2"/>
  <c r="AL39" i="22" s="1"/>
  <c r="BU57" i="2"/>
  <c r="BU70" i="2"/>
  <c r="Q79" i="22" s="1"/>
  <c r="AK58" i="2"/>
  <c r="AK73" i="2" s="1"/>
  <c r="AK74" i="2"/>
  <c r="AX37" i="9"/>
  <c r="AX58" i="9" s="1"/>
  <c r="AX43" i="9"/>
  <c r="AY36" i="9"/>
  <c r="CR69" i="1"/>
  <c r="CR141" i="1"/>
  <c r="CR138" i="1" s="1"/>
  <c r="CR5" i="1"/>
  <c r="CR4" i="1" s="1"/>
  <c r="CS6" i="15"/>
  <c r="AR80" i="22"/>
  <c r="CV113" i="1"/>
  <c r="R122" i="1"/>
  <c r="AD18" i="22"/>
  <c r="CH29" i="9"/>
  <c r="CH18" i="9"/>
  <c r="AD19" i="22" s="1"/>
  <c r="S152" i="1"/>
  <c r="S154" i="1"/>
  <c r="CU63" i="1"/>
  <c r="CU41" i="2" s="1"/>
  <c r="AQ71" i="22" s="1"/>
  <c r="BR62" i="1"/>
  <c r="O6" i="22"/>
  <c r="BS6" i="9"/>
  <c r="BN47" i="9"/>
  <c r="BP54" i="1"/>
  <c r="BP55" i="1"/>
  <c r="DA43" i="9"/>
  <c r="BH54" i="1"/>
  <c r="BH55" i="1"/>
  <c r="W40" i="22"/>
  <c r="CA16" i="2"/>
  <c r="CA43" i="2"/>
  <c r="W73" i="22" s="1"/>
  <c r="CA53" i="2"/>
  <c r="CA55" i="2" s="1"/>
  <c r="CA19" i="2"/>
  <c r="W48" i="22" s="1"/>
  <c r="CA22" i="2"/>
  <c r="W51" i="22" s="1"/>
  <c r="DD63" i="1"/>
  <c r="DD41" i="2" s="1"/>
  <c r="AZ71" i="22" s="1"/>
  <c r="DD62" i="1"/>
  <c r="AG80" i="22"/>
  <c r="CK113" i="1"/>
  <c r="CH42" i="9"/>
  <c r="DC113" i="1"/>
  <c r="DC114" i="1" s="1"/>
  <c r="DC111" i="1"/>
  <c r="T25" i="22"/>
  <c r="CC28" i="9"/>
  <c r="BY28" i="9"/>
  <c r="BD80" i="1"/>
  <c r="BD81" i="1" s="1"/>
  <c r="AU55" i="1"/>
  <c r="AU54" i="1"/>
  <c r="AU122" i="1"/>
  <c r="CE85" i="1"/>
  <c r="CE101" i="1"/>
  <c r="CE98" i="1"/>
  <c r="CE104" i="1"/>
  <c r="DC18" i="9"/>
  <c r="AY19" i="22" s="1"/>
  <c r="AS18" i="22"/>
  <c r="CW29" i="9"/>
  <c r="CW18" i="9"/>
  <c r="AS19" i="22" s="1"/>
  <c r="S55" i="1"/>
  <c r="S54" i="1"/>
  <c r="S49" i="1"/>
  <c r="S122" i="1"/>
  <c r="T74" i="2"/>
  <c r="T58" i="2"/>
  <c r="BW93" i="1"/>
  <c r="BX92" i="1"/>
  <c r="BW95" i="1"/>
  <c r="BX95" i="1" s="1"/>
  <c r="BB5" i="22"/>
  <c r="BB6" i="22"/>
  <c r="CK62" i="1"/>
  <c r="CK65" i="1"/>
  <c r="CK67" i="1"/>
  <c r="CA57" i="1"/>
  <c r="CB81" i="2"/>
  <c r="AW33" i="22"/>
  <c r="DA11" i="2"/>
  <c r="DB11" i="2" s="1"/>
  <c r="DB22" i="2" s="1"/>
  <c r="AX51" i="22" s="1"/>
  <c r="DA10" i="2"/>
  <c r="AW39" i="22" s="1"/>
  <c r="AQ40" i="22"/>
  <c r="CU53" i="2"/>
  <c r="CU55" i="2" s="1"/>
  <c r="CU16" i="2"/>
  <c r="CU43" i="2"/>
  <c r="AQ73" i="22" s="1"/>
  <c r="CU19" i="2"/>
  <c r="AQ48" i="22" s="1"/>
  <c r="CU22" i="2"/>
  <c r="AQ51" i="22" s="1"/>
  <c r="BY70" i="2"/>
  <c r="U79" i="22" s="1"/>
  <c r="BY57" i="2"/>
  <c r="CB65" i="1"/>
  <c r="CB67" i="1"/>
  <c r="BE57" i="2"/>
  <c r="BE70" i="2"/>
  <c r="N57" i="2"/>
  <c r="N70" i="2"/>
  <c r="BC16" i="2"/>
  <c r="BD16" i="2" s="1"/>
  <c r="BC19" i="2"/>
  <c r="BC22" i="2"/>
  <c r="BC53" i="2"/>
  <c r="BC55" i="2" s="1"/>
  <c r="BC43" i="2"/>
  <c r="CK38" i="9"/>
  <c r="CK39" i="9" s="1"/>
  <c r="CK37" i="9"/>
  <c r="BC66" i="22"/>
  <c r="DG160" i="1"/>
  <c r="C74" i="2"/>
  <c r="C58" i="2"/>
  <c r="CR10" i="15"/>
  <c r="CR146" i="1"/>
  <c r="CR145" i="1" s="1"/>
  <c r="CS10" i="15"/>
  <c r="CW10" i="15"/>
  <c r="BA6" i="22"/>
  <c r="DA47" i="9"/>
  <c r="N15" i="22"/>
  <c r="BR34" i="9"/>
  <c r="BS14" i="9"/>
  <c r="DC63" i="1"/>
  <c r="DC41" i="2" s="1"/>
  <c r="AY71" i="22" s="1"/>
  <c r="DC62" i="1"/>
  <c r="BQ165" i="1"/>
  <c r="BQ154" i="1"/>
  <c r="BQ152" i="1"/>
  <c r="E6" i="22"/>
  <c r="BI6" i="9"/>
  <c r="BD47" i="9"/>
  <c r="AV40" i="22"/>
  <c r="CZ43" i="2"/>
  <c r="AV73" i="22" s="1"/>
  <c r="CZ16" i="2"/>
  <c r="CZ19" i="2"/>
  <c r="AV48" i="22" s="1"/>
  <c r="CZ53" i="2"/>
  <c r="CZ55" i="2" s="1"/>
  <c r="CZ22" i="2"/>
  <c r="AV51" i="22" s="1"/>
  <c r="CK55" i="1"/>
  <c r="CK54" i="1"/>
  <c r="CK49" i="1"/>
  <c r="AX18" i="22"/>
  <c r="DB29" i="9"/>
  <c r="DB18" i="9"/>
  <c r="AX19" i="22" s="1"/>
  <c r="BS141" i="1"/>
  <c r="BS5" i="1"/>
  <c r="BS4" i="1" s="1"/>
  <c r="BS69" i="1"/>
  <c r="AE40" i="22"/>
  <c r="CI16" i="2"/>
  <c r="CI19" i="2"/>
  <c r="AE48" i="22" s="1"/>
  <c r="CI43" i="2"/>
  <c r="AE73" i="22" s="1"/>
  <c r="CI53" i="2"/>
  <c r="CI55" i="2" s="1"/>
  <c r="CI22" i="2"/>
  <c r="AE51" i="22" s="1"/>
  <c r="AT86" i="2"/>
  <c r="AT87" i="2" s="1"/>
  <c r="AT88" i="2"/>
  <c r="BE165" i="1"/>
  <c r="BE152" i="1"/>
  <c r="BE154" i="1"/>
  <c r="CI112" i="1"/>
  <c r="CI115" i="1"/>
  <c r="CI117" i="1" s="1"/>
  <c r="AM165" i="1"/>
  <c r="AM152" i="1"/>
  <c r="AM154" i="1"/>
  <c r="BX65" i="1"/>
  <c r="BX67" i="1"/>
  <c r="BW54" i="1"/>
  <c r="BW55" i="1"/>
  <c r="BW122" i="1"/>
  <c r="CP55" i="1"/>
  <c r="CP54" i="1"/>
  <c r="CP49" i="1"/>
  <c r="P53" i="2"/>
  <c r="P55" i="2" s="1"/>
  <c r="P43" i="2"/>
  <c r="P22" i="2"/>
  <c r="P19" i="2"/>
  <c r="AF54" i="1"/>
  <c r="AF55" i="1"/>
  <c r="AF122" i="1"/>
  <c r="DG4" i="9"/>
  <c r="AG15" i="22"/>
  <c r="CK34" i="9"/>
  <c r="AU37" i="2"/>
  <c r="AY16" i="2"/>
  <c r="AZ91" i="1"/>
  <c r="BA93" i="1" s="1"/>
  <c r="AY93" i="1"/>
  <c r="AZ93" i="1"/>
  <c r="BC54" i="1"/>
  <c r="BB9" i="22"/>
  <c r="BB14" i="22"/>
  <c r="AJ86" i="2"/>
  <c r="AJ87" i="2" s="1"/>
  <c r="AJ88" i="2"/>
  <c r="BI81" i="1"/>
  <c r="AO112" i="1"/>
  <c r="AK116" i="1"/>
  <c r="AT53" i="2"/>
  <c r="AT55" i="2" s="1"/>
  <c r="AT22" i="2"/>
  <c r="AT19" i="2"/>
  <c r="CV93" i="1"/>
  <c r="CV95" i="1"/>
  <c r="CW95" i="1" s="1"/>
  <c r="AO61" i="1"/>
  <c r="AO71" i="2"/>
  <c r="AY14" i="15"/>
  <c r="AU14" i="15"/>
  <c r="AR54" i="1"/>
  <c r="AR55" i="1"/>
  <c r="AR122" i="1"/>
  <c r="BC55" i="1"/>
  <c r="CY141" i="1"/>
  <c r="CY138" i="1" s="1"/>
  <c r="CY151" i="1" s="1"/>
  <c r="CY5" i="1"/>
  <c r="CY4" i="1" s="1"/>
  <c r="CY48" i="1" s="1"/>
  <c r="CY69" i="1"/>
  <c r="CY6" i="15"/>
  <c r="CZ6" i="15"/>
  <c r="AR41" i="22"/>
  <c r="CW12" i="2"/>
  <c r="BS140" i="1"/>
  <c r="BX20" i="9"/>
  <c r="T21" i="22" s="1"/>
  <c r="BT20" i="9"/>
  <c r="P21" i="22" s="1"/>
  <c r="BS60" i="1"/>
  <c r="BS62" i="1" s="1"/>
  <c r="BT6" i="15"/>
  <c r="AH34" i="22"/>
  <c r="CL36" i="9"/>
  <c r="CM36" i="9" s="1"/>
  <c r="CM37" i="9" s="1"/>
  <c r="CL61" i="1"/>
  <c r="CL4" i="2"/>
  <c r="U55" i="1"/>
  <c r="U24" i="15" s="1"/>
  <c r="U54" i="1"/>
  <c r="CP141" i="1"/>
  <c r="CP138" i="1" s="1"/>
  <c r="CP151" i="1" s="1"/>
  <c r="CP6" i="15"/>
  <c r="CP5" i="1"/>
  <c r="CP4" i="1" s="1"/>
  <c r="CP48" i="1" s="1"/>
  <c r="CP69" i="1"/>
  <c r="CX63" i="1"/>
  <c r="CX41" i="2" s="1"/>
  <c r="AT71" i="22" s="1"/>
  <c r="CS34" i="9"/>
  <c r="CW14" i="9"/>
  <c r="AO15" i="22"/>
  <c r="L45" i="22"/>
  <c r="BP91" i="2"/>
  <c r="BP37" i="2"/>
  <c r="K37" i="2"/>
  <c r="G39" i="2"/>
  <c r="CC95" i="1"/>
  <c r="AU40" i="22"/>
  <c r="CY16" i="2"/>
  <c r="CY43" i="2"/>
  <c r="AU73" i="22" s="1"/>
  <c r="CY19" i="2"/>
  <c r="AU48" i="22" s="1"/>
  <c r="CY22" i="2"/>
  <c r="AU51" i="22" s="1"/>
  <c r="CY53" i="2"/>
  <c r="CY55" i="2" s="1"/>
  <c r="AE16" i="2"/>
  <c r="BR86" i="2"/>
  <c r="BR87" i="2" s="1"/>
  <c r="AS50" i="22"/>
  <c r="CW56" i="2"/>
  <c r="AN65" i="1"/>
  <c r="AN62" i="1"/>
  <c r="AN67" i="1"/>
  <c r="V37" i="2"/>
  <c r="Z16" i="2"/>
  <c r="BQ70" i="2"/>
  <c r="M79" i="22" s="1"/>
  <c r="BQ57" i="2"/>
  <c r="BZ54" i="1"/>
  <c r="BZ55" i="1"/>
  <c r="CD57" i="2"/>
  <c r="CD70" i="2"/>
  <c r="Z79" i="22" s="1"/>
  <c r="AZ30" i="15"/>
  <c r="BD30" i="15" s="1"/>
  <c r="P23" i="9"/>
  <c r="P52" i="2"/>
  <c r="CP62" i="1"/>
  <c r="CP67" i="1"/>
  <c r="CP65" i="1"/>
  <c r="AJ141" i="1"/>
  <c r="AJ138" i="1" s="1"/>
  <c r="AJ5" i="1"/>
  <c r="AJ4" i="1" s="1"/>
  <c r="AJ69" i="1"/>
  <c r="AJ71" i="1" s="1"/>
  <c r="AJ6" i="15"/>
  <c r="AK6" i="15"/>
  <c r="AT43" i="2"/>
  <c r="AJ27" i="2"/>
  <c r="AT6" i="15"/>
  <c r="AT60" i="1"/>
  <c r="AT140" i="1"/>
  <c r="AU20" i="9"/>
  <c r="AY6" i="15"/>
  <c r="AU6" i="15"/>
  <c r="AY20" i="9"/>
  <c r="C21" i="22" s="1"/>
  <c r="BN101" i="1"/>
  <c r="AP45" i="22"/>
  <c r="CT91" i="2"/>
  <c r="CT2" i="2"/>
  <c r="AH70" i="2"/>
  <c r="AH57" i="2"/>
  <c r="BN43" i="2"/>
  <c r="J73" i="22" s="1"/>
  <c r="M154" i="1"/>
  <c r="M152" i="1"/>
  <c r="BN104" i="1"/>
  <c r="AS58" i="2"/>
  <c r="AS74" i="2"/>
  <c r="BS95" i="1"/>
  <c r="Y9" i="22"/>
  <c r="CL71" i="1"/>
  <c r="CL80" i="1"/>
  <c r="CL81" i="1" s="1"/>
  <c r="L70" i="2"/>
  <c r="L57" i="2"/>
  <c r="AO53" i="1"/>
  <c r="AP27" i="2"/>
  <c r="AP86" i="2"/>
  <c r="AP87" i="2" s="1"/>
  <c r="CF69" i="1"/>
  <c r="CG72" i="1" s="1"/>
  <c r="CF5" i="1"/>
  <c r="CF4" i="1" s="1"/>
  <c r="CF48" i="1" s="1"/>
  <c r="CF141" i="1"/>
  <c r="CF138" i="1" s="1"/>
  <c r="CF151" i="1" s="1"/>
  <c r="BA26" i="22"/>
  <c r="CC67" i="1"/>
  <c r="CC65" i="1"/>
  <c r="AE55" i="1"/>
  <c r="AE24" i="15" s="1"/>
  <c r="AE54" i="1"/>
  <c r="BM91" i="1"/>
  <c r="BN91" i="1" s="1"/>
  <c r="DB27" i="2"/>
  <c r="AX56" i="22" s="1"/>
  <c r="BN38" i="9"/>
  <c r="BJ39" i="9"/>
  <c r="AG33" i="22"/>
  <c r="CK11" i="2"/>
  <c r="CK10" i="2"/>
  <c r="AG39" i="22" s="1"/>
  <c r="CS122" i="1"/>
  <c r="AX34" i="22"/>
  <c r="DB61" i="1"/>
  <c r="N25" i="22"/>
  <c r="BS24" i="9"/>
  <c r="BW28" i="9"/>
  <c r="BW29" i="9" s="1"/>
  <c r="BM24" i="9"/>
  <c r="BC117" i="1"/>
  <c r="BD115" i="1"/>
  <c r="BD117" i="1" s="1"/>
  <c r="AE46" i="22"/>
  <c r="BI115" i="1"/>
  <c r="BI117" i="1" s="1"/>
  <c r="BH117" i="1"/>
  <c r="CU115" i="1"/>
  <c r="CU117" i="1" s="1"/>
  <c r="CU112" i="1"/>
  <c r="CU116" i="1" s="1"/>
  <c r="CU118" i="1" s="1"/>
  <c r="AY22" i="22"/>
  <c r="BW20" i="2"/>
  <c r="S49" i="22" s="1"/>
  <c r="CZ54" i="1"/>
  <c r="CZ55" i="1"/>
  <c r="CZ49" i="1"/>
  <c r="I15" i="22"/>
  <c r="BM34" i="9"/>
  <c r="BN14" i="9"/>
  <c r="O9" i="22"/>
  <c r="BT8" i="9"/>
  <c r="CA154" i="1"/>
  <c r="CA155" i="1" s="1"/>
  <c r="AN18" i="22"/>
  <c r="CR18" i="9"/>
  <c r="AN19" i="22" s="1"/>
  <c r="CR29" i="9"/>
  <c r="DU86" i="2"/>
  <c r="DW87" i="2"/>
  <c r="CX5" i="11"/>
  <c r="L45" i="9" l="1"/>
  <c r="CQ85" i="2"/>
  <c r="CQ84" i="2" s="1"/>
  <c r="CQ49" i="1"/>
  <c r="CQ82" i="2" s="1"/>
  <c r="L3" i="15"/>
  <c r="BR151" i="1"/>
  <c r="BR165" i="1" s="1"/>
  <c r="CQ55" i="1"/>
  <c r="L32" i="9"/>
  <c r="BX53" i="1"/>
  <c r="BX122" i="1" s="1"/>
  <c r="CQ54" i="1"/>
  <c r="CR27" i="1"/>
  <c r="CR26" i="1" s="1"/>
  <c r="CR48" i="1" s="1"/>
  <c r="AM74" i="2"/>
  <c r="BI140" i="1"/>
  <c r="BI60" i="1"/>
  <c r="BI62" i="1" s="1"/>
  <c r="CQ27" i="2"/>
  <c r="AM56" i="22" s="1"/>
  <c r="CR27" i="2"/>
  <c r="AN56" i="22" s="1"/>
  <c r="M77" i="2"/>
  <c r="M52" i="2"/>
  <c r="M3" i="2"/>
  <c r="M3" i="15"/>
  <c r="L77" i="2"/>
  <c r="L3" i="1"/>
  <c r="L3" i="2"/>
  <c r="BI49" i="1"/>
  <c r="L106" i="1"/>
  <c r="CC140" i="1"/>
  <c r="L52" i="2"/>
  <c r="X58" i="2"/>
  <c r="X73" i="2" s="1"/>
  <c r="L83" i="2"/>
  <c r="BI30" i="15"/>
  <c r="AY49" i="1"/>
  <c r="L130" i="1"/>
  <c r="CB114" i="1"/>
  <c r="CB116" i="1" s="1"/>
  <c r="CB118" i="1" s="1"/>
  <c r="L51" i="9"/>
  <c r="BD55" i="1"/>
  <c r="BD24" i="15" s="1"/>
  <c r="CC113" i="1"/>
  <c r="CK72" i="1"/>
  <c r="L59" i="1"/>
  <c r="L25" i="1"/>
  <c r="BY85" i="1"/>
  <c r="L3" i="9"/>
  <c r="BD54" i="1"/>
  <c r="BT10" i="15"/>
  <c r="DD57" i="2"/>
  <c r="DD58" i="2" s="1"/>
  <c r="BK74" i="2"/>
  <c r="G82" i="22" s="1"/>
  <c r="M59" i="1"/>
  <c r="BS50" i="1"/>
  <c r="BS53" i="1" s="1"/>
  <c r="M23" i="9"/>
  <c r="BS27" i="1"/>
  <c r="BS26" i="1" s="1"/>
  <c r="M32" i="9"/>
  <c r="BS146" i="1"/>
  <c r="BS145" i="1" s="1"/>
  <c r="M51" i="9"/>
  <c r="BX10" i="15"/>
  <c r="M3" i="1"/>
  <c r="M83" i="2"/>
  <c r="M25" i="1"/>
  <c r="M45" i="9"/>
  <c r="K57" i="2"/>
  <c r="K74" i="2" s="1"/>
  <c r="G74" i="2"/>
  <c r="M106" i="1"/>
  <c r="O32" i="9"/>
  <c r="M3" i="9"/>
  <c r="O52" i="2"/>
  <c r="CD20" i="9"/>
  <c r="Z21" i="22" s="1"/>
  <c r="CW43" i="9"/>
  <c r="CM34" i="9"/>
  <c r="BY104" i="1"/>
  <c r="DC57" i="2"/>
  <c r="DC74" i="2" s="1"/>
  <c r="AY82" i="22" s="1"/>
  <c r="BY101" i="1"/>
  <c r="CB62" i="1"/>
  <c r="BJ6" i="15"/>
  <c r="BJ20" i="9"/>
  <c r="F21" i="22" s="1"/>
  <c r="S74" i="2"/>
  <c r="H58" i="2"/>
  <c r="H56" i="1" s="1"/>
  <c r="BX113" i="1"/>
  <c r="BN71" i="1"/>
  <c r="BW114" i="1"/>
  <c r="BW116" i="1" s="1"/>
  <c r="BW118" i="1" s="1"/>
  <c r="DF19" i="2"/>
  <c r="DF53" i="2"/>
  <c r="DF55" i="2" s="1"/>
  <c r="DF43" i="2"/>
  <c r="BB73" i="22" s="1"/>
  <c r="DF16" i="2"/>
  <c r="DF22" i="2"/>
  <c r="AY151" i="1"/>
  <c r="AY154" i="1" s="1"/>
  <c r="CD6" i="15"/>
  <c r="CW38" i="9"/>
  <c r="BX55" i="2"/>
  <c r="BX57" i="2" s="1"/>
  <c r="CU165" i="1"/>
  <c r="AZ86" i="2"/>
  <c r="AZ87" i="2" s="1"/>
  <c r="C48" i="2"/>
  <c r="C4" i="15" s="1"/>
  <c r="F154" i="1"/>
  <c r="DC2" i="2"/>
  <c r="BD49" i="1"/>
  <c r="U154" i="1"/>
  <c r="AY54" i="1"/>
  <c r="CH20" i="9"/>
  <c r="AD21" i="22" s="1"/>
  <c r="P152" i="1"/>
  <c r="AZ27" i="2"/>
  <c r="AY55" i="1"/>
  <c r="AY24" i="15" s="1"/>
  <c r="BS70" i="1"/>
  <c r="BS80" i="1" s="1"/>
  <c r="BS81" i="1" s="1"/>
  <c r="BX70" i="1"/>
  <c r="BX80" i="1" s="1"/>
  <c r="BX81" i="1" s="1"/>
  <c r="T41" i="22"/>
  <c r="B56" i="1"/>
  <c r="AI165" i="1"/>
  <c r="AO91" i="2"/>
  <c r="BM71" i="1"/>
  <c r="DA72" i="1"/>
  <c r="O3" i="2"/>
  <c r="J74" i="2"/>
  <c r="AI154" i="1"/>
  <c r="BX62" i="1"/>
  <c r="AJ151" i="1"/>
  <c r="AJ165" i="1" s="1"/>
  <c r="AJ31" i="11" s="1"/>
  <c r="O23" i="9"/>
  <c r="BZ8" i="9"/>
  <c r="V9" i="22" s="1"/>
  <c r="AT118" i="1"/>
  <c r="X47" i="2"/>
  <c r="AR74" i="2"/>
  <c r="CU152" i="1"/>
  <c r="S9" i="7"/>
  <c r="S23" i="9" s="1"/>
  <c r="CA98" i="1"/>
  <c r="DD2" i="2"/>
  <c r="O51" i="9"/>
  <c r="CA101" i="1"/>
  <c r="BY6" i="9"/>
  <c r="U7" i="22" s="1"/>
  <c r="CA104" i="1"/>
  <c r="T12" i="22"/>
  <c r="BH62" i="1"/>
  <c r="AI63" i="2"/>
  <c r="CG43" i="9"/>
  <c r="O45" i="9"/>
  <c r="O130" i="1"/>
  <c r="CV72" i="1"/>
  <c r="O59" i="1"/>
  <c r="O83" i="2"/>
  <c r="O25" i="1"/>
  <c r="CU72" i="1"/>
  <c r="CH36" i="9"/>
  <c r="CH37" i="9" s="1"/>
  <c r="DC10" i="15"/>
  <c r="DB50" i="1"/>
  <c r="DC85" i="2" s="1"/>
  <c r="DC84" i="2" s="1"/>
  <c r="DG15" i="9"/>
  <c r="DG16" i="9" s="1"/>
  <c r="BC17" i="22" s="1"/>
  <c r="O106" i="1"/>
  <c r="CE165" i="1"/>
  <c r="O77" i="2"/>
  <c r="CV53" i="2"/>
  <c r="CV55" i="2" s="1"/>
  <c r="CV70" i="2" s="1"/>
  <c r="AR79" i="22" s="1"/>
  <c r="CG38" i="9"/>
  <c r="CG39" i="9" s="1"/>
  <c r="O3" i="15"/>
  <c r="CW41" i="2"/>
  <c r="AS71" i="22" s="1"/>
  <c r="AR40" i="22"/>
  <c r="AN152" i="1"/>
  <c r="DB27" i="1"/>
  <c r="DB26" i="1" s="1"/>
  <c r="DB48" i="1" s="1"/>
  <c r="O3" i="1"/>
  <c r="CB18" i="9"/>
  <c r="X19" i="22" s="1"/>
  <c r="I58" i="2"/>
  <c r="I56" i="1" s="1"/>
  <c r="CL72" i="1"/>
  <c r="BD66" i="22"/>
  <c r="DS10" i="2"/>
  <c r="DT10" i="2" s="1"/>
  <c r="DU10" i="2" s="1"/>
  <c r="DW10" i="2" s="1"/>
  <c r="DX10" i="2" s="1"/>
  <c r="DY10" i="2" s="1"/>
  <c r="DZ10" i="2" s="1"/>
  <c r="EB10" i="2" s="1"/>
  <c r="EC10" i="2" s="1"/>
  <c r="ED10" i="2" s="1"/>
  <c r="EE10" i="2" s="1"/>
  <c r="BL39" i="22"/>
  <c r="AD41" i="22"/>
  <c r="BH91" i="2"/>
  <c r="CH71" i="1"/>
  <c r="CG113" i="1"/>
  <c r="CG114" i="1" s="1"/>
  <c r="CH114" i="1" s="1"/>
  <c r="DN20" i="2"/>
  <c r="BI49" i="22"/>
  <c r="DJ44" i="2"/>
  <c r="BE74" i="22"/>
  <c r="E58" i="2"/>
  <c r="E73" i="2" s="1"/>
  <c r="AI41" i="22"/>
  <c r="CG67" i="1"/>
  <c r="DJ35" i="2"/>
  <c r="BE64" i="22"/>
  <c r="BE9" i="22"/>
  <c r="BD9" i="22"/>
  <c r="DB84" i="2"/>
  <c r="BE50" i="22"/>
  <c r="CL152" i="1"/>
  <c r="CL154" i="1"/>
  <c r="DC152" i="1"/>
  <c r="DC154" i="1"/>
  <c r="DB146" i="1"/>
  <c r="DB145" i="1" s="1"/>
  <c r="DB151" i="1" s="1"/>
  <c r="DB152" i="1" s="1"/>
  <c r="AJ91" i="2"/>
  <c r="CO152" i="1"/>
  <c r="CH95" i="1"/>
  <c r="CW53" i="1"/>
  <c r="BY13" i="9"/>
  <c r="BZ13" i="9" s="1"/>
  <c r="V14" i="22" s="1"/>
  <c r="CQ165" i="1"/>
  <c r="BR70" i="2"/>
  <c r="N79" i="22" s="1"/>
  <c r="E48" i="2"/>
  <c r="E4" i="15" s="1"/>
  <c r="CO154" i="1"/>
  <c r="CB48" i="1"/>
  <c r="CX27" i="2"/>
  <c r="AT56" i="22" s="1"/>
  <c r="CQ154" i="1"/>
  <c r="CW65" i="1"/>
  <c r="BX85" i="1"/>
  <c r="CE72" i="1"/>
  <c r="DA54" i="1"/>
  <c r="CX165" i="1"/>
  <c r="CK165" i="1"/>
  <c r="CW67" i="1"/>
  <c r="BX98" i="1"/>
  <c r="CT152" i="1"/>
  <c r="CW11" i="2"/>
  <c r="CW53" i="2" s="1"/>
  <c r="CW55" i="2" s="1"/>
  <c r="DC47" i="9"/>
  <c r="AO41" i="2"/>
  <c r="CY58" i="1"/>
  <c r="CX58" i="1" s="1"/>
  <c r="CX152" i="1"/>
  <c r="CK154" i="1"/>
  <c r="CV43" i="2"/>
  <c r="AR73" i="22" s="1"/>
  <c r="BX104" i="1"/>
  <c r="CT154" i="1"/>
  <c r="CG65" i="1"/>
  <c r="CW10" i="2"/>
  <c r="AS39" i="22" s="1"/>
  <c r="DA49" i="1"/>
  <c r="DA76" i="2" s="1"/>
  <c r="CZ76" i="2" s="1"/>
  <c r="AB58" i="2"/>
  <c r="AB73" i="2" s="1"/>
  <c r="CV19" i="2"/>
  <c r="AR48" i="22" s="1"/>
  <c r="K152" i="1"/>
  <c r="DB85" i="2"/>
  <c r="DB86" i="2" s="1"/>
  <c r="DB87" i="2" s="1"/>
  <c r="DA55" i="1"/>
  <c r="CV16" i="2"/>
  <c r="CW16" i="2" s="1"/>
  <c r="CV54" i="1"/>
  <c r="CV55" i="1"/>
  <c r="BM116" i="1"/>
  <c r="BM118" i="1" s="1"/>
  <c r="AB48" i="2"/>
  <c r="AB4" i="15" s="1"/>
  <c r="CV122" i="1"/>
  <c r="CM48" i="1"/>
  <c r="CV91" i="1"/>
  <c r="CW91" i="1" s="1"/>
  <c r="CX93" i="1" s="1"/>
  <c r="S3" i="11"/>
  <c r="AK91" i="2"/>
  <c r="CH6" i="15"/>
  <c r="BM138" i="1"/>
  <c r="BM151" i="1" s="1"/>
  <c r="BM152" i="1" s="1"/>
  <c r="DA152" i="1"/>
  <c r="DA165" i="1"/>
  <c r="AO151" i="1"/>
  <c r="AO165" i="1" s="1"/>
  <c r="AO31" i="11" s="1"/>
  <c r="P25" i="1"/>
  <c r="AG47" i="2"/>
  <c r="BR91" i="2"/>
  <c r="P59" i="1"/>
  <c r="CL165" i="1"/>
  <c r="CN27" i="2"/>
  <c r="AJ56" i="22" s="1"/>
  <c r="AK39" i="2"/>
  <c r="AK63" i="2" s="1"/>
  <c r="P3" i="15"/>
  <c r="P83" i="2"/>
  <c r="P77" i="2"/>
  <c r="CN85" i="2"/>
  <c r="CN84" i="2" s="1"/>
  <c r="CR84" i="2" s="1"/>
  <c r="P106" i="1"/>
  <c r="DC165" i="1"/>
  <c r="R27" i="11"/>
  <c r="R3" i="11"/>
  <c r="R9" i="7"/>
  <c r="P3" i="9"/>
  <c r="CM72" i="1"/>
  <c r="Z152" i="1"/>
  <c r="CS154" i="1"/>
  <c r="I45" i="22"/>
  <c r="BM37" i="2"/>
  <c r="I67" i="22" s="1"/>
  <c r="W3" i="7"/>
  <c r="AB5" i="7"/>
  <c r="BM57" i="2"/>
  <c r="BM58" i="2" s="1"/>
  <c r="CM17" i="2"/>
  <c r="AI46" i="22" s="1"/>
  <c r="P32" i="9"/>
  <c r="CS152" i="1"/>
  <c r="P3" i="2"/>
  <c r="P130" i="1"/>
  <c r="P3" i="1"/>
  <c r="AO30" i="15"/>
  <c r="P51" i="9"/>
  <c r="DC91" i="2"/>
  <c r="BN5" i="1"/>
  <c r="BN4" i="1" s="1"/>
  <c r="BN48" i="1" s="1"/>
  <c r="T48" i="2"/>
  <c r="T47" i="2"/>
  <c r="Q9" i="7"/>
  <c r="Q45" i="9" s="1"/>
  <c r="DA154" i="1"/>
  <c r="CE154" i="1"/>
  <c r="AC56" i="1"/>
  <c r="AS154" i="1"/>
  <c r="CB72" i="1"/>
  <c r="CB71" i="1"/>
  <c r="AS152" i="1"/>
  <c r="Q27" i="11"/>
  <c r="CZ165" i="1"/>
  <c r="AX55" i="1"/>
  <c r="AX54" i="1"/>
  <c r="AX122" i="1"/>
  <c r="U3" i="11"/>
  <c r="U27" i="11"/>
  <c r="U9" i="7"/>
  <c r="BS22" i="2"/>
  <c r="O51" i="22" s="1"/>
  <c r="CN72" i="1"/>
  <c r="AD34" i="22"/>
  <c r="CH61" i="1"/>
  <c r="CH71" i="2"/>
  <c r="AD80" i="22" s="1"/>
  <c r="T3" i="11"/>
  <c r="T27" i="11"/>
  <c r="T9" i="7"/>
  <c r="CC17" i="2"/>
  <c r="Y46" i="22" s="1"/>
  <c r="AO10" i="2"/>
  <c r="CP115" i="1"/>
  <c r="CP117" i="1" s="1"/>
  <c r="DB38" i="9"/>
  <c r="DB39" i="9" s="1"/>
  <c r="AN154" i="1"/>
  <c r="AD5" i="7"/>
  <c r="Z5" i="7"/>
  <c r="Z3" i="7" s="1"/>
  <c r="Y3" i="7"/>
  <c r="CE70" i="2"/>
  <c r="AA79" i="22" s="1"/>
  <c r="CE57" i="2"/>
  <c r="BS53" i="2"/>
  <c r="BS55" i="2" s="1"/>
  <c r="BS70" i="2" s="1"/>
  <c r="O79" i="22" s="1"/>
  <c r="AA45" i="22"/>
  <c r="CE37" i="2"/>
  <c r="AA67" i="22" s="1"/>
  <c r="CE2" i="2"/>
  <c r="D45" i="2"/>
  <c r="D48" i="2" s="1"/>
  <c r="O40" i="22"/>
  <c r="CB151" i="1"/>
  <c r="CB152" i="1" s="1"/>
  <c r="AE152" i="1"/>
  <c r="CQ91" i="1"/>
  <c r="CR91" i="1" s="1"/>
  <c r="CR93" i="1" s="1"/>
  <c r="CT71" i="1"/>
  <c r="CT72" i="1"/>
  <c r="CC5" i="1"/>
  <c r="CC4" i="1" s="1"/>
  <c r="CC141" i="1"/>
  <c r="CC69" i="1"/>
  <c r="CD72" i="1" s="1"/>
  <c r="CN165" i="1"/>
  <c r="BS25" i="9"/>
  <c r="O26" i="22" s="1"/>
  <c r="AJ65" i="1"/>
  <c r="AJ62" i="1"/>
  <c r="AJ67" i="1"/>
  <c r="CI93" i="1"/>
  <c r="CI91" i="1"/>
  <c r="CJ93" i="1" s="1"/>
  <c r="BS20" i="9"/>
  <c r="O21" i="22" s="1"/>
  <c r="BN60" i="1"/>
  <c r="BS63" i="1" s="1"/>
  <c r="BS41" i="2" s="1"/>
  <c r="O71" i="22" s="1"/>
  <c r="BO20" i="9"/>
  <c r="K21" i="22" s="1"/>
  <c r="BN140" i="1"/>
  <c r="BN138" i="1" s="1"/>
  <c r="BN151" i="1" s="1"/>
  <c r="BS27" i="9"/>
  <c r="O28" i="22" s="1"/>
  <c r="BS16" i="2"/>
  <c r="O45" i="22" s="1"/>
  <c r="BM25" i="9"/>
  <c r="I26" i="22" s="1"/>
  <c r="BS138" i="1"/>
  <c r="AR56" i="1"/>
  <c r="CN71" i="1"/>
  <c r="CP116" i="1"/>
  <c r="CP118" i="1" s="1"/>
  <c r="N26" i="22"/>
  <c r="AN54" i="1"/>
  <c r="AN55" i="1"/>
  <c r="P12" i="22"/>
  <c r="BU11" i="9"/>
  <c r="CM63" i="1"/>
  <c r="CN63" i="1"/>
  <c r="CN41" i="2" s="1"/>
  <c r="AJ71" i="22" s="1"/>
  <c r="AP72" i="1"/>
  <c r="BC76" i="22"/>
  <c r="DG65" i="2"/>
  <c r="AT72" i="1"/>
  <c r="CC112" i="1"/>
  <c r="N45" i="22"/>
  <c r="AE70" i="2"/>
  <c r="AE57" i="2"/>
  <c r="BM62" i="1"/>
  <c r="BM63" i="1"/>
  <c r="CF19" i="2"/>
  <c r="AB48" i="22" s="1"/>
  <c r="CF43" i="2"/>
  <c r="AB73" i="22" s="1"/>
  <c r="CF53" i="2"/>
  <c r="CF55" i="2" s="1"/>
  <c r="CF16" i="2"/>
  <c r="CF22" i="2"/>
  <c r="AB51" i="22" s="1"/>
  <c r="AB40" i="22"/>
  <c r="BR26" i="9"/>
  <c r="BW18" i="9" s="1"/>
  <c r="S19" i="22" s="1"/>
  <c r="BM30" i="15"/>
  <c r="BN30" i="15" s="1"/>
  <c r="BO30" i="15"/>
  <c r="AF74" i="2"/>
  <c r="AF58" i="2"/>
  <c r="BM27" i="9"/>
  <c r="I28" i="22" s="1"/>
  <c r="CR151" i="1"/>
  <c r="CR152" i="1" s="1"/>
  <c r="DG42" i="1"/>
  <c r="DF150" i="1"/>
  <c r="CN154" i="1"/>
  <c r="CO72" i="1"/>
  <c r="CC21" i="9"/>
  <c r="Y22" i="22" s="1"/>
  <c r="BX26" i="9"/>
  <c r="T27" i="22" s="1"/>
  <c r="CM138" i="1"/>
  <c r="CM151" i="1" s="1"/>
  <c r="CM154" i="1" s="1"/>
  <c r="CH93" i="1"/>
  <c r="CC63" i="1"/>
  <c r="CC41" i="2" s="1"/>
  <c r="Y71" i="22" s="1"/>
  <c r="X3" i="7"/>
  <c r="X27" i="11" s="1"/>
  <c r="S56" i="1"/>
  <c r="CC70" i="1"/>
  <c r="CC80" i="1" s="1"/>
  <c r="CC81" i="1" s="1"/>
  <c r="BY91" i="2"/>
  <c r="CZ152" i="1"/>
  <c r="AT138" i="1"/>
  <c r="AT151" i="1" s="1"/>
  <c r="AT165" i="1" s="1"/>
  <c r="AT31" i="11" s="1"/>
  <c r="BS19" i="2"/>
  <c r="O48" i="22" s="1"/>
  <c r="F37" i="2"/>
  <c r="AZ56" i="1"/>
  <c r="BO6" i="15"/>
  <c r="I48" i="2"/>
  <c r="I47" i="2"/>
  <c r="CJ154" i="1"/>
  <c r="CJ152" i="1"/>
  <c r="CJ165" i="1"/>
  <c r="CG165" i="1"/>
  <c r="CG154" i="1"/>
  <c r="CG152" i="1"/>
  <c r="BH154" i="1"/>
  <c r="BH165" i="1"/>
  <c r="BH152" i="1"/>
  <c r="D45" i="22"/>
  <c r="T45" i="22"/>
  <c r="CF154" i="1"/>
  <c r="CF165" i="1"/>
  <c r="CF152" i="1"/>
  <c r="CN91" i="1"/>
  <c r="CO93" i="1" s="1"/>
  <c r="CN93" i="1"/>
  <c r="CM93" i="1"/>
  <c r="DB62" i="1"/>
  <c r="DC1" i="1"/>
  <c r="DE1" i="1" s="1"/>
  <c r="DF1" i="1" s="1"/>
  <c r="DB67" i="1"/>
  <c r="DB65" i="1"/>
  <c r="J7" i="22"/>
  <c r="BO6" i="9"/>
  <c r="DA91" i="1"/>
  <c r="DB91" i="1" s="1"/>
  <c r="CQ65" i="1"/>
  <c r="CQ67" i="1"/>
  <c r="CQ62" i="1"/>
  <c r="CM55" i="1"/>
  <c r="CM54" i="1"/>
  <c r="CN49" i="1"/>
  <c r="CR49" i="1" s="1"/>
  <c r="CM122" i="1"/>
  <c r="Y29" i="22"/>
  <c r="CC30" i="9"/>
  <c r="Y30" i="22" s="1"/>
  <c r="AA63" i="2"/>
  <c r="AE39" i="2"/>
  <c r="AE63" i="2" s="1"/>
  <c r="AA45" i="2"/>
  <c r="AP74" i="2"/>
  <c r="AP58" i="2"/>
  <c r="BJ74" i="2"/>
  <c r="F82" i="22" s="1"/>
  <c r="BJ58" i="2"/>
  <c r="BJ116" i="1"/>
  <c r="BN112" i="1"/>
  <c r="H4" i="15"/>
  <c r="H66" i="2"/>
  <c r="T18" i="22"/>
  <c r="BX18" i="9"/>
  <c r="T19" i="22" s="1"/>
  <c r="T15" i="22"/>
  <c r="BX34" i="9"/>
  <c r="BO72" i="1"/>
  <c r="BC152" i="1"/>
  <c r="BC165" i="1"/>
  <c r="BC154" i="1"/>
  <c r="BN115" i="1"/>
  <c r="BN117" i="1" s="1"/>
  <c r="BM117" i="1"/>
  <c r="AS73" i="2"/>
  <c r="AS56" i="1"/>
  <c r="V39" i="2"/>
  <c r="Z37" i="2"/>
  <c r="CY165" i="1"/>
  <c r="CY154" i="1"/>
  <c r="CY152" i="1"/>
  <c r="AY37" i="2"/>
  <c r="C67" i="22" s="1"/>
  <c r="CZ57" i="2"/>
  <c r="CZ70" i="2"/>
  <c r="AV79" i="22" s="1"/>
  <c r="N74" i="2"/>
  <c r="N58" i="2"/>
  <c r="BY58" i="2"/>
  <c r="BY74" i="2"/>
  <c r="U82" i="22" s="1"/>
  <c r="AW40" i="22"/>
  <c r="DA53" i="2"/>
  <c r="DA55" i="2" s="1"/>
  <c r="DA16" i="2"/>
  <c r="DA19" i="2"/>
  <c r="AW48" i="22" s="1"/>
  <c r="DA43" i="2"/>
  <c r="AW73" i="22" s="1"/>
  <c r="DA22" i="2"/>
  <c r="AW51" i="22" s="1"/>
  <c r="CD63" i="1"/>
  <c r="AK45" i="22"/>
  <c r="CO2" i="2"/>
  <c r="CO37" i="2"/>
  <c r="CO91" i="2"/>
  <c r="F9" i="22"/>
  <c r="BK8" i="9"/>
  <c r="K9" i="22"/>
  <c r="BP8" i="9"/>
  <c r="AT49" i="1"/>
  <c r="AT54" i="1"/>
  <c r="AT55" i="1"/>
  <c r="AT24" i="15" s="1"/>
  <c r="AT122" i="1"/>
  <c r="BW154" i="1"/>
  <c r="BW155" i="1" s="1"/>
  <c r="BW165" i="1"/>
  <c r="BW152" i="1"/>
  <c r="BR30" i="15"/>
  <c r="BT30" i="15"/>
  <c r="AG40" i="22"/>
  <c r="CK19" i="2"/>
  <c r="AG48" i="22" s="1"/>
  <c r="CK53" i="2"/>
  <c r="CK55" i="2" s="1"/>
  <c r="CK43" i="2"/>
  <c r="AG73" i="22" s="1"/>
  <c r="CK16" i="2"/>
  <c r="CK22" i="2"/>
  <c r="AG51" i="22" s="1"/>
  <c r="CC62" i="1"/>
  <c r="AO55" i="1"/>
  <c r="AO24" i="15" s="1"/>
  <c r="AO54" i="1"/>
  <c r="AO122" i="1"/>
  <c r="AS49" i="1"/>
  <c r="AH74" i="2"/>
  <c r="AH58" i="2"/>
  <c r="BT63" i="1"/>
  <c r="BX63" i="1"/>
  <c r="BX41" i="2" s="1"/>
  <c r="T71" i="22" s="1"/>
  <c r="CR53" i="1"/>
  <c r="CS27" i="2"/>
  <c r="AO56" i="22" s="1"/>
  <c r="CS85" i="2"/>
  <c r="DC115" i="1"/>
  <c r="DC117" i="1" s="1"/>
  <c r="DC112" i="1"/>
  <c r="CA57" i="2"/>
  <c r="CA70" i="2"/>
  <c r="W79" i="22" s="1"/>
  <c r="Y40" i="22"/>
  <c r="CC53" i="2"/>
  <c r="CC55" i="2" s="1"/>
  <c r="CC22" i="2"/>
  <c r="Y51" i="22" s="1"/>
  <c r="CC43" i="2"/>
  <c r="Y73" i="22" s="1"/>
  <c r="CC19" i="2"/>
  <c r="Y48" i="22" s="1"/>
  <c r="BA47" i="22"/>
  <c r="BB74" i="2"/>
  <c r="BB58" i="2"/>
  <c r="M48" i="2"/>
  <c r="M47" i="2"/>
  <c r="V74" i="2"/>
  <c r="V58" i="2"/>
  <c r="CJ72" i="1"/>
  <c r="CJ71" i="1"/>
  <c r="L14" i="22"/>
  <c r="BQ13" i="9"/>
  <c r="M14" i="22" s="1"/>
  <c r="CV152" i="1"/>
  <c r="CV165" i="1"/>
  <c r="CV154" i="1"/>
  <c r="S22" i="22"/>
  <c r="BX21" i="9"/>
  <c r="T22" i="22" s="1"/>
  <c r="AJ45" i="22"/>
  <c r="CN2" i="2"/>
  <c r="CN37" i="2"/>
  <c r="X4" i="15"/>
  <c r="X66" i="2"/>
  <c r="BE91" i="1"/>
  <c r="BF93" i="1" s="1"/>
  <c r="BE93" i="1"/>
  <c r="BD93" i="1"/>
  <c r="BV74" i="2"/>
  <c r="R82" i="22" s="1"/>
  <c r="BV58" i="2"/>
  <c r="V45" i="22"/>
  <c r="BZ91" i="2"/>
  <c r="BZ37" i="2"/>
  <c r="CP72" i="1"/>
  <c r="CP71" i="1"/>
  <c r="E7" i="22"/>
  <c r="BJ6" i="9"/>
  <c r="DM18" i="1"/>
  <c r="DN18" i="1" s="1"/>
  <c r="DO18" i="1" s="1"/>
  <c r="DP18" i="1" s="1"/>
  <c r="DL18" i="1"/>
  <c r="BC28" i="22"/>
  <c r="BD28" i="22"/>
  <c r="BT115" i="1"/>
  <c r="BT117" i="1" s="1"/>
  <c r="BT112" i="1"/>
  <c r="BY118" i="1"/>
  <c r="O48" i="2"/>
  <c r="O47" i="2"/>
  <c r="AH5" i="7"/>
  <c r="AC3" i="7"/>
  <c r="BB8" i="22"/>
  <c r="DN53" i="9"/>
  <c r="DN52" i="9" s="1"/>
  <c r="AH80" i="22"/>
  <c r="CL113" i="1"/>
  <c r="CQ114" i="1"/>
  <c r="CQ116" i="1" s="1"/>
  <c r="CQ118" i="1" s="1"/>
  <c r="CR113" i="1"/>
  <c r="CQ115" i="1"/>
  <c r="CQ38" i="9"/>
  <c r="CQ39" i="9" s="1"/>
  <c r="CQ37" i="9"/>
  <c r="CQ43" i="9"/>
  <c r="CD165" i="1"/>
  <c r="CD152" i="1"/>
  <c r="CD154" i="1"/>
  <c r="V3" i="11"/>
  <c r="V27" i="11"/>
  <c r="V9" i="7"/>
  <c r="AY70" i="2"/>
  <c r="C79" i="22" s="1"/>
  <c r="AY57" i="2"/>
  <c r="BN57" i="2"/>
  <c r="BN70" i="2"/>
  <c r="J79" i="22" s="1"/>
  <c r="BP74" i="2"/>
  <c r="L82" i="22" s="1"/>
  <c r="BP58" i="2"/>
  <c r="BA22" i="22"/>
  <c r="AA73" i="2"/>
  <c r="AA56" i="1"/>
  <c r="AK46" i="22"/>
  <c r="CW5" i="1"/>
  <c r="CW4" i="1" s="1"/>
  <c r="CW69" i="1"/>
  <c r="CW141" i="1"/>
  <c r="CW138" i="1" s="1"/>
  <c r="CW151" i="1" s="1"/>
  <c r="CX6" i="15"/>
  <c r="CW6" i="15"/>
  <c r="DB6" i="15"/>
  <c r="CS74" i="2"/>
  <c r="AO82" i="22" s="1"/>
  <c r="CS58" i="2"/>
  <c r="BS112" i="1"/>
  <c r="BO116" i="1"/>
  <c r="AG73" i="2"/>
  <c r="AG56" i="1"/>
  <c r="BZ57" i="2"/>
  <c r="BZ70" i="2"/>
  <c r="V79" i="22" s="1"/>
  <c r="AT63" i="1"/>
  <c r="AT41" i="2" s="1"/>
  <c r="AU63" i="1"/>
  <c r="AY63" i="1"/>
  <c r="AY41" i="2" s="1"/>
  <c r="C71" i="22" s="1"/>
  <c r="AT62" i="1"/>
  <c r="AU45" i="22"/>
  <c r="CY91" i="2"/>
  <c r="CY2" i="2"/>
  <c r="J73" i="2"/>
  <c r="J56" i="1"/>
  <c r="P70" i="2"/>
  <c r="P57" i="2"/>
  <c r="AV45" i="22"/>
  <c r="CZ2" i="2"/>
  <c r="CZ91" i="2"/>
  <c r="BW91" i="1"/>
  <c r="BX91" i="1" s="1"/>
  <c r="P67" i="22"/>
  <c r="CO57" i="2"/>
  <c r="CO70" i="2"/>
  <c r="AK79" i="22" s="1"/>
  <c r="W47" i="2"/>
  <c r="W48" i="2"/>
  <c r="BX115" i="1"/>
  <c r="BX117" i="1" s="1"/>
  <c r="BW117" i="1"/>
  <c r="DD91" i="2"/>
  <c r="CS112" i="1"/>
  <c r="CS115" i="1"/>
  <c r="CS117" i="1" s="1"/>
  <c r="Y33" i="22"/>
  <c r="CC10" i="2"/>
  <c r="Y39" i="22" s="1"/>
  <c r="AY62" i="1"/>
  <c r="AY67" i="1"/>
  <c r="AY65" i="1"/>
  <c r="BW30" i="15"/>
  <c r="BY30" i="15"/>
  <c r="CC30" i="15" s="1"/>
  <c r="Q39" i="2"/>
  <c r="U37" i="2"/>
  <c r="S47" i="2"/>
  <c r="S48" i="2"/>
  <c r="CB53" i="1"/>
  <c r="CB27" i="2"/>
  <c r="X56" i="22" s="1"/>
  <c r="CC27" i="2"/>
  <c r="Y56" i="22" s="1"/>
  <c r="Q74" i="2"/>
  <c r="Q58" i="2"/>
  <c r="CN57" i="2"/>
  <c r="CN70" i="2"/>
  <c r="AJ79" i="22" s="1"/>
  <c r="N48" i="2"/>
  <c r="N47" i="2"/>
  <c r="AX41" i="22"/>
  <c r="DB70" i="1"/>
  <c r="E45" i="22"/>
  <c r="BS48" i="1"/>
  <c r="K67" i="22"/>
  <c r="BS37" i="2"/>
  <c r="O67" i="22" s="1"/>
  <c r="G14" i="22"/>
  <c r="BL13" i="9"/>
  <c r="H14" i="22" s="1"/>
  <c r="AM52" i="22"/>
  <c r="CQ17" i="2"/>
  <c r="AM46" i="22" s="1"/>
  <c r="F67" i="22"/>
  <c r="AN41" i="22"/>
  <c r="CR70" i="1"/>
  <c r="H65" i="22"/>
  <c r="BL73" i="2"/>
  <c r="H81" i="22" s="1"/>
  <c r="BL56" i="1"/>
  <c r="CX116" i="1"/>
  <c r="DB112" i="1"/>
  <c r="DJ21" i="1"/>
  <c r="CC101" i="1"/>
  <c r="CC98" i="1"/>
  <c r="CC85" i="1"/>
  <c r="CR37" i="9"/>
  <c r="CR43" i="9"/>
  <c r="BO91" i="1"/>
  <c r="BP93" i="1" s="1"/>
  <c r="BO93" i="1"/>
  <c r="BN93" i="1"/>
  <c r="AO62" i="1"/>
  <c r="AO67" i="1"/>
  <c r="AO65" i="1"/>
  <c r="CI116" i="1"/>
  <c r="CM112" i="1"/>
  <c r="BX54" i="1"/>
  <c r="AU58" i="2"/>
  <c r="AU74" i="2"/>
  <c r="AD74" i="2"/>
  <c r="AD58" i="2"/>
  <c r="BW72" i="1"/>
  <c r="BW71" i="1"/>
  <c r="AJ37" i="2"/>
  <c r="CF98" i="1"/>
  <c r="CF101" i="1"/>
  <c r="CF85" i="1"/>
  <c r="CF104" i="1"/>
  <c r="CD74" i="2"/>
  <c r="Z82" i="22" s="1"/>
  <c r="CD58" i="2"/>
  <c r="CY72" i="1"/>
  <c r="CY71" i="1"/>
  <c r="BS72" i="1"/>
  <c r="BT72" i="1"/>
  <c r="AF5" i="7"/>
  <c r="AA3" i="7"/>
  <c r="Y18" i="22"/>
  <c r="CC29" i="9"/>
  <c r="CC18" i="9"/>
  <c r="Y19" i="22" s="1"/>
  <c r="CC20" i="2"/>
  <c r="Y49" i="22" s="1"/>
  <c r="BT39" i="9"/>
  <c r="BX38" i="9"/>
  <c r="BE20" i="9"/>
  <c r="BD6" i="15"/>
  <c r="BD140" i="1"/>
  <c r="BD138" i="1" s="1"/>
  <c r="BD151" i="1" s="1"/>
  <c r="BD60" i="1"/>
  <c r="BI20" i="9"/>
  <c r="E21" i="22" s="1"/>
  <c r="BE6" i="15"/>
  <c r="BX141" i="1"/>
  <c r="BX138" i="1" s="1"/>
  <c r="BX151" i="1" s="1"/>
  <c r="BX5" i="1"/>
  <c r="BX4" i="1" s="1"/>
  <c r="BX48" i="1" s="1"/>
  <c r="BX69" i="1"/>
  <c r="BY6" i="15"/>
  <c r="AF45" i="2"/>
  <c r="AF63" i="2"/>
  <c r="AJ39" i="2"/>
  <c r="AJ63" i="2" s="1"/>
  <c r="BR54" i="1"/>
  <c r="BR55" i="1"/>
  <c r="CP165" i="1"/>
  <c r="CP154" i="1"/>
  <c r="CP152" i="1"/>
  <c r="L58" i="2"/>
  <c r="L74" i="2"/>
  <c r="BC70" i="2"/>
  <c r="BC57" i="2"/>
  <c r="BH72" i="1"/>
  <c r="BH71" i="1"/>
  <c r="CG53" i="1"/>
  <c r="CH27" i="2"/>
  <c r="AD56" i="22" s="1"/>
  <c r="CG27" i="2"/>
  <c r="AC56" i="22" s="1"/>
  <c r="CG85" i="2"/>
  <c r="CG84" i="2" s="1"/>
  <c r="CD112" i="1"/>
  <c r="CD115" i="1"/>
  <c r="CD117" i="1" s="1"/>
  <c r="M67" i="22"/>
  <c r="BI70" i="2"/>
  <c r="E79" i="22" s="1"/>
  <c r="BI57" i="2"/>
  <c r="AO57" i="22"/>
  <c r="CU28" i="2"/>
  <c r="CS23" i="2"/>
  <c r="CS60" i="2"/>
  <c r="CS59" i="2" s="1"/>
  <c r="AJ159" i="1"/>
  <c r="AJ62" i="2"/>
  <c r="CN115" i="1"/>
  <c r="CN117" i="1" s="1"/>
  <c r="CN112" i="1"/>
  <c r="S29" i="22"/>
  <c r="BW30" i="9"/>
  <c r="S30" i="22" s="1"/>
  <c r="BA15" i="22"/>
  <c r="AX73" i="2"/>
  <c r="AX56" i="1"/>
  <c r="BI141" i="1"/>
  <c r="BI69" i="1"/>
  <c r="BI5" i="1"/>
  <c r="BI4" i="1" s="1"/>
  <c r="BI48" i="1" s="1"/>
  <c r="CH10" i="15"/>
  <c r="CH50" i="1"/>
  <c r="CH27" i="1"/>
  <c r="CH26" i="1" s="1"/>
  <c r="CH48" i="1" s="1"/>
  <c r="CH146" i="1"/>
  <c r="CH145" i="1" s="1"/>
  <c r="CH151" i="1" s="1"/>
  <c r="CI10" i="15"/>
  <c r="CM10" i="15"/>
  <c r="CM43" i="9"/>
  <c r="CM71" i="1"/>
  <c r="CM80" i="1"/>
  <c r="CM81" i="1" s="1"/>
  <c r="G65" i="22"/>
  <c r="BK73" i="2"/>
  <c r="G81" i="22" s="1"/>
  <c r="BJ91" i="1"/>
  <c r="BK93" i="1" s="1"/>
  <c r="BJ93" i="1"/>
  <c r="BI93" i="1"/>
  <c r="G73" i="2"/>
  <c r="G56" i="1"/>
  <c r="J45" i="22"/>
  <c r="DJ87" i="2"/>
  <c r="O25" i="22"/>
  <c r="BT28" i="9"/>
  <c r="BX28" i="9"/>
  <c r="BX29" i="9" s="1"/>
  <c r="BC5" i="22"/>
  <c r="DB47" i="9"/>
  <c r="BE74" i="2"/>
  <c r="BE58" i="2"/>
  <c r="AQ45" i="22"/>
  <c r="CU91" i="2"/>
  <c r="CU2" i="2"/>
  <c r="CW113" i="1"/>
  <c r="CV114" i="1"/>
  <c r="CV116" i="1" s="1"/>
  <c r="CV118" i="1" s="1"/>
  <c r="CV115" i="1"/>
  <c r="BU74" i="2"/>
  <c r="Q82" i="22" s="1"/>
  <c r="BU58" i="2"/>
  <c r="AP91" i="2"/>
  <c r="F57" i="2"/>
  <c r="F70" i="2"/>
  <c r="BS76" i="1"/>
  <c r="CZ72" i="1"/>
  <c r="DM52" i="9"/>
  <c r="CV71" i="1"/>
  <c r="AC4" i="15"/>
  <c r="AC66" i="2"/>
  <c r="BR58" i="2"/>
  <c r="BR56" i="1" s="1"/>
  <c r="BR74" i="2"/>
  <c r="N82" i="22" s="1"/>
  <c r="AL58" i="2"/>
  <c r="AL74" i="2"/>
  <c r="O18" i="22"/>
  <c r="J67" i="2"/>
  <c r="J80" i="2" s="1"/>
  <c r="J79" i="2"/>
  <c r="J75" i="2"/>
  <c r="AJ48" i="1"/>
  <c r="M74" i="2"/>
  <c r="M58" i="2"/>
  <c r="Y4" i="15"/>
  <c r="Y66" i="2"/>
  <c r="AF45" i="22"/>
  <c r="CJ37" i="2"/>
  <c r="CJ91" i="2"/>
  <c r="CJ2" i="2"/>
  <c r="AO70" i="2"/>
  <c r="AO57" i="2"/>
  <c r="E15" i="22"/>
  <c r="BI34" i="9"/>
  <c r="BI39" i="9" s="1"/>
  <c r="AN57" i="22"/>
  <c r="CT28" i="2"/>
  <c r="CR60" i="2"/>
  <c r="CR59" i="2" s="1"/>
  <c r="K12" i="22"/>
  <c r="BP11" i="9"/>
  <c r="BN53" i="1"/>
  <c r="BO27" i="2"/>
  <c r="K56" i="22" s="1"/>
  <c r="BO86" i="2"/>
  <c r="BO87" i="2" s="1"/>
  <c r="AK159" i="1"/>
  <c r="AL38" i="2"/>
  <c r="AL39" i="2" s="1"/>
  <c r="AK62" i="2"/>
  <c r="CM95" i="1"/>
  <c r="J15" i="22"/>
  <c r="BN34" i="9"/>
  <c r="BN39" i="9" s="1"/>
  <c r="AC40" i="22"/>
  <c r="CG53" i="2"/>
  <c r="CG55" i="2" s="1"/>
  <c r="CG16" i="2"/>
  <c r="CG43" i="2"/>
  <c r="AC73" i="22" s="1"/>
  <c r="CG19" i="2"/>
  <c r="AC48" i="22" s="1"/>
  <c r="CH11" i="2"/>
  <c r="CG22" i="2"/>
  <c r="AC51" i="22" s="1"/>
  <c r="F12" i="22"/>
  <c r="BK11" i="9"/>
  <c r="DB37" i="9"/>
  <c r="DB43" i="9"/>
  <c r="BD72" i="1"/>
  <c r="BE72" i="1"/>
  <c r="F39" i="2"/>
  <c r="F63" i="2" s="1"/>
  <c r="B45" i="2"/>
  <c r="B63" i="2"/>
  <c r="S45" i="22"/>
  <c r="BW91" i="2"/>
  <c r="BW37" i="2"/>
  <c r="BX37" i="2" s="1"/>
  <c r="T67" i="22" s="1"/>
  <c r="AD15" i="22"/>
  <c r="CH34" i="9"/>
  <c r="BD70" i="2"/>
  <c r="D79" i="22" s="1"/>
  <c r="BD57" i="2"/>
  <c r="CF72" i="1"/>
  <c r="CF71" i="1"/>
  <c r="S130" i="1"/>
  <c r="C38" i="22"/>
  <c r="AY10" i="2"/>
  <c r="C39" i="22" s="1"/>
  <c r="AM33" i="22"/>
  <c r="CQ41" i="2"/>
  <c r="AM71" i="22" s="1"/>
  <c r="CQ10" i="2"/>
  <c r="AM39" i="22" s="1"/>
  <c r="CQ11" i="2"/>
  <c r="CR4" i="2"/>
  <c r="D74" i="2"/>
  <c r="D58" i="2"/>
  <c r="BF73" i="2"/>
  <c r="BF56" i="1"/>
  <c r="U29" i="22"/>
  <c r="BY30" i="9"/>
  <c r="U30" i="22" s="1"/>
  <c r="BY29" i="9"/>
  <c r="CR72" i="1"/>
  <c r="CS72" i="1"/>
  <c r="AX154" i="1"/>
  <c r="AX152" i="1"/>
  <c r="AX165" i="1"/>
  <c r="E18" i="22"/>
  <c r="BI18" i="9"/>
  <c r="E19" i="22" s="1"/>
  <c r="BI29" i="9"/>
  <c r="N67" i="22"/>
  <c r="AW74" i="2"/>
  <c r="AW58" i="2"/>
  <c r="CC6" i="15"/>
  <c r="AY37" i="9"/>
  <c r="AY43" i="9"/>
  <c r="AH33" i="22"/>
  <c r="CL11" i="2"/>
  <c r="CL41" i="2"/>
  <c r="AH71" i="22" s="1"/>
  <c r="CL10" i="2"/>
  <c r="AH39" i="22" s="1"/>
  <c r="CM4" i="2"/>
  <c r="O15" i="22"/>
  <c r="BS34" i="9"/>
  <c r="BS39" i="9" s="1"/>
  <c r="BI37" i="2"/>
  <c r="E67" i="22" s="1"/>
  <c r="CL62" i="1"/>
  <c r="CL67" i="1"/>
  <c r="CL65" i="1"/>
  <c r="AT2" i="2"/>
  <c r="CH63" i="1"/>
  <c r="CH41" i="2" s="1"/>
  <c r="AD71" i="22" s="1"/>
  <c r="DG7" i="9"/>
  <c r="BC8" i="22" s="1"/>
  <c r="U67" i="22"/>
  <c r="DB113" i="1"/>
  <c r="DA114" i="1"/>
  <c r="DA115" i="1"/>
  <c r="N22" i="22"/>
  <c r="BS21" i="9"/>
  <c r="O22" i="22" s="1"/>
  <c r="BN6" i="15"/>
  <c r="G63" i="2"/>
  <c r="G45" i="2"/>
  <c r="K39" i="2"/>
  <c r="K63" i="2" s="1"/>
  <c r="CL37" i="9"/>
  <c r="CL38" i="9"/>
  <c r="CL43" i="9"/>
  <c r="P9" i="22"/>
  <c r="BU8" i="9"/>
  <c r="BQ74" i="2"/>
  <c r="M82" i="22" s="1"/>
  <c r="BQ58" i="2"/>
  <c r="AS41" i="22"/>
  <c r="CW70" i="1"/>
  <c r="AT70" i="2"/>
  <c r="AT57" i="2"/>
  <c r="C73" i="2"/>
  <c r="C56" i="1"/>
  <c r="BC37" i="2"/>
  <c r="BD37" i="2" s="1"/>
  <c r="D67" i="22" s="1"/>
  <c r="CU70" i="2"/>
  <c r="AQ79" i="22" s="1"/>
  <c r="CU57" i="2"/>
  <c r="T73" i="2"/>
  <c r="T56" i="1"/>
  <c r="CK114" i="1"/>
  <c r="CK115" i="1"/>
  <c r="CK117" i="1" s="1"/>
  <c r="BH56" i="1"/>
  <c r="O7" i="22"/>
  <c r="BT6" i="9"/>
  <c r="Z67" i="22"/>
  <c r="CI72" i="1"/>
  <c r="CI71" i="1"/>
  <c r="R67" i="22"/>
  <c r="BG58" i="2"/>
  <c r="BG74" i="2"/>
  <c r="AV74" i="2"/>
  <c r="AV58" i="2"/>
  <c r="AD48" i="2"/>
  <c r="AD47" i="2"/>
  <c r="W74" i="2"/>
  <c r="W58" i="2"/>
  <c r="O74" i="2"/>
  <c r="O58" i="2"/>
  <c r="AM73" i="2"/>
  <c r="AM56" i="1"/>
  <c r="J7" i="15"/>
  <c r="J11" i="15"/>
  <c r="J12" i="15" s="1"/>
  <c r="AI49" i="1"/>
  <c r="AI56" i="1"/>
  <c r="AI55" i="1"/>
  <c r="AI54" i="1"/>
  <c r="AI122" i="1"/>
  <c r="AJ123" i="1" s="1"/>
  <c r="AK86" i="2"/>
  <c r="AK87" i="2" s="1"/>
  <c r="AJ53" i="1"/>
  <c r="AK27" i="2"/>
  <c r="BL17" i="22"/>
  <c r="AT45" i="22"/>
  <c r="CX91" i="2"/>
  <c r="CX2" i="2"/>
  <c r="CT74" i="2"/>
  <c r="AP82" i="22" s="1"/>
  <c r="CT58" i="2"/>
  <c r="AO37" i="2"/>
  <c r="P14" i="22"/>
  <c r="BU13" i="9"/>
  <c r="AQ56" i="1"/>
  <c r="CS91" i="2"/>
  <c r="R74" i="2"/>
  <c r="R58" i="2"/>
  <c r="BE116" i="1"/>
  <c r="BI112" i="1"/>
  <c r="CM67" i="1"/>
  <c r="CM62" i="1"/>
  <c r="CM65" i="1"/>
  <c r="AJ72" i="1"/>
  <c r="AK72" i="1"/>
  <c r="BB26" i="22"/>
  <c r="DG25" i="9"/>
  <c r="CI152" i="1"/>
  <c r="CI165" i="1"/>
  <c r="CI154" i="1"/>
  <c r="AN34" i="22"/>
  <c r="CR61" i="1"/>
  <c r="CR71" i="2"/>
  <c r="AN80" i="22" s="1"/>
  <c r="AH45" i="2"/>
  <c r="AH63" i="2"/>
  <c r="BW70" i="2"/>
  <c r="S79" i="22" s="1"/>
  <c r="BW57" i="2"/>
  <c r="BC63" i="1"/>
  <c r="BC41" i="2" s="1"/>
  <c r="BC62" i="1"/>
  <c r="CY57" i="2"/>
  <c r="CY70" i="2"/>
  <c r="AU79" i="22" s="1"/>
  <c r="AO116" i="1"/>
  <c r="AO118" i="1" s="1"/>
  <c r="AK118" i="1"/>
  <c r="C45" i="22"/>
  <c r="AY2" i="2"/>
  <c r="AG4" i="15"/>
  <c r="AG161" i="1"/>
  <c r="AG51" i="2"/>
  <c r="AG66" i="2"/>
  <c r="I25" i="22"/>
  <c r="BN24" i="9"/>
  <c r="BS18" i="9" s="1"/>
  <c r="O19" i="22" s="1"/>
  <c r="BR28" i="9"/>
  <c r="BH24" i="9"/>
  <c r="BM76" i="1"/>
  <c r="AO72" i="1"/>
  <c r="W45" i="22"/>
  <c r="CA91" i="2"/>
  <c r="CA37" i="2"/>
  <c r="Z57" i="2"/>
  <c r="Z70" i="2"/>
  <c r="AT37" i="2"/>
  <c r="BR152" i="1"/>
  <c r="BR154" i="1"/>
  <c r="AX40" i="22"/>
  <c r="DB53" i="2"/>
  <c r="DB55" i="2" s="1"/>
  <c r="DB43" i="2"/>
  <c r="AX73" i="22" s="1"/>
  <c r="DB19" i="2"/>
  <c r="AX48" i="22" s="1"/>
  <c r="CC10" i="15"/>
  <c r="CC146" i="1"/>
  <c r="CC145" i="1" s="1"/>
  <c r="CC27" i="1"/>
  <c r="CC26" i="1" s="1"/>
  <c r="CC50" i="1"/>
  <c r="CD10" i="15"/>
  <c r="AK56" i="1"/>
  <c r="AN58" i="2"/>
  <c r="AN74" i="2"/>
  <c r="Y73" i="2"/>
  <c r="Y56" i="1"/>
  <c r="CI70" i="2"/>
  <c r="AE79" i="22" s="1"/>
  <c r="CI57" i="2"/>
  <c r="BT74" i="2"/>
  <c r="P82" i="22" s="1"/>
  <c r="BT58" i="2"/>
  <c r="U70" i="2"/>
  <c r="U57" i="2"/>
  <c r="X15" i="22"/>
  <c r="CB34" i="9"/>
  <c r="CB38" i="9" s="1"/>
  <c r="CC14" i="9"/>
  <c r="CX57" i="2"/>
  <c r="CX70" i="2"/>
  <c r="AT79" i="22" s="1"/>
  <c r="AS15" i="22"/>
  <c r="CW34" i="9"/>
  <c r="CQ72" i="1"/>
  <c r="L67" i="22"/>
  <c r="AE45" i="22"/>
  <c r="CI37" i="2"/>
  <c r="CI91" i="2"/>
  <c r="CI2" i="2"/>
  <c r="DG5" i="9"/>
  <c r="BB16" i="22"/>
  <c r="BD71" i="1"/>
  <c r="AL40" i="22"/>
  <c r="CP53" i="2"/>
  <c r="CP55" i="2" s="1"/>
  <c r="CP43" i="2"/>
  <c r="AL73" i="22" s="1"/>
  <c r="CP16" i="2"/>
  <c r="CP19" i="2"/>
  <c r="AL48" i="22" s="1"/>
  <c r="CP22" i="2"/>
  <c r="AL51" i="22" s="1"/>
  <c r="CE41" i="2"/>
  <c r="AA71" i="22" s="1"/>
  <c r="CE91" i="2"/>
  <c r="CC115" i="1"/>
  <c r="CC117" i="1" s="1"/>
  <c r="CB117" i="1"/>
  <c r="DJ31" i="2"/>
  <c r="BF60" i="22" s="1"/>
  <c r="BA74" i="2"/>
  <c r="BA58" i="2"/>
  <c r="AN15" i="22"/>
  <c r="CR34" i="9"/>
  <c r="BI6" i="15"/>
  <c r="AD33" i="22"/>
  <c r="CH10" i="2"/>
  <c r="AD39" i="22" s="1"/>
  <c r="P37" i="2"/>
  <c r="L39" i="2"/>
  <c r="BK56" i="1"/>
  <c r="Q67" i="22"/>
  <c r="BD5" i="1"/>
  <c r="BD4" i="1" s="1"/>
  <c r="BD48" i="1" s="1"/>
  <c r="DG77" i="1"/>
  <c r="DG14" i="1"/>
  <c r="X40" i="22"/>
  <c r="CB2" i="2"/>
  <c r="CB53" i="2"/>
  <c r="CB55" i="2" s="1"/>
  <c r="CB16" i="2"/>
  <c r="CC16" i="2" s="1"/>
  <c r="CB19" i="2"/>
  <c r="X48" i="22" s="1"/>
  <c r="CB43" i="2"/>
  <c r="X73" i="22" s="1"/>
  <c r="CB22" i="2"/>
  <c r="X51" i="22" s="1"/>
  <c r="BO58" i="2"/>
  <c r="BO74" i="2"/>
  <c r="K82" i="22" s="1"/>
  <c r="CJ57" i="2"/>
  <c r="CJ70" i="2"/>
  <c r="AF79" i="22" s="1"/>
  <c r="AO37" i="9"/>
  <c r="AO43" i="9"/>
  <c r="BM55" i="1"/>
  <c r="BM54" i="1"/>
  <c r="BM122" i="1"/>
  <c r="R48" i="2"/>
  <c r="R47" i="2"/>
  <c r="C33" i="22"/>
  <c r="DD165" i="1"/>
  <c r="DD154" i="1"/>
  <c r="DD152" i="1"/>
  <c r="AJ74" i="2"/>
  <c r="AJ58" i="2"/>
  <c r="AJ73" i="2" s="1"/>
  <c r="U12" i="22"/>
  <c r="BZ11" i="9"/>
  <c r="CD101" i="1"/>
  <c r="CD98" i="1"/>
  <c r="CD104" i="1"/>
  <c r="CD85" i="1"/>
  <c r="AB46" i="22"/>
  <c r="CH17" i="2"/>
  <c r="AD46" i="22" s="1"/>
  <c r="AI47" i="2"/>
  <c r="AI48" i="2"/>
  <c r="BS93" i="1"/>
  <c r="DX87" i="2"/>
  <c r="DW86" i="2"/>
  <c r="CY5" i="11"/>
  <c r="BQ5" i="11"/>
  <c r="BW5" i="11"/>
  <c r="BF5" i="11"/>
  <c r="CG5" i="11"/>
  <c r="DJ78" i="2"/>
  <c r="BI63" i="1" l="1"/>
  <c r="BX55" i="1"/>
  <c r="BX24" i="15" s="1"/>
  <c r="BX49" i="1"/>
  <c r="BI138" i="1"/>
  <c r="BI151" i="1" s="1"/>
  <c r="BI165" i="1" s="1"/>
  <c r="BI31" i="11" s="1"/>
  <c r="BJ63" i="1"/>
  <c r="BJ41" i="2" s="1"/>
  <c r="F71" i="22" s="1"/>
  <c r="X56" i="1"/>
  <c r="S59" i="1"/>
  <c r="CC138" i="1"/>
  <c r="K58" i="2"/>
  <c r="K56" i="1" s="1"/>
  <c r="AY152" i="1"/>
  <c r="S51" i="9"/>
  <c r="S77" i="2"/>
  <c r="S52" i="2"/>
  <c r="DD74" i="2"/>
  <c r="AZ82" i="22" s="1"/>
  <c r="H73" i="2"/>
  <c r="S45" i="9"/>
  <c r="BT86" i="2"/>
  <c r="BT87" i="2" s="1"/>
  <c r="BT27" i="2"/>
  <c r="P56" i="22" s="1"/>
  <c r="CC114" i="1"/>
  <c r="S3" i="2"/>
  <c r="S83" i="2"/>
  <c r="CC116" i="1"/>
  <c r="CC118" i="1" s="1"/>
  <c r="S25" i="1"/>
  <c r="AY165" i="1"/>
  <c r="AY31" i="11" s="1"/>
  <c r="BS151" i="1"/>
  <c r="BS154" i="1" s="1"/>
  <c r="DC58" i="2"/>
  <c r="AY65" i="22" s="1"/>
  <c r="S3" i="15"/>
  <c r="S3" i="1"/>
  <c r="S3" i="9"/>
  <c r="CX91" i="1"/>
  <c r="CY93" i="1" s="1"/>
  <c r="BX70" i="2"/>
  <c r="T79" i="22" s="1"/>
  <c r="S106" i="1"/>
  <c r="S32" i="9"/>
  <c r="CW39" i="9"/>
  <c r="DB165" i="1"/>
  <c r="DB31" i="11" s="1"/>
  <c r="CV57" i="2"/>
  <c r="CV74" i="2" s="1"/>
  <c r="AR82" i="22" s="1"/>
  <c r="DF57" i="2"/>
  <c r="DF70" i="2"/>
  <c r="E66" i="2"/>
  <c r="E79" i="2" s="1"/>
  <c r="C66" i="2"/>
  <c r="C67" i="2" s="1"/>
  <c r="C80" i="2" s="1"/>
  <c r="BN25" i="9"/>
  <c r="J26" i="22" s="1"/>
  <c r="CH38" i="9"/>
  <c r="CH39" i="9" s="1"/>
  <c r="CH72" i="1"/>
  <c r="AB56" i="1"/>
  <c r="BC16" i="22"/>
  <c r="BS71" i="1"/>
  <c r="BZ6" i="9"/>
  <c r="V7" i="22" s="1"/>
  <c r="CG116" i="1"/>
  <c r="CG118" i="1" s="1"/>
  <c r="AJ154" i="1"/>
  <c r="CA8" i="9"/>
  <c r="CJ52" i="9" s="1"/>
  <c r="Q77" i="2"/>
  <c r="DB53" i="1"/>
  <c r="DB122" i="1" s="1"/>
  <c r="Q59" i="1"/>
  <c r="AB66" i="2"/>
  <c r="AB67" i="2" s="1"/>
  <c r="AB80" i="2" s="1"/>
  <c r="Q3" i="15"/>
  <c r="AJ152" i="1"/>
  <c r="Q106" i="1"/>
  <c r="E56" i="1"/>
  <c r="Q51" i="9"/>
  <c r="I73" i="2"/>
  <c r="DC27" i="2"/>
  <c r="AY56" i="22" s="1"/>
  <c r="DB154" i="1"/>
  <c r="CW19" i="2"/>
  <c r="AS48" i="22" s="1"/>
  <c r="AY91" i="2"/>
  <c r="CH43" i="9"/>
  <c r="DJ8" i="9"/>
  <c r="BF9" i="22" s="1"/>
  <c r="CS93" i="1"/>
  <c r="CS91" i="1"/>
  <c r="CT93" i="1" s="1"/>
  <c r="DO20" i="2"/>
  <c r="BJ49" i="22"/>
  <c r="CW93" i="1"/>
  <c r="CG115" i="1"/>
  <c r="CH113" i="1"/>
  <c r="DI160" i="1"/>
  <c r="BE66" i="22"/>
  <c r="BM74" i="2"/>
  <c r="I82" i="22" s="1"/>
  <c r="DK44" i="2"/>
  <c r="BF74" i="22"/>
  <c r="DK35" i="2"/>
  <c r="DL35" i="2" s="1"/>
  <c r="BH64" i="22" s="1"/>
  <c r="BF64" i="22"/>
  <c r="BD5" i="22"/>
  <c r="BF50" i="22"/>
  <c r="DB88" i="2"/>
  <c r="CR85" i="2"/>
  <c r="CR86" i="2" s="1"/>
  <c r="CR87" i="2" s="1"/>
  <c r="CB154" i="1"/>
  <c r="CB155" i="1" s="1"/>
  <c r="CV2" i="2"/>
  <c r="CV91" i="2"/>
  <c r="U14" i="22"/>
  <c r="AR45" i="22"/>
  <c r="X9" i="7"/>
  <c r="X45" i="9" s="1"/>
  <c r="AS40" i="22"/>
  <c r="CW22" i="2"/>
  <c r="AS51" i="22" s="1"/>
  <c r="CW43" i="2"/>
  <c r="AS73" i="22" s="1"/>
  <c r="CW122" i="1"/>
  <c r="CX49" i="1"/>
  <c r="DB49" i="1" s="1"/>
  <c r="CW55" i="1"/>
  <c r="CW54" i="1"/>
  <c r="CB165" i="1"/>
  <c r="X3" i="11"/>
  <c r="AO152" i="1"/>
  <c r="AO154" i="1"/>
  <c r="BN37" i="2"/>
  <c r="J67" i="22" s="1"/>
  <c r="D47" i="2"/>
  <c r="BM154" i="1"/>
  <c r="BM165" i="1"/>
  <c r="BS30" i="15"/>
  <c r="AT152" i="1"/>
  <c r="BY18" i="9"/>
  <c r="U19" i="22" s="1"/>
  <c r="AG5" i="7"/>
  <c r="AB3" i="7"/>
  <c r="AK45" i="2"/>
  <c r="AK48" i="2" s="1"/>
  <c r="Q52" i="2"/>
  <c r="W27" i="11"/>
  <c r="W3" i="11"/>
  <c r="W9" i="7"/>
  <c r="AT154" i="1"/>
  <c r="R106" i="1"/>
  <c r="R23" i="9"/>
  <c r="R3" i="1"/>
  <c r="R83" i="2"/>
  <c r="R32" i="9"/>
  <c r="R3" i="2"/>
  <c r="R59" i="1"/>
  <c r="R52" i="2"/>
  <c r="R77" i="2"/>
  <c r="R3" i="9"/>
  <c r="R130" i="1"/>
  <c r="R25" i="1"/>
  <c r="R51" i="9"/>
  <c r="R45" i="9"/>
  <c r="R3" i="15"/>
  <c r="Q3" i="2"/>
  <c r="Q23" i="9"/>
  <c r="Q130" i="1"/>
  <c r="CR154" i="1"/>
  <c r="Q25" i="1"/>
  <c r="BN27" i="9"/>
  <c r="J28" i="22" s="1"/>
  <c r="AD3" i="7"/>
  <c r="AE5" i="7"/>
  <c r="AE3" i="7" s="1"/>
  <c r="AI5" i="7"/>
  <c r="CC71" i="1"/>
  <c r="Q3" i="1"/>
  <c r="U23" i="9"/>
  <c r="U52" i="2"/>
  <c r="U45" i="9"/>
  <c r="U77" i="2"/>
  <c r="U32" i="9"/>
  <c r="U3" i="1"/>
  <c r="U51" i="9"/>
  <c r="U3" i="9"/>
  <c r="U59" i="1"/>
  <c r="U130" i="1"/>
  <c r="U25" i="1"/>
  <c r="U106" i="1"/>
  <c r="U83" i="2"/>
  <c r="U3" i="15"/>
  <c r="U3" i="2"/>
  <c r="CH62" i="1"/>
  <c r="CH67" i="1"/>
  <c r="CH65" i="1"/>
  <c r="Q83" i="2"/>
  <c r="BM26" i="9"/>
  <c r="I27" i="22" s="1"/>
  <c r="CE74" i="2"/>
  <c r="AA82" i="22" s="1"/>
  <c r="CE58" i="2"/>
  <c r="Q3" i="9"/>
  <c r="BS57" i="2"/>
  <c r="BS123" i="1" s="1"/>
  <c r="T130" i="1"/>
  <c r="T106" i="1"/>
  <c r="T23" i="9"/>
  <c r="T59" i="1"/>
  <c r="T25" i="1"/>
  <c r="T3" i="1"/>
  <c r="T77" i="2"/>
  <c r="T51" i="9"/>
  <c r="T3" i="9"/>
  <c r="T45" i="9"/>
  <c r="T52" i="2"/>
  <c r="T83" i="2"/>
  <c r="T3" i="15"/>
  <c r="T3" i="2"/>
  <c r="T32" i="9"/>
  <c r="Q32" i="9"/>
  <c r="CR165" i="1"/>
  <c r="CR31" i="11" s="1"/>
  <c r="Y9" i="7"/>
  <c r="Y3" i="11"/>
  <c r="Y27" i="11"/>
  <c r="T66" i="2"/>
  <c r="T4" i="15"/>
  <c r="CC48" i="1"/>
  <c r="CC151" i="1"/>
  <c r="CC165" i="1" s="1"/>
  <c r="CC31" i="11" s="1"/>
  <c r="BX39" i="9"/>
  <c r="BH25" i="9"/>
  <c r="BI25" i="9" s="1"/>
  <c r="Z9" i="7"/>
  <c r="Z27" i="11"/>
  <c r="Z3" i="11"/>
  <c r="BI41" i="2"/>
  <c r="E71" i="22" s="1"/>
  <c r="BI91" i="2"/>
  <c r="DG150" i="1"/>
  <c r="CF70" i="2"/>
  <c r="AB79" i="22" s="1"/>
  <c r="CF57" i="2"/>
  <c r="I4" i="15"/>
  <c r="I66" i="2"/>
  <c r="BX30" i="15"/>
  <c r="BS26" i="9"/>
  <c r="CF37" i="2"/>
  <c r="AB67" i="22" s="1"/>
  <c r="CF2" i="2"/>
  <c r="AB45" i="22"/>
  <c r="CF91" i="2"/>
  <c r="N27" i="22"/>
  <c r="BM41" i="2"/>
  <c r="I71" i="22" s="1"/>
  <c r="BM91" i="2"/>
  <c r="AF73" i="2"/>
  <c r="AF56" i="1"/>
  <c r="BV11" i="9"/>
  <c r="R12" i="22" s="1"/>
  <c r="Q12" i="22"/>
  <c r="CR114" i="1"/>
  <c r="CN91" i="2"/>
  <c r="CM165" i="1"/>
  <c r="CM31" i="11" s="1"/>
  <c r="AE58" i="2"/>
  <c r="AE74" i="2"/>
  <c r="CM152" i="1"/>
  <c r="BS165" i="1"/>
  <c r="BS31" i="11" s="1"/>
  <c r="BN62" i="1"/>
  <c r="BO63" i="1"/>
  <c r="BN63" i="1"/>
  <c r="CR17" i="2"/>
  <c r="AN46" i="22" s="1"/>
  <c r="Y45" i="22"/>
  <c r="CC91" i="2"/>
  <c r="CC2" i="2"/>
  <c r="BI152" i="1"/>
  <c r="BI154" i="1"/>
  <c r="CJ74" i="2"/>
  <c r="AF82" i="22" s="1"/>
  <c r="CJ58" i="2"/>
  <c r="BI72" i="1"/>
  <c r="BI71" i="1"/>
  <c r="BJ72" i="1"/>
  <c r="R4" i="15"/>
  <c r="R66" i="2"/>
  <c r="Y79" i="2"/>
  <c r="Y67" i="2"/>
  <c r="Y80" i="2" s="1"/>
  <c r="Y75" i="2"/>
  <c r="AF48" i="2"/>
  <c r="AJ45" i="2"/>
  <c r="AJ47" i="2" s="1"/>
  <c r="AF47" i="2"/>
  <c r="DB71" i="1"/>
  <c r="DB80" i="1"/>
  <c r="DB81" i="1" s="1"/>
  <c r="CK116" i="1"/>
  <c r="CK118" i="1" s="1"/>
  <c r="CM113" i="1"/>
  <c r="CL115" i="1"/>
  <c r="CL114" i="1"/>
  <c r="CL116" i="1" s="1"/>
  <c r="CL118" i="1" s="1"/>
  <c r="AE67" i="22"/>
  <c r="AL45" i="2"/>
  <c r="AL63" i="2"/>
  <c r="BE73" i="2"/>
  <c r="BE56" i="1"/>
  <c r="CN116" i="1"/>
  <c r="CR112" i="1"/>
  <c r="CB54" i="1"/>
  <c r="CB55" i="1"/>
  <c r="CB122" i="1"/>
  <c r="CB36" i="9"/>
  <c r="CC38" i="9"/>
  <c r="CU74" i="2"/>
  <c r="AQ82" i="22" s="1"/>
  <c r="CU58" i="2"/>
  <c r="BS91" i="2"/>
  <c r="CH154" i="1"/>
  <c r="CH152" i="1"/>
  <c r="CH165" i="1"/>
  <c r="CH31" i="11" s="1"/>
  <c r="E7" i="15"/>
  <c r="E11" i="15"/>
  <c r="E12" i="15" s="1"/>
  <c r="AL159" i="1"/>
  <c r="AM38" i="2"/>
  <c r="AL62" i="2"/>
  <c r="BA11" i="22"/>
  <c r="CD116" i="1"/>
  <c r="CH112" i="1"/>
  <c r="CS116" i="1"/>
  <c r="CW112" i="1"/>
  <c r="V67" i="22"/>
  <c r="DA57" i="2"/>
  <c r="DA70" i="2"/>
  <c r="AW79" i="22" s="1"/>
  <c r="BN72" i="1"/>
  <c r="U58" i="2"/>
  <c r="U74" i="2"/>
  <c r="J13" i="15"/>
  <c r="Q9" i="22"/>
  <c r="BV8" i="9"/>
  <c r="CF52" i="9" s="1"/>
  <c r="Y7" i="15"/>
  <c r="Y11" i="15"/>
  <c r="Y12" i="15" s="1"/>
  <c r="CV117" i="1"/>
  <c r="CW115" i="1"/>
  <c r="CW117" i="1" s="1"/>
  <c r="BD26" i="22"/>
  <c r="BE5" i="22"/>
  <c r="BD8" i="22"/>
  <c r="L73" i="2"/>
  <c r="L56" i="1"/>
  <c r="AU73" i="2"/>
  <c r="AU56" i="1"/>
  <c r="BO118" i="1"/>
  <c r="BS116" i="1"/>
  <c r="BS118" i="1" s="1"/>
  <c r="AY74" i="2"/>
  <c r="C82" i="22" s="1"/>
  <c r="AY123" i="1"/>
  <c r="AY58" i="2"/>
  <c r="AC27" i="11"/>
  <c r="AC3" i="11"/>
  <c r="AC9" i="7"/>
  <c r="BE28" i="22"/>
  <c r="D4" i="15"/>
  <c r="D66" i="2"/>
  <c r="DC91" i="1"/>
  <c r="DD93" i="1" s="1"/>
  <c r="DC93" i="1"/>
  <c r="DB93" i="1"/>
  <c r="DK31" i="2"/>
  <c r="BG60" i="22" s="1"/>
  <c r="BM28" i="9"/>
  <c r="BI24" i="9"/>
  <c r="BH76" i="1"/>
  <c r="AH47" i="2"/>
  <c r="AH48" i="2"/>
  <c r="Q14" i="22"/>
  <c r="BV13" i="9"/>
  <c r="R14" i="22" s="1"/>
  <c r="BC91" i="2"/>
  <c r="AT91" i="2"/>
  <c r="AH40" i="22"/>
  <c r="CL16" i="2"/>
  <c r="CM16" i="2" s="1"/>
  <c r="CL53" i="2"/>
  <c r="CL55" i="2" s="1"/>
  <c r="CL43" i="2"/>
  <c r="AH73" i="22" s="1"/>
  <c r="CL19" i="2"/>
  <c r="AH48" i="22" s="1"/>
  <c r="CL22" i="2"/>
  <c r="AH51" i="22" s="1"/>
  <c r="CM11" i="2"/>
  <c r="B48" i="2"/>
  <c r="F45" i="2"/>
  <c r="F47" i="2" s="1"/>
  <c r="B47" i="2"/>
  <c r="AC45" i="22"/>
  <c r="CG91" i="2"/>
  <c r="CG37" i="2"/>
  <c r="CG2" i="2"/>
  <c r="CH16" i="2"/>
  <c r="M73" i="2"/>
  <c r="M56" i="1"/>
  <c r="AO52" i="22"/>
  <c r="CS17" i="2"/>
  <c r="BX72" i="1"/>
  <c r="BY72" i="1"/>
  <c r="BX71" i="1"/>
  <c r="CC72" i="1"/>
  <c r="U39" i="2"/>
  <c r="U63" i="2" s="1"/>
  <c r="Q63" i="2"/>
  <c r="Q45" i="2"/>
  <c r="AH3" i="7"/>
  <c r="AM5" i="7"/>
  <c r="CR38" i="9"/>
  <c r="CR39" i="9" s="1"/>
  <c r="BB73" i="2"/>
  <c r="BB56" i="1"/>
  <c r="K65" i="22"/>
  <c r="BO73" i="2"/>
  <c r="K81" i="22" s="1"/>
  <c r="BO56" i="1"/>
  <c r="S67" i="22"/>
  <c r="AD73" i="2"/>
  <c r="AD56" i="1"/>
  <c r="CP70" i="2"/>
  <c r="AL79" i="22" s="1"/>
  <c r="CP57" i="2"/>
  <c r="Q65" i="22"/>
  <c r="BU73" i="2"/>
  <c r="Q81" i="22" s="1"/>
  <c r="BU56" i="1"/>
  <c r="BY91" i="1"/>
  <c r="BZ93" i="1" s="1"/>
  <c r="BY93" i="1"/>
  <c r="CC93" i="1"/>
  <c r="BN123" i="1"/>
  <c r="BN74" i="2"/>
  <c r="J82" i="22" s="1"/>
  <c r="BN58" i="2"/>
  <c r="V12" i="22"/>
  <c r="CA11" i="9"/>
  <c r="W12" i="22" s="1"/>
  <c r="AD4" i="15"/>
  <c r="AD66" i="2"/>
  <c r="L63" i="2"/>
  <c r="P39" i="2"/>
  <c r="P63" i="2" s="1"/>
  <c r="L45" i="2"/>
  <c r="N29" i="22"/>
  <c r="BR30" i="9"/>
  <c r="N30" i="22" s="1"/>
  <c r="BR29" i="9"/>
  <c r="AJ56" i="1"/>
  <c r="AJ54" i="1"/>
  <c r="AJ49" i="1"/>
  <c r="AJ55" i="1"/>
  <c r="AJ24" i="15" s="1"/>
  <c r="AN49" i="1"/>
  <c r="AJ122" i="1"/>
  <c r="AQ57" i="22"/>
  <c r="CU60" i="2"/>
  <c r="CU59" i="2" s="1"/>
  <c r="CU23" i="2"/>
  <c r="CR71" i="1"/>
  <c r="CR80" i="1"/>
  <c r="CR81" i="1" s="1"/>
  <c r="N4" i="15"/>
  <c r="N66" i="2"/>
  <c r="BZ74" i="2"/>
  <c r="V82" i="22" s="1"/>
  <c r="BZ58" i="2"/>
  <c r="BP6" i="9"/>
  <c r="K7" i="22"/>
  <c r="AI4" i="15"/>
  <c r="AI161" i="1"/>
  <c r="AI51" i="2"/>
  <c r="AI66" i="2"/>
  <c r="P7" i="22"/>
  <c r="BU6" i="9"/>
  <c r="P74" i="2"/>
  <c r="P58" i="2"/>
  <c r="K45" i="2"/>
  <c r="K47" i="2" s="1"/>
  <c r="G47" i="2"/>
  <c r="G48" i="2"/>
  <c r="F58" i="2"/>
  <c r="F74" i="2"/>
  <c r="CW57" i="2"/>
  <c r="CW70" i="2"/>
  <c r="AS79" i="22" s="1"/>
  <c r="CW152" i="1"/>
  <c r="CW154" i="1"/>
  <c r="CW165" i="1"/>
  <c r="CW31" i="11" s="1"/>
  <c r="AA48" i="2"/>
  <c r="AE45" i="2"/>
  <c r="AE47" i="2" s="1"/>
  <c r="AA47" i="2"/>
  <c r="AL45" i="22"/>
  <c r="CP37" i="2"/>
  <c r="CP2" i="2"/>
  <c r="CP91" i="2"/>
  <c r="CX74" i="2"/>
  <c r="AT82" i="22" s="1"/>
  <c r="CX58" i="2"/>
  <c r="DB57" i="2"/>
  <c r="DB70" i="2"/>
  <c r="AX79" i="22" s="1"/>
  <c r="BN154" i="1"/>
  <c r="BN165" i="1"/>
  <c r="BN31" i="11" s="1"/>
  <c r="BN152" i="1"/>
  <c r="BT41" i="2"/>
  <c r="P71" i="22" s="1"/>
  <c r="BT91" i="2"/>
  <c r="G9" i="22"/>
  <c r="BL8" i="9"/>
  <c r="BV52" i="9" s="1"/>
  <c r="H7" i="15"/>
  <c r="H11" i="15"/>
  <c r="H12" i="15" s="1"/>
  <c r="Y15" i="22"/>
  <c r="CC34" i="9"/>
  <c r="AN73" i="2"/>
  <c r="AN56" i="1"/>
  <c r="BW74" i="2"/>
  <c r="S82" i="22" s="1"/>
  <c r="BW58" i="2"/>
  <c r="CA58" i="2"/>
  <c r="CA74" i="2"/>
  <c r="W82" i="22" s="1"/>
  <c r="AW73" i="2"/>
  <c r="AW56" i="1"/>
  <c r="AD40" i="22"/>
  <c r="CH53" i="2"/>
  <c r="CH55" i="2" s="1"/>
  <c r="CH19" i="2"/>
  <c r="AD48" i="22" s="1"/>
  <c r="CH43" i="2"/>
  <c r="AD73" i="22" s="1"/>
  <c r="CH22" i="2"/>
  <c r="AD51" i="22" s="1"/>
  <c r="AP57" i="22"/>
  <c r="CV28" i="2"/>
  <c r="CT60" i="2"/>
  <c r="CT59" i="2" s="1"/>
  <c r="CT23" i="2"/>
  <c r="DC116" i="1"/>
  <c r="CK70" i="2"/>
  <c r="AG79" i="22" s="1"/>
  <c r="CK57" i="2"/>
  <c r="BN116" i="1"/>
  <c r="BN118" i="1" s="1"/>
  <c r="BJ118" i="1"/>
  <c r="DR16" i="9"/>
  <c r="P65" i="22"/>
  <c r="BT73" i="2"/>
  <c r="P81" i="22" s="1"/>
  <c r="BT56" i="1"/>
  <c r="CC53" i="1"/>
  <c r="CD27" i="2"/>
  <c r="Z56" i="22" s="1"/>
  <c r="CD85" i="2"/>
  <c r="AS45" i="22"/>
  <c r="CW91" i="2"/>
  <c r="CW2" i="2"/>
  <c r="AL73" i="2"/>
  <c r="AL56" i="1"/>
  <c r="V45" i="9"/>
  <c r="V32" i="9"/>
  <c r="V3" i="15"/>
  <c r="V23" i="9"/>
  <c r="V106" i="1"/>
  <c r="V51" i="9"/>
  <c r="V83" i="2"/>
  <c r="V25" i="1"/>
  <c r="V3" i="9"/>
  <c r="V130" i="1"/>
  <c r="V3" i="2"/>
  <c r="V52" i="2"/>
  <c r="V77" i="2"/>
  <c r="V3" i="1"/>
  <c r="V59" i="1"/>
  <c r="R65" i="22"/>
  <c r="BV73" i="2"/>
  <c r="R81" i="22" s="1"/>
  <c r="BV56" i="1"/>
  <c r="CR67" i="1"/>
  <c r="CR65" i="1"/>
  <c r="CR62" i="1"/>
  <c r="P29" i="22"/>
  <c r="BT30" i="9"/>
  <c r="P30" i="22" s="1"/>
  <c r="BT29" i="9"/>
  <c r="CG58" i="1"/>
  <c r="CG55" i="1"/>
  <c r="CG49" i="1"/>
  <c r="CG54" i="1"/>
  <c r="CG122" i="1"/>
  <c r="BX165" i="1"/>
  <c r="BX31" i="11" s="1"/>
  <c r="BX154" i="1"/>
  <c r="BX152" i="1"/>
  <c r="W4" i="15"/>
  <c r="W66" i="2"/>
  <c r="BA43" i="22"/>
  <c r="DQ18" i="1"/>
  <c r="DR18" i="1"/>
  <c r="DS18" i="1" s="1"/>
  <c r="DT18" i="1" s="1"/>
  <c r="DU18" i="1" s="1"/>
  <c r="X67" i="2"/>
  <c r="X80" i="2" s="1"/>
  <c r="X79" i="2"/>
  <c r="X75" i="2"/>
  <c r="V56" i="1"/>
  <c r="V73" i="2"/>
  <c r="AO49" i="1"/>
  <c r="L9" i="22"/>
  <c r="BQ8" i="9"/>
  <c r="CA52" i="9" s="1"/>
  <c r="N73" i="2"/>
  <c r="N56" i="1"/>
  <c r="F65" i="22"/>
  <c r="BJ73" i="2"/>
  <c r="F81" i="22" s="1"/>
  <c r="BJ56" i="1"/>
  <c r="BH27" i="9"/>
  <c r="BI27" i="9" s="1"/>
  <c r="E28" i="22" s="1"/>
  <c r="CB57" i="2"/>
  <c r="CB70" i="2"/>
  <c r="X79" i="22" s="1"/>
  <c r="CI74" i="2"/>
  <c r="AE82" i="22" s="1"/>
  <c r="CI58" i="2"/>
  <c r="J25" i="22"/>
  <c r="BO28" i="9"/>
  <c r="BS28" i="9"/>
  <c r="BN76" i="1"/>
  <c r="BE118" i="1"/>
  <c r="BI116" i="1"/>
  <c r="BI118" i="1" s="1"/>
  <c r="AP65" i="22"/>
  <c r="CT73" i="2"/>
  <c r="AP81" i="22" s="1"/>
  <c r="CT56" i="1"/>
  <c r="AT123" i="1"/>
  <c r="AT58" i="2"/>
  <c r="AT74" i="2"/>
  <c r="CL39" i="9"/>
  <c r="CM38" i="9"/>
  <c r="CM39" i="9" s="1"/>
  <c r="AN33" i="22"/>
  <c r="CR41" i="2"/>
  <c r="AN71" i="22" s="1"/>
  <c r="CR10" i="2"/>
  <c r="AN39" i="22" s="1"/>
  <c r="N65" i="22"/>
  <c r="BR73" i="2"/>
  <c r="N81" i="22" s="1"/>
  <c r="CH53" i="1"/>
  <c r="CI27" i="2"/>
  <c r="AE56" i="22" s="1"/>
  <c r="CI85" i="2"/>
  <c r="BX93" i="1"/>
  <c r="AA27" i="11"/>
  <c r="AA3" i="11"/>
  <c r="AA9" i="7"/>
  <c r="CN58" i="2"/>
  <c r="CN74" i="2"/>
  <c r="AJ82" i="22" s="1"/>
  <c r="K73" i="2"/>
  <c r="L65" i="22"/>
  <c r="BP73" i="2"/>
  <c r="L81" i="22" s="1"/>
  <c r="BP56" i="1"/>
  <c r="CR115" i="1"/>
  <c r="CR117" i="1" s="1"/>
  <c r="CQ117" i="1"/>
  <c r="F7" i="22"/>
  <c r="BK6" i="9"/>
  <c r="X7" i="15"/>
  <c r="X11" i="15"/>
  <c r="X12" i="15" s="1"/>
  <c r="CR54" i="1"/>
  <c r="CR55" i="1"/>
  <c r="CR122" i="1"/>
  <c r="CW49" i="1"/>
  <c r="CS49" i="1"/>
  <c r="G12" i="22"/>
  <c r="BL11" i="9"/>
  <c r="H12" i="22" s="1"/>
  <c r="I65" i="22"/>
  <c r="BM73" i="2"/>
  <c r="I81" i="22" s="1"/>
  <c r="CW48" i="1"/>
  <c r="BA73" i="2"/>
  <c r="BA56" i="1"/>
  <c r="AI33" i="22"/>
  <c r="CM10" i="2"/>
  <c r="AI39" i="22" s="1"/>
  <c r="CM41" i="2"/>
  <c r="AI71" i="22" s="1"/>
  <c r="C7" i="15"/>
  <c r="C11" i="15"/>
  <c r="C12" i="15" s="1"/>
  <c r="DA117" i="1"/>
  <c r="DB115" i="1"/>
  <c r="DB117" i="1" s="1"/>
  <c r="AO58" i="2"/>
  <c r="AO74" i="2"/>
  <c r="AO123" i="1"/>
  <c r="AK67" i="22"/>
  <c r="Z39" i="2"/>
  <c r="Z63" i="2" s="1"/>
  <c r="V45" i="2"/>
  <c r="V63" i="2"/>
  <c r="CW114" i="1"/>
  <c r="AM40" i="22"/>
  <c r="CQ16" i="2"/>
  <c r="CR16" i="2" s="1"/>
  <c r="CQ53" i="2"/>
  <c r="CQ55" i="2" s="1"/>
  <c r="CQ19" i="2"/>
  <c r="AM48" i="22" s="1"/>
  <c r="CQ43" i="2"/>
  <c r="AM73" i="22" s="1"/>
  <c r="CQ22" i="2"/>
  <c r="AM51" i="22" s="1"/>
  <c r="CR11" i="2"/>
  <c r="BD123" i="1"/>
  <c r="BD74" i="2"/>
  <c r="D82" i="22" s="1"/>
  <c r="BD58" i="2"/>
  <c r="AC75" i="2"/>
  <c r="AC67" i="2"/>
  <c r="AC80" i="2" s="1"/>
  <c r="AC79" i="2"/>
  <c r="AZ65" i="22"/>
  <c r="DD73" i="2"/>
  <c r="AZ81" i="22" s="1"/>
  <c r="DD56" i="1"/>
  <c r="DJ86" i="2"/>
  <c r="DK87" i="2"/>
  <c r="DK86" i="2" s="1"/>
  <c r="BI74" i="2"/>
  <c r="E82" i="22" s="1"/>
  <c r="BI123" i="1"/>
  <c r="BI58" i="2"/>
  <c r="AB7" i="15"/>
  <c r="AB11" i="15"/>
  <c r="AB12" i="15" s="1"/>
  <c r="AF3" i="7"/>
  <c r="AK5" i="7"/>
  <c r="Q73" i="2"/>
  <c r="Q56" i="1"/>
  <c r="AP73" i="2"/>
  <c r="AP56" i="1"/>
  <c r="W67" i="22"/>
  <c r="AG75" i="2"/>
  <c r="AG67" i="2"/>
  <c r="AG80" i="2" s="1"/>
  <c r="AG79" i="2"/>
  <c r="L12" i="22"/>
  <c r="BQ11" i="9"/>
  <c r="M12" i="22" s="1"/>
  <c r="BD165" i="1"/>
  <c r="BD31" i="11" s="1"/>
  <c r="BD154" i="1"/>
  <c r="BD152" i="1"/>
  <c r="CI118" i="1"/>
  <c r="DJ132" i="1"/>
  <c r="DK21" i="1"/>
  <c r="CZ58" i="2"/>
  <c r="CZ74" i="2"/>
  <c r="AV82" i="22" s="1"/>
  <c r="H79" i="2"/>
  <c r="H75" i="2"/>
  <c r="H67" i="2"/>
  <c r="H80" i="2" s="1"/>
  <c r="BX91" i="2"/>
  <c r="BC26" i="22"/>
  <c r="W73" i="2"/>
  <c r="W56" i="1"/>
  <c r="M65" i="22"/>
  <c r="BQ73" i="2"/>
  <c r="M81" i="22" s="1"/>
  <c r="BQ56" i="1"/>
  <c r="Z65" i="22"/>
  <c r="CD73" i="2"/>
  <c r="Z81" i="22" s="1"/>
  <c r="CD56" i="1"/>
  <c r="CW72" i="1"/>
  <c r="CX72" i="1"/>
  <c r="DB72" i="1"/>
  <c r="AG45" i="22"/>
  <c r="CK91" i="2"/>
  <c r="CK2" i="2"/>
  <c r="CK37" i="2"/>
  <c r="BR52" i="9"/>
  <c r="AG7" i="15"/>
  <c r="AG11" i="15"/>
  <c r="AG12" i="15" s="1"/>
  <c r="BJ91" i="2"/>
  <c r="CX118" i="1"/>
  <c r="S4" i="15"/>
  <c r="S66" i="2"/>
  <c r="BX112" i="1"/>
  <c r="BT116" i="1"/>
  <c r="AJ67" i="22"/>
  <c r="AH73" i="2"/>
  <c r="AH56" i="1"/>
  <c r="AW45" i="22"/>
  <c r="DA91" i="2"/>
  <c r="DA2" i="2"/>
  <c r="BM56" i="1"/>
  <c r="AV73" i="2"/>
  <c r="AV56" i="1"/>
  <c r="D73" i="2"/>
  <c r="D56" i="1"/>
  <c r="CG70" i="2"/>
  <c r="AC79" i="22" s="1"/>
  <c r="CG57" i="2"/>
  <c r="T29" i="22"/>
  <c r="BX30" i="9"/>
  <c r="T30" i="22" s="1"/>
  <c r="AO65" i="22"/>
  <c r="CS73" i="2"/>
  <c r="AO81" i="22" s="1"/>
  <c r="CS56" i="1"/>
  <c r="BS49" i="1"/>
  <c r="BS54" i="1"/>
  <c r="BS55" i="1"/>
  <c r="BS24" i="15" s="1"/>
  <c r="BS122" i="1"/>
  <c r="CS84" i="2"/>
  <c r="CW84" i="2" s="1"/>
  <c r="CW85" i="2"/>
  <c r="CW86" i="2" s="1"/>
  <c r="CW87" i="2" s="1"/>
  <c r="U65" i="22"/>
  <c r="BY73" i="2"/>
  <c r="U81" i="22" s="1"/>
  <c r="BY56" i="1"/>
  <c r="X45" i="22"/>
  <c r="CB37" i="2"/>
  <c r="CC37" i="2" s="1"/>
  <c r="Y67" i="22" s="1"/>
  <c r="CB91" i="2"/>
  <c r="O73" i="2"/>
  <c r="O56" i="1"/>
  <c r="DA116" i="1"/>
  <c r="DA118" i="1" s="1"/>
  <c r="DB114" i="1"/>
  <c r="BC6" i="22"/>
  <c r="DG8" i="9"/>
  <c r="DG6" i="9"/>
  <c r="CY58" i="2"/>
  <c r="CY74" i="2"/>
  <c r="AU82" i="22" s="1"/>
  <c r="R73" i="2"/>
  <c r="R56" i="1"/>
  <c r="BG73" i="2"/>
  <c r="BG56" i="1"/>
  <c r="Z58" i="2"/>
  <c r="Z74" i="2"/>
  <c r="DB16" i="2"/>
  <c r="CW80" i="1"/>
  <c r="CW81" i="1" s="1"/>
  <c r="CW71" i="1"/>
  <c r="BX74" i="2"/>
  <c r="T82" i="22" s="1"/>
  <c r="BX123" i="1"/>
  <c r="BX58" i="2"/>
  <c r="BN49" i="1"/>
  <c r="BN55" i="1"/>
  <c r="BN24" i="15" s="1"/>
  <c r="BN54" i="1"/>
  <c r="BN122" i="1"/>
  <c r="AF67" i="22"/>
  <c r="AC7" i="15"/>
  <c r="AC11" i="15"/>
  <c r="AC12" i="15" s="1"/>
  <c r="BC58" i="2"/>
  <c r="BC74" i="2"/>
  <c r="BD63" i="1"/>
  <c r="BE63" i="1"/>
  <c r="BD62" i="1"/>
  <c r="CO58" i="2"/>
  <c r="CO74" i="2"/>
  <c r="AK82" i="22" s="1"/>
  <c r="AU41" i="2"/>
  <c r="AU91" i="2"/>
  <c r="O4" i="15"/>
  <c r="O66" i="2"/>
  <c r="M4" i="15"/>
  <c r="M66" i="2"/>
  <c r="CC70" i="2"/>
  <c r="Y79" i="22" s="1"/>
  <c r="CC57" i="2"/>
  <c r="CD41" i="2"/>
  <c r="Z71" i="22" s="1"/>
  <c r="CD91" i="2"/>
  <c r="DY87" i="2"/>
  <c r="DX86" i="2"/>
  <c r="BR5" i="11"/>
  <c r="CI5" i="11"/>
  <c r="BG5" i="11"/>
  <c r="CZ5" i="11"/>
  <c r="DK78" i="2"/>
  <c r="DC56" i="1" l="1"/>
  <c r="DC73" i="2"/>
  <c r="AY81" i="22" s="1"/>
  <c r="C75" i="2"/>
  <c r="BS152" i="1"/>
  <c r="BT52" i="9"/>
  <c r="C79" i="2"/>
  <c r="DL21" i="2"/>
  <c r="DM21" i="2" s="1"/>
  <c r="E75" i="2"/>
  <c r="E67" i="2"/>
  <c r="E80" i="2" s="1"/>
  <c r="CV58" i="2"/>
  <c r="CV56" i="1" s="1"/>
  <c r="X3" i="2"/>
  <c r="X83" i="2"/>
  <c r="X130" i="1"/>
  <c r="X3" i="1"/>
  <c r="X77" i="2"/>
  <c r="X25" i="1"/>
  <c r="X23" i="9"/>
  <c r="CA6" i="9"/>
  <c r="W7" i="22" s="1"/>
  <c r="CL52" i="9"/>
  <c r="CK52" i="9"/>
  <c r="CI52" i="9"/>
  <c r="DF58" i="2"/>
  <c r="DF73" i="2" s="1"/>
  <c r="DF74" i="2"/>
  <c r="BD16" i="22"/>
  <c r="DB54" i="1"/>
  <c r="DB55" i="1"/>
  <c r="DC49" i="1"/>
  <c r="W9" i="22"/>
  <c r="X3" i="9"/>
  <c r="X32" i="9"/>
  <c r="X3" i="15"/>
  <c r="X52" i="2"/>
  <c r="DK8" i="9"/>
  <c r="BG9" i="22" s="1"/>
  <c r="AB79" i="2"/>
  <c r="AB75" i="2"/>
  <c r="DL31" i="2"/>
  <c r="BH60" i="22" s="1"/>
  <c r="CG117" i="1"/>
  <c r="CH115" i="1"/>
  <c r="CH117" i="1" s="1"/>
  <c r="DM44" i="2"/>
  <c r="BG74" i="22"/>
  <c r="BD6" i="22"/>
  <c r="DL44" i="2"/>
  <c r="BH74" i="22" s="1"/>
  <c r="BD76" i="22"/>
  <c r="DM35" i="2"/>
  <c r="BG64" i="22"/>
  <c r="DP20" i="2"/>
  <c r="BK49" i="22"/>
  <c r="CR88" i="2"/>
  <c r="BG50" i="22"/>
  <c r="BS58" i="2"/>
  <c r="O65" i="22" s="1"/>
  <c r="BS74" i="2"/>
  <c r="O82" i="22" s="1"/>
  <c r="X106" i="1"/>
  <c r="X51" i="9"/>
  <c r="BW52" i="9"/>
  <c r="X59" i="1"/>
  <c r="AK47" i="2"/>
  <c r="DB116" i="1"/>
  <c r="DB118" i="1" s="1"/>
  <c r="W23" i="9"/>
  <c r="W83" i="2"/>
  <c r="W106" i="1"/>
  <c r="W59" i="1"/>
  <c r="W25" i="1"/>
  <c r="W3" i="15"/>
  <c r="W3" i="9"/>
  <c r="W77" i="2"/>
  <c r="W130" i="1"/>
  <c r="W32" i="9"/>
  <c r="W51" i="9"/>
  <c r="W3" i="2"/>
  <c r="W45" i="9"/>
  <c r="W52" i="2"/>
  <c r="W3" i="1"/>
  <c r="AB27" i="11"/>
  <c r="AB3" i="11"/>
  <c r="AB9" i="7"/>
  <c r="AG3" i="7"/>
  <c r="AL5" i="7"/>
  <c r="CC152" i="1"/>
  <c r="BR18" i="9"/>
  <c r="N19" i="22" s="1"/>
  <c r="CC154" i="1"/>
  <c r="BN26" i="9"/>
  <c r="J27" i="22" s="1"/>
  <c r="T11" i="15"/>
  <c r="T12" i="15" s="1"/>
  <c r="T7" i="15"/>
  <c r="CE56" i="1"/>
  <c r="AA65" i="22"/>
  <c r="CE73" i="2"/>
  <c r="AA81" i="22" s="1"/>
  <c r="AN5" i="7"/>
  <c r="AI3" i="7"/>
  <c r="AJ5" i="7"/>
  <c r="AJ3" i="7" s="1"/>
  <c r="T67" i="2"/>
  <c r="T80" i="2" s="1"/>
  <c r="T79" i="2"/>
  <c r="T75" i="2"/>
  <c r="AE3" i="11"/>
  <c r="AE9" i="7"/>
  <c r="AE27" i="11"/>
  <c r="AD9" i="7"/>
  <c r="AD3" i="11"/>
  <c r="AD27" i="11"/>
  <c r="Y23" i="9"/>
  <c r="Y51" i="9"/>
  <c r="Y3" i="15"/>
  <c r="Y59" i="1"/>
  <c r="Y3" i="9"/>
  <c r="Y25" i="1"/>
  <c r="Y32" i="9"/>
  <c r="Y83" i="2"/>
  <c r="Y45" i="9"/>
  <c r="Y3" i="1"/>
  <c r="Y130" i="1"/>
  <c r="Y106" i="1"/>
  <c r="Y77" i="2"/>
  <c r="Y3" i="2"/>
  <c r="Y52" i="2"/>
  <c r="Z52" i="2"/>
  <c r="Z59" i="1"/>
  <c r="Z32" i="9"/>
  <c r="Z3" i="2"/>
  <c r="Z45" i="9"/>
  <c r="Z3" i="1"/>
  <c r="Z3" i="15"/>
  <c r="Z25" i="1"/>
  <c r="Z3" i="9"/>
  <c r="Z23" i="9"/>
  <c r="Z77" i="2"/>
  <c r="Z83" i="2"/>
  <c r="Z51" i="9"/>
  <c r="Z130" i="1"/>
  <c r="Z106" i="1"/>
  <c r="BN41" i="2"/>
  <c r="J71" i="22" s="1"/>
  <c r="BN91" i="2"/>
  <c r="BO41" i="2"/>
  <c r="K71" i="22" s="1"/>
  <c r="BO91" i="2"/>
  <c r="I11" i="15"/>
  <c r="I12" i="15" s="1"/>
  <c r="I7" i="15"/>
  <c r="CF58" i="2"/>
  <c r="CF74" i="2"/>
  <c r="AB82" i="22" s="1"/>
  <c r="O27" i="22"/>
  <c r="BT18" i="9"/>
  <c r="P19" i="22" s="1"/>
  <c r="AE73" i="2"/>
  <c r="AE56" i="1"/>
  <c r="I79" i="2"/>
  <c r="I75" i="2"/>
  <c r="I67" i="2"/>
  <c r="I80" i="2" s="1"/>
  <c r="AI45" i="22"/>
  <c r="CM91" i="2"/>
  <c r="CM2" i="2"/>
  <c r="BC7" i="22"/>
  <c r="BF12" i="22"/>
  <c r="BG12" i="22"/>
  <c r="BD12" i="22"/>
  <c r="BE12" i="22"/>
  <c r="W67" i="2"/>
  <c r="W80" i="2" s="1"/>
  <c r="W75" i="2"/>
  <c r="W79" i="2"/>
  <c r="AL67" i="22"/>
  <c r="DJ27" i="9"/>
  <c r="BF28" i="22" s="1"/>
  <c r="R79" i="2"/>
  <c r="R67" i="2"/>
  <c r="R80" i="2" s="1"/>
  <c r="R75" i="2"/>
  <c r="AC31" i="15"/>
  <c r="AC13" i="15"/>
  <c r="AO73" i="2"/>
  <c r="AO56" i="1"/>
  <c r="AE65" i="22"/>
  <c r="CI73" i="2"/>
  <c r="AE81" i="22" s="1"/>
  <c r="CI56" i="1"/>
  <c r="DS16" i="9"/>
  <c r="G4" i="15"/>
  <c r="G66" i="2"/>
  <c r="K48" i="2"/>
  <c r="L7" i="22"/>
  <c r="BQ6" i="9"/>
  <c r="M7" i="22" s="1"/>
  <c r="AC3" i="15"/>
  <c r="AC23" i="9"/>
  <c r="AC51" i="9"/>
  <c r="AC3" i="9"/>
  <c r="AC106" i="1"/>
  <c r="AC32" i="9"/>
  <c r="AC130" i="1"/>
  <c r="AC3" i="1"/>
  <c r="AC77" i="2"/>
  <c r="AC59" i="1"/>
  <c r="AC45" i="9"/>
  <c r="AC83" i="2"/>
  <c r="AC25" i="1"/>
  <c r="AC3" i="2"/>
  <c r="AC52" i="2"/>
  <c r="U73" i="2"/>
  <c r="U56" i="1"/>
  <c r="CH116" i="1"/>
  <c r="CH118" i="1" s="1"/>
  <c r="CD118" i="1"/>
  <c r="CR116" i="1"/>
  <c r="CR118" i="1" s="1"/>
  <c r="CN118" i="1"/>
  <c r="CM114" i="1"/>
  <c r="R7" i="15"/>
  <c r="R11" i="15"/>
  <c r="R12" i="15" s="1"/>
  <c r="DW18" i="1"/>
  <c r="DX18" i="1" s="1"/>
  <c r="DY18" i="1" s="1"/>
  <c r="DZ18" i="1" s="1"/>
  <c r="DV18" i="1"/>
  <c r="CM116" i="1"/>
  <c r="CM118" i="1" s="1"/>
  <c r="E13" i="15"/>
  <c r="T65" i="22"/>
  <c r="BX73" i="2"/>
  <c r="T81" i="22" s="1"/>
  <c r="BX56" i="1"/>
  <c r="CG58" i="2"/>
  <c r="CG74" i="2"/>
  <c r="AC82" i="22" s="1"/>
  <c r="CQ57" i="2"/>
  <c r="CQ70" i="2"/>
  <c r="AM79" i="22" s="1"/>
  <c r="X13" i="15"/>
  <c r="X31" i="15"/>
  <c r="AT73" i="2"/>
  <c r="AT56" i="1"/>
  <c r="M9" i="22"/>
  <c r="BZ52" i="9"/>
  <c r="CB52" i="9"/>
  <c r="AA4" i="15"/>
  <c r="AA66" i="2"/>
  <c r="AE48" i="2"/>
  <c r="V65" i="22"/>
  <c r="BZ73" i="2"/>
  <c r="V81" i="22" s="1"/>
  <c r="BZ56" i="1"/>
  <c r="AD75" i="2"/>
  <c r="AD79" i="2"/>
  <c r="AD67" i="2"/>
  <c r="AD80" i="2" s="1"/>
  <c r="M7" i="15"/>
  <c r="M11" i="15"/>
  <c r="M12" i="15" s="1"/>
  <c r="Z73" i="2"/>
  <c r="Z56" i="1"/>
  <c r="S7" i="15"/>
  <c r="S11" i="15"/>
  <c r="S12" i="15" s="1"/>
  <c r="DL21" i="1"/>
  <c r="DM21" i="1" s="1"/>
  <c r="DK132" i="1"/>
  <c r="DL132" i="1" s="1"/>
  <c r="CC55" i="1"/>
  <c r="CC24" i="15" s="1"/>
  <c r="CC49" i="1"/>
  <c r="CC54" i="1"/>
  <c r="CC122" i="1"/>
  <c r="CD49" i="1"/>
  <c r="CH49" i="1" s="1"/>
  <c r="O79" i="2"/>
  <c r="O75" i="2"/>
  <c r="O67" i="2"/>
  <c r="O80" i="2" s="1"/>
  <c r="AN45" i="22"/>
  <c r="CR91" i="2"/>
  <c r="CR2" i="2"/>
  <c r="CM85" i="2"/>
  <c r="CM86" i="2" s="1"/>
  <c r="CM87" i="2" s="1"/>
  <c r="CI84" i="2"/>
  <c r="CM84" i="2" s="1"/>
  <c r="DJ36" i="2"/>
  <c r="BF66" i="22" s="1"/>
  <c r="AD7" i="15"/>
  <c r="AD11" i="15"/>
  <c r="AD12" i="15" s="1"/>
  <c r="AR5" i="7"/>
  <c r="AM3" i="7"/>
  <c r="AO46" i="22"/>
  <c r="CS37" i="2"/>
  <c r="B4" i="15"/>
  <c r="B66" i="2"/>
  <c r="F48" i="2"/>
  <c r="AH4" i="15"/>
  <c r="AH66" i="2"/>
  <c r="AH51" i="2"/>
  <c r="AH161" i="1"/>
  <c r="DM74" i="1"/>
  <c r="DE144" i="1"/>
  <c r="DE142" i="1"/>
  <c r="W7" i="15"/>
  <c r="W11" i="15"/>
  <c r="W12" i="15" s="1"/>
  <c r="S65" i="22"/>
  <c r="BW73" i="2"/>
  <c r="S81" i="22" s="1"/>
  <c r="BW56" i="1"/>
  <c r="L48" i="2"/>
  <c r="P45" i="2"/>
  <c r="P47" i="2" s="1"/>
  <c r="L47" i="2"/>
  <c r="AF3" i="11"/>
  <c r="AF27" i="11"/>
  <c r="AF9" i="7"/>
  <c r="AJ65" i="22"/>
  <c r="CN73" i="2"/>
  <c r="AJ81" i="22" s="1"/>
  <c r="CN56" i="1"/>
  <c r="CH57" i="2"/>
  <c r="CH70" i="2"/>
  <c r="AD79" i="22" s="1"/>
  <c r="P73" i="2"/>
  <c r="P56" i="1"/>
  <c r="N79" i="2"/>
  <c r="N75" i="2"/>
  <c r="N67" i="2"/>
  <c r="N80" i="2" s="1"/>
  <c r="AH27" i="11"/>
  <c r="AH3" i="11"/>
  <c r="AH9" i="7"/>
  <c r="AI40" i="22"/>
  <c r="CM53" i="2"/>
  <c r="CM55" i="2" s="1"/>
  <c r="CM19" i="2"/>
  <c r="AI48" i="22" s="1"/>
  <c r="CM22" i="2"/>
  <c r="AI51" i="22" s="1"/>
  <c r="CM43" i="2"/>
  <c r="AI73" i="22" s="1"/>
  <c r="D75" i="2"/>
  <c r="D67" i="2"/>
  <c r="D80" i="2" s="1"/>
  <c r="D79" i="2"/>
  <c r="BA10" i="22"/>
  <c r="BA30" i="22"/>
  <c r="AQ65" i="22"/>
  <c r="CU73" i="2"/>
  <c r="AQ81" i="22" s="1"/>
  <c r="CU56" i="1"/>
  <c r="J65" i="22"/>
  <c r="BN73" i="2"/>
  <c r="J81" i="22" s="1"/>
  <c r="AH45" i="22"/>
  <c r="CL91" i="2"/>
  <c r="CL2" i="2"/>
  <c r="CL37" i="2"/>
  <c r="CM37" i="2" s="1"/>
  <c r="AI67" i="22" s="1"/>
  <c r="BF5" i="22"/>
  <c r="BE26" i="22"/>
  <c r="DD47" i="9"/>
  <c r="K29" i="22"/>
  <c r="BO29" i="9"/>
  <c r="BO30" i="9"/>
  <c r="K30" i="22" s="1"/>
  <c r="AI7" i="15"/>
  <c r="AI11" i="15"/>
  <c r="AI12" i="15" s="1"/>
  <c r="J18" i="15"/>
  <c r="J16" i="15"/>
  <c r="J17" i="15"/>
  <c r="J4" i="11" s="1"/>
  <c r="CS118" i="1"/>
  <c r="CW116" i="1"/>
  <c r="CW118" i="1" s="1"/>
  <c r="AP5" i="7"/>
  <c r="AK3" i="7"/>
  <c r="C13" i="15"/>
  <c r="AK4" i="15"/>
  <c r="AK161" i="1"/>
  <c r="AK51" i="2"/>
  <c r="AK66" i="2"/>
  <c r="CH54" i="1"/>
  <c r="CH55" i="1"/>
  <c r="CI49" i="1"/>
  <c r="CM49" i="1" s="1"/>
  <c r="CH122" i="1"/>
  <c r="CB74" i="2"/>
  <c r="X82" i="22" s="1"/>
  <c r="CB58" i="2"/>
  <c r="CK74" i="2"/>
  <c r="AG82" i="22" s="1"/>
  <c r="CK58" i="2"/>
  <c r="DB123" i="1"/>
  <c r="DB58" i="2"/>
  <c r="DB74" i="2"/>
  <c r="AX82" i="22" s="1"/>
  <c r="N7" i="15"/>
  <c r="N11" i="15"/>
  <c r="N12" i="15" s="1"/>
  <c r="D7" i="15"/>
  <c r="D11" i="15"/>
  <c r="D12" i="15" s="1"/>
  <c r="Y13" i="15"/>
  <c r="Y31" i="15"/>
  <c r="AL48" i="2"/>
  <c r="AL47" i="2"/>
  <c r="BN56" i="1"/>
  <c r="AG67" i="22"/>
  <c r="CC123" i="1"/>
  <c r="CC74" i="2"/>
  <c r="Y82" i="22" s="1"/>
  <c r="CC58" i="2"/>
  <c r="AK65" i="22"/>
  <c r="CO73" i="2"/>
  <c r="AK81" i="22" s="1"/>
  <c r="CO56" i="1"/>
  <c r="X67" i="22"/>
  <c r="BT118" i="1"/>
  <c r="BX116" i="1"/>
  <c r="BX118" i="1" s="1"/>
  <c r="AB13" i="15"/>
  <c r="AB31" i="15"/>
  <c r="G7" i="22"/>
  <c r="BL6" i="9"/>
  <c r="H7" i="22" s="1"/>
  <c r="H13" i="15"/>
  <c r="AT65" i="22"/>
  <c r="CX73" i="2"/>
  <c r="AT81" i="22" s="1"/>
  <c r="CX56" i="1"/>
  <c r="Q7" i="22"/>
  <c r="BV6" i="9"/>
  <c r="R7" i="22" s="1"/>
  <c r="CP74" i="2"/>
  <c r="AL82" i="22" s="1"/>
  <c r="CP58" i="2"/>
  <c r="U45" i="2"/>
  <c r="U47" i="2" s="1"/>
  <c r="Q48" i="2"/>
  <c r="Q47" i="2"/>
  <c r="BH26" i="9"/>
  <c r="C65" i="22"/>
  <c r="AY73" i="2"/>
  <c r="C81" i="22" s="1"/>
  <c r="AY56" i="1"/>
  <c r="CC39" i="9"/>
  <c r="AF65" i="22"/>
  <c r="CJ73" i="2"/>
  <c r="AF81" i="22" s="1"/>
  <c r="CJ56" i="1"/>
  <c r="F73" i="2"/>
  <c r="F56" i="1"/>
  <c r="O29" i="22"/>
  <c r="BS30" i="9"/>
  <c r="O30" i="22" s="1"/>
  <c r="BS29" i="9"/>
  <c r="AC67" i="22"/>
  <c r="CH37" i="2"/>
  <c r="AD67" i="22" s="1"/>
  <c r="CM115" i="1"/>
  <c r="CM117" i="1" s="1"/>
  <c r="CL117" i="1"/>
  <c r="O7" i="15"/>
  <c r="O11" i="15"/>
  <c r="O12" i="15" s="1"/>
  <c r="BC73" i="2"/>
  <c r="BC56" i="1"/>
  <c r="AR57" i="22"/>
  <c r="CX28" i="2"/>
  <c r="CV60" i="2"/>
  <c r="CV59" i="2" s="1"/>
  <c r="CV23" i="2"/>
  <c r="CW23" i="2" s="1"/>
  <c r="AS52" i="22" s="1"/>
  <c r="CW88" i="2"/>
  <c r="AG31" i="15"/>
  <c r="AG13" i="15"/>
  <c r="AM45" i="22"/>
  <c r="CQ91" i="2"/>
  <c r="CQ37" i="2"/>
  <c r="CR37" i="2" s="1"/>
  <c r="AN67" i="22" s="1"/>
  <c r="CQ2" i="2"/>
  <c r="AX45" i="22"/>
  <c r="DB91" i="2"/>
  <c r="DB2" i="2"/>
  <c r="AU65" i="22"/>
  <c r="CY73" i="2"/>
  <c r="AU81" i="22" s="1"/>
  <c r="CY56" i="1"/>
  <c r="E26" i="22"/>
  <c r="E65" i="22"/>
  <c r="BI73" i="2"/>
  <c r="E81" i="22" s="1"/>
  <c r="BI56" i="1"/>
  <c r="D65" i="22"/>
  <c r="BD73" i="2"/>
  <c r="D81" i="22" s="1"/>
  <c r="BD56" i="1"/>
  <c r="V47" i="2"/>
  <c r="V48" i="2"/>
  <c r="Z45" i="2"/>
  <c r="Z47" i="2" s="1"/>
  <c r="CH85" i="2"/>
  <c r="CH86" i="2" s="1"/>
  <c r="CH87" i="2" s="1"/>
  <c r="CD84" i="2"/>
  <c r="CH84" i="2" s="1"/>
  <c r="CW123" i="1"/>
  <c r="CW74" i="2"/>
  <c r="AS82" i="22" s="1"/>
  <c r="CW58" i="2"/>
  <c r="E25" i="22"/>
  <c r="BN28" i="9"/>
  <c r="BJ28" i="9"/>
  <c r="BN18" i="9"/>
  <c r="J19" i="22" s="1"/>
  <c r="BI76" i="1"/>
  <c r="DA74" i="2"/>
  <c r="AW82" i="22" s="1"/>
  <c r="DA58" i="2"/>
  <c r="CB37" i="9"/>
  <c r="CC36" i="9"/>
  <c r="BD41" i="2"/>
  <c r="D71" i="22" s="1"/>
  <c r="BD91" i="2"/>
  <c r="AP52" i="22"/>
  <c r="CT17" i="2"/>
  <c r="W65" i="22"/>
  <c r="CA73" i="2"/>
  <c r="W81" i="22" s="1"/>
  <c r="CA56" i="1"/>
  <c r="BC9" i="22"/>
  <c r="BE14" i="22"/>
  <c r="DJ13" i="9"/>
  <c r="BF14" i="22" s="1"/>
  <c r="BD14" i="22"/>
  <c r="AN40" i="22"/>
  <c r="CR53" i="2"/>
  <c r="CR55" i="2" s="1"/>
  <c r="CR43" i="2"/>
  <c r="AN73" i="22" s="1"/>
  <c r="CR19" i="2"/>
  <c r="AN48" i="22" s="1"/>
  <c r="CR22" i="2"/>
  <c r="AN51" i="22" s="1"/>
  <c r="DM31" i="2"/>
  <c r="BI60" i="22" s="1"/>
  <c r="M79" i="2"/>
  <c r="M75" i="2"/>
  <c r="M67" i="2"/>
  <c r="M80" i="2" s="1"/>
  <c r="BE41" i="2"/>
  <c r="BE91" i="2"/>
  <c r="S67" i="2"/>
  <c r="S80" i="2" s="1"/>
  <c r="S79" i="2"/>
  <c r="S75" i="2"/>
  <c r="AV65" i="22"/>
  <c r="CZ73" i="2"/>
  <c r="AV81" i="22" s="1"/>
  <c r="CZ56" i="1"/>
  <c r="AA51" i="9"/>
  <c r="AA3" i="15"/>
  <c r="AA32" i="9"/>
  <c r="AA3" i="9"/>
  <c r="AA23" i="9"/>
  <c r="AA130" i="1"/>
  <c r="AA45" i="9"/>
  <c r="AA83" i="2"/>
  <c r="AA3" i="1"/>
  <c r="AA59" i="1"/>
  <c r="AA3" i="2"/>
  <c r="AA106" i="1"/>
  <c r="AA52" i="2"/>
  <c r="AA25" i="1"/>
  <c r="AA77" i="2"/>
  <c r="CW28" i="2"/>
  <c r="DC118" i="1"/>
  <c r="H9" i="22"/>
  <c r="BU52" i="9"/>
  <c r="AI79" i="2"/>
  <c r="AI75" i="2"/>
  <c r="AI67" i="2"/>
  <c r="AI80" i="2" s="1"/>
  <c r="AQ52" i="22"/>
  <c r="CU17" i="2"/>
  <c r="AD45" i="22"/>
  <c r="CH2" i="2"/>
  <c r="CH91" i="2"/>
  <c r="CL57" i="2"/>
  <c r="CL70" i="2"/>
  <c r="AH79" i="22" s="1"/>
  <c r="I29" i="22"/>
  <c r="BM30" i="9"/>
  <c r="I30" i="22" s="1"/>
  <c r="BM29" i="9"/>
  <c r="DO53" i="9"/>
  <c r="R9" i="22"/>
  <c r="CE52" i="9"/>
  <c r="CG52" i="9"/>
  <c r="CD52" i="9"/>
  <c r="AM159" i="1"/>
  <c r="AM62" i="2"/>
  <c r="AN38" i="2"/>
  <c r="AM39" i="2"/>
  <c r="AF4" i="15"/>
  <c r="AF51" i="2"/>
  <c r="AJ48" i="2"/>
  <c r="AF161" i="1"/>
  <c r="AF66" i="2"/>
  <c r="BY52" i="9"/>
  <c r="DZ87" i="2"/>
  <c r="DY86" i="2"/>
  <c r="DA5" i="11"/>
  <c r="BH5" i="11"/>
  <c r="DL78" i="2"/>
  <c r="DM78" i="2" s="1"/>
  <c r="CV73" i="2" l="1"/>
  <c r="AR81" i="22" s="1"/>
  <c r="AR65" i="22"/>
  <c r="CM52" i="9"/>
  <c r="BH50" i="22"/>
  <c r="DN21" i="2"/>
  <c r="BE6" i="22"/>
  <c r="DJ2" i="9"/>
  <c r="BE16" i="22"/>
  <c r="DM8" i="9"/>
  <c r="BI9" i="22" s="1"/>
  <c r="DK13" i="9"/>
  <c r="BG14" i="22" s="1"/>
  <c r="BS56" i="1"/>
  <c r="DR20" i="2"/>
  <c r="DS20" i="2" s="1"/>
  <c r="DT20" i="2" s="1"/>
  <c r="DU20" i="2" s="1"/>
  <c r="DW20" i="2" s="1"/>
  <c r="DX20" i="2" s="1"/>
  <c r="DY20" i="2" s="1"/>
  <c r="DZ20" i="2" s="1"/>
  <c r="EB20" i="2" s="1"/>
  <c r="EC20" i="2" s="1"/>
  <c r="ED20" i="2" s="1"/>
  <c r="EE20" i="2" s="1"/>
  <c r="BL49" i="22"/>
  <c r="BS73" i="2"/>
  <c r="O81" i="22" s="1"/>
  <c r="BI64" i="22"/>
  <c r="DN35" i="2"/>
  <c r="DE47" i="9"/>
  <c r="BE76" i="22"/>
  <c r="BI74" i="22"/>
  <c r="DN44" i="2"/>
  <c r="DP53" i="9"/>
  <c r="DP52" i="9" s="1"/>
  <c r="BE8" i="22"/>
  <c r="BX52" i="9"/>
  <c r="AQ5" i="7"/>
  <c r="AL3" i="7"/>
  <c r="BO18" i="9"/>
  <c r="K19" i="22" s="1"/>
  <c r="AB3" i="1"/>
  <c r="AB77" i="2"/>
  <c r="AB3" i="9"/>
  <c r="AB45" i="9"/>
  <c r="AB52" i="2"/>
  <c r="AB3" i="2"/>
  <c r="AB130" i="1"/>
  <c r="AB59" i="1"/>
  <c r="AB106" i="1"/>
  <c r="AB23" i="9"/>
  <c r="AB32" i="9"/>
  <c r="AB3" i="15"/>
  <c r="AB25" i="1"/>
  <c r="AB51" i="9"/>
  <c r="AB83" i="2"/>
  <c r="AG9" i="7"/>
  <c r="AG27" i="11"/>
  <c r="AG3" i="11"/>
  <c r="CH52" i="9"/>
  <c r="AD32" i="9"/>
  <c r="AD45" i="9"/>
  <c r="AD3" i="15"/>
  <c r="AD106" i="1"/>
  <c r="AD130" i="1"/>
  <c r="AD3" i="9"/>
  <c r="AD3" i="1"/>
  <c r="AD77" i="2"/>
  <c r="AD23" i="9"/>
  <c r="AD25" i="1"/>
  <c r="AD51" i="9"/>
  <c r="AD83" i="2"/>
  <c r="AD52" i="2"/>
  <c r="AD59" i="1"/>
  <c r="AD3" i="2"/>
  <c r="AE52" i="2"/>
  <c r="AE77" i="2"/>
  <c r="AE23" i="9"/>
  <c r="AE3" i="15"/>
  <c r="AE3" i="2"/>
  <c r="AE51" i="9"/>
  <c r="AE83" i="2"/>
  <c r="AE32" i="9"/>
  <c r="AE25" i="1"/>
  <c r="AE3" i="9"/>
  <c r="AE45" i="9"/>
  <c r="AE59" i="1"/>
  <c r="AE106" i="1"/>
  <c r="AE130" i="1"/>
  <c r="AE3" i="1"/>
  <c r="AJ9" i="7"/>
  <c r="AJ27" i="11"/>
  <c r="AJ3" i="11"/>
  <c r="T31" i="15"/>
  <c r="T13" i="15"/>
  <c r="AI27" i="11"/>
  <c r="AI3" i="11"/>
  <c r="AI9" i="7"/>
  <c r="AO5" i="7"/>
  <c r="AN3" i="7"/>
  <c r="AS5" i="7"/>
  <c r="AB65" i="22"/>
  <c r="CF73" i="2"/>
  <c r="AB81" i="22" s="1"/>
  <c r="CF56" i="1"/>
  <c r="I13" i="15"/>
  <c r="DJ46" i="2"/>
  <c r="BJ29" i="9"/>
  <c r="BJ30" i="9"/>
  <c r="F30" i="22" s="1"/>
  <c r="F29" i="22"/>
  <c r="DK27" i="9"/>
  <c r="BG28" i="22" s="1"/>
  <c r="DJ77" i="1"/>
  <c r="DJ14" i="1" s="1"/>
  <c r="W31" i="15"/>
  <c r="W13" i="15"/>
  <c r="AD31" i="15"/>
  <c r="AD13" i="15"/>
  <c r="BA25" i="22"/>
  <c r="BB29" i="22"/>
  <c r="CM70" i="2"/>
  <c r="AI79" i="22" s="1"/>
  <c r="CM57" i="2"/>
  <c r="AH75" i="2"/>
  <c r="AH79" i="2"/>
  <c r="AH67" i="2"/>
  <c r="AH80" i="2" s="1"/>
  <c r="DJ160" i="1"/>
  <c r="DM132" i="1"/>
  <c r="DN21" i="1"/>
  <c r="CQ74" i="2"/>
  <c r="AM82" i="22" s="1"/>
  <c r="CQ58" i="2"/>
  <c r="E18" i="15"/>
  <c r="E16" i="15"/>
  <c r="E17" i="15"/>
  <c r="DN31" i="2"/>
  <c r="BJ60" i="22" s="1"/>
  <c r="J29" i="22"/>
  <c r="BN30" i="9"/>
  <c r="J30" i="22" s="1"/>
  <c r="BN29" i="9"/>
  <c r="AS65" i="22"/>
  <c r="CW73" i="2"/>
  <c r="AS81" i="22" s="1"/>
  <c r="CW56" i="1"/>
  <c r="H17" i="15"/>
  <c r="H4" i="11" s="1"/>
  <c r="H18" i="15"/>
  <c r="H16" i="15"/>
  <c r="Y65" i="22"/>
  <c r="CC73" i="2"/>
  <c r="Y81" i="22" s="1"/>
  <c r="AL4" i="15"/>
  <c r="AL161" i="1"/>
  <c r="AL66" i="2"/>
  <c r="AL51" i="2"/>
  <c r="CC52" i="9"/>
  <c r="BI26" i="9"/>
  <c r="BM18" i="9"/>
  <c r="I19" i="22" s="1"/>
  <c r="AI13" i="15"/>
  <c r="AI31" i="15"/>
  <c r="AH7" i="15"/>
  <c r="AH11" i="15"/>
  <c r="AH12" i="15" s="1"/>
  <c r="DJ20" i="1"/>
  <c r="AE4" i="15"/>
  <c r="AE66" i="2"/>
  <c r="AE51" i="2"/>
  <c r="AN159" i="1"/>
  <c r="AP38" i="2"/>
  <c r="AN62" i="2"/>
  <c r="AN39" i="2"/>
  <c r="AO39" i="2" s="1"/>
  <c r="AO63" i="2" s="1"/>
  <c r="AO38" i="2"/>
  <c r="X65" i="22"/>
  <c r="CB73" i="2"/>
  <c r="X81" i="22" s="1"/>
  <c r="CB56" i="1"/>
  <c r="AM3" i="11"/>
  <c r="AM27" i="11"/>
  <c r="AM9" i="7"/>
  <c r="AM67" i="22"/>
  <c r="DJ5" i="9"/>
  <c r="DJ7" i="9"/>
  <c r="BF8" i="22" s="1"/>
  <c r="DJ25" i="9"/>
  <c r="BF26" i="22" s="1"/>
  <c r="DJ15" i="9"/>
  <c r="CH123" i="1"/>
  <c r="CH74" i="2"/>
  <c r="AD82" i="22" s="1"/>
  <c r="CH58" i="2"/>
  <c r="CL74" i="2"/>
  <c r="AH82" i="22" s="1"/>
  <c r="CL58" i="2"/>
  <c r="CC37" i="9"/>
  <c r="CC43" i="9"/>
  <c r="AG18" i="15"/>
  <c r="AG16" i="15"/>
  <c r="AG17" i="15"/>
  <c r="AG4" i="11" s="1"/>
  <c r="Y16" i="15"/>
  <c r="Y18" i="15"/>
  <c r="Y17" i="15"/>
  <c r="Y4" i="11" s="1"/>
  <c r="N31" i="15"/>
  <c r="N13" i="15"/>
  <c r="AK3" i="11"/>
  <c r="AK27" i="11"/>
  <c r="AK9" i="7"/>
  <c r="BA13" i="22"/>
  <c r="AH51" i="9"/>
  <c r="AH45" i="9"/>
  <c r="AH3" i="15"/>
  <c r="AH32" i="9"/>
  <c r="AH23" i="9"/>
  <c r="AH3" i="9"/>
  <c r="AH25" i="1"/>
  <c r="AH106" i="1"/>
  <c r="AH83" i="2"/>
  <c r="AH130" i="1"/>
  <c r="AH77" i="2"/>
  <c r="AH3" i="2"/>
  <c r="AH52" i="2"/>
  <c r="AH59" i="1"/>
  <c r="AH3" i="1"/>
  <c r="F4" i="15"/>
  <c r="F66" i="2"/>
  <c r="F51" i="2"/>
  <c r="S31" i="15"/>
  <c r="S13" i="15"/>
  <c r="AA79" i="2"/>
  <c r="AA75" i="2"/>
  <c r="AA67" i="2"/>
  <c r="AA80" i="2" s="1"/>
  <c r="AC65" i="22"/>
  <c r="CG73" i="2"/>
  <c r="AC81" i="22" s="1"/>
  <c r="CG56" i="1"/>
  <c r="DT16" i="9"/>
  <c r="D13" i="15"/>
  <c r="CR57" i="2"/>
  <c r="CR70" i="2"/>
  <c r="AN79" i="22" s="1"/>
  <c r="AF79" i="2"/>
  <c r="AF67" i="2"/>
  <c r="AF80" i="2" s="1"/>
  <c r="AF75" i="2"/>
  <c r="AJ161" i="1"/>
  <c r="AJ163" i="1" s="1"/>
  <c r="AS57" i="22"/>
  <c r="CY28" i="2"/>
  <c r="CW60" i="2"/>
  <c r="CW59" i="2" s="1"/>
  <c r="CH88" i="2"/>
  <c r="O31" i="15"/>
  <c r="O13" i="15"/>
  <c r="Q4" i="15"/>
  <c r="U48" i="2"/>
  <c r="Q66" i="2"/>
  <c r="AU5" i="7"/>
  <c r="AP3" i="7"/>
  <c r="AH67" i="22"/>
  <c r="L4" i="15"/>
  <c r="L66" i="2"/>
  <c r="P48" i="2"/>
  <c r="B67" i="2"/>
  <c r="B80" i="2" s="1"/>
  <c r="B75" i="2"/>
  <c r="B79" i="2"/>
  <c r="CM88" i="2"/>
  <c r="AA7" i="15"/>
  <c r="AA11" i="15"/>
  <c r="AA12" i="15" s="1"/>
  <c r="EB18" i="1"/>
  <c r="EC18" i="1" s="1"/>
  <c r="ED18" i="1" s="1"/>
  <c r="EE18" i="1" s="1"/>
  <c r="EF18" i="1" s="1"/>
  <c r="EA18" i="1"/>
  <c r="AC16" i="15"/>
  <c r="AC17" i="15"/>
  <c r="AC4" i="11" s="1"/>
  <c r="AC18" i="15"/>
  <c r="C18" i="15"/>
  <c r="C16" i="15"/>
  <c r="C17" i="15"/>
  <c r="BA34" i="22"/>
  <c r="AX65" i="22"/>
  <c r="DB73" i="2"/>
  <c r="AX81" i="22" s="1"/>
  <c r="DB56" i="1"/>
  <c r="AK67" i="2"/>
  <c r="AK80" i="2" s="1"/>
  <c r="AK79" i="2"/>
  <c r="AK75" i="2"/>
  <c r="B7" i="15"/>
  <c r="B13" i="15" s="1"/>
  <c r="B11" i="15"/>
  <c r="DO52" i="9"/>
  <c r="AL65" i="22"/>
  <c r="CP73" i="2"/>
  <c r="AL81" i="22" s="1"/>
  <c r="CP56" i="1"/>
  <c r="AF51" i="9"/>
  <c r="AF45" i="9"/>
  <c r="AF32" i="9"/>
  <c r="AF23" i="9"/>
  <c r="AF3" i="15"/>
  <c r="AF106" i="1"/>
  <c r="AF59" i="1"/>
  <c r="AF130" i="1"/>
  <c r="AF83" i="2"/>
  <c r="AF3" i="9"/>
  <c r="AF25" i="1"/>
  <c r="AF77" i="2"/>
  <c r="AF3" i="1"/>
  <c r="AF52" i="2"/>
  <c r="AF3" i="2"/>
  <c r="AO67" i="22"/>
  <c r="R31" i="15"/>
  <c r="R13" i="15"/>
  <c r="AR3" i="7"/>
  <c r="AW5" i="7"/>
  <c r="AP46" i="22"/>
  <c r="CT37" i="2"/>
  <c r="M13" i="15"/>
  <c r="M31" i="15"/>
  <c r="K4" i="15"/>
  <c r="K66" i="2"/>
  <c r="K51" i="2"/>
  <c r="AT57" i="22"/>
  <c r="CZ28" i="2"/>
  <c r="CX23" i="2"/>
  <c r="CX60" i="2"/>
  <c r="CX59" i="2" s="1"/>
  <c r="AK7" i="15"/>
  <c r="AK11" i="15"/>
  <c r="AK12" i="15" s="1"/>
  <c r="G7" i="15"/>
  <c r="G11" i="15"/>
  <c r="G12" i="15" s="1"/>
  <c r="X17" i="15"/>
  <c r="X4" i="11" s="1"/>
  <c r="X16" i="15"/>
  <c r="X18" i="15"/>
  <c r="AJ4" i="15"/>
  <c r="AJ66" i="2"/>
  <c r="AJ51" i="2"/>
  <c r="AW65" i="22"/>
  <c r="DA73" i="2"/>
  <c r="AW81" i="22" s="1"/>
  <c r="DA56" i="1"/>
  <c r="AB18" i="15"/>
  <c r="AB16" i="15"/>
  <c r="AB17" i="15"/>
  <c r="AB4" i="11" s="1"/>
  <c r="AF7" i="15"/>
  <c r="AF11" i="15"/>
  <c r="AF12" i="15" s="1"/>
  <c r="AQ46" i="22"/>
  <c r="CU37" i="2"/>
  <c r="V4" i="15"/>
  <c r="Z48" i="2"/>
  <c r="V66" i="2"/>
  <c r="AR52" i="22"/>
  <c r="CV17" i="2"/>
  <c r="CW17" i="2" s="1"/>
  <c r="AS46" i="22" s="1"/>
  <c r="AG65" i="22"/>
  <c r="CK73" i="2"/>
  <c r="AG81" i="22" s="1"/>
  <c r="CK56" i="1"/>
  <c r="AM45" i="2"/>
  <c r="AM63" i="2"/>
  <c r="DN74" i="1"/>
  <c r="CC56" i="1"/>
  <c r="G75" i="2"/>
  <c r="G67" i="2"/>
  <c r="G80" i="2" s="1"/>
  <c r="G79" i="2"/>
  <c r="DZ86" i="2"/>
  <c r="EB87" i="2"/>
  <c r="DC5" i="11"/>
  <c r="DN78" i="2"/>
  <c r="BI50" i="22" l="1"/>
  <c r="DQ53" i="9"/>
  <c r="DN8" i="9"/>
  <c r="BJ9" i="22" s="1"/>
  <c r="DQ52" i="9"/>
  <c r="BF6" i="22"/>
  <c r="BG5" i="22"/>
  <c r="BF16" i="22"/>
  <c r="DF47" i="9"/>
  <c r="DO44" i="2"/>
  <c r="BJ74" i="22"/>
  <c r="DO35" i="2"/>
  <c r="BJ64" i="22"/>
  <c r="DO21" i="2"/>
  <c r="BJ50" i="22"/>
  <c r="DL4" i="9"/>
  <c r="AG23" i="9"/>
  <c r="AG77" i="2"/>
  <c r="AG83" i="2"/>
  <c r="AG59" i="1"/>
  <c r="AG51" i="9"/>
  <c r="AG45" i="9"/>
  <c r="AG3" i="2"/>
  <c r="AG130" i="1"/>
  <c r="AG52" i="2"/>
  <c r="AG3" i="15"/>
  <c r="AG106" i="1"/>
  <c r="AG3" i="9"/>
  <c r="AG32" i="9"/>
  <c r="AG25" i="1"/>
  <c r="AG3" i="1"/>
  <c r="AL9" i="7"/>
  <c r="AL3" i="11"/>
  <c r="AL27" i="11"/>
  <c r="AQ3" i="7"/>
  <c r="AV5" i="7"/>
  <c r="AJ3" i="9"/>
  <c r="AJ52" i="2"/>
  <c r="AJ25" i="1"/>
  <c r="AJ23" i="9"/>
  <c r="AJ51" i="9"/>
  <c r="AJ3" i="15"/>
  <c r="AJ106" i="1"/>
  <c r="AJ130" i="1"/>
  <c r="AJ45" i="9"/>
  <c r="AJ83" i="2"/>
  <c r="AJ3" i="2"/>
  <c r="AJ32" i="9"/>
  <c r="AJ59" i="1"/>
  <c r="AJ77" i="2"/>
  <c r="AJ3" i="1"/>
  <c r="T17" i="15"/>
  <c r="T4" i="11" s="1"/>
  <c r="T16" i="15"/>
  <c r="T18" i="15"/>
  <c r="AX5" i="7"/>
  <c r="AS3" i="7"/>
  <c r="AN27" i="11"/>
  <c r="AN9" i="7"/>
  <c r="AN3" i="11"/>
  <c r="AT5" i="7"/>
  <c r="AO3" i="7"/>
  <c r="AI3" i="15"/>
  <c r="AI3" i="2"/>
  <c r="AI52" i="2"/>
  <c r="AI45" i="9"/>
  <c r="AI77" i="2"/>
  <c r="AI51" i="9"/>
  <c r="AI3" i="1"/>
  <c r="AI25" i="1"/>
  <c r="AI23" i="9"/>
  <c r="AI83" i="2"/>
  <c r="AI3" i="9"/>
  <c r="AI59" i="1"/>
  <c r="AI130" i="1"/>
  <c r="AI106" i="1"/>
  <c r="AI32" i="9"/>
  <c r="BF76" i="22"/>
  <c r="DI150" i="1"/>
  <c r="I16" i="15"/>
  <c r="I18" i="15"/>
  <c r="I17" i="15"/>
  <c r="I4" i="11" s="1"/>
  <c r="DG68" i="2"/>
  <c r="DG5" i="15" s="1"/>
  <c r="DG92" i="1"/>
  <c r="AF31" i="15"/>
  <c r="AF13" i="15"/>
  <c r="R17" i="15"/>
  <c r="R4" i="11" s="1"/>
  <c r="R18" i="15"/>
  <c r="R16" i="15"/>
  <c r="AA31" i="15"/>
  <c r="AE31" i="15" s="1"/>
  <c r="AA13" i="15"/>
  <c r="DK36" i="2"/>
  <c r="BG66" i="22" s="1"/>
  <c r="AH31" i="15"/>
  <c r="AH13" i="15"/>
  <c r="Z4" i="15"/>
  <c r="Z66" i="2"/>
  <c r="Z51" i="2"/>
  <c r="AK31" i="15"/>
  <c r="AK13" i="15"/>
  <c r="B17" i="15"/>
  <c r="B18" i="15"/>
  <c r="B16" i="15"/>
  <c r="P4" i="15"/>
  <c r="P66" i="2"/>
  <c r="P51" i="2"/>
  <c r="U66" i="2"/>
  <c r="U4" i="15"/>
  <c r="U51" i="2"/>
  <c r="AN63" i="2"/>
  <c r="AN45" i="2"/>
  <c r="AL7" i="15"/>
  <c r="AL11" i="15"/>
  <c r="AL12" i="15" s="1"/>
  <c r="AD18" i="15"/>
  <c r="AD16" i="15"/>
  <c r="AD17" i="15"/>
  <c r="AD4" i="11" s="1"/>
  <c r="E27" i="22"/>
  <c r="BJ18" i="9"/>
  <c r="F19" i="22" s="1"/>
  <c r="BA27" i="22"/>
  <c r="AO159" i="1"/>
  <c r="AO62" i="2"/>
  <c r="AP67" i="22"/>
  <c r="L79" i="2"/>
  <c r="L75" i="2"/>
  <c r="L67" i="2"/>
  <c r="L80" i="2" s="1"/>
  <c r="Q7" i="15"/>
  <c r="Q11" i="15"/>
  <c r="Q12" i="15" s="1"/>
  <c r="CR123" i="1"/>
  <c r="CR74" i="2"/>
  <c r="AN82" i="22" s="1"/>
  <c r="CR58" i="2"/>
  <c r="S18" i="15"/>
  <c r="S16" i="15"/>
  <c r="S17" i="15"/>
  <c r="S4" i="11" s="1"/>
  <c r="AK45" i="9"/>
  <c r="AK23" i="9"/>
  <c r="AK130" i="1"/>
  <c r="AK3" i="15"/>
  <c r="AK3" i="9"/>
  <c r="AK59" i="1"/>
  <c r="AK32" i="9"/>
  <c r="AK25" i="1"/>
  <c r="AK106" i="1"/>
  <c r="AK77" i="2"/>
  <c r="AK3" i="1"/>
  <c r="AK52" i="2"/>
  <c r="AK51" i="9"/>
  <c r="AK83" i="2"/>
  <c r="AK3" i="2"/>
  <c r="AE7" i="15"/>
  <c r="AE11" i="15"/>
  <c r="AE12" i="15" s="1"/>
  <c r="AP27" i="11"/>
  <c r="AP3" i="11"/>
  <c r="AP9" i="7"/>
  <c r="DK25" i="9"/>
  <c r="DK7" i="9"/>
  <c r="DK5" i="9"/>
  <c r="DK15" i="9"/>
  <c r="G13" i="15"/>
  <c r="DN132" i="1"/>
  <c r="DO21" i="1"/>
  <c r="V7" i="15"/>
  <c r="V11" i="15"/>
  <c r="V12" i="15" s="1"/>
  <c r="AM48" i="2"/>
  <c r="AM47" i="2"/>
  <c r="AT52" i="22"/>
  <c r="CX17" i="2"/>
  <c r="L7" i="15"/>
  <c r="L11" i="15"/>
  <c r="L12" i="15" s="1"/>
  <c r="O18" i="15"/>
  <c r="O17" i="15"/>
  <c r="O4" i="11" s="1"/>
  <c r="O16" i="15"/>
  <c r="D16" i="15"/>
  <c r="D17" i="15"/>
  <c r="D18" i="15"/>
  <c r="AH65" i="22"/>
  <c r="CL73" i="2"/>
  <c r="AH81" i="22" s="1"/>
  <c r="CL56" i="1"/>
  <c r="AM51" i="9"/>
  <c r="AM45" i="9"/>
  <c r="AM32" i="9"/>
  <c r="AM130" i="1"/>
  <c r="AM23" i="9"/>
  <c r="AM3" i="15"/>
  <c r="AM3" i="9"/>
  <c r="AM106" i="1"/>
  <c r="AM83" i="2"/>
  <c r="AM3" i="1"/>
  <c r="AM77" i="2"/>
  <c r="AM59" i="1"/>
  <c r="AM52" i="2"/>
  <c r="AM25" i="1"/>
  <c r="AM3" i="2"/>
  <c r="AP62" i="2"/>
  <c r="AP159" i="1"/>
  <c r="AQ38" i="2"/>
  <c r="AP39" i="2"/>
  <c r="W17" i="15"/>
  <c r="W4" i="11" s="1"/>
  <c r="W18" i="15"/>
  <c r="W16" i="15"/>
  <c r="DR53" i="9"/>
  <c r="DO74" i="1"/>
  <c r="K7" i="15"/>
  <c r="K11" i="15"/>
  <c r="K12" i="15" s="1"/>
  <c r="Q79" i="2"/>
  <c r="Q67" i="2"/>
  <c r="Q80" i="2" s="1"/>
  <c r="Q75" i="2"/>
  <c r="DG46" i="9"/>
  <c r="AV57" i="22"/>
  <c r="CZ23" i="2"/>
  <c r="CZ60" i="2"/>
  <c r="CZ59" i="2" s="1"/>
  <c r="BB5" i="7"/>
  <c r="AW3" i="7"/>
  <c r="DO31" i="2"/>
  <c r="BK60" i="22" s="1"/>
  <c r="BA36" i="22"/>
  <c r="K67" i="2"/>
  <c r="K80" i="2" s="1"/>
  <c r="K75" i="2"/>
  <c r="K79" i="2"/>
  <c r="BA62" i="22"/>
  <c r="AM65" i="22"/>
  <c r="CQ73" i="2"/>
  <c r="AM81" i="22" s="1"/>
  <c r="CQ56" i="1"/>
  <c r="DE5" i="15"/>
  <c r="AL79" i="2"/>
  <c r="AL75" i="2"/>
  <c r="AL67" i="2"/>
  <c r="AL80" i="2" s="1"/>
  <c r="M16" i="15"/>
  <c r="M18" i="15"/>
  <c r="M17" i="15"/>
  <c r="M4" i="11" s="1"/>
  <c r="AQ67" i="22"/>
  <c r="AJ67" i="2"/>
  <c r="AJ79" i="2"/>
  <c r="AJ75" i="2"/>
  <c r="AR3" i="11"/>
  <c r="AR27" i="11"/>
  <c r="AR9" i="7"/>
  <c r="DU16" i="9"/>
  <c r="F79" i="2"/>
  <c r="F75" i="2"/>
  <c r="F67" i="2"/>
  <c r="F80" i="2" s="1"/>
  <c r="N17" i="15"/>
  <c r="N4" i="11" s="1"/>
  <c r="N16" i="15"/>
  <c r="N18" i="15"/>
  <c r="AD65" i="22"/>
  <c r="CH73" i="2"/>
  <c r="AD81" i="22" s="1"/>
  <c r="CH56" i="1"/>
  <c r="AU57" i="22"/>
  <c r="DA28" i="2"/>
  <c r="CY23" i="2"/>
  <c r="CY60" i="2"/>
  <c r="CY59" i="2" s="1"/>
  <c r="BA80" i="22"/>
  <c r="AZ5" i="7"/>
  <c r="AU3" i="7"/>
  <c r="AR46" i="22"/>
  <c r="CV37" i="2"/>
  <c r="CW37" i="2" s="1"/>
  <c r="AS67" i="22" s="1"/>
  <c r="V79" i="2"/>
  <c r="V67" i="2"/>
  <c r="V80" i="2" s="1"/>
  <c r="V75" i="2"/>
  <c r="AJ7" i="15"/>
  <c r="AJ11" i="15"/>
  <c r="AJ12" i="15" s="1"/>
  <c r="F7" i="15"/>
  <c r="F13" i="15" s="1"/>
  <c r="F11" i="15"/>
  <c r="AE67" i="2"/>
  <c r="AE80" i="2" s="1"/>
  <c r="AE75" i="2"/>
  <c r="AE79" i="2"/>
  <c r="AI18" i="15"/>
  <c r="AI17" i="15"/>
  <c r="AI4" i="11" s="1"/>
  <c r="AI16" i="15"/>
  <c r="CM123" i="1"/>
  <c r="CM58" i="2"/>
  <c r="CM74" i="2"/>
  <c r="AI82" i="22" s="1"/>
  <c r="DL27" i="9"/>
  <c r="DK77" i="1"/>
  <c r="EB86" i="2"/>
  <c r="EC87" i="2"/>
  <c r="DO78" i="2"/>
  <c r="DP78" i="2" s="1"/>
  <c r="DM4" i="9" l="1"/>
  <c r="BI5" i="22" s="1"/>
  <c r="DH47" i="9"/>
  <c r="DO8" i="9"/>
  <c r="BK9" i="22" s="1"/>
  <c r="DP35" i="2"/>
  <c r="DQ35" i="2" s="1"/>
  <c r="BM64" i="22" s="1"/>
  <c r="BK64" i="22"/>
  <c r="DP44" i="2"/>
  <c r="DQ44" i="2" s="1"/>
  <c r="BM74" i="22" s="1"/>
  <c r="BK74" i="22"/>
  <c r="DM27" i="9"/>
  <c r="BI28" i="22" s="1"/>
  <c r="BH28" i="22"/>
  <c r="DL15" i="9"/>
  <c r="BG16" i="22"/>
  <c r="DL7" i="9"/>
  <c r="BH8" i="22" s="1"/>
  <c r="BG8" i="22"/>
  <c r="BH5" i="22"/>
  <c r="DP21" i="2"/>
  <c r="DQ21" i="2" s="1"/>
  <c r="BM50" i="22" s="1"/>
  <c r="BK50" i="22"/>
  <c r="DL5" i="9"/>
  <c r="BH6" i="22" s="1"/>
  <c r="BG6" i="22"/>
  <c r="DL25" i="9"/>
  <c r="BH26" i="22" s="1"/>
  <c r="BG26" i="22"/>
  <c r="AQ9" i="7"/>
  <c r="AQ3" i="11"/>
  <c r="AQ27" i="11"/>
  <c r="DG95" i="1"/>
  <c r="AL3" i="9"/>
  <c r="AL3" i="1"/>
  <c r="AL3" i="15"/>
  <c r="AL23" i="9"/>
  <c r="AL77" i="2"/>
  <c r="AL106" i="1"/>
  <c r="AL59" i="1"/>
  <c r="AL52" i="2"/>
  <c r="AL51" i="9"/>
  <c r="AL45" i="9"/>
  <c r="AL25" i="1"/>
  <c r="AL3" i="2"/>
  <c r="AL130" i="1"/>
  <c r="AL83" i="2"/>
  <c r="AL32" i="9"/>
  <c r="AV3" i="7"/>
  <c r="BA5" i="7"/>
  <c r="AN83" i="2"/>
  <c r="AN3" i="1"/>
  <c r="AN59" i="1"/>
  <c r="AN25" i="1"/>
  <c r="AN52" i="2"/>
  <c r="AN130" i="1"/>
  <c r="AN3" i="15"/>
  <c r="AN106" i="1"/>
  <c r="AN45" i="9"/>
  <c r="AN77" i="2"/>
  <c r="AN3" i="9"/>
  <c r="AN51" i="9"/>
  <c r="AN32" i="9"/>
  <c r="AN3" i="2"/>
  <c r="AN23" i="9"/>
  <c r="AS3" i="11"/>
  <c r="AS27" i="11"/>
  <c r="AS9" i="7"/>
  <c r="AY5" i="7"/>
  <c r="AT3" i="7"/>
  <c r="AX3" i="7"/>
  <c r="BC5" i="7"/>
  <c r="AO27" i="11"/>
  <c r="AO9" i="7"/>
  <c r="AO3" i="11"/>
  <c r="K13" i="15"/>
  <c r="K17" i="15" s="1"/>
  <c r="K4" i="11" s="1"/>
  <c r="DJ65" i="2"/>
  <c r="AJ31" i="15"/>
  <c r="DJ42" i="1"/>
  <c r="DK46" i="2" s="1"/>
  <c r="DG91" i="1"/>
  <c r="DE149" i="1"/>
  <c r="DP31" i="2"/>
  <c r="G18" i="15"/>
  <c r="G16" i="15"/>
  <c r="G17" i="15"/>
  <c r="G4" i="11" s="1"/>
  <c r="AN48" i="2"/>
  <c r="AN47" i="2"/>
  <c r="AM161" i="1"/>
  <c r="AM4" i="15"/>
  <c r="AM66" i="2"/>
  <c r="AM51" i="2"/>
  <c r="BA61" i="22"/>
  <c r="Z79" i="2"/>
  <c r="Z75" i="2"/>
  <c r="Z67" i="2"/>
  <c r="Z80" i="2" s="1"/>
  <c r="DK160" i="1"/>
  <c r="DL36" i="2"/>
  <c r="BA42" i="22"/>
  <c r="AJ23" i="15"/>
  <c r="AJ20" i="15"/>
  <c r="AJ13" i="15"/>
  <c r="AQ159" i="1"/>
  <c r="AQ62" i="2"/>
  <c r="AR38" i="2"/>
  <c r="AQ39" i="2"/>
  <c r="DM7" i="9"/>
  <c r="BI8" i="22" s="1"/>
  <c r="DN4" i="9"/>
  <c r="BJ5" i="22" s="1"/>
  <c r="DM15" i="9"/>
  <c r="BI16" i="22" s="1"/>
  <c r="AU52" i="22"/>
  <c r="CY17" i="2"/>
  <c r="AW57" i="22"/>
  <c r="DC28" i="2"/>
  <c r="DE28" i="2" s="1"/>
  <c r="DA23" i="2"/>
  <c r="DB23" i="2" s="1"/>
  <c r="AX52" i="22" s="1"/>
  <c r="DA60" i="2"/>
  <c r="DA59" i="2" s="1"/>
  <c r="DW16" i="9"/>
  <c r="BA63" i="22"/>
  <c r="AW27" i="11"/>
  <c r="AW3" i="11"/>
  <c r="AW9" i="7"/>
  <c r="V31" i="15"/>
  <c r="Z31" i="15" s="1"/>
  <c r="V13" i="15"/>
  <c r="AP51" i="9"/>
  <c r="AP45" i="9"/>
  <c r="AP3" i="15"/>
  <c r="AP23" i="9"/>
  <c r="AP3" i="9"/>
  <c r="AP130" i="1"/>
  <c r="AP3" i="1"/>
  <c r="AP77" i="2"/>
  <c r="AP25" i="1"/>
  <c r="AP83" i="2"/>
  <c r="AP106" i="1"/>
  <c r="AP32" i="9"/>
  <c r="AP59" i="1"/>
  <c r="AP52" i="2"/>
  <c r="AP3" i="2"/>
  <c r="U7" i="15"/>
  <c r="U11" i="15"/>
  <c r="U12" i="15" s="1"/>
  <c r="Z7" i="15"/>
  <c r="Z11" i="15"/>
  <c r="Z12" i="15" s="1"/>
  <c r="DK20" i="1"/>
  <c r="DF5" i="15"/>
  <c r="BB63" i="22"/>
  <c r="DG48" i="9"/>
  <c r="DG47" i="9" s="1"/>
  <c r="AF16" i="15"/>
  <c r="AF17" i="15"/>
  <c r="AF4" i="11" s="1"/>
  <c r="AF18" i="15"/>
  <c r="AO45" i="2"/>
  <c r="AO47" i="2" s="1"/>
  <c r="DS53" i="9"/>
  <c r="DS52" i="9" s="1"/>
  <c r="DO132" i="1"/>
  <c r="DP21" i="1"/>
  <c r="L13" i="15"/>
  <c r="L31" i="15"/>
  <c r="P31" i="15" s="1"/>
  <c r="AN65" i="22"/>
  <c r="CR73" i="2"/>
  <c r="AN81" i="22" s="1"/>
  <c r="CR56" i="1"/>
  <c r="AI65" i="22"/>
  <c r="CM73" i="2"/>
  <c r="AI81" i="22" s="1"/>
  <c r="CM56" i="1"/>
  <c r="Q31" i="15"/>
  <c r="U31" i="15" s="1"/>
  <c r="Q13" i="15"/>
  <c r="AH16" i="15"/>
  <c r="AH17" i="15"/>
  <c r="AH4" i="11" s="1"/>
  <c r="AH18" i="15"/>
  <c r="AJ80" i="2"/>
  <c r="AJ69" i="2"/>
  <c r="U75" i="2"/>
  <c r="U67" i="2"/>
  <c r="U80" i="2" s="1"/>
  <c r="U79" i="2"/>
  <c r="AA18" i="15"/>
  <c r="AA16" i="15"/>
  <c r="AA17" i="15"/>
  <c r="AA4" i="11" s="1"/>
  <c r="AR67" i="22"/>
  <c r="DL77" i="1"/>
  <c r="DK14" i="1"/>
  <c r="DL14" i="1" s="1"/>
  <c r="AR3" i="15"/>
  <c r="AR45" i="9"/>
  <c r="AR23" i="9"/>
  <c r="AR51" i="9"/>
  <c r="AR3" i="9"/>
  <c r="AR106" i="1"/>
  <c r="AR59" i="1"/>
  <c r="AR83" i="2"/>
  <c r="AR130" i="1"/>
  <c r="AR3" i="1"/>
  <c r="AR25" i="1"/>
  <c r="AR32" i="9"/>
  <c r="AR77" i="2"/>
  <c r="AR3" i="2"/>
  <c r="AR52" i="2"/>
  <c r="AV52" i="22"/>
  <c r="CZ17" i="2"/>
  <c r="DP74" i="1"/>
  <c r="AT46" i="22"/>
  <c r="CX37" i="2"/>
  <c r="AL31" i="15"/>
  <c r="AL13" i="15"/>
  <c r="P75" i="2"/>
  <c r="P79" i="2"/>
  <c r="P67" i="2"/>
  <c r="P80" i="2" s="1"/>
  <c r="F17" i="15"/>
  <c r="F18" i="15"/>
  <c r="F16" i="15"/>
  <c r="BG5" i="7"/>
  <c r="BB3" i="7"/>
  <c r="AU27" i="11"/>
  <c r="AU3" i="11"/>
  <c r="AU9" i="7"/>
  <c r="DR52" i="9"/>
  <c r="AE23" i="15"/>
  <c r="AE20" i="15"/>
  <c r="AE13" i="15"/>
  <c r="P7" i="15"/>
  <c r="P11" i="15"/>
  <c r="P12" i="15" s="1"/>
  <c r="AP63" i="2"/>
  <c r="AP45" i="2"/>
  <c r="AK16" i="15"/>
  <c r="AK17" i="15"/>
  <c r="AK4" i="11" s="1"/>
  <c r="AK6" i="11" s="1"/>
  <c r="AK18" i="15"/>
  <c r="BE5" i="7"/>
  <c r="AZ3" i="7"/>
  <c r="BA44" i="22"/>
  <c r="BB18" i="22"/>
  <c r="DG17" i="9"/>
  <c r="DB28" i="2"/>
  <c r="EC86" i="2"/>
  <c r="ED87" i="2"/>
  <c r="DQ78" i="2"/>
  <c r="DR78" i="2" s="1"/>
  <c r="DM25" i="9" l="1"/>
  <c r="BI26" i="22" s="1"/>
  <c r="DG93" i="1"/>
  <c r="DH93" i="1"/>
  <c r="DP8" i="9"/>
  <c r="BL9" i="22" s="1"/>
  <c r="DE23" i="2"/>
  <c r="DE17" i="2" s="1"/>
  <c r="DE37" i="2" s="1"/>
  <c r="DE60" i="2"/>
  <c r="DE59" i="2" s="1"/>
  <c r="DL6" i="9"/>
  <c r="BH7" i="22" s="1"/>
  <c r="DL160" i="1"/>
  <c r="BH66" i="22"/>
  <c r="DQ31" i="2"/>
  <c r="BM60" i="22" s="1"/>
  <c r="BL60" i="22"/>
  <c r="K18" i="15"/>
  <c r="DL8" i="9"/>
  <c r="BH9" i="22" s="1"/>
  <c r="DR44" i="2"/>
  <c r="BL74" i="22"/>
  <c r="DR35" i="2"/>
  <c r="BL64" i="22"/>
  <c r="DM77" i="1"/>
  <c r="DM14" i="1" s="1"/>
  <c r="DN27" i="9"/>
  <c r="BJ28" i="22" s="1"/>
  <c r="DR21" i="2"/>
  <c r="BL50" i="22"/>
  <c r="DL16" i="9"/>
  <c r="BH17" i="22" s="1"/>
  <c r="BH16" i="22"/>
  <c r="AV27" i="11"/>
  <c r="AV3" i="11"/>
  <c r="AV9" i="7"/>
  <c r="BF5" i="7"/>
  <c r="BA3" i="7"/>
  <c r="AQ23" i="9"/>
  <c r="AQ32" i="9"/>
  <c r="AQ83" i="2"/>
  <c r="AQ45" i="9"/>
  <c r="AQ3" i="15"/>
  <c r="AQ3" i="2"/>
  <c r="AQ3" i="9"/>
  <c r="AQ106" i="1"/>
  <c r="AQ130" i="1"/>
  <c r="AQ3" i="1"/>
  <c r="AQ77" i="2"/>
  <c r="AQ52" i="2"/>
  <c r="AQ25" i="1"/>
  <c r="AQ51" i="9"/>
  <c r="AQ59" i="1"/>
  <c r="AY3" i="7"/>
  <c r="BD5" i="7"/>
  <c r="AS3" i="2"/>
  <c r="AS52" i="2"/>
  <c r="AS32" i="9"/>
  <c r="AS23" i="9"/>
  <c r="AS77" i="2"/>
  <c r="AS3" i="15"/>
  <c r="AS51" i="9"/>
  <c r="AS59" i="1"/>
  <c r="AS45" i="9"/>
  <c r="AS130" i="1"/>
  <c r="AS25" i="1"/>
  <c r="AS106" i="1"/>
  <c r="AS3" i="9"/>
  <c r="AS3" i="1"/>
  <c r="AS83" i="2"/>
  <c r="AX27" i="11"/>
  <c r="AX3" i="11"/>
  <c r="AX9" i="7"/>
  <c r="AT27" i="11"/>
  <c r="AT3" i="11"/>
  <c r="AT9" i="7"/>
  <c r="K16" i="15"/>
  <c r="BH5" i="7"/>
  <c r="BC3" i="7"/>
  <c r="AO59" i="1"/>
  <c r="AO83" i="2"/>
  <c r="AO3" i="2"/>
  <c r="AO77" i="2"/>
  <c r="AO25" i="1"/>
  <c r="AO45" i="9"/>
  <c r="AO52" i="2"/>
  <c r="AO23" i="9"/>
  <c r="AO106" i="1"/>
  <c r="AO51" i="9"/>
  <c r="AO3" i="15"/>
  <c r="AO130" i="1"/>
  <c r="AO3" i="1"/>
  <c r="AO32" i="9"/>
  <c r="AO3" i="9"/>
  <c r="DG34" i="2"/>
  <c r="BC63" i="22" s="1"/>
  <c r="DJ150" i="1"/>
  <c r="BG76" i="22"/>
  <c r="DG40" i="9"/>
  <c r="DG41" i="9" s="1"/>
  <c r="BB27" i="11"/>
  <c r="BB3" i="11"/>
  <c r="BB9" i="7"/>
  <c r="Z23" i="15"/>
  <c r="Z13" i="15"/>
  <c r="Z20" i="15"/>
  <c r="AM79" i="2"/>
  <c r="AM67" i="2"/>
  <c r="AM80" i="2" s="1"/>
  <c r="AM75" i="2"/>
  <c r="AL17" i="15"/>
  <c r="AL4" i="11" s="1"/>
  <c r="AL6" i="11" s="1"/>
  <c r="AL16" i="15"/>
  <c r="AL18" i="15"/>
  <c r="BE3" i="7"/>
  <c r="BJ5" i="7"/>
  <c r="DE140" i="1"/>
  <c r="AT67" i="22"/>
  <c r="AJ82" i="2"/>
  <c r="AJ96" i="2"/>
  <c r="AJ30" i="11"/>
  <c r="DG73" i="1"/>
  <c r="DG74" i="1" s="1"/>
  <c r="DN25" i="9"/>
  <c r="BJ26" i="22" s="1"/>
  <c r="DN7" i="9"/>
  <c r="DO4" i="9"/>
  <c r="BK5" i="22" s="1"/>
  <c r="DN15" i="9"/>
  <c r="BJ16" i="22" s="1"/>
  <c r="BL5" i="7"/>
  <c r="BG3" i="7"/>
  <c r="AM7" i="15"/>
  <c r="AM11" i="15"/>
  <c r="AM12" i="15" s="1"/>
  <c r="DE8" i="15"/>
  <c r="DE9" i="15" s="1"/>
  <c r="DE143" i="1"/>
  <c r="U13" i="15"/>
  <c r="U23" i="15"/>
  <c r="AJ17" i="15"/>
  <c r="AJ4" i="11" s="1"/>
  <c r="AJ18" i="15"/>
  <c r="AJ16" i="15"/>
  <c r="BB47" i="22"/>
  <c r="DG18" i="2"/>
  <c r="BC18" i="22"/>
  <c r="DG18" i="9"/>
  <c r="BC19" i="22" s="1"/>
  <c r="DG29" i="9"/>
  <c r="P13" i="15"/>
  <c r="AU51" i="9"/>
  <c r="AU45" i="9"/>
  <c r="AU32" i="9"/>
  <c r="AU3" i="15"/>
  <c r="AU23" i="9"/>
  <c r="AU3" i="9"/>
  <c r="AU59" i="1"/>
  <c r="AU106" i="1"/>
  <c r="AU130" i="1"/>
  <c r="AU25" i="1"/>
  <c r="AU83" i="2"/>
  <c r="AU3" i="1"/>
  <c r="AU3" i="2"/>
  <c r="AU77" i="2"/>
  <c r="AU52" i="2"/>
  <c r="DX16" i="9"/>
  <c r="DT53" i="9"/>
  <c r="AN4" i="15"/>
  <c r="AN161" i="1"/>
  <c r="AO161" i="1" s="1"/>
  <c r="AO163" i="1" s="1"/>
  <c r="AN51" i="2"/>
  <c r="AN66" i="2"/>
  <c r="DG22" i="1"/>
  <c r="DE158" i="1"/>
  <c r="BA35" i="22"/>
  <c r="AU46" i="22"/>
  <c r="CY37" i="2"/>
  <c r="AZ27" i="11"/>
  <c r="AZ3" i="11"/>
  <c r="AZ9" i="7"/>
  <c r="BA59" i="22"/>
  <c r="AQ63" i="2"/>
  <c r="AQ45" i="2"/>
  <c r="DE147" i="1"/>
  <c r="AP48" i="2"/>
  <c r="AP47" i="2"/>
  <c r="AE18" i="15"/>
  <c r="AE16" i="15"/>
  <c r="AE17" i="15"/>
  <c r="AE4" i="11" s="1"/>
  <c r="DR74" i="1"/>
  <c r="Q18" i="15"/>
  <c r="Q16" i="15"/>
  <c r="Q17" i="15"/>
  <c r="Q4" i="11" s="1"/>
  <c r="DP132" i="1"/>
  <c r="DQ132" i="1" s="1"/>
  <c r="DQ21" i="1"/>
  <c r="DR21" i="1" s="1"/>
  <c r="DL20" i="1"/>
  <c r="AW52" i="22"/>
  <c r="DA17" i="2"/>
  <c r="AR159" i="1"/>
  <c r="AR62" i="2"/>
  <c r="AS38" i="2"/>
  <c r="AT38" i="2" s="1"/>
  <c r="AR39" i="2"/>
  <c r="AO48" i="2"/>
  <c r="BA41" i="22"/>
  <c r="L17" i="15"/>
  <c r="L4" i="11" s="1"/>
  <c r="L16" i="15"/>
  <c r="L18" i="15"/>
  <c r="V18" i="15"/>
  <c r="V17" i="15"/>
  <c r="V4" i="11" s="1"/>
  <c r="V16" i="15"/>
  <c r="AX57" i="22"/>
  <c r="DD28" i="2"/>
  <c r="DF28" i="2" s="1"/>
  <c r="DH28" i="2" s="1"/>
  <c r="DH23" i="2" s="1"/>
  <c r="DB60" i="2"/>
  <c r="DB59" i="2" s="1"/>
  <c r="DJ47" i="9"/>
  <c r="DJ46" i="9" s="1"/>
  <c r="DI48" i="9"/>
  <c r="DI74" i="1" s="1"/>
  <c r="AV46" i="22"/>
  <c r="CZ37" i="2"/>
  <c r="AW3" i="15"/>
  <c r="AW32" i="9"/>
  <c r="AW130" i="1"/>
  <c r="AW51" i="9"/>
  <c r="AW3" i="9"/>
  <c r="AW45" i="9"/>
  <c r="AW23" i="9"/>
  <c r="AW59" i="1"/>
  <c r="AW106" i="1"/>
  <c r="AW25" i="1"/>
  <c r="AW77" i="2"/>
  <c r="AW52" i="2"/>
  <c r="AW3" i="2"/>
  <c r="AW83" i="2"/>
  <c r="AW3" i="1"/>
  <c r="AY57" i="22"/>
  <c r="DC23" i="2"/>
  <c r="DC60" i="2"/>
  <c r="DC59" i="2" s="1"/>
  <c r="DR31" i="2"/>
  <c r="ED86" i="2"/>
  <c r="EE87" i="2"/>
  <c r="EE86" i="2" s="1"/>
  <c r="DS78" i="2"/>
  <c r="DS81" i="2" s="1"/>
  <c r="DR8" i="9" l="1"/>
  <c r="DS8" i="9" s="1"/>
  <c r="DT8" i="9" s="1"/>
  <c r="DG19" i="1"/>
  <c r="DG8" i="15" s="1"/>
  <c r="DG9" i="15" s="1"/>
  <c r="DH95" i="1"/>
  <c r="DH91" i="1" s="1"/>
  <c r="DI93" i="1" s="1"/>
  <c r="DJ93" i="1" s="1"/>
  <c r="DK93" i="1" s="1"/>
  <c r="DM93" i="1" s="1"/>
  <c r="DF23" i="2"/>
  <c r="DF17" i="2" s="1"/>
  <c r="DF37" i="2" s="1"/>
  <c r="DF60" i="2"/>
  <c r="DF59" i="2" s="1"/>
  <c r="DM13" i="9"/>
  <c r="BI14" i="22" s="1"/>
  <c r="BI7" i="22"/>
  <c r="DP13" i="9"/>
  <c r="BL14" i="22" s="1"/>
  <c r="DN13" i="9"/>
  <c r="BJ14" i="22" s="1"/>
  <c r="DO13" i="9"/>
  <c r="BK14" i="22" s="1"/>
  <c r="DN77" i="1"/>
  <c r="DN14" i="1" s="1"/>
  <c r="DS35" i="2"/>
  <c r="DT35" i="2" s="1"/>
  <c r="DU35" i="2" s="1"/>
  <c r="DW35" i="2" s="1"/>
  <c r="DO27" i="9"/>
  <c r="BK28" i="22" s="1"/>
  <c r="DS44" i="2"/>
  <c r="DT44" i="2" s="1"/>
  <c r="DU44" i="2" s="1"/>
  <c r="DW44" i="2" s="1"/>
  <c r="DU53" i="9"/>
  <c r="DU52" i="9" s="1"/>
  <c r="BJ8" i="22"/>
  <c r="DS21" i="2"/>
  <c r="DT21" i="2" s="1"/>
  <c r="DU21" i="2" s="1"/>
  <c r="DW21" i="2" s="1"/>
  <c r="BF3" i="7"/>
  <c r="BK5" i="7"/>
  <c r="AV83" i="2"/>
  <c r="AV3" i="2"/>
  <c r="AV3" i="9"/>
  <c r="AV3" i="15"/>
  <c r="AV32" i="9"/>
  <c r="AV77" i="2"/>
  <c r="AV130" i="1"/>
  <c r="AV25" i="1"/>
  <c r="AV106" i="1"/>
  <c r="AV59" i="1"/>
  <c r="AV52" i="2"/>
  <c r="AV3" i="1"/>
  <c r="AV51" i="9"/>
  <c r="AV45" i="9"/>
  <c r="AV23" i="9"/>
  <c r="BA3" i="11"/>
  <c r="BA9" i="7"/>
  <c r="BA27" i="11"/>
  <c r="AX77" i="2"/>
  <c r="AX25" i="1"/>
  <c r="AX130" i="1"/>
  <c r="AX51" i="9"/>
  <c r="AX52" i="2"/>
  <c r="AX59" i="1"/>
  <c r="AX83" i="2"/>
  <c r="AX45" i="9"/>
  <c r="AX3" i="9"/>
  <c r="AX32" i="9"/>
  <c r="AX3" i="2"/>
  <c r="AX3" i="1"/>
  <c r="AX106" i="1"/>
  <c r="AX23" i="9"/>
  <c r="AX3" i="15"/>
  <c r="AT23" i="9"/>
  <c r="AT59" i="1"/>
  <c r="AT3" i="9"/>
  <c r="AT106" i="1"/>
  <c r="AT45" i="9"/>
  <c r="AT83" i="2"/>
  <c r="AT32" i="9"/>
  <c r="AT25" i="1"/>
  <c r="AT3" i="2"/>
  <c r="AT52" i="2"/>
  <c r="AT130" i="1"/>
  <c r="AT3" i="1"/>
  <c r="AT3" i="15"/>
  <c r="AT51" i="9"/>
  <c r="AT77" i="2"/>
  <c r="BC9" i="7"/>
  <c r="BC3" i="11"/>
  <c r="BC27" i="11"/>
  <c r="BD3" i="7"/>
  <c r="BI5" i="7"/>
  <c r="BH3" i="7"/>
  <c r="BM5" i="7"/>
  <c r="AY3" i="11"/>
  <c r="AY9" i="7"/>
  <c r="AY27" i="11"/>
  <c r="DK65" i="2"/>
  <c r="DL46" i="2"/>
  <c r="DK42" i="1"/>
  <c r="AW46" i="22"/>
  <c r="DA37" i="2"/>
  <c r="DB37" i="2" s="1"/>
  <c r="AX67" i="22" s="1"/>
  <c r="DS31" i="2"/>
  <c r="AU67" i="22"/>
  <c r="BC47" i="22"/>
  <c r="DG20" i="2"/>
  <c r="BC49" i="22" s="1"/>
  <c r="DR132" i="1"/>
  <c r="DS21" i="1"/>
  <c r="DF8" i="15"/>
  <c r="DF9" i="15" s="1"/>
  <c r="DF143" i="1"/>
  <c r="BE3" i="11"/>
  <c r="BE27" i="11"/>
  <c r="BE9" i="7"/>
  <c r="DJ48" i="9"/>
  <c r="DJ73" i="1" s="1"/>
  <c r="DJ12" i="1" s="1"/>
  <c r="DK47" i="9"/>
  <c r="DK46" i="9" s="1"/>
  <c r="DM36" i="2"/>
  <c r="AY52" i="22"/>
  <c r="DC17" i="2"/>
  <c r="AZ57" i="22"/>
  <c r="DD60" i="2"/>
  <c r="DD59" i="2" s="1"/>
  <c r="DD23" i="2"/>
  <c r="DY16" i="9"/>
  <c r="AM13" i="15"/>
  <c r="AM31" i="15"/>
  <c r="DG12" i="1"/>
  <c r="DE41" i="2"/>
  <c r="AP4" i="15"/>
  <c r="AP161" i="1"/>
  <c r="AP66" i="2"/>
  <c r="AP51" i="2"/>
  <c r="BB51" i="9"/>
  <c r="BB45" i="9"/>
  <c r="BB3" i="15"/>
  <c r="BB23" i="9"/>
  <c r="BB32" i="9"/>
  <c r="BB130" i="1"/>
  <c r="BB3" i="9"/>
  <c r="BB106" i="1"/>
  <c r="BB3" i="1"/>
  <c r="BB59" i="1"/>
  <c r="BB77" i="2"/>
  <c r="BB83" i="2"/>
  <c r="BB52" i="2"/>
  <c r="BB3" i="2"/>
  <c r="BB25" i="1"/>
  <c r="DU8" i="9"/>
  <c r="AQ48" i="2"/>
  <c r="AQ47" i="2"/>
  <c r="BA33" i="22"/>
  <c r="AN75" i="2"/>
  <c r="AN79" i="2"/>
  <c r="AN67" i="2"/>
  <c r="AN80" i="2" s="1"/>
  <c r="BG3" i="11"/>
  <c r="BG27" i="11"/>
  <c r="BG9" i="7"/>
  <c r="BB20" i="22"/>
  <c r="DG19" i="9"/>
  <c r="DF158" i="1"/>
  <c r="DG158" i="1" s="1"/>
  <c r="DG134" i="1"/>
  <c r="DT52" i="9"/>
  <c r="AO4" i="15"/>
  <c r="AO66" i="2"/>
  <c r="AO51" i="2"/>
  <c r="AT159" i="1"/>
  <c r="AT62" i="2"/>
  <c r="BQ5" i="7"/>
  <c r="BL3" i="7"/>
  <c r="DG111" i="1"/>
  <c r="AZ3" i="15"/>
  <c r="AZ45" i="9"/>
  <c r="AZ32" i="9"/>
  <c r="AZ106" i="1"/>
  <c r="AZ51" i="9"/>
  <c r="AZ83" i="2"/>
  <c r="AZ59" i="1"/>
  <c r="AZ3" i="1"/>
  <c r="AZ25" i="1"/>
  <c r="AZ23" i="9"/>
  <c r="AZ77" i="2"/>
  <c r="AZ52" i="2"/>
  <c r="AZ3" i="9"/>
  <c r="AZ3" i="2"/>
  <c r="AZ130" i="1"/>
  <c r="AR45" i="2"/>
  <c r="AR63" i="2"/>
  <c r="Z17" i="15"/>
  <c r="Z4" i="11" s="1"/>
  <c r="Z18" i="15"/>
  <c r="Z16" i="15"/>
  <c r="U18" i="15"/>
  <c r="U16" i="15"/>
  <c r="U17" i="15"/>
  <c r="U4" i="11" s="1"/>
  <c r="AS159" i="1"/>
  <c r="AU38" i="2"/>
  <c r="AS62" i="2"/>
  <c r="AS39" i="2"/>
  <c r="AT39" i="2" s="1"/>
  <c r="AT63" i="2" s="1"/>
  <c r="BA58" i="22"/>
  <c r="AN7" i="15"/>
  <c r="AN11" i="15"/>
  <c r="AN12" i="15" s="1"/>
  <c r="P18" i="15"/>
  <c r="P16" i="15"/>
  <c r="P17" i="15"/>
  <c r="P4" i="11" s="1"/>
  <c r="DO25" i="9"/>
  <c r="BK26" i="22" s="1"/>
  <c r="DO7" i="9"/>
  <c r="DP4" i="9"/>
  <c r="BL5" i="22" s="1"/>
  <c r="DO15" i="9"/>
  <c r="BK16" i="22" s="1"/>
  <c r="AV67" i="22"/>
  <c r="DS74" i="1"/>
  <c r="BJ3" i="7"/>
  <c r="BO5" i="7"/>
  <c r="DB17" i="2"/>
  <c r="AX46" i="22" s="1"/>
  <c r="DT78" i="2"/>
  <c r="DU78" i="2" s="1"/>
  <c r="DG143" i="1" l="1"/>
  <c r="DH158" i="1"/>
  <c r="DM11" i="9"/>
  <c r="BI12" i="22" s="1"/>
  <c r="DM5" i="9"/>
  <c r="DV35" i="2"/>
  <c r="BA71" i="22"/>
  <c r="DV21" i="2"/>
  <c r="DN6" i="9"/>
  <c r="BJ7" i="22" s="1"/>
  <c r="DO77" i="1"/>
  <c r="DO14" i="1" s="1"/>
  <c r="DP27" i="9"/>
  <c r="BL28" i="22" s="1"/>
  <c r="DV53" i="9"/>
  <c r="DV52" i="9"/>
  <c r="DM20" i="1"/>
  <c r="DN36" i="2" s="1"/>
  <c r="BI66" i="22"/>
  <c r="DV44" i="2"/>
  <c r="DX44" i="2"/>
  <c r="DY44" i="2" s="1"/>
  <c r="DZ44" i="2" s="1"/>
  <c r="EB44" i="2" s="1"/>
  <c r="DT81" i="2"/>
  <c r="DL65" i="2"/>
  <c r="BH76" i="22"/>
  <c r="DX35" i="2"/>
  <c r="DY35" i="2" s="1"/>
  <c r="DZ35" i="2" s="1"/>
  <c r="EB35" i="2" s="1"/>
  <c r="DX21" i="2"/>
  <c r="DY21" i="2" s="1"/>
  <c r="DZ21" i="2" s="1"/>
  <c r="EB21" i="2" s="1"/>
  <c r="DW53" i="9"/>
  <c r="DW52" i="9" s="1"/>
  <c r="BK8" i="22"/>
  <c r="BA23" i="9"/>
  <c r="BA3" i="2"/>
  <c r="BA32" i="9"/>
  <c r="BA25" i="1"/>
  <c r="BA3" i="1"/>
  <c r="BA45" i="9"/>
  <c r="BA3" i="15"/>
  <c r="BA52" i="2"/>
  <c r="BA77" i="2"/>
  <c r="BA130" i="1"/>
  <c r="BA83" i="2"/>
  <c r="BA59" i="1"/>
  <c r="BA51" i="9"/>
  <c r="BA106" i="1"/>
  <c r="BA3" i="9"/>
  <c r="BP5" i="7"/>
  <c r="BK3" i="7"/>
  <c r="BF9" i="7"/>
  <c r="BF27" i="11"/>
  <c r="BF3" i="11"/>
  <c r="BC23" i="9"/>
  <c r="BC59" i="1"/>
  <c r="BC3" i="9"/>
  <c r="BC45" i="9"/>
  <c r="BC32" i="9"/>
  <c r="BC106" i="1"/>
  <c r="BC130" i="1"/>
  <c r="BC77" i="2"/>
  <c r="BC83" i="2"/>
  <c r="BC25" i="1"/>
  <c r="BC3" i="15"/>
  <c r="BC52" i="2"/>
  <c r="BC51" i="9"/>
  <c r="BC3" i="2"/>
  <c r="BC3" i="1"/>
  <c r="BH3" i="11"/>
  <c r="BH27" i="11"/>
  <c r="BH9" i="7"/>
  <c r="BD9" i="7"/>
  <c r="BD27" i="11"/>
  <c r="BD3" i="11"/>
  <c r="BI3" i="7"/>
  <c r="BN5" i="7"/>
  <c r="AY59" i="1"/>
  <c r="AY51" i="9"/>
  <c r="AY3" i="9"/>
  <c r="C4" i="22" s="1"/>
  <c r="AY45" i="9"/>
  <c r="AY3" i="2"/>
  <c r="C32" i="22" s="1"/>
  <c r="AY23" i="9"/>
  <c r="C24" i="22" s="1"/>
  <c r="AY3" i="15"/>
  <c r="AY25" i="1"/>
  <c r="AY52" i="2"/>
  <c r="AY3" i="1"/>
  <c r="AY32" i="9"/>
  <c r="AY83" i="2"/>
  <c r="AY77" i="2"/>
  <c r="AY106" i="1"/>
  <c r="AY130" i="1"/>
  <c r="BM3" i="7"/>
  <c r="BR5" i="7"/>
  <c r="DL42" i="1"/>
  <c r="DK150" i="1"/>
  <c r="AP79" i="2"/>
  <c r="AP67" i="2"/>
  <c r="AP80" i="2" s="1"/>
  <c r="AP75" i="2"/>
  <c r="AO7" i="15"/>
  <c r="AO11" i="15"/>
  <c r="AO12" i="15" s="1"/>
  <c r="BG3" i="15"/>
  <c r="BG45" i="9"/>
  <c r="BG51" i="9"/>
  <c r="BG23" i="9"/>
  <c r="BG32" i="9"/>
  <c r="BG3" i="9"/>
  <c r="BG130" i="1"/>
  <c r="BG106" i="1"/>
  <c r="BG3" i="1"/>
  <c r="BG77" i="2"/>
  <c r="BG25" i="1"/>
  <c r="BG3" i="2"/>
  <c r="BG59" i="1"/>
  <c r="BG52" i="2"/>
  <c r="BG83" i="2"/>
  <c r="AQ4" i="15"/>
  <c r="AQ161" i="1"/>
  <c r="AQ66" i="2"/>
  <c r="AQ51" i="2"/>
  <c r="BA57" i="22"/>
  <c r="DG28" i="2"/>
  <c r="AR48" i="2"/>
  <c r="AR47" i="2"/>
  <c r="AZ52" i="22"/>
  <c r="DD17" i="2"/>
  <c r="DT31" i="2"/>
  <c r="AO67" i="2"/>
  <c r="AO79" i="2"/>
  <c r="AO75" i="2"/>
  <c r="DE10" i="15"/>
  <c r="DE146" i="1"/>
  <c r="DE50" i="1"/>
  <c r="DP25" i="9"/>
  <c r="DP7" i="9"/>
  <c r="DR4" i="9"/>
  <c r="DP15" i="9"/>
  <c r="BC20" i="22"/>
  <c r="DG20" i="9"/>
  <c r="BC21" i="22" s="1"/>
  <c r="DW8" i="9"/>
  <c r="DX8" i="9" s="1"/>
  <c r="DH5" i="15"/>
  <c r="BD63" i="22"/>
  <c r="BJ3" i="11"/>
  <c r="BJ27" i="11"/>
  <c r="BJ9" i="7"/>
  <c r="BB15" i="22"/>
  <c r="DG14" i="9"/>
  <c r="BL27" i="11"/>
  <c r="BL3" i="11"/>
  <c r="BL9" i="7"/>
  <c r="AY46" i="22"/>
  <c r="DC37" i="2"/>
  <c r="BA38" i="22"/>
  <c r="BB22" i="22"/>
  <c r="DG21" i="9"/>
  <c r="BC22" i="22" s="1"/>
  <c r="BQ3" i="7"/>
  <c r="BV5" i="7"/>
  <c r="AM18" i="15"/>
  <c r="AM17" i="15"/>
  <c r="AM4" i="11" s="1"/>
  <c r="AM6" i="11" s="1"/>
  <c r="AM16" i="15"/>
  <c r="BE23" i="9"/>
  <c r="BE51" i="9"/>
  <c r="BE3" i="15"/>
  <c r="BE45" i="9"/>
  <c r="BE3" i="9"/>
  <c r="BE106" i="1"/>
  <c r="BE32" i="9"/>
  <c r="BE3" i="1"/>
  <c r="BE83" i="2"/>
  <c r="BE59" i="1"/>
  <c r="BE52" i="2"/>
  <c r="BE3" i="2"/>
  <c r="BE77" i="2"/>
  <c r="BE130" i="1"/>
  <c r="BE25" i="1"/>
  <c r="AW67" i="22"/>
  <c r="AN13" i="15"/>
  <c r="AN31" i="15"/>
  <c r="AO31" i="15" s="1"/>
  <c r="AP7" i="15"/>
  <c r="AP11" i="15"/>
  <c r="AP12" i="15" s="1"/>
  <c r="DS132" i="1"/>
  <c r="DT21" i="1"/>
  <c r="DM160" i="1"/>
  <c r="BA70" i="22"/>
  <c r="DK48" i="9"/>
  <c r="DL46" i="9"/>
  <c r="DM47" i="9" s="1"/>
  <c r="DM46" i="9" s="1"/>
  <c r="AS45" i="2"/>
  <c r="AT45" i="2" s="1"/>
  <c r="AT47" i="2" s="1"/>
  <c r="AS63" i="2"/>
  <c r="DT74" i="1"/>
  <c r="AV38" i="2"/>
  <c r="AU62" i="2"/>
  <c r="AU159" i="1"/>
  <c r="AU39" i="2"/>
  <c r="BO3" i="7"/>
  <c r="BT5" i="7"/>
  <c r="DQ4" i="9"/>
  <c r="DN93" i="1"/>
  <c r="DZ16" i="9"/>
  <c r="DV78" i="2"/>
  <c r="DW78" i="2" s="1"/>
  <c r="BC57" i="22" l="1"/>
  <c r="DI28" i="2"/>
  <c r="BI6" i="22"/>
  <c r="DI47" i="9"/>
  <c r="DQ27" i="9"/>
  <c r="BM28" i="22" s="1"/>
  <c r="DP77" i="1"/>
  <c r="DQ77" i="1" s="1"/>
  <c r="DN5" i="9"/>
  <c r="BJ6" i="22" s="1"/>
  <c r="DN11" i="9"/>
  <c r="BJ12" i="22" s="1"/>
  <c r="DO6" i="9"/>
  <c r="DO11" i="9" s="1"/>
  <c r="BK12" i="22" s="1"/>
  <c r="DE27" i="2"/>
  <c r="DE85" i="2"/>
  <c r="DE84" i="2" s="1"/>
  <c r="DN160" i="1"/>
  <c r="BJ66" i="22"/>
  <c r="EA21" i="2"/>
  <c r="EA35" i="2"/>
  <c r="EC35" i="2"/>
  <c r="ED35" i="2" s="1"/>
  <c r="EE35" i="2" s="1"/>
  <c r="EA44" i="2"/>
  <c r="EC44" i="2"/>
  <c r="ED44" i="2" s="1"/>
  <c r="EE44" i="2" s="1"/>
  <c r="DQ25" i="9"/>
  <c r="BM26" i="22" s="1"/>
  <c r="BL26" i="22"/>
  <c r="DQ1" i="9"/>
  <c r="BM5" i="22"/>
  <c r="DQ15" i="9"/>
  <c r="BM16" i="22" s="1"/>
  <c r="BL16" i="22"/>
  <c r="DQ7" i="9"/>
  <c r="BM8" i="22" s="1"/>
  <c r="BL8" i="22"/>
  <c r="EC21" i="2"/>
  <c r="ED21" i="2" s="1"/>
  <c r="EE21" i="2" s="1"/>
  <c r="BK27" i="11"/>
  <c r="BK3" i="11"/>
  <c r="BK9" i="7"/>
  <c r="BF25" i="1"/>
  <c r="BF45" i="9"/>
  <c r="BF130" i="1"/>
  <c r="BF77" i="2"/>
  <c r="BF52" i="2"/>
  <c r="BF32" i="9"/>
  <c r="BF3" i="1"/>
  <c r="BF3" i="2"/>
  <c r="BF3" i="15"/>
  <c r="BF59" i="1"/>
  <c r="BF83" i="2"/>
  <c r="BF51" i="9"/>
  <c r="BF23" i="9"/>
  <c r="BF3" i="9"/>
  <c r="BF106" i="1"/>
  <c r="BP3" i="7"/>
  <c r="BU5" i="7"/>
  <c r="BD23" i="9"/>
  <c r="D24" i="22" s="1"/>
  <c r="BD3" i="1"/>
  <c r="BD45" i="9"/>
  <c r="BD25" i="1"/>
  <c r="BD59" i="1"/>
  <c r="BD52" i="2"/>
  <c r="BD3" i="15"/>
  <c r="BD3" i="2"/>
  <c r="D32" i="22" s="1"/>
  <c r="BD51" i="9"/>
  <c r="BD83" i="2"/>
  <c r="BD130" i="1"/>
  <c r="BD3" i="9"/>
  <c r="D4" i="22" s="1"/>
  <c r="BD106" i="1"/>
  <c r="BD32" i="9"/>
  <c r="BD77" i="2"/>
  <c r="BH59" i="1"/>
  <c r="BH23" i="9"/>
  <c r="BH130" i="1"/>
  <c r="BH25" i="1"/>
  <c r="BH3" i="1"/>
  <c r="BH3" i="2"/>
  <c r="BH106" i="1"/>
  <c r="BH3" i="15"/>
  <c r="BH77" i="2"/>
  <c r="BH51" i="9"/>
  <c r="BH45" i="9"/>
  <c r="BH3" i="9"/>
  <c r="BH83" i="2"/>
  <c r="BH52" i="2"/>
  <c r="BH32" i="9"/>
  <c r="BN3" i="7"/>
  <c r="BS5" i="7"/>
  <c r="BM27" i="11"/>
  <c r="BM9" i="7"/>
  <c r="BM3" i="11"/>
  <c r="BI9" i="7"/>
  <c r="BI27" i="11"/>
  <c r="BI3" i="11"/>
  <c r="BW5" i="7"/>
  <c r="BR3" i="7"/>
  <c r="DN20" i="1"/>
  <c r="DO36" i="2" s="1"/>
  <c r="BK66" i="22" s="1"/>
  <c r="DM46" i="2"/>
  <c r="DL150" i="1"/>
  <c r="BC15" i="22"/>
  <c r="DG34" i="9"/>
  <c r="EB16" i="9"/>
  <c r="DU74" i="1"/>
  <c r="AQ7" i="15"/>
  <c r="AQ11" i="15"/>
  <c r="AQ12" i="15" s="1"/>
  <c r="BO3" i="11"/>
  <c r="BO27" i="11"/>
  <c r="BO9" i="7"/>
  <c r="DY8" i="9"/>
  <c r="AY67" i="22"/>
  <c r="AP31" i="15"/>
  <c r="AP13" i="15"/>
  <c r="DR25" i="9"/>
  <c r="DR7" i="9"/>
  <c r="DS4" i="9"/>
  <c r="DR15" i="9"/>
  <c r="BB57" i="22"/>
  <c r="BD57" i="22"/>
  <c r="DX53" i="9"/>
  <c r="DO93" i="1"/>
  <c r="BB11" i="22"/>
  <c r="DG10" i="9"/>
  <c r="DH84" i="1" s="1"/>
  <c r="BT3" i="7"/>
  <c r="BY5" i="7"/>
  <c r="AO13" i="15"/>
  <c r="AO23" i="15"/>
  <c r="AO20" i="15"/>
  <c r="AS48" i="2"/>
  <c r="AS47" i="2"/>
  <c r="AU63" i="2"/>
  <c r="AU45" i="2"/>
  <c r="AR4" i="15"/>
  <c r="AR161" i="1"/>
  <c r="AR66" i="2"/>
  <c r="AR51" i="2"/>
  <c r="DU31" i="2"/>
  <c r="DV31" i="2" s="1"/>
  <c r="BQ3" i="11"/>
  <c r="BQ27" i="11"/>
  <c r="BQ9" i="7"/>
  <c r="DH8" i="15"/>
  <c r="DH9" i="15" s="1"/>
  <c r="AQ67" i="2"/>
  <c r="AQ80" i="2" s="1"/>
  <c r="AQ75" i="2"/>
  <c r="AQ79" i="2"/>
  <c r="AO69" i="2"/>
  <c r="AO80" i="2"/>
  <c r="AN16" i="15"/>
  <c r="AN17" i="15"/>
  <c r="AN4" i="11" s="1"/>
  <c r="AN6" i="11" s="1"/>
  <c r="AO6" i="11" s="1"/>
  <c r="AN18" i="15"/>
  <c r="CA5" i="7"/>
  <c r="BV3" i="7"/>
  <c r="BA37" i="22"/>
  <c r="BL3" i="15"/>
  <c r="BL45" i="9"/>
  <c r="BL32" i="9"/>
  <c r="BL23" i="9"/>
  <c r="H24" i="22" s="1"/>
  <c r="BL51" i="9"/>
  <c r="BL3" i="9"/>
  <c r="H4" i="22" s="1"/>
  <c r="BL25" i="1"/>
  <c r="BL83" i="2"/>
  <c r="BL77" i="2"/>
  <c r="BL52" i="2"/>
  <c r="BL106" i="1"/>
  <c r="BL59" i="1"/>
  <c r="BL3" i="1"/>
  <c r="BL130" i="1"/>
  <c r="BL3" i="2"/>
  <c r="H32" i="22" s="1"/>
  <c r="BJ51" i="9"/>
  <c r="BJ32" i="9"/>
  <c r="BJ3" i="9"/>
  <c r="F4" i="22" s="1"/>
  <c r="BJ23" i="9"/>
  <c r="F24" i="22" s="1"/>
  <c r="BJ45" i="9"/>
  <c r="BJ59" i="1"/>
  <c r="BJ77" i="2"/>
  <c r="BJ3" i="15"/>
  <c r="BJ3" i="1"/>
  <c r="BJ25" i="1"/>
  <c r="BJ106" i="1"/>
  <c r="BJ3" i="2"/>
  <c r="F32" i="22" s="1"/>
  <c r="BJ130" i="1"/>
  <c r="BJ83" i="2"/>
  <c r="BJ52" i="2"/>
  <c r="AV159" i="1"/>
  <c r="AW38" i="2"/>
  <c r="AV62" i="2"/>
  <c r="AV39" i="2"/>
  <c r="DM48" i="9"/>
  <c r="DM73" i="1" s="1"/>
  <c r="DM12" i="1" s="1"/>
  <c r="DN47" i="9"/>
  <c r="DN46" i="9" s="1"/>
  <c r="DT132" i="1"/>
  <c r="DU21" i="1"/>
  <c r="AZ46" i="22"/>
  <c r="DD37" i="2"/>
  <c r="DL48" i="9"/>
  <c r="DL47" i="9" s="1"/>
  <c r="DK73" i="1"/>
  <c r="DX78" i="2"/>
  <c r="DI60" i="2" l="1"/>
  <c r="DI59" i="2" s="1"/>
  <c r="DI23" i="2"/>
  <c r="DR27" i="9"/>
  <c r="DR77" i="1" s="1"/>
  <c r="DR14" i="1" s="1"/>
  <c r="DP14" i="1"/>
  <c r="DQ14" i="1" s="1"/>
  <c r="DH104" i="1"/>
  <c r="DJ104" i="1" s="1"/>
  <c r="DK104" i="1" s="1"/>
  <c r="DM104" i="1" s="1"/>
  <c r="DN104" i="1" s="1"/>
  <c r="DO104" i="1" s="1"/>
  <c r="DP104" i="1" s="1"/>
  <c r="DR104" i="1" s="1"/>
  <c r="DS104" i="1" s="1"/>
  <c r="DT104" i="1" s="1"/>
  <c r="DU104" i="1" s="1"/>
  <c r="DW104" i="1" s="1"/>
  <c r="DX104" i="1" s="1"/>
  <c r="DY104" i="1" s="1"/>
  <c r="DZ104" i="1" s="1"/>
  <c r="EB104" i="1" s="1"/>
  <c r="EC104" i="1" s="1"/>
  <c r="ED104" i="1" s="1"/>
  <c r="EE104" i="1" s="1"/>
  <c r="DH85" i="1"/>
  <c r="DJ85" i="1" s="1"/>
  <c r="DK85" i="1" s="1"/>
  <c r="DH98" i="1"/>
  <c r="DJ98" i="1" s="1"/>
  <c r="DK98" i="1" s="1"/>
  <c r="DM98" i="1" s="1"/>
  <c r="DN98" i="1" s="1"/>
  <c r="DO98" i="1" s="1"/>
  <c r="DP98" i="1" s="1"/>
  <c r="DR98" i="1" s="1"/>
  <c r="DS98" i="1" s="1"/>
  <c r="DT98" i="1" s="1"/>
  <c r="DU98" i="1" s="1"/>
  <c r="DW98" i="1" s="1"/>
  <c r="DX98" i="1" s="1"/>
  <c r="DY98" i="1" s="1"/>
  <c r="DZ98" i="1" s="1"/>
  <c r="EB98" i="1" s="1"/>
  <c r="EC98" i="1" s="1"/>
  <c r="ED98" i="1" s="1"/>
  <c r="EE98" i="1" s="1"/>
  <c r="DH101" i="1"/>
  <c r="DJ101" i="1" s="1"/>
  <c r="DK101" i="1" s="1"/>
  <c r="DM101" i="1" s="1"/>
  <c r="DN101" i="1" s="1"/>
  <c r="DO101" i="1" s="1"/>
  <c r="DP101" i="1" s="1"/>
  <c r="DR101" i="1" s="1"/>
  <c r="DS101" i="1" s="1"/>
  <c r="DT101" i="1" s="1"/>
  <c r="DU101" i="1" s="1"/>
  <c r="DW101" i="1" s="1"/>
  <c r="DX101" i="1" s="1"/>
  <c r="DY101" i="1" s="1"/>
  <c r="DZ101" i="1" s="1"/>
  <c r="EB101" i="1" s="1"/>
  <c r="EC101" i="1" s="1"/>
  <c r="ED101" i="1" s="1"/>
  <c r="EE101" i="1" s="1"/>
  <c r="DO5" i="9"/>
  <c r="BK6" i="22" s="1"/>
  <c r="DP6" i="9"/>
  <c r="BL7" i="22" s="1"/>
  <c r="BK7" i="22"/>
  <c r="EF21" i="2"/>
  <c r="EF44" i="2"/>
  <c r="EF35" i="2"/>
  <c r="DM65" i="2"/>
  <c r="BI76" i="22"/>
  <c r="DQ16" i="9"/>
  <c r="BM17" i="22" s="1"/>
  <c r="DG38" i="9"/>
  <c r="DG39" i="9" s="1"/>
  <c r="DM42" i="1"/>
  <c r="DM150" i="1" s="1"/>
  <c r="BP27" i="11"/>
  <c r="BP3" i="11"/>
  <c r="BP9" i="7"/>
  <c r="BK106" i="1"/>
  <c r="BK25" i="1"/>
  <c r="BK83" i="2"/>
  <c r="BK3" i="1"/>
  <c r="BK3" i="2"/>
  <c r="G32" i="22" s="1"/>
  <c r="BK3" i="9"/>
  <c r="G4" i="22" s="1"/>
  <c r="BK130" i="1"/>
  <c r="BK51" i="9"/>
  <c r="BK45" i="9"/>
  <c r="BK23" i="9"/>
  <c r="G24" i="22" s="1"/>
  <c r="BK3" i="15"/>
  <c r="BK52" i="2"/>
  <c r="BK59" i="1"/>
  <c r="BK77" i="2"/>
  <c r="BK32" i="9"/>
  <c r="BZ5" i="7"/>
  <c r="BU3" i="7"/>
  <c r="BI51" i="9"/>
  <c r="BI52" i="2"/>
  <c r="BI59" i="1"/>
  <c r="BI3" i="1"/>
  <c r="BI77" i="2"/>
  <c r="BI23" i="9"/>
  <c r="E24" i="22" s="1"/>
  <c r="BI3" i="2"/>
  <c r="E32" i="22" s="1"/>
  <c r="BI130" i="1"/>
  <c r="BI32" i="9"/>
  <c r="BI45" i="9"/>
  <c r="BI106" i="1"/>
  <c r="BI3" i="15"/>
  <c r="BI3" i="9"/>
  <c r="E4" i="22" s="1"/>
  <c r="BI25" i="1"/>
  <c r="BI83" i="2"/>
  <c r="BN27" i="11"/>
  <c r="BN3" i="11"/>
  <c r="BN9" i="7"/>
  <c r="BR3" i="11"/>
  <c r="BR27" i="11"/>
  <c r="BR9" i="7"/>
  <c r="CB5" i="7"/>
  <c r="BW3" i="7"/>
  <c r="BM3" i="1"/>
  <c r="BM3" i="2"/>
  <c r="I32" i="22" s="1"/>
  <c r="BM130" i="1"/>
  <c r="BM77" i="2"/>
  <c r="BM45" i="9"/>
  <c r="BM3" i="9"/>
  <c r="I4" i="22" s="1"/>
  <c r="BM32" i="9"/>
  <c r="BM52" i="2"/>
  <c r="BM106" i="1"/>
  <c r="BM51" i="9"/>
  <c r="BM83" i="2"/>
  <c r="BM3" i="15"/>
  <c r="BM25" i="1"/>
  <c r="BM23" i="9"/>
  <c r="I24" i="22" s="1"/>
  <c r="BM59" i="1"/>
  <c r="BX5" i="7"/>
  <c r="BS3" i="7"/>
  <c r="BT3" i="11"/>
  <c r="BT9" i="7"/>
  <c r="EC16" i="9"/>
  <c r="AS4" i="15"/>
  <c r="AS161" i="1"/>
  <c r="AT161" i="1" s="1"/>
  <c r="AT163" i="1" s="1"/>
  <c r="AS51" i="2"/>
  <c r="AS66" i="2"/>
  <c r="AT48" i="2"/>
  <c r="AR7" i="15"/>
  <c r="AR11" i="15"/>
  <c r="AR12" i="15" s="1"/>
  <c r="DZ8" i="9"/>
  <c r="DW31" i="2"/>
  <c r="CD5" i="7"/>
  <c r="BY3" i="7"/>
  <c r="DO47" i="9"/>
  <c r="DO46" i="9" s="1"/>
  <c r="DN48" i="9"/>
  <c r="DN73" i="1" s="1"/>
  <c r="DN12" i="1" s="1"/>
  <c r="BA48" i="22"/>
  <c r="BA40" i="22"/>
  <c r="BA51" i="22"/>
  <c r="DI5" i="15"/>
  <c r="BE63" i="22"/>
  <c r="AP17" i="15"/>
  <c r="AP4" i="11" s="1"/>
  <c r="AP6" i="11" s="1"/>
  <c r="AP18" i="15"/>
  <c r="AP16" i="15"/>
  <c r="AO17" i="15"/>
  <c r="AO4" i="11" s="1"/>
  <c r="AO5" i="11" s="1"/>
  <c r="AO18" i="15"/>
  <c r="AO16" i="15"/>
  <c r="BO3" i="15"/>
  <c r="BO23" i="9"/>
  <c r="K24" i="22" s="1"/>
  <c r="BO32" i="9"/>
  <c r="BO45" i="9"/>
  <c r="BO51" i="9"/>
  <c r="BO130" i="1"/>
  <c r="BO3" i="1"/>
  <c r="BO3" i="9"/>
  <c r="K4" i="22" s="1"/>
  <c r="BO106" i="1"/>
  <c r="BO77" i="2"/>
  <c r="BO52" i="2"/>
  <c r="BO59" i="1"/>
  <c r="BO3" i="2"/>
  <c r="K32" i="22" s="1"/>
  <c r="BO25" i="1"/>
  <c r="BO83" i="2"/>
  <c r="DW74" i="1"/>
  <c r="DV21" i="1"/>
  <c r="DW21" i="1" s="1"/>
  <c r="DU132" i="1"/>
  <c r="DV132" i="1" s="1"/>
  <c r="BC11" i="22"/>
  <c r="DG84" i="1"/>
  <c r="DG35" i="9"/>
  <c r="AR79" i="2"/>
  <c r="AR75" i="2"/>
  <c r="AR67" i="2"/>
  <c r="AR80" i="2" s="1"/>
  <c r="DP93" i="1"/>
  <c r="DX52" i="9"/>
  <c r="AV45" i="2"/>
  <c r="AV63" i="2"/>
  <c r="DT4" i="9"/>
  <c r="DS25" i="9"/>
  <c r="DS7" i="9"/>
  <c r="DS15" i="9"/>
  <c r="BB30" i="22"/>
  <c r="BB10" i="22"/>
  <c r="DG9" i="9"/>
  <c r="DG11" i="9" s="1"/>
  <c r="BC12" i="22" s="1"/>
  <c r="AQ31" i="15"/>
  <c r="AQ13" i="15"/>
  <c r="DY53" i="9"/>
  <c r="DY52" i="9" s="1"/>
  <c r="AO82" i="2"/>
  <c r="AO96" i="2"/>
  <c r="AO30" i="11"/>
  <c r="DL73" i="1"/>
  <c r="DL74" i="1" s="1"/>
  <c r="DK12" i="1"/>
  <c r="DL12" i="1" s="1"/>
  <c r="DO160" i="1"/>
  <c r="AU47" i="2"/>
  <c r="AU48" i="2"/>
  <c r="DG34" i="1"/>
  <c r="DG83" i="1" s="1"/>
  <c r="BV3" i="11"/>
  <c r="BV9" i="7"/>
  <c r="DO20" i="1"/>
  <c r="AW62" i="2"/>
  <c r="AX38" i="2"/>
  <c r="AW159" i="1"/>
  <c r="AW39" i="2"/>
  <c r="CF5" i="7"/>
  <c r="CA3" i="7"/>
  <c r="BQ23" i="9"/>
  <c r="M24" i="22" s="1"/>
  <c r="BQ45" i="9"/>
  <c r="BQ32" i="9"/>
  <c r="BQ51" i="9"/>
  <c r="BQ130" i="1"/>
  <c r="BQ106" i="1"/>
  <c r="BQ77" i="2"/>
  <c r="BQ59" i="1"/>
  <c r="BQ83" i="2"/>
  <c r="BQ3" i="1"/>
  <c r="BQ52" i="2"/>
  <c r="BQ3" i="2"/>
  <c r="M32" i="22" s="1"/>
  <c r="BQ3" i="15"/>
  <c r="BQ25" i="1"/>
  <c r="BQ3" i="9"/>
  <c r="M4" i="22" s="1"/>
  <c r="AZ67" i="22"/>
  <c r="DY78" i="2"/>
  <c r="DZ78" i="2" s="1"/>
  <c r="DX81" i="2"/>
  <c r="DI17" i="2" l="1"/>
  <c r="DI37" i="2" s="1"/>
  <c r="DS27" i="9"/>
  <c r="DT27" i="9" s="1"/>
  <c r="DU27" i="9" s="1"/>
  <c r="DP11" i="9"/>
  <c r="BL12" i="22" s="1"/>
  <c r="DP5" i="9"/>
  <c r="DQ5" i="9" s="1"/>
  <c r="BM6" i="22" s="1"/>
  <c r="DN46" i="2"/>
  <c r="DN65" i="2" s="1"/>
  <c r="DJ28" i="2"/>
  <c r="BE57" i="22"/>
  <c r="BU9" i="7"/>
  <c r="BU3" i="11"/>
  <c r="CE5" i="7"/>
  <c r="BZ3" i="7"/>
  <c r="BP51" i="9"/>
  <c r="BP52" i="2"/>
  <c r="BP45" i="9"/>
  <c r="BP130" i="1"/>
  <c r="BP83" i="2"/>
  <c r="BP77" i="2"/>
  <c r="BP3" i="1"/>
  <c r="BP23" i="9"/>
  <c r="L24" i="22" s="1"/>
  <c r="BP32" i="9"/>
  <c r="BP3" i="2"/>
  <c r="L32" i="22" s="1"/>
  <c r="BP3" i="15"/>
  <c r="BP59" i="1"/>
  <c r="BP3" i="9"/>
  <c r="L4" i="22" s="1"/>
  <c r="BP106" i="1"/>
  <c r="BP25" i="1"/>
  <c r="BR3" i="15"/>
  <c r="BR52" i="2"/>
  <c r="BR77" i="2"/>
  <c r="BR45" i="9"/>
  <c r="BR3" i="1"/>
  <c r="BR51" i="9"/>
  <c r="BR25" i="1"/>
  <c r="BR130" i="1"/>
  <c r="BR106" i="1"/>
  <c r="BR59" i="1"/>
  <c r="BR3" i="9"/>
  <c r="N4" i="22" s="1"/>
  <c r="BR83" i="2"/>
  <c r="BR32" i="9"/>
  <c r="BR23" i="9"/>
  <c r="N24" i="22" s="1"/>
  <c r="BR3" i="2"/>
  <c r="N32" i="22" s="1"/>
  <c r="BN25" i="1"/>
  <c r="BN45" i="9"/>
  <c r="BN3" i="2"/>
  <c r="J32" i="22" s="1"/>
  <c r="BN32" i="9"/>
  <c r="BN77" i="2"/>
  <c r="BN52" i="2"/>
  <c r="BN51" i="9"/>
  <c r="BN130" i="1"/>
  <c r="BN3" i="1"/>
  <c r="BN23" i="9"/>
  <c r="J24" i="22" s="1"/>
  <c r="BN3" i="15"/>
  <c r="BN59" i="1"/>
  <c r="BN3" i="9"/>
  <c r="J4" i="22" s="1"/>
  <c r="BN106" i="1"/>
  <c r="BN83" i="2"/>
  <c r="BW3" i="11"/>
  <c r="BW9" i="7"/>
  <c r="BS27" i="11"/>
  <c r="BS3" i="11"/>
  <c r="BS9" i="7"/>
  <c r="CC5" i="7"/>
  <c r="BX3" i="7"/>
  <c r="DG36" i="9"/>
  <c r="DG37" i="9" s="1"/>
  <c r="CB3" i="7"/>
  <c r="CG5" i="7"/>
  <c r="DT25" i="9"/>
  <c r="DT7" i="9"/>
  <c r="DU4" i="9"/>
  <c r="DT15" i="9"/>
  <c r="CF3" i="7"/>
  <c r="CK5" i="7"/>
  <c r="CD3" i="7"/>
  <c r="CI5" i="7"/>
  <c r="DG85" i="1"/>
  <c r="BC10" i="22"/>
  <c r="DG30" i="9"/>
  <c r="BC30" i="22" s="1"/>
  <c r="DR93" i="1"/>
  <c r="DX21" i="1"/>
  <c r="DW132" i="1"/>
  <c r="AS7" i="15"/>
  <c r="AS11" i="15"/>
  <c r="AS12" i="15" s="1"/>
  <c r="DG42" i="9"/>
  <c r="AR13" i="15"/>
  <c r="AR31" i="15"/>
  <c r="AT4" i="15"/>
  <c r="AT66" i="2"/>
  <c r="AT51" i="2"/>
  <c r="AV48" i="2"/>
  <c r="AV47" i="2"/>
  <c r="DG15" i="1"/>
  <c r="DF144" i="1"/>
  <c r="ED16" i="9"/>
  <c r="BT3" i="15"/>
  <c r="BT23" i="9"/>
  <c r="P24" i="22" s="1"/>
  <c r="BT32" i="9"/>
  <c r="BT130" i="1"/>
  <c r="BT106" i="1"/>
  <c r="BT45" i="9"/>
  <c r="BT51" i="9"/>
  <c r="BT3" i="9"/>
  <c r="P4" i="22" s="1"/>
  <c r="BT25" i="1"/>
  <c r="BT3" i="1"/>
  <c r="BT83" i="2"/>
  <c r="BT59" i="1"/>
  <c r="BT52" i="2"/>
  <c r="BT3" i="2"/>
  <c r="P32" i="22" s="1"/>
  <c r="BT77" i="2"/>
  <c r="CA3" i="11"/>
  <c r="CA9" i="7"/>
  <c r="AS79" i="2"/>
  <c r="AS67" i="2"/>
  <c r="AS80" i="2" s="1"/>
  <c r="AS75" i="2"/>
  <c r="BB25" i="22"/>
  <c r="DG24" i="9"/>
  <c r="DH28" i="9" s="1"/>
  <c r="AX159" i="1"/>
  <c r="AZ38" i="2"/>
  <c r="AX62" i="2"/>
  <c r="AX39" i="2"/>
  <c r="AY38" i="2"/>
  <c r="DG112" i="1"/>
  <c r="DX74" i="1"/>
  <c r="DX31" i="2"/>
  <c r="BA72" i="22"/>
  <c r="BA45" i="22"/>
  <c r="DE91" i="2"/>
  <c r="DE2" i="2"/>
  <c r="AU161" i="1"/>
  <c r="AU4" i="15"/>
  <c r="AU66" i="2"/>
  <c r="AU51" i="2"/>
  <c r="BB13" i="22"/>
  <c r="DG12" i="9"/>
  <c r="AQ18" i="15"/>
  <c r="AQ16" i="15"/>
  <c r="AQ17" i="15"/>
  <c r="AQ4" i="11" s="1"/>
  <c r="AQ6" i="11" s="1"/>
  <c r="DJ92" i="1"/>
  <c r="DG17" i="1"/>
  <c r="DF142" i="1"/>
  <c r="DO48" i="9"/>
  <c r="DO73" i="1" s="1"/>
  <c r="DO12" i="1" s="1"/>
  <c r="DP47" i="9"/>
  <c r="DP46" i="9" s="1"/>
  <c r="EB8" i="9"/>
  <c r="EC8" i="9" s="1"/>
  <c r="ED8" i="9" s="1"/>
  <c r="EE8" i="9" s="1"/>
  <c r="BY3" i="11"/>
  <c r="BY9" i="7"/>
  <c r="DG36" i="1"/>
  <c r="DP36" i="2"/>
  <c r="BV32" i="9"/>
  <c r="BV3" i="15"/>
  <c r="BV51" i="9"/>
  <c r="BV3" i="9"/>
  <c r="R4" i="22" s="1"/>
  <c r="BV45" i="9"/>
  <c r="BV130" i="1"/>
  <c r="BV106" i="1"/>
  <c r="BV77" i="2"/>
  <c r="BV25" i="1"/>
  <c r="BV83" i="2"/>
  <c r="BV23" i="9"/>
  <c r="R24" i="22" s="1"/>
  <c r="BV3" i="1"/>
  <c r="BV52" i="2"/>
  <c r="BV59" i="1"/>
  <c r="BV3" i="2"/>
  <c r="R32" i="22" s="1"/>
  <c r="AW63" i="2"/>
  <c r="AW45" i="2"/>
  <c r="BA79" i="22"/>
  <c r="DZ53" i="9"/>
  <c r="DZ52" i="9" s="1"/>
  <c r="EA52" i="9" s="1"/>
  <c r="BA55" i="22"/>
  <c r="BA56" i="22"/>
  <c r="EA78" i="2"/>
  <c r="EB78" i="2" s="1"/>
  <c r="DY81" i="2"/>
  <c r="DS77" i="1" l="1"/>
  <c r="DS14" i="1" s="1"/>
  <c r="BL6" i="22"/>
  <c r="DT77" i="1"/>
  <c r="DT14" i="1" s="1"/>
  <c r="DH29" i="9"/>
  <c r="DH30" i="9"/>
  <c r="DN42" i="1"/>
  <c r="DO46" i="2" s="1"/>
  <c r="DO65" i="2" s="1"/>
  <c r="BB62" i="22"/>
  <c r="BJ76" i="22"/>
  <c r="DG5" i="2"/>
  <c r="DG61" i="1" s="1"/>
  <c r="DG64" i="1"/>
  <c r="BB34" i="22"/>
  <c r="DQ8" i="9"/>
  <c r="BM9" i="22" s="1"/>
  <c r="DQ6" i="9"/>
  <c r="BM7" i="22" s="1"/>
  <c r="DK28" i="2"/>
  <c r="BF57" i="22"/>
  <c r="DP20" i="1"/>
  <c r="DQ20" i="1" s="1"/>
  <c r="BL66" i="22"/>
  <c r="DG43" i="9"/>
  <c r="BZ3" i="11"/>
  <c r="BZ9" i="7"/>
  <c r="CE3" i="7"/>
  <c r="CJ5" i="7"/>
  <c r="BU45" i="9"/>
  <c r="BU52" i="2"/>
  <c r="BU51" i="9"/>
  <c r="BU77" i="2"/>
  <c r="BU3" i="2"/>
  <c r="Q32" i="22" s="1"/>
  <c r="BU23" i="9"/>
  <c r="Q24" i="22" s="1"/>
  <c r="BU106" i="1"/>
  <c r="BU3" i="1"/>
  <c r="BU3" i="15"/>
  <c r="BU130" i="1"/>
  <c r="BU25" i="1"/>
  <c r="BU32" i="9"/>
  <c r="BU3" i="9"/>
  <c r="Q4" i="22" s="1"/>
  <c r="BU59" i="1"/>
  <c r="BU83" i="2"/>
  <c r="BW3" i="9"/>
  <c r="S4" i="22" s="1"/>
  <c r="BW59" i="1"/>
  <c r="BW51" i="9"/>
  <c r="BW77" i="2"/>
  <c r="BW106" i="1"/>
  <c r="BW45" i="9"/>
  <c r="BW83" i="2"/>
  <c r="BW25" i="1"/>
  <c r="BW52" i="2"/>
  <c r="BW23" i="9"/>
  <c r="S24" i="22" s="1"/>
  <c r="BW3" i="2"/>
  <c r="S32" i="22" s="1"/>
  <c r="BW130" i="1"/>
  <c r="BW3" i="1"/>
  <c r="BW3" i="15"/>
  <c r="BW32" i="9"/>
  <c r="CG3" i="7"/>
  <c r="CL5" i="7"/>
  <c r="BS106" i="1"/>
  <c r="BS59" i="1"/>
  <c r="BS3" i="1"/>
  <c r="BS3" i="15"/>
  <c r="BS45" i="9"/>
  <c r="BS130" i="1"/>
  <c r="BS32" i="9"/>
  <c r="BS51" i="9"/>
  <c r="BS3" i="9"/>
  <c r="O4" i="22" s="1"/>
  <c r="BS23" i="9"/>
  <c r="O24" i="22" s="1"/>
  <c r="BS77" i="2"/>
  <c r="BS52" i="2"/>
  <c r="BS3" i="2"/>
  <c r="O32" i="22" s="1"/>
  <c r="BS25" i="1"/>
  <c r="BS83" i="2"/>
  <c r="CB3" i="11"/>
  <c r="CB9" i="7"/>
  <c r="BX27" i="11"/>
  <c r="BX3" i="11"/>
  <c r="BX9" i="7"/>
  <c r="CH5" i="7"/>
  <c r="CC3" i="7"/>
  <c r="AW47" i="2"/>
  <c r="AW48" i="2"/>
  <c r="BB36" i="22"/>
  <c r="DG7" i="2"/>
  <c r="BC36" i="22" s="1"/>
  <c r="CP5" i="7"/>
  <c r="CK3" i="7"/>
  <c r="CF3" i="11"/>
  <c r="CF9" i="7"/>
  <c r="DE148" i="1"/>
  <c r="DE145" i="1" s="1"/>
  <c r="DE6" i="15"/>
  <c r="AU75" i="2"/>
  <c r="AU67" i="2"/>
  <c r="AU80" i="2" s="1"/>
  <c r="AU79" i="2"/>
  <c r="DY74" i="1"/>
  <c r="EE16" i="9"/>
  <c r="DX132" i="1"/>
  <c r="DY21" i="1"/>
  <c r="BB80" i="22"/>
  <c r="AT75" i="2"/>
  <c r="AT79" i="2"/>
  <c r="AT67" i="2"/>
  <c r="BC25" i="22"/>
  <c r="DL28" i="9"/>
  <c r="BH29" i="22" s="1"/>
  <c r="BD29" i="22"/>
  <c r="AT7" i="15"/>
  <c r="AT11" i="15"/>
  <c r="AT12" i="15" s="1"/>
  <c r="DS93" i="1"/>
  <c r="DG116" i="1"/>
  <c r="DG118" i="1" s="1"/>
  <c r="DG100" i="1"/>
  <c r="DG101" i="1" s="1"/>
  <c r="DG144" i="1"/>
  <c r="DU77" i="1"/>
  <c r="DV27" i="9"/>
  <c r="DW27" i="9" s="1"/>
  <c r="C68" i="22"/>
  <c r="AY159" i="1"/>
  <c r="AY62" i="2"/>
  <c r="AR18" i="15"/>
  <c r="AR16" i="15"/>
  <c r="AR17" i="15"/>
  <c r="AR4" i="11" s="1"/>
  <c r="AR6" i="11" s="1"/>
  <c r="DG107" i="1"/>
  <c r="AU7" i="15"/>
  <c r="AU11" i="15"/>
  <c r="AU12" i="15" s="1"/>
  <c r="DG75" i="1"/>
  <c r="DG76" i="1" s="1"/>
  <c r="DG97" i="1"/>
  <c r="DG98" i="1" s="1"/>
  <c r="DG142" i="1"/>
  <c r="AV4" i="15"/>
  <c r="AV161" i="1"/>
  <c r="AV66" i="2"/>
  <c r="AV51" i="2"/>
  <c r="CN5" i="7"/>
  <c r="CI3" i="7"/>
  <c r="AS31" i="15"/>
  <c r="AT31" i="15" s="1"/>
  <c r="AS13" i="15"/>
  <c r="DP160" i="1"/>
  <c r="DQ36" i="2"/>
  <c r="DU25" i="9"/>
  <c r="DV25" i="9" s="1"/>
  <c r="DU7" i="9"/>
  <c r="EC53" i="9" s="1"/>
  <c r="EC52" i="9" s="1"/>
  <c r="DW4" i="9"/>
  <c r="DU15" i="9"/>
  <c r="DV15" i="9" s="1"/>
  <c r="DP48" i="9"/>
  <c r="DQ46" i="9"/>
  <c r="DR47" i="9" s="1"/>
  <c r="DR46" i="9" s="1"/>
  <c r="BB27" i="22"/>
  <c r="DG26" i="9"/>
  <c r="DH18" i="9" s="1"/>
  <c r="BD19" i="22" s="1"/>
  <c r="DG103" i="1"/>
  <c r="DG104" i="1" s="1"/>
  <c r="BY3" i="15"/>
  <c r="BY51" i="9"/>
  <c r="BY45" i="9"/>
  <c r="BY106" i="1"/>
  <c r="BY23" i="9"/>
  <c r="U24" i="22" s="1"/>
  <c r="BY32" i="9"/>
  <c r="BY3" i="9"/>
  <c r="U4" i="22" s="1"/>
  <c r="BY130" i="1"/>
  <c r="BY25" i="1"/>
  <c r="BY83" i="2"/>
  <c r="BY77" i="2"/>
  <c r="BY52" i="2"/>
  <c r="BY3" i="2"/>
  <c r="U32" i="22" s="1"/>
  <c r="BY59" i="1"/>
  <c r="BY3" i="1"/>
  <c r="AX63" i="2"/>
  <c r="AX45" i="2"/>
  <c r="AY45" i="2" s="1"/>
  <c r="EA53" i="9"/>
  <c r="AY39" i="2"/>
  <c r="DE157" i="1"/>
  <c r="DE141" i="1"/>
  <c r="DJ95" i="1"/>
  <c r="DJ91" i="1" s="1"/>
  <c r="DJ68" i="2"/>
  <c r="DV4" i="9"/>
  <c r="DV1" i="9" s="1"/>
  <c r="EB53" i="9"/>
  <c r="BA82" i="22"/>
  <c r="BC13" i="22"/>
  <c r="DG13" i="9"/>
  <c r="BC14" i="22" s="1"/>
  <c r="DY31" i="2"/>
  <c r="AZ159" i="1"/>
  <c r="BA38" i="2"/>
  <c r="AZ62" i="2"/>
  <c r="AZ39" i="2"/>
  <c r="CA3" i="15"/>
  <c r="CA45" i="9"/>
  <c r="CA51" i="9"/>
  <c r="CA32" i="9"/>
  <c r="CA3" i="9"/>
  <c r="W4" i="22" s="1"/>
  <c r="CA23" i="9"/>
  <c r="W24" i="22" s="1"/>
  <c r="CA3" i="1"/>
  <c r="CA130" i="1"/>
  <c r="CA25" i="1"/>
  <c r="CA83" i="2"/>
  <c r="CA52" i="2"/>
  <c r="CA106" i="1"/>
  <c r="CA77" i="2"/>
  <c r="CA3" i="2"/>
  <c r="W32" i="22" s="1"/>
  <c r="CA59" i="1"/>
  <c r="CD3" i="11"/>
  <c r="CD9" i="7"/>
  <c r="EC78" i="2"/>
  <c r="DN150" i="1" l="1"/>
  <c r="DO42" i="1"/>
  <c r="DO150" i="1" s="1"/>
  <c r="BK76" i="22"/>
  <c r="DG33" i="2"/>
  <c r="BC62" i="22" s="1"/>
  <c r="DR13" i="9"/>
  <c r="DT13" i="9"/>
  <c r="DS6" i="9"/>
  <c r="DS13" i="9"/>
  <c r="DU13" i="9"/>
  <c r="DG66" i="1"/>
  <c r="DG67" i="1" s="1"/>
  <c r="BC34" i="22"/>
  <c r="DM28" i="2"/>
  <c r="BG57" i="22"/>
  <c r="DL28" i="2"/>
  <c r="BH57" i="22" s="1"/>
  <c r="DQ160" i="1"/>
  <c r="BM66" i="22"/>
  <c r="CJ3" i="7"/>
  <c r="CO5" i="7"/>
  <c r="CE9" i="7"/>
  <c r="CE3" i="11"/>
  <c r="DV7" i="9"/>
  <c r="BZ51" i="9"/>
  <c r="BZ52" i="2"/>
  <c r="BZ3" i="2"/>
  <c r="V32" i="22" s="1"/>
  <c r="BZ3" i="15"/>
  <c r="BZ3" i="9"/>
  <c r="V4" i="22" s="1"/>
  <c r="BZ25" i="1"/>
  <c r="BZ77" i="2"/>
  <c r="BZ45" i="9"/>
  <c r="BZ23" i="9"/>
  <c r="V24" i="22" s="1"/>
  <c r="BZ3" i="1"/>
  <c r="BZ106" i="1"/>
  <c r="BZ83" i="2"/>
  <c r="BZ32" i="9"/>
  <c r="BZ59" i="1"/>
  <c r="BZ130" i="1"/>
  <c r="CQ5" i="7"/>
  <c r="CL3" i="7"/>
  <c r="CB77" i="2"/>
  <c r="CB3" i="1"/>
  <c r="CB32" i="9"/>
  <c r="CB106" i="1"/>
  <c r="CB3" i="9"/>
  <c r="X4" i="22" s="1"/>
  <c r="CB25" i="1"/>
  <c r="CB45" i="9"/>
  <c r="CB3" i="15"/>
  <c r="CB51" i="9"/>
  <c r="CB59" i="1"/>
  <c r="CB83" i="2"/>
  <c r="CB130" i="1"/>
  <c r="CB23" i="9"/>
  <c r="X24" i="22" s="1"/>
  <c r="CB52" i="2"/>
  <c r="CB3" i="2"/>
  <c r="X32" i="22" s="1"/>
  <c r="CC3" i="11"/>
  <c r="CC27" i="11"/>
  <c r="CC9" i="7"/>
  <c r="CH3" i="7"/>
  <c r="CM5" i="7"/>
  <c r="CG3" i="11"/>
  <c r="CG9" i="7"/>
  <c r="BX51" i="9"/>
  <c r="BX83" i="2"/>
  <c r="BX45" i="9"/>
  <c r="BX3" i="2"/>
  <c r="T32" i="22" s="1"/>
  <c r="BX23" i="9"/>
  <c r="T24" i="22" s="1"/>
  <c r="BX3" i="9"/>
  <c r="T4" i="22" s="1"/>
  <c r="BX25" i="1"/>
  <c r="BX32" i="9"/>
  <c r="BX130" i="1"/>
  <c r="BX77" i="2"/>
  <c r="BX3" i="1"/>
  <c r="BX106" i="1"/>
  <c r="BX59" i="1"/>
  <c r="BX52" i="2"/>
  <c r="BX3" i="15"/>
  <c r="BB43" i="22"/>
  <c r="DG14" i="2"/>
  <c r="BC43" i="22" s="1"/>
  <c r="DS47" i="9"/>
  <c r="DS46" i="9" s="1"/>
  <c r="DR48" i="9"/>
  <c r="DR73" i="1" s="1"/>
  <c r="DR12" i="1" s="1"/>
  <c r="DV77" i="1"/>
  <c r="DU14" i="1"/>
  <c r="DV14" i="1" s="1"/>
  <c r="AV7" i="15"/>
  <c r="AV11" i="15"/>
  <c r="AV12" i="15" s="1"/>
  <c r="DX27" i="9"/>
  <c r="DW77" i="1"/>
  <c r="DW14" i="1" s="1"/>
  <c r="CD3" i="15"/>
  <c r="CD23" i="9"/>
  <c r="Z24" i="22" s="1"/>
  <c r="CD32" i="9"/>
  <c r="CD51" i="9"/>
  <c r="CD45" i="9"/>
  <c r="CD3" i="9"/>
  <c r="Z4" i="22" s="1"/>
  <c r="CD130" i="1"/>
  <c r="CD106" i="1"/>
  <c r="CD77" i="2"/>
  <c r="CD59" i="1"/>
  <c r="CD3" i="1"/>
  <c r="CD25" i="1"/>
  <c r="CD3" i="2"/>
  <c r="Z32" i="22" s="1"/>
  <c r="CD52" i="2"/>
  <c r="CD83" i="2"/>
  <c r="AX48" i="2"/>
  <c r="AY48" i="2" s="1"/>
  <c r="AX47" i="2"/>
  <c r="DQ48" i="9"/>
  <c r="DQ47" i="9" s="1"/>
  <c r="DP73" i="1"/>
  <c r="DT93" i="1"/>
  <c r="CF32" i="9"/>
  <c r="CF51" i="9"/>
  <c r="CF45" i="9"/>
  <c r="CF3" i="15"/>
  <c r="CF130" i="1"/>
  <c r="CF106" i="1"/>
  <c r="CF23" i="9"/>
  <c r="AB24" i="22" s="1"/>
  <c r="CF3" i="9"/>
  <c r="AB4" i="22" s="1"/>
  <c r="CF25" i="1"/>
  <c r="CF3" i="2"/>
  <c r="AB32" i="22" s="1"/>
  <c r="CF77" i="2"/>
  <c r="CF52" i="2"/>
  <c r="CF59" i="1"/>
  <c r="CF83" i="2"/>
  <c r="CF3" i="1"/>
  <c r="AW4" i="15"/>
  <c r="AW161" i="1"/>
  <c r="AW51" i="2"/>
  <c r="AW66" i="2"/>
  <c r="DJ22" i="1"/>
  <c r="DJ19" i="1" s="1"/>
  <c r="DK92" i="1"/>
  <c r="DI158" i="1"/>
  <c r="BC27" i="22"/>
  <c r="BD18" i="22"/>
  <c r="AV79" i="2"/>
  <c r="AV75" i="2"/>
  <c r="AV67" i="2"/>
  <c r="AV80" i="2" s="1"/>
  <c r="DZ31" i="2"/>
  <c r="EA31" i="2" s="1"/>
  <c r="DZ74" i="1"/>
  <c r="BB61" i="22"/>
  <c r="DG32" i="2"/>
  <c r="BC61" i="22" s="1"/>
  <c r="DI143" i="1"/>
  <c r="DI8" i="15"/>
  <c r="DI9" i="15" s="1"/>
  <c r="BA159" i="1"/>
  <c r="BB38" i="2"/>
  <c r="BA62" i="2"/>
  <c r="BA39" i="2"/>
  <c r="AS18" i="15"/>
  <c r="AS16" i="15"/>
  <c r="AS17" i="15"/>
  <c r="AS4" i="11" s="1"/>
  <c r="AS6" i="11" s="1"/>
  <c r="AT6" i="11" s="1"/>
  <c r="DG33" i="9"/>
  <c r="DG65" i="1"/>
  <c r="AT80" i="2"/>
  <c r="AT69" i="2"/>
  <c r="DV16" i="9"/>
  <c r="DJ5" i="15"/>
  <c r="DJ34" i="2"/>
  <c r="BF63" i="22" s="1"/>
  <c r="AT23" i="15"/>
  <c r="AT13" i="15"/>
  <c r="AT20" i="15"/>
  <c r="BB42" i="22"/>
  <c r="DG13" i="2"/>
  <c r="AZ45" i="2"/>
  <c r="AZ63" i="2"/>
  <c r="CN3" i="7"/>
  <c r="CS5" i="7"/>
  <c r="C69" i="22"/>
  <c r="AY63" i="2"/>
  <c r="C75" i="22"/>
  <c r="AY47" i="2"/>
  <c r="C77" i="22" s="1"/>
  <c r="DW25" i="9"/>
  <c r="DX4" i="9"/>
  <c r="DW7" i="9"/>
  <c r="DW15" i="9"/>
  <c r="DG113" i="1"/>
  <c r="CK3" i="11"/>
  <c r="CK9" i="7"/>
  <c r="CI3" i="11"/>
  <c r="CI9" i="7"/>
  <c r="DG13" i="1"/>
  <c r="DG88" i="1" s="1"/>
  <c r="DG35" i="1"/>
  <c r="DG87" i="1" s="1"/>
  <c r="DG114" i="1"/>
  <c r="CP3" i="7"/>
  <c r="CU5" i="7"/>
  <c r="BA81" i="22"/>
  <c r="BA65" i="22"/>
  <c r="DY132" i="1"/>
  <c r="DZ21" i="1"/>
  <c r="EB52" i="9"/>
  <c r="AU31" i="15"/>
  <c r="AU23" i="15"/>
  <c r="AU13" i="15"/>
  <c r="BB44" i="22"/>
  <c r="DG15" i="2"/>
  <c r="DR36" i="2"/>
  <c r="DR20" i="1" s="1"/>
  <c r="ED78" i="2"/>
  <c r="EE78" i="2" s="1"/>
  <c r="EF78" i="2" s="1"/>
  <c r="EC81" i="2"/>
  <c r="DH40" i="9" l="1"/>
  <c r="DH35" i="9"/>
  <c r="DH37" i="9" s="1"/>
  <c r="DR11" i="9"/>
  <c r="DR5" i="9"/>
  <c r="DP46" i="2"/>
  <c r="BL76" i="22" s="1"/>
  <c r="DG56" i="2"/>
  <c r="DJ134" i="1"/>
  <c r="DJ158" i="1" s="1"/>
  <c r="BI57" i="22"/>
  <c r="DN28" i="2"/>
  <c r="CE130" i="1"/>
  <c r="CE106" i="1"/>
  <c r="CE3" i="1"/>
  <c r="CE3" i="2"/>
  <c r="AA32" i="22" s="1"/>
  <c r="CE59" i="1"/>
  <c r="CE45" i="9"/>
  <c r="CE32" i="9"/>
  <c r="CE25" i="1"/>
  <c r="CE77" i="2"/>
  <c r="CE52" i="2"/>
  <c r="CE83" i="2"/>
  <c r="CE23" i="9"/>
  <c r="AA24" i="22" s="1"/>
  <c r="CE3" i="9"/>
  <c r="AA4" i="22" s="1"/>
  <c r="CE3" i="15"/>
  <c r="CE51" i="9"/>
  <c r="CT5" i="7"/>
  <c r="CO3" i="7"/>
  <c r="CJ9" i="7"/>
  <c r="CJ3" i="11"/>
  <c r="CG3" i="9"/>
  <c r="AC4" i="22" s="1"/>
  <c r="CG3" i="15"/>
  <c r="CG32" i="9"/>
  <c r="CG23" i="9"/>
  <c r="AC24" i="22" s="1"/>
  <c r="CG45" i="9"/>
  <c r="CG3" i="1"/>
  <c r="CG77" i="2"/>
  <c r="CG52" i="2"/>
  <c r="CG106" i="1"/>
  <c r="CG25" i="1"/>
  <c r="CG51" i="9"/>
  <c r="CG83" i="2"/>
  <c r="CG130" i="1"/>
  <c r="CG3" i="2"/>
  <c r="AC32" i="22" s="1"/>
  <c r="CG59" i="1"/>
  <c r="CR5" i="7"/>
  <c r="CM3" i="7"/>
  <c r="CH9" i="7"/>
  <c r="CH27" i="11"/>
  <c r="CH3" i="11"/>
  <c r="CC45" i="9"/>
  <c r="CC32" i="9"/>
  <c r="CC106" i="1"/>
  <c r="CC83" i="2"/>
  <c r="CC3" i="15"/>
  <c r="CC52" i="2"/>
  <c r="CC3" i="9"/>
  <c r="Y4" i="22" s="1"/>
  <c r="CC130" i="1"/>
  <c r="CC59" i="1"/>
  <c r="CC25" i="1"/>
  <c r="CC3" i="2"/>
  <c r="Y32" i="22" s="1"/>
  <c r="CC77" i="2"/>
  <c r="CC3" i="1"/>
  <c r="CC51" i="9"/>
  <c r="CC23" i="9"/>
  <c r="Y24" i="22" s="1"/>
  <c r="CL3" i="11"/>
  <c r="CL9" i="7"/>
  <c r="CV5" i="7"/>
  <c r="CQ3" i="7"/>
  <c r="C78" i="22"/>
  <c r="AY4" i="15"/>
  <c r="AY66" i="2"/>
  <c r="AY51" i="2"/>
  <c r="CI51" i="9"/>
  <c r="CI32" i="9"/>
  <c r="CI23" i="9"/>
  <c r="AE24" i="22" s="1"/>
  <c r="CI45" i="9"/>
  <c r="CI3" i="15"/>
  <c r="CI130" i="1"/>
  <c r="CI106" i="1"/>
  <c r="CI3" i="1"/>
  <c r="CI59" i="1"/>
  <c r="CI3" i="9"/>
  <c r="AE4" i="22" s="1"/>
  <c r="CI83" i="2"/>
  <c r="CI52" i="2"/>
  <c r="CI77" i="2"/>
  <c r="CI25" i="1"/>
  <c r="CI3" i="2"/>
  <c r="AE32" i="22" s="1"/>
  <c r="AW7" i="15"/>
  <c r="AW11" i="15"/>
  <c r="AW12" i="15" s="1"/>
  <c r="CN3" i="11"/>
  <c r="CN9" i="7"/>
  <c r="CP3" i="11"/>
  <c r="CP9" i="7"/>
  <c r="DK95" i="1"/>
  <c r="DK68" i="2"/>
  <c r="DL92" i="1"/>
  <c r="DU93" i="1"/>
  <c r="DY27" i="9"/>
  <c r="DX77" i="1"/>
  <c r="DX14" i="1" s="1"/>
  <c r="CX5" i="7"/>
  <c r="CS3" i="7"/>
  <c r="CZ5" i="7"/>
  <c r="CU3" i="7"/>
  <c r="EB31" i="2"/>
  <c r="DG115" i="1"/>
  <c r="DG117" i="1" s="1"/>
  <c r="AZ48" i="2"/>
  <c r="AZ47" i="2"/>
  <c r="DJ8" i="15"/>
  <c r="DJ9" i="15" s="1"/>
  <c r="DQ73" i="1"/>
  <c r="DQ74" i="1" s="1"/>
  <c r="DP12" i="1"/>
  <c r="DQ12" i="1" s="1"/>
  <c r="CK51" i="9"/>
  <c r="CK45" i="9"/>
  <c r="CK23" i="9"/>
  <c r="AG24" i="22" s="1"/>
  <c r="CK106" i="1"/>
  <c r="CK3" i="9"/>
  <c r="AG4" i="22" s="1"/>
  <c r="CK3" i="15"/>
  <c r="CK130" i="1"/>
  <c r="CK59" i="1"/>
  <c r="CK32" i="9"/>
  <c r="CK52" i="2"/>
  <c r="CK77" i="2"/>
  <c r="CK3" i="1"/>
  <c r="CK25" i="1"/>
  <c r="CK83" i="2"/>
  <c r="CK3" i="2"/>
  <c r="AG32" i="22" s="1"/>
  <c r="DS48" i="9"/>
  <c r="DS73" i="1" s="1"/>
  <c r="DS12" i="1" s="1"/>
  <c r="DT47" i="9"/>
  <c r="DT46" i="9" s="1"/>
  <c r="AT82" i="2"/>
  <c r="AT96" i="2"/>
  <c r="AT30" i="11"/>
  <c r="DX7" i="9"/>
  <c r="EE53" i="9" s="1"/>
  <c r="EE52" i="9" s="1"/>
  <c r="DX25" i="9"/>
  <c r="DY4" i="9"/>
  <c r="DX15" i="9"/>
  <c r="AX4" i="15"/>
  <c r="AX51" i="2"/>
  <c r="AX161" i="1"/>
  <c r="AY161" i="1" s="1"/>
  <c r="AY163" i="1" s="1"/>
  <c r="AX66" i="2"/>
  <c r="AU18" i="15"/>
  <c r="AU16" i="15"/>
  <c r="AU17" i="15"/>
  <c r="AU4" i="11" s="1"/>
  <c r="AU6" i="11" s="1"/>
  <c r="DG71" i="2"/>
  <c r="BC80" i="22" s="1"/>
  <c r="DG54" i="2"/>
  <c r="BC42" i="22"/>
  <c r="DZ132" i="1"/>
  <c r="EA132" i="1" s="1"/>
  <c r="EA21" i="1"/>
  <c r="EB21" i="1" s="1"/>
  <c r="DT6" i="9"/>
  <c r="DT11" i="9" s="1"/>
  <c r="DS5" i="9"/>
  <c r="DS11" i="9"/>
  <c r="ED53" i="9"/>
  <c r="BB159" i="1"/>
  <c r="BB62" i="2"/>
  <c r="BC38" i="2"/>
  <c r="BB39" i="2"/>
  <c r="DG108" i="1"/>
  <c r="BA45" i="2"/>
  <c r="BA63" i="2"/>
  <c r="AV13" i="15"/>
  <c r="AV23" i="15"/>
  <c r="AV31" i="15"/>
  <c r="DG89" i="1"/>
  <c r="BB41" i="22"/>
  <c r="DG12" i="2"/>
  <c r="DG11" i="1"/>
  <c r="AW67" i="2"/>
  <c r="AW80" i="2" s="1"/>
  <c r="AW75" i="2"/>
  <c r="AW79" i="2"/>
  <c r="DR160" i="1"/>
  <c r="DG39" i="1"/>
  <c r="BD47" i="22"/>
  <c r="DG72" i="2"/>
  <c r="BC44" i="22"/>
  <c r="AT18" i="15"/>
  <c r="AT17" i="15"/>
  <c r="AT4" i="11" s="1"/>
  <c r="AT5" i="11" s="1"/>
  <c r="AT16" i="15"/>
  <c r="EB74" i="1"/>
  <c r="DS36" i="2"/>
  <c r="DS160" i="1" s="1"/>
  <c r="ED81" i="2"/>
  <c r="DH113" i="1" l="1"/>
  <c r="DH114" i="1" s="1"/>
  <c r="DH38" i="9"/>
  <c r="DH39" i="9" s="1"/>
  <c r="DH111" i="1"/>
  <c r="DJ143" i="1"/>
  <c r="DP42" i="1"/>
  <c r="DP65" i="2"/>
  <c r="DQ46" i="2"/>
  <c r="DQ65" i="2" s="1"/>
  <c r="BB59" i="22"/>
  <c r="DG9" i="1"/>
  <c r="DO28" i="2"/>
  <c r="BJ57" i="22"/>
  <c r="CJ32" i="9"/>
  <c r="CJ77" i="2"/>
  <c r="CJ83" i="2"/>
  <c r="CJ51" i="9"/>
  <c r="CJ52" i="2"/>
  <c r="CJ25" i="1"/>
  <c r="CJ3" i="1"/>
  <c r="CJ3" i="15"/>
  <c r="CJ130" i="1"/>
  <c r="CJ59" i="1"/>
  <c r="CJ3" i="2"/>
  <c r="AF32" i="22" s="1"/>
  <c r="CJ106" i="1"/>
  <c r="CJ45" i="9"/>
  <c r="CJ23" i="9"/>
  <c r="AF24" i="22" s="1"/>
  <c r="CJ3" i="9"/>
  <c r="AF4" i="22" s="1"/>
  <c r="CT3" i="7"/>
  <c r="CY5" i="7"/>
  <c r="CO3" i="11"/>
  <c r="CO9" i="7"/>
  <c r="CQ3" i="11"/>
  <c r="CQ9" i="7"/>
  <c r="DA5" i="7"/>
  <c r="CV3" i="7"/>
  <c r="CL106" i="1"/>
  <c r="CL83" i="2"/>
  <c r="CL77" i="2"/>
  <c r="CL52" i="2"/>
  <c r="CL3" i="15"/>
  <c r="CL3" i="2"/>
  <c r="AH32" i="22" s="1"/>
  <c r="CL23" i="9"/>
  <c r="AH24" i="22" s="1"/>
  <c r="CL3" i="9"/>
  <c r="AH4" i="22" s="1"/>
  <c r="CL59" i="1"/>
  <c r="CL51" i="9"/>
  <c r="CL25" i="1"/>
  <c r="CL45" i="9"/>
  <c r="CL130" i="1"/>
  <c r="CL32" i="9"/>
  <c r="CL3" i="1"/>
  <c r="CH130" i="1"/>
  <c r="CH77" i="2"/>
  <c r="CH3" i="1"/>
  <c r="CH59" i="1"/>
  <c r="CH52" i="2"/>
  <c r="CH106" i="1"/>
  <c r="CH45" i="9"/>
  <c r="CH3" i="2"/>
  <c r="AD32" i="22" s="1"/>
  <c r="CH3" i="9"/>
  <c r="AD4" i="22" s="1"/>
  <c r="CH25" i="1"/>
  <c r="CH83" i="2"/>
  <c r="CH3" i="15"/>
  <c r="CH32" i="9"/>
  <c r="CH51" i="9"/>
  <c r="CH23" i="9"/>
  <c r="AD24" i="22" s="1"/>
  <c r="CW5" i="7"/>
  <c r="CR3" i="7"/>
  <c r="CM3" i="11"/>
  <c r="CM27" i="11"/>
  <c r="CM9" i="7"/>
  <c r="DZ27" i="9"/>
  <c r="DY77" i="1"/>
  <c r="DY14" i="1" s="1"/>
  <c r="CN51" i="9"/>
  <c r="CN45" i="9"/>
  <c r="CN3" i="15"/>
  <c r="CN32" i="9"/>
  <c r="CN23" i="9"/>
  <c r="AJ24" i="22" s="1"/>
  <c r="CN3" i="9"/>
  <c r="AJ4" i="22" s="1"/>
  <c r="CN130" i="1"/>
  <c r="CN106" i="1"/>
  <c r="CN59" i="1"/>
  <c r="CN83" i="2"/>
  <c r="CN25" i="1"/>
  <c r="CN77" i="2"/>
  <c r="CN52" i="2"/>
  <c r="CN3" i="2"/>
  <c r="AJ32" i="22" s="1"/>
  <c r="CN3" i="1"/>
  <c r="DU6" i="9"/>
  <c r="DT5" i="9"/>
  <c r="CZ3" i="7"/>
  <c r="DE5" i="7"/>
  <c r="EB132" i="1"/>
  <c r="EC21" i="1"/>
  <c r="DK5" i="15"/>
  <c r="DK34" i="2"/>
  <c r="DL68" i="2"/>
  <c r="DL5" i="15" s="1"/>
  <c r="AV18" i="15"/>
  <c r="AV16" i="15"/>
  <c r="AV17" i="15"/>
  <c r="AV4" i="11" s="1"/>
  <c r="AV6" i="11" s="1"/>
  <c r="AX7" i="15"/>
  <c r="AX11" i="15"/>
  <c r="AX12" i="15" s="1"/>
  <c r="DK91" i="1"/>
  <c r="DL95" i="1"/>
  <c r="DG32" i="1"/>
  <c r="DF147" i="1"/>
  <c r="AX67" i="2"/>
  <c r="AX80" i="2" s="1"/>
  <c r="AX75" i="2"/>
  <c r="AX79" i="2"/>
  <c r="BB63" i="2"/>
  <c r="BB45" i="2"/>
  <c r="CP23" i="9"/>
  <c r="AL24" i="22" s="1"/>
  <c r="CP3" i="9"/>
  <c r="AL4" i="22" s="1"/>
  <c r="CP45" i="9"/>
  <c r="CP51" i="9"/>
  <c r="CP3" i="15"/>
  <c r="CP32" i="9"/>
  <c r="CP77" i="2"/>
  <c r="CP106" i="1"/>
  <c r="CP59" i="1"/>
  <c r="CP130" i="1"/>
  <c r="CP83" i="2"/>
  <c r="CP3" i="2"/>
  <c r="AL32" i="22" s="1"/>
  <c r="CP3" i="1"/>
  <c r="CP52" i="2"/>
  <c r="CP25" i="1"/>
  <c r="DZ4" i="9"/>
  <c r="DY7" i="9"/>
  <c r="DY25" i="9"/>
  <c r="DY15" i="9"/>
  <c r="CU3" i="11"/>
  <c r="CU9" i="7"/>
  <c r="BB35" i="22"/>
  <c r="DG6" i="2"/>
  <c r="BC35" i="22" s="1"/>
  <c r="BC159" i="1"/>
  <c r="BE38" i="2"/>
  <c r="BC62" i="2"/>
  <c r="BC39" i="2"/>
  <c r="BD38" i="2"/>
  <c r="AZ4" i="15"/>
  <c r="AZ161" i="1"/>
  <c r="AZ66" i="2"/>
  <c r="AZ51" i="2"/>
  <c r="BA48" i="2"/>
  <c r="BA47" i="2"/>
  <c r="AY79" i="2"/>
  <c r="C83" i="22" s="1"/>
  <c r="AY75" i="2"/>
  <c r="AY67" i="2"/>
  <c r="DW93" i="1"/>
  <c r="AW23" i="15"/>
  <c r="AW31" i="15"/>
  <c r="AW13" i="15"/>
  <c r="AW25" i="15"/>
  <c r="DS20" i="1"/>
  <c r="DG109" i="1"/>
  <c r="DG110" i="1" s="1"/>
  <c r="ED52" i="9"/>
  <c r="EF52" i="9" s="1"/>
  <c r="EF53" i="9"/>
  <c r="CS3" i="11"/>
  <c r="CS9" i="7"/>
  <c r="DU47" i="9"/>
  <c r="DU46" i="9" s="1"/>
  <c r="DT48" i="9"/>
  <c r="DT73" i="1" s="1"/>
  <c r="DT12" i="1" s="1"/>
  <c r="DC5" i="7"/>
  <c r="CX3" i="7"/>
  <c r="AY7" i="15"/>
  <c r="AY11" i="15"/>
  <c r="AY12" i="15" s="1"/>
  <c r="EC74" i="1"/>
  <c r="DG69" i="1"/>
  <c r="EC31" i="2"/>
  <c r="BC41" i="22"/>
  <c r="DG70" i="1"/>
  <c r="DG72" i="1" l="1"/>
  <c r="DH72" i="1"/>
  <c r="DH115" i="1"/>
  <c r="DH117" i="1" s="1"/>
  <c r="DH112" i="1"/>
  <c r="DH116" i="1" s="1"/>
  <c r="DH118" i="1" s="1"/>
  <c r="BM76" i="22"/>
  <c r="DQ42" i="1"/>
  <c r="DP150" i="1"/>
  <c r="DF140" i="1"/>
  <c r="DG8" i="1"/>
  <c r="DG29" i="2"/>
  <c r="BC58" i="22" s="1"/>
  <c r="DG30" i="2"/>
  <c r="BC59" i="22" s="1"/>
  <c r="DL34" i="2"/>
  <c r="BH63" i="22" s="1"/>
  <c r="BG63" i="22"/>
  <c r="DP28" i="2"/>
  <c r="DQ28" i="2" s="1"/>
  <c r="BM57" i="22" s="1"/>
  <c r="BK57" i="22"/>
  <c r="CT9" i="7"/>
  <c r="CT3" i="11"/>
  <c r="DD5" i="7"/>
  <c r="CY3" i="7"/>
  <c r="CO83" i="2"/>
  <c r="CO130" i="1"/>
  <c r="CO23" i="9"/>
  <c r="AK24" i="22" s="1"/>
  <c r="CO3" i="1"/>
  <c r="CO51" i="9"/>
  <c r="CO3" i="9"/>
  <c r="AK4" i="22" s="1"/>
  <c r="CO77" i="2"/>
  <c r="CO52" i="2"/>
  <c r="CO106" i="1"/>
  <c r="CO59" i="1"/>
  <c r="CO3" i="15"/>
  <c r="CO3" i="2"/>
  <c r="AK32" i="22" s="1"/>
  <c r="CO45" i="9"/>
  <c r="CO32" i="9"/>
  <c r="CO25" i="1"/>
  <c r="CR3" i="11"/>
  <c r="CR9" i="7"/>
  <c r="CR27" i="11"/>
  <c r="DB5" i="7"/>
  <c r="CW3" i="7"/>
  <c r="CV3" i="11"/>
  <c r="CV9" i="7"/>
  <c r="CM23" i="9"/>
  <c r="AI24" i="22" s="1"/>
  <c r="CM130" i="1"/>
  <c r="CM59" i="1"/>
  <c r="CM3" i="15"/>
  <c r="CM45" i="9"/>
  <c r="CM3" i="1"/>
  <c r="CM3" i="9"/>
  <c r="AI4" i="22" s="1"/>
  <c r="CM83" i="2"/>
  <c r="CM25" i="1"/>
  <c r="CM52" i="2"/>
  <c r="CM3" i="2"/>
  <c r="AI32" i="22" s="1"/>
  <c r="CM51" i="9"/>
  <c r="CM77" i="2"/>
  <c r="CM106" i="1"/>
  <c r="CM32" i="9"/>
  <c r="DA3" i="7"/>
  <c r="DF5" i="7"/>
  <c r="CQ77" i="2"/>
  <c r="CQ83" i="2"/>
  <c r="CQ3" i="1"/>
  <c r="CQ51" i="9"/>
  <c r="CQ3" i="2"/>
  <c r="AM32" i="22" s="1"/>
  <c r="CQ23" i="9"/>
  <c r="AM24" i="22" s="1"/>
  <c r="CQ59" i="1"/>
  <c r="CQ45" i="9"/>
  <c r="CQ52" i="2"/>
  <c r="CQ32" i="9"/>
  <c r="CQ25" i="1"/>
  <c r="CQ3" i="15"/>
  <c r="CQ3" i="9"/>
  <c r="AM4" i="22" s="1"/>
  <c r="CQ130" i="1"/>
  <c r="CQ106" i="1"/>
  <c r="DU5" i="9"/>
  <c r="DV5" i="9" s="1"/>
  <c r="DU11" i="9"/>
  <c r="DT36" i="2"/>
  <c r="DT20" i="1" s="1"/>
  <c r="DV46" i="9"/>
  <c r="DW47" i="9" s="1"/>
  <c r="DW46" i="9" s="1"/>
  <c r="DU48" i="9"/>
  <c r="BA4" i="15"/>
  <c r="BA7" i="15" s="1"/>
  <c r="BA161" i="1"/>
  <c r="BA51" i="2"/>
  <c r="BA66" i="2"/>
  <c r="BA11" i="15"/>
  <c r="BA12" i="15" s="1"/>
  <c r="BB33" i="22"/>
  <c r="DG4" i="2"/>
  <c r="BC33" i="22" s="1"/>
  <c r="AY20" i="15"/>
  <c r="AY13" i="15"/>
  <c r="AY23" i="15"/>
  <c r="AY26" i="15" s="1"/>
  <c r="AY25" i="15"/>
  <c r="AY2" i="15"/>
  <c r="ED31" i="2"/>
  <c r="D68" i="22"/>
  <c r="BD159" i="1"/>
  <c r="BD62" i="2"/>
  <c r="BB48" i="2"/>
  <c r="BB47" i="2"/>
  <c r="BE159" i="1"/>
  <c r="BE62" i="2"/>
  <c r="BF38" i="2"/>
  <c r="BE39" i="2"/>
  <c r="EC132" i="1"/>
  <c r="ED21" i="1"/>
  <c r="DJ5" i="7"/>
  <c r="DE3" i="7"/>
  <c r="DG71" i="1"/>
  <c r="DG80" i="1"/>
  <c r="DZ7" i="9"/>
  <c r="EA7" i="9" s="1"/>
  <c r="DZ25" i="9"/>
  <c r="EA25" i="9" s="1"/>
  <c r="EB4" i="9"/>
  <c r="DZ15" i="9"/>
  <c r="EA15" i="9" s="1"/>
  <c r="EA4" i="9"/>
  <c r="EA1" i="9" s="1"/>
  <c r="DL91" i="1"/>
  <c r="DK22" i="1"/>
  <c r="EA27" i="9"/>
  <c r="EB27" i="9" s="1"/>
  <c r="DZ77" i="1"/>
  <c r="AY80" i="2"/>
  <c r="AY69" i="2"/>
  <c r="BC63" i="2"/>
  <c r="BC45" i="2"/>
  <c r="BD45" i="2" s="1"/>
  <c r="CU51" i="9"/>
  <c r="CU45" i="9"/>
  <c r="CU32" i="9"/>
  <c r="CU130" i="1"/>
  <c r="CU3" i="15"/>
  <c r="CU3" i="9"/>
  <c r="AQ4" i="22" s="1"/>
  <c r="CU23" i="9"/>
  <c r="AQ24" i="22" s="1"/>
  <c r="CU3" i="1"/>
  <c r="CU59" i="1"/>
  <c r="CU77" i="2"/>
  <c r="CU25" i="1"/>
  <c r="CU83" i="2"/>
  <c r="CU52" i="2"/>
  <c r="CU3" i="2"/>
  <c r="AQ32" i="22" s="1"/>
  <c r="CU106" i="1"/>
  <c r="AX25" i="15"/>
  <c r="AX23" i="15"/>
  <c r="AX31" i="15"/>
  <c r="AY31" i="15" s="1"/>
  <c r="AX13" i="15"/>
  <c r="CZ3" i="11"/>
  <c r="CZ9" i="7"/>
  <c r="CX3" i="11"/>
  <c r="CX9" i="7"/>
  <c r="AW16" i="15"/>
  <c r="AW18" i="15"/>
  <c r="AW17" i="15"/>
  <c r="AW4" i="11" s="1"/>
  <c r="AW6" i="11" s="1"/>
  <c r="DC3" i="7"/>
  <c r="DH5" i="7"/>
  <c r="DG147" i="1"/>
  <c r="DG79" i="1"/>
  <c r="AZ75" i="2"/>
  <c r="AZ79" i="2"/>
  <c r="AZ67" i="2"/>
  <c r="AZ80" i="2" s="1"/>
  <c r="CS51" i="9"/>
  <c r="CS45" i="9"/>
  <c r="CS23" i="9"/>
  <c r="AO24" i="22" s="1"/>
  <c r="CS130" i="1"/>
  <c r="CS3" i="15"/>
  <c r="CS32" i="9"/>
  <c r="CS106" i="1"/>
  <c r="CS3" i="9"/>
  <c r="AO4" i="22" s="1"/>
  <c r="CS59" i="1"/>
  <c r="CS25" i="1"/>
  <c r="CS77" i="2"/>
  <c r="CS83" i="2"/>
  <c r="CS52" i="2"/>
  <c r="CS3" i="2"/>
  <c r="AO32" i="22" s="1"/>
  <c r="CS3" i="1"/>
  <c r="ED74" i="1"/>
  <c r="AZ7" i="15"/>
  <c r="AZ11" i="15"/>
  <c r="AZ12" i="15" s="1"/>
  <c r="DX93" i="1"/>
  <c r="BD39" i="2"/>
  <c r="BD20" i="22" l="1"/>
  <c r="DH20" i="9"/>
  <c r="BD21" i="22" s="1"/>
  <c r="DQ150" i="1"/>
  <c r="DR46" i="2"/>
  <c r="DF41" i="2"/>
  <c r="DG140" i="1"/>
  <c r="DG29" i="1"/>
  <c r="DG60" i="1"/>
  <c r="BB58" i="22"/>
  <c r="DR28" i="2"/>
  <c r="BL57" i="22"/>
  <c r="CY3" i="11"/>
  <c r="CY9" i="7"/>
  <c r="DD3" i="7"/>
  <c r="DI5" i="7"/>
  <c r="CT106" i="1"/>
  <c r="CT130" i="1"/>
  <c r="CT77" i="2"/>
  <c r="CT83" i="2"/>
  <c r="CT3" i="2"/>
  <c r="AP32" i="22" s="1"/>
  <c r="CT3" i="9"/>
  <c r="AP4" i="22" s="1"/>
  <c r="CT23" i="9"/>
  <c r="AP24" i="22" s="1"/>
  <c r="CT3" i="15"/>
  <c r="CT59" i="1"/>
  <c r="CT3" i="1"/>
  <c r="CT52" i="2"/>
  <c r="CT51" i="9"/>
  <c r="CT32" i="9"/>
  <c r="CT45" i="9"/>
  <c r="CT25" i="1"/>
  <c r="EA16" i="9"/>
  <c r="DA3" i="11"/>
  <c r="DA9" i="7"/>
  <c r="CW27" i="11"/>
  <c r="CW3" i="11"/>
  <c r="CW9" i="7"/>
  <c r="DK5" i="7"/>
  <c r="DF3" i="7"/>
  <c r="CV3" i="9"/>
  <c r="AR4" i="22" s="1"/>
  <c r="CV23" i="9"/>
  <c r="AR24" i="22" s="1"/>
  <c r="CV106" i="1"/>
  <c r="CV3" i="1"/>
  <c r="CV59" i="1"/>
  <c r="CV3" i="15"/>
  <c r="CV25" i="1"/>
  <c r="CV51" i="9"/>
  <c r="CV3" i="2"/>
  <c r="AR32" i="22" s="1"/>
  <c r="CV32" i="9"/>
  <c r="CV77" i="2"/>
  <c r="CV130" i="1"/>
  <c r="CV83" i="2"/>
  <c r="CV52" i="2"/>
  <c r="CV45" i="9"/>
  <c r="DB3" i="7"/>
  <c r="DG5" i="7"/>
  <c r="CR83" i="2"/>
  <c r="CR3" i="2"/>
  <c r="AN32" i="22" s="1"/>
  <c r="CR51" i="9"/>
  <c r="CR77" i="2"/>
  <c r="CR3" i="15"/>
  <c r="CR52" i="2"/>
  <c r="CR45" i="9"/>
  <c r="CR3" i="9"/>
  <c r="AN4" i="22" s="1"/>
  <c r="CR32" i="9"/>
  <c r="CR130" i="1"/>
  <c r="CR106" i="1"/>
  <c r="CR25" i="1"/>
  <c r="CR23" i="9"/>
  <c r="AN24" i="22" s="1"/>
  <c r="CR59" i="1"/>
  <c r="CR3" i="1"/>
  <c r="DG81" i="1"/>
  <c r="DC3" i="11"/>
  <c r="DC9" i="7"/>
  <c r="DE3" i="11"/>
  <c r="DE9" i="7"/>
  <c r="BB4" i="15"/>
  <c r="BB66" i="2"/>
  <c r="BB51" i="2"/>
  <c r="BB161" i="1"/>
  <c r="BB70" i="22"/>
  <c r="DG40" i="2"/>
  <c r="DV48" i="9"/>
  <c r="DV47" i="9" s="1"/>
  <c r="DU73" i="1"/>
  <c r="DX47" i="9"/>
  <c r="DX46" i="9" s="1"/>
  <c r="DW48" i="9"/>
  <c r="DW73" i="1" s="1"/>
  <c r="DW12" i="1" s="1"/>
  <c r="DU36" i="2"/>
  <c r="DU160" i="1" s="1"/>
  <c r="EB7" i="9"/>
  <c r="EB25" i="9"/>
  <c r="EC4" i="9"/>
  <c r="EB15" i="9"/>
  <c r="DO5" i="7"/>
  <c r="DJ3" i="7"/>
  <c r="BC48" i="2"/>
  <c r="BC47" i="2"/>
  <c r="ED132" i="1"/>
  <c r="EE21" i="1"/>
  <c r="EE31" i="2"/>
  <c r="BB38" i="22"/>
  <c r="DG9" i="2"/>
  <c r="DT160" i="1"/>
  <c r="CX51" i="9"/>
  <c r="CX45" i="9"/>
  <c r="CX3" i="15"/>
  <c r="CX23" i="9"/>
  <c r="AT24" i="22" s="1"/>
  <c r="CX32" i="9"/>
  <c r="CX3" i="9"/>
  <c r="AT4" i="22" s="1"/>
  <c r="CX106" i="1"/>
  <c r="CX3" i="1"/>
  <c r="CX59" i="1"/>
  <c r="CX25" i="1"/>
  <c r="CX52" i="2"/>
  <c r="CX83" i="2"/>
  <c r="CX130" i="1"/>
  <c r="CX77" i="2"/>
  <c r="CX3" i="2"/>
  <c r="AT32" i="22" s="1"/>
  <c r="BA79" i="2"/>
  <c r="BA75" i="2"/>
  <c r="BA67" i="2"/>
  <c r="BA80" i="2" s="1"/>
  <c r="DV6" i="9"/>
  <c r="DV8" i="9"/>
  <c r="DM5" i="7"/>
  <c r="DH3" i="7"/>
  <c r="AY30" i="11"/>
  <c r="AY96" i="2"/>
  <c r="AY82" i="2"/>
  <c r="D75" i="22"/>
  <c r="BD47" i="2"/>
  <c r="D77" i="22" s="1"/>
  <c r="DL22" i="1"/>
  <c r="DL19" i="1" s="1"/>
  <c r="DK19" i="1"/>
  <c r="DK134" i="1"/>
  <c r="DM92" i="1"/>
  <c r="DL93" i="1"/>
  <c r="DF146" i="1"/>
  <c r="DF50" i="1"/>
  <c r="DF85" i="2" s="1"/>
  <c r="DF84" i="2" s="1"/>
  <c r="DF10" i="15"/>
  <c r="DG28" i="1"/>
  <c r="D69" i="22"/>
  <c r="BD63" i="2"/>
  <c r="CZ45" i="9"/>
  <c r="CZ51" i="9"/>
  <c r="CZ3" i="15"/>
  <c r="CZ32" i="9"/>
  <c r="CZ59" i="1"/>
  <c r="CZ23" i="9"/>
  <c r="AV24" i="22" s="1"/>
  <c r="CZ83" i="2"/>
  <c r="CZ130" i="1"/>
  <c r="CZ106" i="1"/>
  <c r="CZ52" i="2"/>
  <c r="CZ25" i="1"/>
  <c r="CZ3" i="1"/>
  <c r="CZ3" i="9"/>
  <c r="AV4" i="22" s="1"/>
  <c r="CZ77" i="2"/>
  <c r="CZ3" i="2"/>
  <c r="AV32" i="22" s="1"/>
  <c r="EE74" i="1"/>
  <c r="BF159" i="1"/>
  <c r="BF62" i="2"/>
  <c r="BG38" i="2"/>
  <c r="BF39" i="2"/>
  <c r="AZ13" i="15"/>
  <c r="AZ31" i="15"/>
  <c r="DY93" i="1"/>
  <c r="EA77" i="1"/>
  <c r="DZ14" i="1"/>
  <c r="EA14" i="1" s="1"/>
  <c r="BE45" i="2"/>
  <c r="BE63" i="2"/>
  <c r="AX17" i="15"/>
  <c r="AX4" i="11" s="1"/>
  <c r="AX6" i="11" s="1"/>
  <c r="AY6" i="11" s="1"/>
  <c r="AX16" i="15"/>
  <c r="AX18" i="15"/>
  <c r="EC27" i="9"/>
  <c r="EB77" i="1"/>
  <c r="EB14" i="1" s="1"/>
  <c r="BD15" i="22"/>
  <c r="AY18" i="15"/>
  <c r="AY17" i="15"/>
  <c r="AY4" i="11" s="1"/>
  <c r="AY16" i="15"/>
  <c r="BA31" i="15"/>
  <c r="BA13" i="15"/>
  <c r="DG63" i="1" l="1"/>
  <c r="DG41" i="2" s="1"/>
  <c r="BC71" i="22" s="1"/>
  <c r="DH63" i="1"/>
  <c r="BB71" i="22"/>
  <c r="DR42" i="1"/>
  <c r="DR65" i="2"/>
  <c r="DG62" i="1"/>
  <c r="DF27" i="2"/>
  <c r="DE106" i="1"/>
  <c r="DE3" i="1"/>
  <c r="DE32" i="9"/>
  <c r="DE25" i="1"/>
  <c r="DE130" i="1"/>
  <c r="DE59" i="1"/>
  <c r="DE3" i="2"/>
  <c r="BA32" i="22" s="1"/>
  <c r="DE83" i="2"/>
  <c r="DE77" i="2"/>
  <c r="DE52" i="2"/>
  <c r="DV36" i="2"/>
  <c r="DV160" i="1" s="1"/>
  <c r="DE45" i="9"/>
  <c r="DE3" i="9"/>
  <c r="BA4" i="22" s="1"/>
  <c r="DE51" i="9"/>
  <c r="DE23" i="9"/>
  <c r="BA24" i="22" s="1"/>
  <c r="DS28" i="2"/>
  <c r="DT28" i="2" s="1"/>
  <c r="DU28" i="2" s="1"/>
  <c r="DW28" i="2" s="1"/>
  <c r="BD22" i="22"/>
  <c r="DI3" i="7"/>
  <c r="DN5" i="7"/>
  <c r="DD3" i="11"/>
  <c r="DD9" i="7"/>
  <c r="CY45" i="9"/>
  <c r="CY3" i="2"/>
  <c r="AU32" i="22" s="1"/>
  <c r="CY3" i="9"/>
  <c r="AU4" i="22" s="1"/>
  <c r="CY51" i="9"/>
  <c r="CY32" i="9"/>
  <c r="CY3" i="1"/>
  <c r="CY83" i="2"/>
  <c r="CY52" i="2"/>
  <c r="CY25" i="1"/>
  <c r="CY106" i="1"/>
  <c r="CY23" i="9"/>
  <c r="AU24" i="22" s="1"/>
  <c r="CY59" i="1"/>
  <c r="CY130" i="1"/>
  <c r="CY77" i="2"/>
  <c r="CY3" i="15"/>
  <c r="DK3" i="7"/>
  <c r="DP5" i="7"/>
  <c r="CW3" i="1"/>
  <c r="CW45" i="9"/>
  <c r="CW130" i="1"/>
  <c r="CW59" i="1"/>
  <c r="CW3" i="15"/>
  <c r="CW3" i="2"/>
  <c r="AS32" i="22" s="1"/>
  <c r="CW106" i="1"/>
  <c r="CW77" i="2"/>
  <c r="CW3" i="9"/>
  <c r="AS4" i="22" s="1"/>
  <c r="CW23" i="9"/>
  <c r="AS24" i="22" s="1"/>
  <c r="CW52" i="2"/>
  <c r="CW83" i="2"/>
  <c r="CW25" i="1"/>
  <c r="CW32" i="9"/>
  <c r="CW51" i="9"/>
  <c r="DB3" i="11"/>
  <c r="DB9" i="7"/>
  <c r="DB27" i="11"/>
  <c r="DF3" i="11"/>
  <c r="DF9" i="7"/>
  <c r="DA3" i="15"/>
  <c r="DA32" i="9"/>
  <c r="DA3" i="9"/>
  <c r="AW4" i="22" s="1"/>
  <c r="DA130" i="1"/>
  <c r="DA59" i="1"/>
  <c r="DA83" i="2"/>
  <c r="DA25" i="1"/>
  <c r="DA45" i="9"/>
  <c r="DA52" i="2"/>
  <c r="DA3" i="2"/>
  <c r="AW32" i="22" s="1"/>
  <c r="DA51" i="9"/>
  <c r="DA77" i="2"/>
  <c r="DA106" i="1"/>
  <c r="DA3" i="1"/>
  <c r="DA23" i="9"/>
  <c r="AW24" i="22" s="1"/>
  <c r="DL5" i="7"/>
  <c r="DG3" i="7"/>
  <c r="DU20" i="1"/>
  <c r="DV20" i="1" s="1"/>
  <c r="DG50" i="1"/>
  <c r="DG10" i="15"/>
  <c r="DG146" i="1"/>
  <c r="DH3" i="11"/>
  <c r="DH9" i="7"/>
  <c r="BC38" i="22"/>
  <c r="DG10" i="2"/>
  <c r="BC39" i="22" s="1"/>
  <c r="AZ17" i="15"/>
  <c r="AZ4" i="11" s="1"/>
  <c r="AZ6" i="11" s="1"/>
  <c r="AZ16" i="15"/>
  <c r="AZ18" i="15"/>
  <c r="DM3" i="7"/>
  <c r="DR5" i="7"/>
  <c r="BB37" i="22"/>
  <c r="DG8" i="2"/>
  <c r="BC37" i="22" s="1"/>
  <c r="EC25" i="9"/>
  <c r="ED4" i="9"/>
  <c r="EC7" i="9"/>
  <c r="EC15" i="9"/>
  <c r="AY5" i="11"/>
  <c r="BB75" i="2"/>
  <c r="BB67" i="2"/>
  <c r="BB80" i="2" s="1"/>
  <c r="BB79" i="2"/>
  <c r="BE47" i="2"/>
  <c r="BE48" i="2"/>
  <c r="BD11" i="22"/>
  <c r="DM95" i="1"/>
  <c r="DM68" i="2"/>
  <c r="DZ13" i="9"/>
  <c r="DX13" i="9"/>
  <c r="DY13" i="9"/>
  <c r="DW13" i="9"/>
  <c r="BC70" i="22"/>
  <c r="DY47" i="9"/>
  <c r="DY46" i="9" s="1"/>
  <c r="DX48" i="9"/>
  <c r="DX73" i="1" s="1"/>
  <c r="DX12" i="1" s="1"/>
  <c r="DT5" i="7"/>
  <c r="DO3" i="7"/>
  <c r="ED27" i="9"/>
  <c r="EC77" i="1"/>
  <c r="EC14" i="1" s="1"/>
  <c r="DW6" i="9"/>
  <c r="DW11" i="9" s="1"/>
  <c r="DZ93" i="1"/>
  <c r="BC4" i="15"/>
  <c r="BD4" i="15" s="1"/>
  <c r="BC51" i="2"/>
  <c r="BC66" i="2"/>
  <c r="BC161" i="1"/>
  <c r="BD161" i="1" s="1"/>
  <c r="BD163" i="1" s="1"/>
  <c r="BD48" i="2"/>
  <c r="BB7" i="15"/>
  <c r="BB11" i="15"/>
  <c r="BB12" i="15" s="1"/>
  <c r="BF63" i="2"/>
  <c r="BF45" i="2"/>
  <c r="DL134" i="1"/>
  <c r="DK158" i="1"/>
  <c r="DL158" i="1" s="1"/>
  <c r="EF31" i="2"/>
  <c r="DC3" i="15"/>
  <c r="DC23" i="9"/>
  <c r="AY24" i="22" s="1"/>
  <c r="DC3" i="9"/>
  <c r="AY4" i="22" s="1"/>
  <c r="DC51" i="9"/>
  <c r="DC32" i="9"/>
  <c r="DC45" i="9"/>
  <c r="DC106" i="1"/>
  <c r="DC59" i="1"/>
  <c r="DC25" i="1"/>
  <c r="DC77" i="2"/>
  <c r="DC83" i="2"/>
  <c r="DC130" i="1"/>
  <c r="DC3" i="2"/>
  <c r="AY32" i="22" s="1"/>
  <c r="DC3" i="1"/>
  <c r="DC52" i="2"/>
  <c r="BG159" i="1"/>
  <c r="BG62" i="2"/>
  <c r="BH38" i="2"/>
  <c r="BG39" i="2"/>
  <c r="DK143" i="1"/>
  <c r="DK8" i="15"/>
  <c r="DK9" i="15" s="1"/>
  <c r="EE132" i="1"/>
  <c r="EF132" i="1" s="1"/>
  <c r="EF21" i="1"/>
  <c r="DJ3" i="11"/>
  <c r="DJ9" i="7"/>
  <c r="DG85" i="2"/>
  <c r="DG86" i="2" s="1"/>
  <c r="DG87" i="2" s="1"/>
  <c r="DV73" i="1"/>
  <c r="DV74" i="1" s="1"/>
  <c r="DU12" i="1"/>
  <c r="DV12" i="1" s="1"/>
  <c r="DE3" i="15"/>
  <c r="BA16" i="15"/>
  <c r="BA17" i="15"/>
  <c r="BA4" i="11" s="1"/>
  <c r="BA6" i="11" s="1"/>
  <c r="BA18" i="15"/>
  <c r="DL8" i="15"/>
  <c r="DL9" i="15" s="1"/>
  <c r="DH130" i="1" l="1"/>
  <c r="DH106" i="1"/>
  <c r="DH25" i="1"/>
  <c r="DF3" i="2"/>
  <c r="BB32" i="22" s="1"/>
  <c r="DF32" i="9"/>
  <c r="DF3" i="1"/>
  <c r="DF106" i="1"/>
  <c r="DF25" i="1"/>
  <c r="DF77" i="2"/>
  <c r="DF59" i="1"/>
  <c r="DF52" i="2"/>
  <c r="DF130" i="1"/>
  <c r="DF83" i="2"/>
  <c r="BD73" i="22"/>
  <c r="DR150" i="1"/>
  <c r="DS46" i="2"/>
  <c r="DS65" i="2" s="1"/>
  <c r="DF3" i="9"/>
  <c r="BB4" i="22" s="1"/>
  <c r="DF45" i="9"/>
  <c r="DF23" i="9"/>
  <c r="BB24" i="22" s="1"/>
  <c r="DF51" i="9"/>
  <c r="DV28" i="2"/>
  <c r="DX28" i="2"/>
  <c r="DY28" i="2" s="1"/>
  <c r="DZ28" i="2" s="1"/>
  <c r="EB28" i="2" s="1"/>
  <c r="DD45" i="9"/>
  <c r="DD3" i="9"/>
  <c r="AZ4" i="22" s="1"/>
  <c r="DD59" i="1"/>
  <c r="DD23" i="9"/>
  <c r="AZ24" i="22" s="1"/>
  <c r="DD52" i="2"/>
  <c r="DD106" i="1"/>
  <c r="DD51" i="9"/>
  <c r="DD3" i="2"/>
  <c r="AZ32" i="22" s="1"/>
  <c r="DD3" i="1"/>
  <c r="DD32" i="9"/>
  <c r="DD83" i="2"/>
  <c r="DD3" i="15"/>
  <c r="DD25" i="1"/>
  <c r="DD77" i="2"/>
  <c r="DD130" i="1"/>
  <c r="DN3" i="7"/>
  <c r="DS5" i="7"/>
  <c r="DI9" i="7"/>
  <c r="DI3" i="11"/>
  <c r="DF3" i="15"/>
  <c r="DB32" i="9"/>
  <c r="DB45" i="9"/>
  <c r="DB3" i="9"/>
  <c r="AX4" i="22" s="1"/>
  <c r="DB83" i="2"/>
  <c r="DB77" i="2"/>
  <c r="DB3" i="1"/>
  <c r="DB51" i="9"/>
  <c r="DB3" i="15"/>
  <c r="DB130" i="1"/>
  <c r="DB23" i="9"/>
  <c r="AX24" i="22" s="1"/>
  <c r="DB52" i="2"/>
  <c r="DB106" i="1"/>
  <c r="DB59" i="1"/>
  <c r="DB25" i="1"/>
  <c r="DB3" i="2"/>
  <c r="AX32" i="22" s="1"/>
  <c r="DG27" i="11"/>
  <c r="DG3" i="11"/>
  <c r="DG9" i="7"/>
  <c r="DQ5" i="7"/>
  <c r="DL3" i="7"/>
  <c r="DU5" i="7"/>
  <c r="DP3" i="7"/>
  <c r="DK3" i="11"/>
  <c r="DK9" i="7"/>
  <c r="BD7" i="15"/>
  <c r="BD11" i="15"/>
  <c r="BD12" i="15" s="1"/>
  <c r="DJ51" i="9"/>
  <c r="DJ45" i="9"/>
  <c r="DJ23" i="9"/>
  <c r="BF24" i="22" s="1"/>
  <c r="DJ3" i="15"/>
  <c r="DJ130" i="1"/>
  <c r="DJ106" i="1"/>
  <c r="DJ3" i="1"/>
  <c r="DJ32" i="9"/>
  <c r="DJ3" i="9"/>
  <c r="BF4" i="22" s="1"/>
  <c r="DJ83" i="2"/>
  <c r="DJ59" i="1"/>
  <c r="DJ25" i="1"/>
  <c r="DJ77" i="2"/>
  <c r="DJ52" i="2"/>
  <c r="DJ3" i="2"/>
  <c r="BF32" i="22" s="1"/>
  <c r="BC67" i="2"/>
  <c r="BC80" i="2" s="1"/>
  <c r="BC75" i="2"/>
  <c r="BC79" i="2"/>
  <c r="BD10" i="22"/>
  <c r="EB93" i="1"/>
  <c r="ED77" i="1"/>
  <c r="ED14" i="1" s="1"/>
  <c r="EE27" i="9"/>
  <c r="BE4" i="15"/>
  <c r="BE161" i="1"/>
  <c r="BE66" i="2"/>
  <c r="BE51" i="2"/>
  <c r="DR3" i="7"/>
  <c r="DW5" i="7"/>
  <c r="DG84" i="2"/>
  <c r="DG88" i="2" s="1"/>
  <c r="BF47" i="2"/>
  <c r="BF48" i="2"/>
  <c r="D78" i="22"/>
  <c r="BD51" i="2"/>
  <c r="BD66" i="2"/>
  <c r="ED25" i="9"/>
  <c r="EE4" i="9"/>
  <c r="ED7" i="9"/>
  <c r="ED15" i="9"/>
  <c r="DH3" i="15"/>
  <c r="DH45" i="9"/>
  <c r="DH23" i="9"/>
  <c r="BD24" i="22" s="1"/>
  <c r="DH51" i="9"/>
  <c r="DH32" i="9"/>
  <c r="DH3" i="9"/>
  <c r="BD4" i="22" s="1"/>
  <c r="DH83" i="2"/>
  <c r="DH77" i="2"/>
  <c r="DH52" i="2"/>
  <c r="DH59" i="1"/>
  <c r="DH3" i="2"/>
  <c r="BD32" i="22" s="1"/>
  <c r="DH3" i="1"/>
  <c r="DM3" i="11"/>
  <c r="DM9" i="7"/>
  <c r="BH159" i="1"/>
  <c r="BH62" i="2"/>
  <c r="BJ38" i="2"/>
  <c r="BH39" i="2"/>
  <c r="BI39" i="2" s="1"/>
  <c r="BI38" i="2"/>
  <c r="DO3" i="11"/>
  <c r="DO9" i="7"/>
  <c r="DM5" i="15"/>
  <c r="DM34" i="2"/>
  <c r="BI63" i="22" s="1"/>
  <c r="DY5" i="7"/>
  <c r="DT3" i="7"/>
  <c r="DF2" i="2"/>
  <c r="BB51" i="22"/>
  <c r="BB40" i="22"/>
  <c r="BB48" i="22"/>
  <c r="DG11" i="2"/>
  <c r="BB56" i="22"/>
  <c r="BB55" i="22"/>
  <c r="DG26" i="2"/>
  <c r="DX6" i="9"/>
  <c r="DW5" i="9"/>
  <c r="BC7" i="15"/>
  <c r="BC11" i="15"/>
  <c r="BC12" i="15" s="1"/>
  <c r="BG63" i="2"/>
  <c r="BG45" i="2"/>
  <c r="DW36" i="2"/>
  <c r="DW20" i="1" s="1"/>
  <c r="DL143" i="1"/>
  <c r="DM91" i="1"/>
  <c r="BB31" i="15"/>
  <c r="BB13" i="15"/>
  <c r="DY48" i="9"/>
  <c r="DY73" i="1" s="1"/>
  <c r="DY12" i="1" s="1"/>
  <c r="DZ47" i="9"/>
  <c r="DZ46" i="9" s="1"/>
  <c r="DS42" i="1" l="1"/>
  <c r="EA28" i="2"/>
  <c r="EC28" i="2"/>
  <c r="ED28" i="2" s="1"/>
  <c r="EE28" i="2" s="1"/>
  <c r="DN3" i="11"/>
  <c r="DN9" i="7"/>
  <c r="DX5" i="7"/>
  <c r="DS3" i="7"/>
  <c r="DI3" i="9"/>
  <c r="BE4" i="22" s="1"/>
  <c r="DI130" i="1"/>
  <c r="DI3" i="1"/>
  <c r="DI3" i="15"/>
  <c r="DI52" i="2"/>
  <c r="DI23" i="9"/>
  <c r="BE24" i="22" s="1"/>
  <c r="DI106" i="1"/>
  <c r="DI51" i="9"/>
  <c r="DI25" i="1"/>
  <c r="DI32" i="9"/>
  <c r="DI45" i="9"/>
  <c r="DI83" i="2"/>
  <c r="DI59" i="1"/>
  <c r="DI77" i="2"/>
  <c r="DI3" i="2"/>
  <c r="BE32" i="22" s="1"/>
  <c r="DZ5" i="7"/>
  <c r="DU3" i="7"/>
  <c r="DL3" i="11"/>
  <c r="DL27" i="11"/>
  <c r="DL9" i="7"/>
  <c r="DV5" i="7"/>
  <c r="DQ3" i="7"/>
  <c r="DG45" i="9"/>
  <c r="DG3" i="9"/>
  <c r="BC4" i="22" s="1"/>
  <c r="DG83" i="2"/>
  <c r="DG77" i="2"/>
  <c r="DG51" i="9"/>
  <c r="DG3" i="15"/>
  <c r="DG52" i="2"/>
  <c r="DG130" i="1"/>
  <c r="DG32" i="9"/>
  <c r="DG25" i="1"/>
  <c r="DG3" i="2"/>
  <c r="BC32" i="22" s="1"/>
  <c r="DG3" i="1"/>
  <c r="DG59" i="1"/>
  <c r="DG23" i="9"/>
  <c r="BC24" i="22" s="1"/>
  <c r="DG106" i="1"/>
  <c r="DK3" i="15"/>
  <c r="DK3" i="2"/>
  <c r="BG32" i="22" s="1"/>
  <c r="DK51" i="9"/>
  <c r="DK83" i="2"/>
  <c r="DK23" i="9"/>
  <c r="BG24" i="22" s="1"/>
  <c r="DK25" i="1"/>
  <c r="DK45" i="9"/>
  <c r="DK32" i="9"/>
  <c r="DK130" i="1"/>
  <c r="DK3" i="1"/>
  <c r="DK77" i="2"/>
  <c r="DK3" i="9"/>
  <c r="BG4" i="22" s="1"/>
  <c r="DK106" i="1"/>
  <c r="DK52" i="2"/>
  <c r="DK59" i="1"/>
  <c r="DP3" i="11"/>
  <c r="DP9" i="7"/>
  <c r="DY3" i="7"/>
  <c r="ED5" i="7"/>
  <c r="ED3" i="7" s="1"/>
  <c r="DO51" i="9"/>
  <c r="DO45" i="9"/>
  <c r="DO3" i="15"/>
  <c r="DO32" i="9"/>
  <c r="DO3" i="9"/>
  <c r="BK4" i="22" s="1"/>
  <c r="DO59" i="1"/>
  <c r="DO83" i="2"/>
  <c r="DO130" i="1"/>
  <c r="DO25" i="1"/>
  <c r="DO77" i="2"/>
  <c r="DO23" i="9"/>
  <c r="BK24" i="22" s="1"/>
  <c r="DO106" i="1"/>
  <c r="DO3" i="1"/>
  <c r="DO52" i="2"/>
  <c r="DO3" i="2"/>
  <c r="BK32" i="22" s="1"/>
  <c r="BB15" i="15"/>
  <c r="BB17" i="15"/>
  <c r="BB4" i="11" s="1"/>
  <c r="BB6" i="11" s="1"/>
  <c r="BB18" i="15"/>
  <c r="BB16" i="15"/>
  <c r="BE7" i="15"/>
  <c r="BE11" i="15"/>
  <c r="BE12" i="15" s="1"/>
  <c r="EC93" i="1"/>
  <c r="BC55" i="22"/>
  <c r="DG27" i="2"/>
  <c r="BC56" i="22" s="1"/>
  <c r="DG61" i="2"/>
  <c r="BF4" i="15"/>
  <c r="BF66" i="2"/>
  <c r="BF161" i="1"/>
  <c r="BF51" i="2"/>
  <c r="E69" i="22"/>
  <c r="BI63" i="2"/>
  <c r="E68" i="22"/>
  <c r="BI159" i="1"/>
  <c r="BI62" i="2"/>
  <c r="DR3" i="11"/>
  <c r="DR9" i="7"/>
  <c r="DW160" i="1"/>
  <c r="F68" i="22"/>
  <c r="BJ159" i="1"/>
  <c r="BJ62" i="2"/>
  <c r="BK38" i="2"/>
  <c r="BJ39" i="2"/>
  <c r="DT3" i="11"/>
  <c r="DT9" i="7"/>
  <c r="EE25" i="9"/>
  <c r="EF25" i="9" s="1"/>
  <c r="EE7" i="9"/>
  <c r="EF7" i="9" s="1"/>
  <c r="EE15" i="9"/>
  <c r="EF15" i="9" s="1"/>
  <c r="EF4" i="9"/>
  <c r="EF1" i="9" s="1"/>
  <c r="EF27" i="9"/>
  <c r="EE77" i="1"/>
  <c r="DM22" i="1"/>
  <c r="DN92" i="1"/>
  <c r="BG47" i="2"/>
  <c r="BG48" i="2"/>
  <c r="DG133" i="1"/>
  <c r="DH157" i="1" s="1"/>
  <c r="DF157" i="1"/>
  <c r="DG157" i="1" s="1"/>
  <c r="DF141" i="1"/>
  <c r="DG53" i="2"/>
  <c r="DG55" i="2" s="1"/>
  <c r="DG19" i="2"/>
  <c r="BC48" i="22" s="1"/>
  <c r="DG22" i="2"/>
  <c r="BC51" i="22" s="1"/>
  <c r="BC40" i="22"/>
  <c r="EB5" i="7"/>
  <c r="EB3" i="7" s="1"/>
  <c r="DW3" i="7"/>
  <c r="DX36" i="2"/>
  <c r="DX160" i="1" s="1"/>
  <c r="BB72" i="22"/>
  <c r="DG42" i="2"/>
  <c r="BH63" i="2"/>
  <c r="BH45" i="2"/>
  <c r="BI45" i="2" s="1"/>
  <c r="BC31" i="15"/>
  <c r="BD31" i="15" s="1"/>
  <c r="BC13" i="15"/>
  <c r="BB79" i="22"/>
  <c r="BE67" i="2"/>
  <c r="BE80" i="2" s="1"/>
  <c r="BE79" i="2"/>
  <c r="BE75" i="2"/>
  <c r="BD13" i="22"/>
  <c r="BD30" i="22"/>
  <c r="BD25" i="22"/>
  <c r="BD13" i="15"/>
  <c r="BD20" i="15"/>
  <c r="BD23" i="15"/>
  <c r="BD25" i="15"/>
  <c r="EA46" i="9"/>
  <c r="EB47" i="9" s="1"/>
  <c r="EB46" i="9" s="1"/>
  <c r="DZ48" i="9"/>
  <c r="DY6" i="9"/>
  <c r="DX5" i="9"/>
  <c r="DX11" i="9"/>
  <c r="BB45" i="22"/>
  <c r="DF91" i="2"/>
  <c r="DG16" i="2"/>
  <c r="DM23" i="9"/>
  <c r="BI24" i="22" s="1"/>
  <c r="DM45" i="9"/>
  <c r="DM51" i="9"/>
  <c r="DM32" i="9"/>
  <c r="DM3" i="9"/>
  <c r="BI4" i="22" s="1"/>
  <c r="DM3" i="15"/>
  <c r="DM130" i="1"/>
  <c r="DM106" i="1"/>
  <c r="DM3" i="1"/>
  <c r="DM83" i="2"/>
  <c r="DM59" i="1"/>
  <c r="DM77" i="2"/>
  <c r="DM52" i="2"/>
  <c r="DM3" i="2"/>
  <c r="BI32" i="22" s="1"/>
  <c r="DM25" i="1"/>
  <c r="BD79" i="2"/>
  <c r="BD67" i="2"/>
  <c r="BD75" i="2"/>
  <c r="DS150" i="1" l="1"/>
  <c r="DT46" i="2"/>
  <c r="BD80" i="22"/>
  <c r="EF28" i="2"/>
  <c r="BD34" i="22"/>
  <c r="BD44" i="22"/>
  <c r="BD36" i="22"/>
  <c r="DS3" i="11"/>
  <c r="DS9" i="7"/>
  <c r="EC5" i="7"/>
  <c r="EC3" i="7" s="1"/>
  <c r="DX3" i="7"/>
  <c r="DN25" i="1"/>
  <c r="DN3" i="2"/>
  <c r="BJ32" i="22" s="1"/>
  <c r="DN130" i="1"/>
  <c r="DN83" i="2"/>
  <c r="DN51" i="9"/>
  <c r="DN3" i="1"/>
  <c r="DN3" i="15"/>
  <c r="DN3" i="9"/>
  <c r="BJ4" i="22" s="1"/>
  <c r="DN45" i="9"/>
  <c r="DN52" i="2"/>
  <c r="DN77" i="2"/>
  <c r="DN32" i="9"/>
  <c r="DN59" i="1"/>
  <c r="DN23" i="9"/>
  <c r="BJ24" i="22" s="1"/>
  <c r="DN106" i="1"/>
  <c r="DQ3" i="11"/>
  <c r="DQ27" i="11"/>
  <c r="DQ9" i="7"/>
  <c r="EA5" i="7"/>
  <c r="DV3" i="7"/>
  <c r="DL77" i="2"/>
  <c r="DL3" i="15"/>
  <c r="DL52" i="2"/>
  <c r="DL45" i="9"/>
  <c r="DL106" i="1"/>
  <c r="DL51" i="9"/>
  <c r="DL3" i="2"/>
  <c r="BH32" i="22" s="1"/>
  <c r="DL83" i="2"/>
  <c r="DL3" i="1"/>
  <c r="DL32" i="9"/>
  <c r="DL23" i="9"/>
  <c r="BH24" i="22" s="1"/>
  <c r="DL130" i="1"/>
  <c r="DL59" i="1"/>
  <c r="DL3" i="9"/>
  <c r="BH4" i="22" s="1"/>
  <c r="DL25" i="1"/>
  <c r="DP25" i="1"/>
  <c r="DP130" i="1"/>
  <c r="DP77" i="2"/>
  <c r="DP106" i="1"/>
  <c r="DP3" i="15"/>
  <c r="DP51" i="9"/>
  <c r="DP45" i="9"/>
  <c r="DP23" i="9"/>
  <c r="BL24" i="22" s="1"/>
  <c r="DP32" i="9"/>
  <c r="DP3" i="9"/>
  <c r="BL4" i="22" s="1"/>
  <c r="DP52" i="2"/>
  <c r="DP3" i="2"/>
  <c r="BL32" i="22" s="1"/>
  <c r="DP59" i="1"/>
  <c r="DP83" i="2"/>
  <c r="DP3" i="1"/>
  <c r="DU9" i="7"/>
  <c r="DU3" i="11"/>
  <c r="DZ3" i="7"/>
  <c r="EE5" i="7"/>
  <c r="EE3" i="7" s="1"/>
  <c r="EF16" i="9"/>
  <c r="E75" i="22"/>
  <c r="BI47" i="2"/>
  <c r="E77" i="22" s="1"/>
  <c r="BE29" i="22"/>
  <c r="DZ6" i="9"/>
  <c r="DY5" i="9"/>
  <c r="ED3" i="11"/>
  <c r="ED9" i="7"/>
  <c r="EF77" i="1"/>
  <c r="EE14" i="1"/>
  <c r="EF14" i="1" s="1"/>
  <c r="EB48" i="9"/>
  <c r="EB73" i="1" s="1"/>
  <c r="EB12" i="1" s="1"/>
  <c r="EC47" i="9"/>
  <c r="EC46" i="9" s="1"/>
  <c r="DT3" i="15"/>
  <c r="DT23" i="9"/>
  <c r="DT106" i="1"/>
  <c r="DT45" i="9"/>
  <c r="DT51" i="9"/>
  <c r="DT130" i="1"/>
  <c r="DT3" i="9"/>
  <c r="DT59" i="1"/>
  <c r="DT32" i="9"/>
  <c r="DT3" i="1"/>
  <c r="DT52" i="2"/>
  <c r="DT25" i="1"/>
  <c r="DT83" i="2"/>
  <c r="DT77" i="2"/>
  <c r="DT3" i="2"/>
  <c r="DY3" i="11"/>
  <c r="DY9" i="7"/>
  <c r="EB3" i="11"/>
  <c r="EB9" i="7"/>
  <c r="BD80" i="2"/>
  <c r="BD69" i="2"/>
  <c r="DX20" i="1"/>
  <c r="BD43" i="22"/>
  <c r="DG141" i="1"/>
  <c r="DR32" i="9"/>
  <c r="DR3" i="15"/>
  <c r="DR3" i="9"/>
  <c r="DR45" i="9"/>
  <c r="DR51" i="9"/>
  <c r="DR106" i="1"/>
  <c r="DR23" i="9"/>
  <c r="DR77" i="2"/>
  <c r="DR25" i="1"/>
  <c r="DR59" i="1"/>
  <c r="DR3" i="1"/>
  <c r="DR130" i="1"/>
  <c r="DR3" i="2"/>
  <c r="DR83" i="2"/>
  <c r="DR52" i="2"/>
  <c r="BF75" i="2"/>
  <c r="BF79" i="2"/>
  <c r="BF67" i="2"/>
  <c r="BF80" i="2" s="1"/>
  <c r="DM19" i="1"/>
  <c r="DM134" i="1"/>
  <c r="D83" i="22"/>
  <c r="BD82" i="2"/>
  <c r="ED93" i="1"/>
  <c r="DG37" i="1"/>
  <c r="DF148" i="1"/>
  <c r="DF6" i="15"/>
  <c r="BG161" i="1"/>
  <c r="BG66" i="2"/>
  <c r="BG4" i="15"/>
  <c r="BG51" i="2"/>
  <c r="F69" i="22"/>
  <c r="BJ63" i="2"/>
  <c r="BJ45" i="2"/>
  <c r="BF7" i="15"/>
  <c r="BF11" i="15"/>
  <c r="BF12" i="15" s="1"/>
  <c r="BH48" i="2"/>
  <c r="BH47" i="2"/>
  <c r="BC72" i="22"/>
  <c r="DG43" i="2"/>
  <c r="BC73" i="22" s="1"/>
  <c r="DG64" i="2"/>
  <c r="BC45" i="22"/>
  <c r="DG91" i="2"/>
  <c r="DG2" i="2"/>
  <c r="BB82" i="22"/>
  <c r="G68" i="22"/>
  <c r="BK159" i="1"/>
  <c r="BL38" i="2"/>
  <c r="BK62" i="2"/>
  <c r="BK39" i="2"/>
  <c r="BE13" i="15"/>
  <c r="BE31" i="15"/>
  <c r="BC15" i="15"/>
  <c r="BC17" i="15"/>
  <c r="BC4" i="11" s="1"/>
  <c r="BC6" i="11" s="1"/>
  <c r="BD6" i="11" s="1"/>
  <c r="BC18" i="15"/>
  <c r="BC16" i="15"/>
  <c r="DG70" i="2"/>
  <c r="BC79" i="22" s="1"/>
  <c r="DG57" i="2"/>
  <c r="BD62" i="22"/>
  <c r="EA48" i="9"/>
  <c r="EA47" i="9" s="1"/>
  <c r="DZ73" i="1"/>
  <c r="DY11" i="9"/>
  <c r="BD16" i="15"/>
  <c r="BD17" i="15"/>
  <c r="BD4" i="11" s="1"/>
  <c r="BD18" i="15"/>
  <c r="BD15" i="15"/>
  <c r="DW3" i="11"/>
  <c r="DW9" i="7"/>
  <c r="DN95" i="1"/>
  <c r="DN68" i="2"/>
  <c r="DT42" i="1" l="1"/>
  <c r="DT65" i="2"/>
  <c r="BE18" i="22"/>
  <c r="BD27" i="22"/>
  <c r="DX3" i="11"/>
  <c r="DX9" i="7"/>
  <c r="EC3" i="11"/>
  <c r="EC9" i="7"/>
  <c r="DS51" i="9"/>
  <c r="DS130" i="1"/>
  <c r="DS3" i="15"/>
  <c r="DS3" i="9"/>
  <c r="DS106" i="1"/>
  <c r="DS32" i="9"/>
  <c r="DS59" i="1"/>
  <c r="DS3" i="1"/>
  <c r="DS83" i="2"/>
  <c r="DS3" i="2"/>
  <c r="DS52" i="2"/>
  <c r="DS45" i="9"/>
  <c r="DS23" i="9"/>
  <c r="DS77" i="2"/>
  <c r="DS25" i="1"/>
  <c r="DU23" i="9"/>
  <c r="DU51" i="9"/>
  <c r="DU3" i="9"/>
  <c r="DU3" i="15"/>
  <c r="DU52" i="2"/>
  <c r="DU25" i="1"/>
  <c r="DU77" i="2"/>
  <c r="DU59" i="1"/>
  <c r="DU32" i="9"/>
  <c r="DU130" i="1"/>
  <c r="DU3" i="1"/>
  <c r="DU83" i="2"/>
  <c r="DU45" i="9"/>
  <c r="DU106" i="1"/>
  <c r="DU3" i="2"/>
  <c r="DV9" i="7"/>
  <c r="DV27" i="11"/>
  <c r="DV3" i="11"/>
  <c r="EF5" i="7"/>
  <c r="EF3" i="7" s="1"/>
  <c r="EA3" i="7"/>
  <c r="EE3" i="11"/>
  <c r="EE9" i="7"/>
  <c r="DQ51" i="9"/>
  <c r="DQ3" i="2"/>
  <c r="BM32" i="22" s="1"/>
  <c r="DQ23" i="9"/>
  <c r="BM24" i="22" s="1"/>
  <c r="DQ83" i="2"/>
  <c r="DQ130" i="1"/>
  <c r="DQ45" i="9"/>
  <c r="DQ106" i="1"/>
  <c r="DQ59" i="1"/>
  <c r="DQ25" i="1"/>
  <c r="DQ77" i="2"/>
  <c r="DQ3" i="15"/>
  <c r="DQ52" i="2"/>
  <c r="DQ32" i="9"/>
  <c r="DQ3" i="9"/>
  <c r="BM4" i="22" s="1"/>
  <c r="DQ3" i="1"/>
  <c r="DZ3" i="11"/>
  <c r="DZ9" i="7"/>
  <c r="ED47" i="9"/>
  <c r="ED46" i="9" s="1"/>
  <c r="EC48" i="9"/>
  <c r="EC73" i="1" s="1"/>
  <c r="EC12" i="1" s="1"/>
  <c r="BG7" i="15"/>
  <c r="BG11" i="15"/>
  <c r="BG12" i="15" s="1"/>
  <c r="DZ5" i="9"/>
  <c r="EA5" i="9" s="1"/>
  <c r="DZ11" i="9"/>
  <c r="G69" i="22"/>
  <c r="BK63" i="2"/>
  <c r="BK45" i="2"/>
  <c r="BG75" i="2"/>
  <c r="BG67" i="2"/>
  <c r="BG80" i="2" s="1"/>
  <c r="BG79" i="2"/>
  <c r="DW3" i="15"/>
  <c r="DW23" i="9"/>
  <c r="DW32" i="9"/>
  <c r="DW51" i="9"/>
  <c r="DW45" i="9"/>
  <c r="DW130" i="1"/>
  <c r="DW106" i="1"/>
  <c r="DW3" i="1"/>
  <c r="DW52" i="2"/>
  <c r="DW25" i="1"/>
  <c r="DW83" i="2"/>
  <c r="DW3" i="9"/>
  <c r="DW3" i="2"/>
  <c r="DW59" i="1"/>
  <c r="DW77" i="2"/>
  <c r="F75" i="22"/>
  <c r="BJ48" i="2"/>
  <c r="BJ47" i="2"/>
  <c r="F77" i="22" s="1"/>
  <c r="DG74" i="2"/>
  <c r="BC82" i="22" s="1"/>
  <c r="DG58" i="2"/>
  <c r="BD30" i="11"/>
  <c r="BD96" i="2"/>
  <c r="DH30" i="2"/>
  <c r="DH64" i="1" s="1"/>
  <c r="DH65" i="1" s="1"/>
  <c r="DJ65" i="1" s="1"/>
  <c r="DK65" i="1" s="1"/>
  <c r="DM65" i="1" s="1"/>
  <c r="DN65" i="1" s="1"/>
  <c r="DO65" i="1" s="1"/>
  <c r="DP65" i="1" s="1"/>
  <c r="DR65" i="1" s="1"/>
  <c r="DS65" i="1" s="1"/>
  <c r="DT65" i="1" s="1"/>
  <c r="DU65" i="1" s="1"/>
  <c r="DW65" i="1" s="1"/>
  <c r="DX65" i="1" s="1"/>
  <c r="DY65" i="1" s="1"/>
  <c r="DZ65" i="1" s="1"/>
  <c r="EB65" i="1" s="1"/>
  <c r="EC65" i="1" s="1"/>
  <c r="ED65" i="1" s="1"/>
  <c r="EE65" i="1" s="1"/>
  <c r="BE17" i="15"/>
  <c r="BE4" i="11" s="1"/>
  <c r="BE6" i="11" s="1"/>
  <c r="BE18" i="15"/>
  <c r="BE15" i="15"/>
  <c r="BE16" i="15"/>
  <c r="EA73" i="1"/>
  <c r="EA74" i="1" s="1"/>
  <c r="DZ12" i="1"/>
  <c r="EA12" i="1" s="1"/>
  <c r="DN91" i="1"/>
  <c r="BB65" i="22"/>
  <c r="BB81" i="22"/>
  <c r="DY36" i="2"/>
  <c r="DY20" i="1" s="1"/>
  <c r="H68" i="22"/>
  <c r="BL159" i="1"/>
  <c r="BM38" i="2"/>
  <c r="BN38" i="2" s="1"/>
  <c r="BL62" i="2"/>
  <c r="BL39" i="2"/>
  <c r="EB51" i="9"/>
  <c r="EB45" i="9"/>
  <c r="EB3" i="15"/>
  <c r="EB23" i="9"/>
  <c r="EB106" i="1"/>
  <c r="EB59" i="1"/>
  <c r="EB25" i="1"/>
  <c r="EB130" i="1"/>
  <c r="EB83" i="2"/>
  <c r="EB32" i="9"/>
  <c r="EB77" i="2"/>
  <c r="EB3" i="9"/>
  <c r="EB3" i="2"/>
  <c r="EB52" i="2"/>
  <c r="EB3" i="1"/>
  <c r="BD61" i="22"/>
  <c r="DM158" i="1"/>
  <c r="DM8" i="15"/>
  <c r="DM9" i="15" s="1"/>
  <c r="DM143" i="1"/>
  <c r="BH4" i="15"/>
  <c r="BH161" i="1"/>
  <c r="BI161" i="1" s="1"/>
  <c r="BI163" i="1" s="1"/>
  <c r="BH66" i="2"/>
  <c r="BH51" i="2"/>
  <c r="BD42" i="22"/>
  <c r="DG148" i="1"/>
  <c r="DG6" i="15"/>
  <c r="DY23" i="9"/>
  <c r="DY45" i="9"/>
  <c r="DY51" i="9"/>
  <c r="DY3" i="15"/>
  <c r="DY32" i="9"/>
  <c r="DY3" i="9"/>
  <c r="DY130" i="1"/>
  <c r="DY3" i="1"/>
  <c r="DY77" i="2"/>
  <c r="DY52" i="2"/>
  <c r="DY3" i="2"/>
  <c r="DY83" i="2"/>
  <c r="DY106" i="1"/>
  <c r="DY59" i="1"/>
  <c r="DY25" i="1"/>
  <c r="ED51" i="9"/>
  <c r="ED32" i="9"/>
  <c r="ED23" i="9"/>
  <c r="ED3" i="9"/>
  <c r="ED45" i="9"/>
  <c r="ED106" i="1"/>
  <c r="ED130" i="1"/>
  <c r="ED59" i="1"/>
  <c r="ED77" i="2"/>
  <c r="ED3" i="15"/>
  <c r="ED83" i="2"/>
  <c r="ED52" i="2"/>
  <c r="ED3" i="1"/>
  <c r="ED25" i="1"/>
  <c r="ED3" i="2"/>
  <c r="DN5" i="15"/>
  <c r="DN34" i="2"/>
  <c r="BJ63" i="22" s="1"/>
  <c r="BD5" i="11"/>
  <c r="BI48" i="2"/>
  <c r="BF13" i="15"/>
  <c r="BF31" i="15"/>
  <c r="EE93" i="1"/>
  <c r="DH29" i="2" l="1"/>
  <c r="DH17" i="2" s="1"/>
  <c r="DH37" i="2" s="1"/>
  <c r="DH60" i="2"/>
  <c r="DH59" i="2" s="1"/>
  <c r="DT150" i="1"/>
  <c r="DU46" i="2"/>
  <c r="BE47" i="22"/>
  <c r="DX32" i="9"/>
  <c r="DX130" i="1"/>
  <c r="DX77" i="2"/>
  <c r="DX3" i="9"/>
  <c r="DX3" i="1"/>
  <c r="DX51" i="9"/>
  <c r="DX45" i="9"/>
  <c r="DX59" i="1"/>
  <c r="DX106" i="1"/>
  <c r="DX83" i="2"/>
  <c r="DX25" i="1"/>
  <c r="DX3" i="15"/>
  <c r="DX52" i="2"/>
  <c r="DX23" i="9"/>
  <c r="DX3" i="2"/>
  <c r="EC3" i="9"/>
  <c r="EC59" i="1"/>
  <c r="EC3" i="1"/>
  <c r="EC3" i="2"/>
  <c r="EC130" i="1"/>
  <c r="EC83" i="2"/>
  <c r="EC52" i="2"/>
  <c r="EC3" i="15"/>
  <c r="EC45" i="9"/>
  <c r="EC25" i="1"/>
  <c r="EC32" i="9"/>
  <c r="EC77" i="2"/>
  <c r="EC51" i="9"/>
  <c r="EC23" i="9"/>
  <c r="EC106" i="1"/>
  <c r="EF27" i="11"/>
  <c r="EF3" i="11"/>
  <c r="EF9" i="7"/>
  <c r="EE106" i="1"/>
  <c r="EE130" i="1"/>
  <c r="EE77" i="2"/>
  <c r="EE25" i="1"/>
  <c r="EE83" i="2"/>
  <c r="EE51" i="9"/>
  <c r="EE3" i="9"/>
  <c r="EE32" i="9"/>
  <c r="EE23" i="9"/>
  <c r="EE59" i="1"/>
  <c r="EE52" i="2"/>
  <c r="EE3" i="1"/>
  <c r="EE45" i="9"/>
  <c r="EE3" i="2"/>
  <c r="EE3" i="15"/>
  <c r="EA27" i="11"/>
  <c r="EA9" i="7"/>
  <c r="EA3" i="11"/>
  <c r="DV25" i="1"/>
  <c r="DV3" i="2"/>
  <c r="DV51" i="9"/>
  <c r="DV52" i="2"/>
  <c r="DV45" i="9"/>
  <c r="DV77" i="2"/>
  <c r="DV130" i="1"/>
  <c r="DV3" i="9"/>
  <c r="DV106" i="1"/>
  <c r="DV32" i="9"/>
  <c r="DV59" i="1"/>
  <c r="DV3" i="15"/>
  <c r="DV23" i="9"/>
  <c r="DV3" i="1"/>
  <c r="DV83" i="2"/>
  <c r="DZ3" i="9"/>
  <c r="DZ3" i="1"/>
  <c r="DZ83" i="2"/>
  <c r="DZ106" i="1"/>
  <c r="DZ77" i="2"/>
  <c r="DZ45" i="9"/>
  <c r="DZ130" i="1"/>
  <c r="DZ51" i="9"/>
  <c r="DZ25" i="1"/>
  <c r="DZ52" i="2"/>
  <c r="DZ3" i="2"/>
  <c r="DZ3" i="15"/>
  <c r="DZ32" i="9"/>
  <c r="DZ59" i="1"/>
  <c r="DZ23" i="9"/>
  <c r="EA6" i="9"/>
  <c r="EA8" i="9"/>
  <c r="DZ36" i="2"/>
  <c r="DZ160" i="1" s="1"/>
  <c r="BH7" i="15"/>
  <c r="BH11" i="15"/>
  <c r="BH12" i="15" s="1"/>
  <c r="J68" i="22"/>
  <c r="BN159" i="1"/>
  <c r="BN62" i="2"/>
  <c r="H69" i="22"/>
  <c r="BL45" i="2"/>
  <c r="BL63" i="2"/>
  <c r="DN22" i="1"/>
  <c r="DO92" i="1"/>
  <c r="BD35" i="22"/>
  <c r="DY160" i="1"/>
  <c r="ED48" i="9"/>
  <c r="ED73" i="1" s="1"/>
  <c r="ED12" i="1" s="1"/>
  <c r="EE47" i="9"/>
  <c r="EE46" i="9" s="1"/>
  <c r="BD41" i="22"/>
  <c r="I68" i="22"/>
  <c r="BM159" i="1"/>
  <c r="BO38" i="2"/>
  <c r="BM62" i="2"/>
  <c r="BM39" i="2"/>
  <c r="BH75" i="2"/>
  <c r="BH79" i="2"/>
  <c r="BH67" i="2"/>
  <c r="BH80" i="2" s="1"/>
  <c r="F78" i="22"/>
  <c r="BJ4" i="15"/>
  <c r="BJ161" i="1"/>
  <c r="BJ51" i="2"/>
  <c r="BJ66" i="2"/>
  <c r="BG13" i="15"/>
  <c r="BG31" i="15"/>
  <c r="BF18" i="15"/>
  <c r="BF16" i="15"/>
  <c r="BF17" i="15"/>
  <c r="BF4" i="11" s="1"/>
  <c r="BF6" i="11" s="1"/>
  <c r="BF15" i="15"/>
  <c r="E78" i="22"/>
  <c r="BI4" i="15"/>
  <c r="BI66" i="2"/>
  <c r="BI51" i="2"/>
  <c r="BC65" i="22"/>
  <c r="DG73" i="2"/>
  <c r="G75" i="22"/>
  <c r="BK48" i="2"/>
  <c r="BK47" i="2"/>
  <c r="G77" i="22" s="1"/>
  <c r="DU42" i="1" l="1"/>
  <c r="DU65" i="2"/>
  <c r="DV46" i="2"/>
  <c r="DV65" i="2" s="1"/>
  <c r="BD58" i="22"/>
  <c r="BD59" i="22"/>
  <c r="EA3" i="9"/>
  <c r="EA106" i="1"/>
  <c r="EA3" i="1"/>
  <c r="EA83" i="2"/>
  <c r="EA77" i="2"/>
  <c r="EA52" i="2"/>
  <c r="EA51" i="9"/>
  <c r="EA25" i="1"/>
  <c r="EA23" i="9"/>
  <c r="EA3" i="2"/>
  <c r="EA45" i="9"/>
  <c r="EA130" i="1"/>
  <c r="EA59" i="1"/>
  <c r="EA3" i="15"/>
  <c r="EA32" i="9"/>
  <c r="EF25" i="1"/>
  <c r="EF3" i="9"/>
  <c r="EF3" i="1"/>
  <c r="EF83" i="2"/>
  <c r="EF23" i="9"/>
  <c r="EF52" i="2"/>
  <c r="EF3" i="2"/>
  <c r="EF130" i="1"/>
  <c r="EF106" i="1"/>
  <c r="EF3" i="15"/>
  <c r="EF32" i="9"/>
  <c r="EF51" i="9"/>
  <c r="EF59" i="1"/>
  <c r="EF77" i="2"/>
  <c r="EF45" i="9"/>
  <c r="DZ20" i="1"/>
  <c r="EA20" i="1" s="1"/>
  <c r="DN19" i="1"/>
  <c r="DN134" i="1"/>
  <c r="BD33" i="22"/>
  <c r="BI7" i="15"/>
  <c r="BI11" i="15"/>
  <c r="BI12" i="15" s="1"/>
  <c r="G78" i="22"/>
  <c r="BK4" i="15"/>
  <c r="BK161" i="1"/>
  <c r="BK66" i="2"/>
  <c r="BK51" i="2"/>
  <c r="I69" i="22"/>
  <c r="BM63" i="2"/>
  <c r="BM45" i="2"/>
  <c r="BJ7" i="15"/>
  <c r="BJ11" i="15"/>
  <c r="BJ12" i="15" s="1"/>
  <c r="DO95" i="1"/>
  <c r="DO68" i="2"/>
  <c r="EE13" i="9"/>
  <c r="EC13" i="9"/>
  <c r="ED13" i="9"/>
  <c r="EB13" i="9"/>
  <c r="BE20" i="22"/>
  <c r="BH13" i="15"/>
  <c r="BH31" i="15"/>
  <c r="BI31" i="15" s="1"/>
  <c r="DF69" i="2"/>
  <c r="BC81" i="22"/>
  <c r="BN39" i="2"/>
  <c r="BG18" i="15"/>
  <c r="BG16" i="15"/>
  <c r="BG17" i="15"/>
  <c r="BG4" i="11" s="1"/>
  <c r="BG6" i="11" s="1"/>
  <c r="BG15" i="15"/>
  <c r="K68" i="22"/>
  <c r="BO62" i="2"/>
  <c r="BP38" i="2"/>
  <c r="BO39" i="2"/>
  <c r="BJ67" i="2"/>
  <c r="BJ80" i="2" s="1"/>
  <c r="BJ79" i="2"/>
  <c r="F83" i="22" s="1"/>
  <c r="BJ75" i="2"/>
  <c r="EA36" i="2"/>
  <c r="EA160" i="1" s="1"/>
  <c r="H75" i="22"/>
  <c r="BL48" i="2"/>
  <c r="BL47" i="2"/>
  <c r="H77" i="22" s="1"/>
  <c r="EB6" i="9"/>
  <c r="BI79" i="2"/>
  <c r="BI75" i="2"/>
  <c r="BI67" i="2"/>
  <c r="EE48" i="9"/>
  <c r="EF46" i="9"/>
  <c r="DV42" i="1" l="1"/>
  <c r="DU150" i="1"/>
  <c r="DI14" i="9"/>
  <c r="DI34" i="9" s="1"/>
  <c r="DI21" i="9"/>
  <c r="DN8" i="15"/>
  <c r="DN9" i="15" s="1"/>
  <c r="DN143" i="1"/>
  <c r="H78" i="22"/>
  <c r="BL4" i="15"/>
  <c r="BL161" i="1"/>
  <c r="BL66" i="2"/>
  <c r="BL51" i="2"/>
  <c r="EF48" i="9"/>
  <c r="EF47" i="9" s="1"/>
  <c r="EE73" i="1"/>
  <c r="BJ31" i="15"/>
  <c r="BJ13" i="15"/>
  <c r="J69" i="22"/>
  <c r="BN63" i="2"/>
  <c r="I75" i="22"/>
  <c r="BM48" i="2"/>
  <c r="BM47" i="2"/>
  <c r="I77" i="22" s="1"/>
  <c r="BI23" i="15"/>
  <c r="BI20" i="15"/>
  <c r="BI13" i="15"/>
  <c r="BI25" i="15"/>
  <c r="E83" i="22"/>
  <c r="BI82" i="2"/>
  <c r="BI80" i="2"/>
  <c r="BI69" i="2"/>
  <c r="DN158" i="1"/>
  <c r="K69" i="22"/>
  <c r="BO63" i="2"/>
  <c r="BO45" i="2"/>
  <c r="DO5" i="15"/>
  <c r="DO34" i="2"/>
  <c r="BK63" i="22" s="1"/>
  <c r="BK67" i="2"/>
  <c r="BK80" i="2" s="1"/>
  <c r="BK79" i="2"/>
  <c r="G83" i="22" s="1"/>
  <c r="BK75" i="2"/>
  <c r="L68" i="22"/>
  <c r="BP159" i="1"/>
  <c r="BQ38" i="2"/>
  <c r="BP62" i="2"/>
  <c r="BP39" i="2"/>
  <c r="BH15" i="15"/>
  <c r="BH16" i="15"/>
  <c r="BH18" i="15"/>
  <c r="BH17" i="15"/>
  <c r="BH4" i="11" s="1"/>
  <c r="BH6" i="11" s="1"/>
  <c r="BI6" i="11" s="1"/>
  <c r="EC6" i="9"/>
  <c r="EB5" i="9"/>
  <c r="EB11" i="9"/>
  <c r="BK7" i="15"/>
  <c r="BK11" i="15"/>
  <c r="BK12" i="15" s="1"/>
  <c r="DO91" i="1"/>
  <c r="BN45" i="2"/>
  <c r="EB36" i="2"/>
  <c r="BE15" i="22" l="1"/>
  <c r="DK1" i="9"/>
  <c r="BD70" i="22"/>
  <c r="DH41" i="2"/>
  <c r="BD71" i="22" s="1"/>
  <c r="DW46" i="2"/>
  <c r="DV150" i="1"/>
  <c r="BD38" i="22"/>
  <c r="BE22" i="22"/>
  <c r="BI30" i="11"/>
  <c r="BI96" i="2"/>
  <c r="ED6" i="9"/>
  <c r="ED11" i="9" s="1"/>
  <c r="EC5" i="9"/>
  <c r="EC11" i="9"/>
  <c r="I78" i="22"/>
  <c r="BM4" i="15"/>
  <c r="BM161" i="1"/>
  <c r="BN161" i="1" s="1"/>
  <c r="BN163" i="1" s="1"/>
  <c r="BM66" i="2"/>
  <c r="BM51" i="2"/>
  <c r="EB160" i="1"/>
  <c r="J75" i="22"/>
  <c r="BN47" i="2"/>
  <c r="J77" i="22" s="1"/>
  <c r="M68" i="22"/>
  <c r="BQ159" i="1"/>
  <c r="BQ62" i="2"/>
  <c r="BR38" i="2"/>
  <c r="BQ39" i="2"/>
  <c r="BL75" i="2"/>
  <c r="BL79" i="2"/>
  <c r="H83" i="22" s="1"/>
  <c r="BL67" i="2"/>
  <c r="BL80" i="2" s="1"/>
  <c r="BL7" i="15"/>
  <c r="BL11" i="15"/>
  <c r="BL12" i="15" s="1"/>
  <c r="BJ17" i="15"/>
  <c r="BJ4" i="11" s="1"/>
  <c r="BJ6" i="11" s="1"/>
  <c r="BJ18" i="15"/>
  <c r="BJ16" i="15"/>
  <c r="BJ15" i="15"/>
  <c r="BI16" i="15"/>
  <c r="BI18" i="15"/>
  <c r="BI15" i="15"/>
  <c r="BI17" i="15"/>
  <c r="BI4" i="11" s="1"/>
  <c r="BI5" i="11" s="1"/>
  <c r="DO22" i="1"/>
  <c r="DP92" i="1"/>
  <c r="L69" i="22"/>
  <c r="BP45" i="2"/>
  <c r="BP63" i="2"/>
  <c r="K75" i="22"/>
  <c r="BO48" i="2"/>
  <c r="BO47" i="2"/>
  <c r="K77" i="22" s="1"/>
  <c r="DH10" i="15"/>
  <c r="BN48" i="2"/>
  <c r="EB20" i="1"/>
  <c r="BK31" i="15"/>
  <c r="BK13" i="15"/>
  <c r="EF73" i="1"/>
  <c r="EF74" i="1" s="1"/>
  <c r="EE12" i="1"/>
  <c r="EF12" i="1" s="1"/>
  <c r="BE11" i="22" l="1"/>
  <c r="BE10" i="22"/>
  <c r="DH27" i="2"/>
  <c r="DH85" i="2"/>
  <c r="DH84" i="2" s="1"/>
  <c r="DW42" i="1"/>
  <c r="DW65" i="2"/>
  <c r="BD37" i="22"/>
  <c r="BM7" i="15"/>
  <c r="BM11" i="15"/>
  <c r="BM12" i="15" s="1"/>
  <c r="DO19" i="1"/>
  <c r="DO134" i="1"/>
  <c r="BL31" i="15"/>
  <c r="BL13" i="15"/>
  <c r="N68" i="22"/>
  <c r="BR159" i="1"/>
  <c r="BR62" i="2"/>
  <c r="BT38" i="2"/>
  <c r="BR39" i="2"/>
  <c r="BS39" i="2" s="1"/>
  <c r="EE6" i="9"/>
  <c r="ED5" i="9"/>
  <c r="EC36" i="2"/>
  <c r="BK18" i="15"/>
  <c r="BK15" i="15"/>
  <c r="BK17" i="15"/>
  <c r="BK4" i="11" s="1"/>
  <c r="BK6" i="11" s="1"/>
  <c r="BK16" i="15"/>
  <c r="K78" i="22"/>
  <c r="BO4" i="15"/>
  <c r="BO51" i="2"/>
  <c r="BO66" i="2"/>
  <c r="L75" i="22"/>
  <c r="BP48" i="2"/>
  <c r="BP47" i="2"/>
  <c r="L77" i="22" s="1"/>
  <c r="J78" i="22"/>
  <c r="BN4" i="15"/>
  <c r="BN66" i="2"/>
  <c r="BN51" i="2"/>
  <c r="BS38" i="2"/>
  <c r="BM79" i="2"/>
  <c r="I83" i="22" s="1"/>
  <c r="BM75" i="2"/>
  <c r="BM67" i="2"/>
  <c r="BM80" i="2" s="1"/>
  <c r="DP68" i="2"/>
  <c r="DP95" i="1"/>
  <c r="DQ92" i="1"/>
  <c r="M69" i="22"/>
  <c r="BQ45" i="2"/>
  <c r="BQ63" i="2"/>
  <c r="DK2" i="9" l="1"/>
  <c r="DX46" i="2"/>
  <c r="DX42" i="1" s="1"/>
  <c r="DW150" i="1"/>
  <c r="BD40" i="22"/>
  <c r="BD51" i="22"/>
  <c r="BD48" i="22"/>
  <c r="DH2" i="2"/>
  <c r="O69" i="22"/>
  <c r="BS63" i="2"/>
  <c r="DO158" i="1"/>
  <c r="EE5" i="9"/>
  <c r="EF5" i="9" s="1"/>
  <c r="EE11" i="9"/>
  <c r="BE30" i="22"/>
  <c r="BE13" i="22"/>
  <c r="BE25" i="22"/>
  <c r="DO8" i="15"/>
  <c r="DO9" i="15" s="1"/>
  <c r="DO143" i="1"/>
  <c r="EC160" i="1"/>
  <c r="M75" i="22"/>
  <c r="BQ47" i="2"/>
  <c r="M77" i="22" s="1"/>
  <c r="BQ48" i="2"/>
  <c r="EC20" i="1"/>
  <c r="BO7" i="15"/>
  <c r="BO11" i="15"/>
  <c r="BO12" i="15" s="1"/>
  <c r="O68" i="22"/>
  <c r="BS159" i="1"/>
  <c r="BS62" i="2"/>
  <c r="BN79" i="2"/>
  <c r="BN67" i="2"/>
  <c r="BN75" i="2"/>
  <c r="DP5" i="15"/>
  <c r="DP34" i="2"/>
  <c r="DQ68" i="2"/>
  <c r="DQ5" i="15" s="1"/>
  <c r="L78" i="22"/>
  <c r="BP4" i="15"/>
  <c r="BP161" i="1"/>
  <c r="BP51" i="2"/>
  <c r="BP66" i="2"/>
  <c r="BO67" i="2"/>
  <c r="BO80" i="2" s="1"/>
  <c r="BO79" i="2"/>
  <c r="K83" i="22" s="1"/>
  <c r="BO75" i="2"/>
  <c r="BM31" i="15"/>
  <c r="BN31" i="15" s="1"/>
  <c r="BM13" i="15"/>
  <c r="N69" i="22"/>
  <c r="BR45" i="2"/>
  <c r="BS45" i="2" s="1"/>
  <c r="BR63" i="2"/>
  <c r="P68" i="22"/>
  <c r="BT62" i="2"/>
  <c r="BU38" i="2"/>
  <c r="BT39" i="2"/>
  <c r="BN7" i="15"/>
  <c r="BN11" i="15"/>
  <c r="BN12" i="15" s="1"/>
  <c r="BL17" i="15"/>
  <c r="BL4" i="11" s="1"/>
  <c r="BL6" i="11" s="1"/>
  <c r="BL16" i="15"/>
  <c r="BL18" i="15"/>
  <c r="BL15" i="15"/>
  <c r="DQ95" i="1"/>
  <c r="DP91" i="1"/>
  <c r="DI142" i="1" l="1"/>
  <c r="DI144" i="1"/>
  <c r="DY46" i="2"/>
  <c r="DX150" i="1"/>
  <c r="DX65" i="2"/>
  <c r="DQ34" i="2"/>
  <c r="BM63" i="22" s="1"/>
  <c r="BL63" i="22"/>
  <c r="BD72" i="22"/>
  <c r="DH91" i="2"/>
  <c r="BD45" i="22"/>
  <c r="BD79" i="22"/>
  <c r="O75" i="22"/>
  <c r="BS47" i="2"/>
  <c r="O77" i="22" s="1"/>
  <c r="EF8" i="9"/>
  <c r="EF6" i="9"/>
  <c r="BN23" i="15"/>
  <c r="BN20" i="15"/>
  <c r="BN13" i="15"/>
  <c r="BN25" i="15"/>
  <c r="DJ28" i="9"/>
  <c r="BF29" i="22" s="1"/>
  <c r="BP7" i="15"/>
  <c r="BP11" i="15"/>
  <c r="BP12" i="15" s="1"/>
  <c r="N75" i="22"/>
  <c r="BR47" i="2"/>
  <c r="N77" i="22" s="1"/>
  <c r="BR48" i="2"/>
  <c r="P69" i="22"/>
  <c r="BT63" i="2"/>
  <c r="BT45" i="2"/>
  <c r="Q68" i="22"/>
  <c r="BU159" i="1"/>
  <c r="BU62" i="2"/>
  <c r="BV38" i="2"/>
  <c r="BU39" i="2"/>
  <c r="M78" i="22"/>
  <c r="BQ161" i="1"/>
  <c r="BQ4" i="15"/>
  <c r="BQ51" i="2"/>
  <c r="BQ66" i="2"/>
  <c r="BN80" i="2"/>
  <c r="BN69" i="2"/>
  <c r="BO31" i="15"/>
  <c r="BO13" i="15"/>
  <c r="ED36" i="2"/>
  <c r="DP22" i="1"/>
  <c r="DQ91" i="1"/>
  <c r="BM15" i="15"/>
  <c r="BM18" i="15"/>
  <c r="BM17" i="15"/>
  <c r="BM4" i="11" s="1"/>
  <c r="BM6" i="11" s="1"/>
  <c r="BN6" i="11" s="1"/>
  <c r="BM16" i="15"/>
  <c r="J83" i="22"/>
  <c r="BN82" i="2"/>
  <c r="BP79" i="2"/>
  <c r="L83" i="22" s="1"/>
  <c r="BP67" i="2"/>
  <c r="BP80" i="2" s="1"/>
  <c r="BP75" i="2"/>
  <c r="BE43" i="22"/>
  <c r="DY42" i="1" l="1"/>
  <c r="DY65" i="2"/>
  <c r="BD82" i="22"/>
  <c r="DH6" i="15"/>
  <c r="BD55" i="22"/>
  <c r="DJ17" i="9"/>
  <c r="BF18" i="22" s="1"/>
  <c r="BE27" i="22"/>
  <c r="BD56" i="22"/>
  <c r="Q69" i="22"/>
  <c r="BU63" i="2"/>
  <c r="BU45" i="2"/>
  <c r="N78" i="22"/>
  <c r="BR4" i="15"/>
  <c r="BR161" i="1"/>
  <c r="BS161" i="1" s="1"/>
  <c r="BS163" i="1" s="1"/>
  <c r="BR51" i="2"/>
  <c r="BR66" i="2"/>
  <c r="BS48" i="2"/>
  <c r="ED160" i="1"/>
  <c r="R68" i="22"/>
  <c r="BV159" i="1"/>
  <c r="BV62" i="2"/>
  <c r="BW38" i="2"/>
  <c r="BV39" i="2"/>
  <c r="P75" i="22"/>
  <c r="BT47" i="2"/>
  <c r="P77" i="22" s="1"/>
  <c r="BT48" i="2"/>
  <c r="BN30" i="11"/>
  <c r="BN96" i="2"/>
  <c r="BQ75" i="2"/>
  <c r="BQ79" i="2"/>
  <c r="M83" i="22" s="1"/>
  <c r="BQ67" i="2"/>
  <c r="BQ80" i="2" s="1"/>
  <c r="BO17" i="15"/>
  <c r="BO4" i="11" s="1"/>
  <c r="BO6" i="11" s="1"/>
  <c r="BO18" i="15"/>
  <c r="BO16" i="15"/>
  <c r="BO15" i="15"/>
  <c r="BN16" i="15"/>
  <c r="BN15" i="15"/>
  <c r="BN17" i="15"/>
  <c r="BN4" i="11" s="1"/>
  <c r="BN5" i="11" s="1"/>
  <c r="BN18" i="15"/>
  <c r="BP31" i="15"/>
  <c r="BP13" i="15"/>
  <c r="DR92" i="1"/>
  <c r="DQ93" i="1"/>
  <c r="BQ7" i="15"/>
  <c r="BQ11" i="15"/>
  <c r="BQ12" i="15" s="1"/>
  <c r="DQ22" i="1"/>
  <c r="DQ19" i="1" s="1"/>
  <c r="DP19" i="1"/>
  <c r="DP134" i="1"/>
  <c r="ED20" i="1"/>
  <c r="DZ46" i="2" l="1"/>
  <c r="DZ42" i="1" s="1"/>
  <c r="DY150" i="1"/>
  <c r="DJ29" i="9"/>
  <c r="DJ18" i="2"/>
  <c r="BF47" i="22" s="1"/>
  <c r="BD81" i="22"/>
  <c r="BD65" i="22"/>
  <c r="DR95" i="1"/>
  <c r="DR91" i="1" s="1"/>
  <c r="DR68" i="2"/>
  <c r="BP15" i="15"/>
  <c r="BP16" i="15"/>
  <c r="BP17" i="15"/>
  <c r="BP4" i="11" s="1"/>
  <c r="BP6" i="11" s="1"/>
  <c r="BP18" i="15"/>
  <c r="EE36" i="2"/>
  <c r="EE20" i="1" s="1"/>
  <c r="DP8" i="15"/>
  <c r="DP9" i="15" s="1"/>
  <c r="DP143" i="1"/>
  <c r="O78" i="22"/>
  <c r="BS4" i="15"/>
  <c r="BS66" i="2"/>
  <c r="BS51" i="2"/>
  <c r="BR79" i="2"/>
  <c r="N83" i="22" s="1"/>
  <c r="BR75" i="2"/>
  <c r="BR67" i="2"/>
  <c r="BR80" i="2" s="1"/>
  <c r="S68" i="22"/>
  <c r="BW159" i="1"/>
  <c r="BY38" i="2"/>
  <c r="BW62" i="2"/>
  <c r="BW39" i="2"/>
  <c r="BQ13" i="15"/>
  <c r="BQ31" i="15"/>
  <c r="DQ134" i="1"/>
  <c r="DP158" i="1"/>
  <c r="DQ158" i="1" s="1"/>
  <c r="P78" i="22"/>
  <c r="BT4" i="15"/>
  <c r="BT66" i="2"/>
  <c r="BT51" i="2"/>
  <c r="DQ8" i="15"/>
  <c r="DQ9" i="15" s="1"/>
  <c r="R69" i="22"/>
  <c r="BV63" i="2"/>
  <c r="BV45" i="2"/>
  <c r="BR7" i="15"/>
  <c r="BR11" i="15"/>
  <c r="BR12" i="15" s="1"/>
  <c r="BX38" i="2"/>
  <c r="Q75" i="22"/>
  <c r="BU48" i="2"/>
  <c r="BU47" i="2"/>
  <c r="Q77" i="22" s="1"/>
  <c r="DZ150" i="1" l="1"/>
  <c r="EA42" i="1"/>
  <c r="DZ65" i="2"/>
  <c r="EA46" i="2"/>
  <c r="EA65" i="2" s="1"/>
  <c r="EF20" i="1"/>
  <c r="S69" i="22"/>
  <c r="BW63" i="2"/>
  <c r="BW45" i="2"/>
  <c r="BX45" i="2" s="1"/>
  <c r="BX39" i="2"/>
  <c r="T68" i="22"/>
  <c r="BX159" i="1"/>
  <c r="BX62" i="2"/>
  <c r="Q78" i="22"/>
  <c r="BU4" i="15"/>
  <c r="BU161" i="1"/>
  <c r="BU66" i="2"/>
  <c r="BU51" i="2"/>
  <c r="DR22" i="1"/>
  <c r="DR19" i="1" s="1"/>
  <c r="DS92" i="1"/>
  <c r="U68" i="22"/>
  <c r="BZ38" i="2"/>
  <c r="BY62" i="2"/>
  <c r="BY39" i="2"/>
  <c r="DQ143" i="1"/>
  <c r="BT75" i="2"/>
  <c r="BT67" i="2"/>
  <c r="BT80" i="2" s="1"/>
  <c r="BT79" i="2"/>
  <c r="P83" i="22" s="1"/>
  <c r="BR31" i="15"/>
  <c r="BS31" i="15" s="1"/>
  <c r="BR13" i="15"/>
  <c r="BS67" i="2"/>
  <c r="BS75" i="2"/>
  <c r="BS79" i="2"/>
  <c r="R75" i="22"/>
  <c r="BV48" i="2"/>
  <c r="BV47" i="2"/>
  <c r="R77" i="22" s="1"/>
  <c r="BT7" i="15"/>
  <c r="BT11" i="15"/>
  <c r="BT12" i="15" s="1"/>
  <c r="BS7" i="15"/>
  <c r="BS11" i="15"/>
  <c r="BS12" i="15" s="1"/>
  <c r="EE160" i="1"/>
  <c r="EF36" i="2"/>
  <c r="EF160" i="1" s="1"/>
  <c r="BQ17" i="15"/>
  <c r="BQ4" i="11" s="1"/>
  <c r="BQ6" i="11" s="1"/>
  <c r="BQ15" i="15"/>
  <c r="BQ16" i="15"/>
  <c r="BQ18" i="15"/>
  <c r="DR5" i="15"/>
  <c r="DR34" i="2"/>
  <c r="EA150" i="1" l="1"/>
  <c r="EB46" i="2"/>
  <c r="EB42" i="1" s="1"/>
  <c r="DR134" i="1"/>
  <c r="DR158" i="1" s="1"/>
  <c r="T75" i="22"/>
  <c r="BX47" i="2"/>
  <c r="T77" i="22" s="1"/>
  <c r="V68" i="22"/>
  <c r="BZ159" i="1"/>
  <c r="BZ62" i="2"/>
  <c r="CA38" i="2"/>
  <c r="BZ39" i="2"/>
  <c r="T69" i="22"/>
  <c r="BX63" i="2"/>
  <c r="BS23" i="15"/>
  <c r="BS13" i="15"/>
  <c r="BS20" i="15"/>
  <c r="BS25" i="15"/>
  <c r="BU75" i="2"/>
  <c r="BU67" i="2"/>
  <c r="BU80" i="2" s="1"/>
  <c r="BU79" i="2"/>
  <c r="Q83" i="22" s="1"/>
  <c r="O83" i="22"/>
  <c r="BS82" i="2"/>
  <c r="BS80" i="2"/>
  <c r="BS69" i="2"/>
  <c r="DS95" i="1"/>
  <c r="DS68" i="2"/>
  <c r="BT13" i="15"/>
  <c r="BT31" i="15"/>
  <c r="BR16" i="15"/>
  <c r="BR18" i="15"/>
  <c r="BR15" i="15"/>
  <c r="BR17" i="15"/>
  <c r="BR4" i="11" s="1"/>
  <c r="BR6" i="11" s="1"/>
  <c r="BS6" i="11" s="1"/>
  <c r="DR8" i="15"/>
  <c r="DR9" i="15" s="1"/>
  <c r="R78" i="22"/>
  <c r="BV161" i="1"/>
  <c r="BV4" i="15"/>
  <c r="BV66" i="2"/>
  <c r="BV51" i="2"/>
  <c r="BU7" i="15"/>
  <c r="BU11" i="15"/>
  <c r="BU12" i="15" s="1"/>
  <c r="S75" i="22"/>
  <c r="BW48" i="2"/>
  <c r="BW47" i="2"/>
  <c r="S77" i="22" s="1"/>
  <c r="U69" i="22"/>
  <c r="BY63" i="2"/>
  <c r="BY45" i="2"/>
  <c r="EC46" i="2" l="1"/>
  <c r="EC65" i="2" s="1"/>
  <c r="EB150" i="1"/>
  <c r="EB65" i="2"/>
  <c r="DR143" i="1"/>
  <c r="V69" i="22"/>
  <c r="BZ63" i="2"/>
  <c r="BZ45" i="2"/>
  <c r="BV7" i="15"/>
  <c r="BV11" i="15"/>
  <c r="BV12" i="15" s="1"/>
  <c r="BV79" i="2"/>
  <c r="R83" i="22" s="1"/>
  <c r="BV75" i="2"/>
  <c r="BV67" i="2"/>
  <c r="BV80" i="2" s="1"/>
  <c r="BT15" i="15"/>
  <c r="BT18" i="15"/>
  <c r="BT16" i="15"/>
  <c r="BT17" i="15"/>
  <c r="BT4" i="11" s="1"/>
  <c r="BT6" i="11" s="1"/>
  <c r="S78" i="22"/>
  <c r="BW4" i="15"/>
  <c r="BW161" i="1"/>
  <c r="BX161" i="1" s="1"/>
  <c r="BX163" i="1" s="1"/>
  <c r="BW66" i="2"/>
  <c r="BW51" i="2"/>
  <c r="BX48" i="2"/>
  <c r="U75" i="22"/>
  <c r="BY47" i="2"/>
  <c r="U77" i="22" s="1"/>
  <c r="BY48" i="2"/>
  <c r="BS96" i="2"/>
  <c r="BS30" i="11"/>
  <c r="W68" i="22"/>
  <c r="CA159" i="1"/>
  <c r="CA62" i="2"/>
  <c r="CB38" i="2"/>
  <c r="CC38" i="2" s="1"/>
  <c r="CA39" i="2"/>
  <c r="DS5" i="15"/>
  <c r="DS34" i="2"/>
  <c r="BS17" i="15"/>
  <c r="BS4" i="11" s="1"/>
  <c r="BS5" i="11" s="1"/>
  <c r="BS18" i="15"/>
  <c r="BS15" i="15"/>
  <c r="BS16" i="15"/>
  <c r="BU13" i="15"/>
  <c r="BU31" i="15"/>
  <c r="DS91" i="1"/>
  <c r="EC42" i="1" l="1"/>
  <c r="U78" i="22"/>
  <c r="BY4" i="15"/>
  <c r="BY66" i="2"/>
  <c r="BY51" i="2"/>
  <c r="BV13" i="15"/>
  <c r="BV31" i="15"/>
  <c r="Y68" i="22"/>
  <c r="CC159" i="1"/>
  <c r="CC62" i="2"/>
  <c r="T78" i="22"/>
  <c r="BX4" i="15"/>
  <c r="BX66" i="2"/>
  <c r="BX51" i="2"/>
  <c r="W69" i="22"/>
  <c r="CA63" i="2"/>
  <c r="CA45" i="2"/>
  <c r="BU16" i="15"/>
  <c r="BU18" i="15"/>
  <c r="BU15" i="15"/>
  <c r="BU17" i="15"/>
  <c r="BU4" i="11" s="1"/>
  <c r="BU6" i="11" s="1"/>
  <c r="BW7" i="15"/>
  <c r="BW11" i="15"/>
  <c r="BW12" i="15" s="1"/>
  <c r="V75" i="22"/>
  <c r="BZ47" i="2"/>
  <c r="V77" i="22" s="1"/>
  <c r="BZ48" i="2"/>
  <c r="DS22" i="1"/>
  <c r="DT92" i="1"/>
  <c r="X68" i="22"/>
  <c r="CB159" i="1"/>
  <c r="CB62" i="2"/>
  <c r="CD38" i="2"/>
  <c r="CB39" i="2"/>
  <c r="BW75" i="2"/>
  <c r="BW67" i="2"/>
  <c r="BW80" i="2" s="1"/>
  <c r="BW79" i="2"/>
  <c r="S83" i="22" s="1"/>
  <c r="ED46" i="2" l="1"/>
  <c r="EC150" i="1"/>
  <c r="X69" i="22"/>
  <c r="CB45" i="2"/>
  <c r="CC45" i="2" s="1"/>
  <c r="CB63" i="2"/>
  <c r="CC39" i="2"/>
  <c r="BV17" i="15"/>
  <c r="BV4" i="11" s="1"/>
  <c r="BV6" i="11" s="1"/>
  <c r="BV18" i="15"/>
  <c r="BV16" i="15"/>
  <c r="BV15" i="15"/>
  <c r="Z68" i="22"/>
  <c r="CD159" i="1"/>
  <c r="CD62" i="2"/>
  <c r="CE38" i="2"/>
  <c r="CD39" i="2"/>
  <c r="DS19" i="1"/>
  <c r="DS134" i="1"/>
  <c r="W75" i="22"/>
  <c r="CA48" i="2"/>
  <c r="CA47" i="2"/>
  <c r="W77" i="22" s="1"/>
  <c r="BX7" i="15"/>
  <c r="BX11" i="15"/>
  <c r="BX12" i="15" s="1"/>
  <c r="BW13" i="15"/>
  <c r="BW31" i="15"/>
  <c r="BX31" i="15" s="1"/>
  <c r="BY79" i="2"/>
  <c r="U83" i="22" s="1"/>
  <c r="BY75" i="2"/>
  <c r="BY67" i="2"/>
  <c r="BY80" i="2" s="1"/>
  <c r="BY7" i="15"/>
  <c r="BY11" i="15"/>
  <c r="BY12" i="15" s="1"/>
  <c r="DT95" i="1"/>
  <c r="DT91" i="1" s="1"/>
  <c r="DT68" i="2"/>
  <c r="V78" i="22"/>
  <c r="BZ161" i="1"/>
  <c r="BZ4" i="15"/>
  <c r="BZ66" i="2"/>
  <c r="BZ51" i="2"/>
  <c r="BX75" i="2"/>
  <c r="BX67" i="2"/>
  <c r="BX79" i="2"/>
  <c r="T83" i="22" s="1"/>
  <c r="ED42" i="1" l="1"/>
  <c r="ED65" i="2"/>
  <c r="W78" i="22"/>
  <c r="CA4" i="15"/>
  <c r="CA161" i="1"/>
  <c r="CA66" i="2"/>
  <c r="CA51" i="2"/>
  <c r="Y75" i="22"/>
  <c r="CC47" i="2"/>
  <c r="Y77" i="22" s="1"/>
  <c r="DT5" i="15"/>
  <c r="DT34" i="2"/>
  <c r="BX80" i="2"/>
  <c r="BX69" i="2"/>
  <c r="BY31" i="15"/>
  <c r="BY13" i="15"/>
  <c r="BW18" i="15"/>
  <c r="BW17" i="15"/>
  <c r="BW4" i="11" s="1"/>
  <c r="BW6" i="11" s="1"/>
  <c r="BX6" i="11" s="1"/>
  <c r="BW15" i="15"/>
  <c r="BW16" i="15"/>
  <c r="BX23" i="15"/>
  <c r="BX20" i="15"/>
  <c r="BX13" i="15"/>
  <c r="BX25" i="15"/>
  <c r="DS158" i="1"/>
  <c r="DT22" i="1"/>
  <c r="DT19" i="1" s="1"/>
  <c r="DU92" i="1"/>
  <c r="Y69" i="22"/>
  <c r="CC63" i="2"/>
  <c r="BZ79" i="2"/>
  <c r="V83" i="22" s="1"/>
  <c r="BZ75" i="2"/>
  <c r="BZ67" i="2"/>
  <c r="BZ80" i="2" s="1"/>
  <c r="DS8" i="15"/>
  <c r="DS9" i="15" s="1"/>
  <c r="DS143" i="1"/>
  <c r="Z69" i="22"/>
  <c r="CD63" i="2"/>
  <c r="CD45" i="2"/>
  <c r="X75" i="22"/>
  <c r="CB48" i="2"/>
  <c r="CC48" i="2" s="1"/>
  <c r="CB47" i="2"/>
  <c r="X77" i="22" s="1"/>
  <c r="BZ7" i="15"/>
  <c r="BZ11" i="15"/>
  <c r="BZ12" i="15" s="1"/>
  <c r="AA68" i="22"/>
  <c r="CE159" i="1"/>
  <c r="CF38" i="2"/>
  <c r="CE62" i="2"/>
  <c r="CE39" i="2"/>
  <c r="ED150" i="1" l="1"/>
  <c r="EE46" i="2"/>
  <c r="CC4" i="15"/>
  <c r="Y78" i="22"/>
  <c r="CC66" i="2"/>
  <c r="CC51" i="2"/>
  <c r="AB68" i="22"/>
  <c r="CF159" i="1"/>
  <c r="CF62" i="2"/>
  <c r="CG38" i="2"/>
  <c r="CF39" i="2"/>
  <c r="DT8" i="15"/>
  <c r="DT9" i="15" s="1"/>
  <c r="DT134" i="1"/>
  <c r="BY17" i="15"/>
  <c r="BY4" i="11" s="1"/>
  <c r="BY6" i="11" s="1"/>
  <c r="BY18" i="15"/>
  <c r="BY15" i="15"/>
  <c r="BY16" i="15"/>
  <c r="CA7" i="15"/>
  <c r="CA11" i="15"/>
  <c r="CA12" i="15" s="1"/>
  <c r="BZ31" i="15"/>
  <c r="BZ13" i="15"/>
  <c r="CA79" i="2"/>
  <c r="W83" i="22" s="1"/>
  <c r="CA67" i="2"/>
  <c r="CA80" i="2" s="1"/>
  <c r="CA75" i="2"/>
  <c r="Z75" i="22"/>
  <c r="CD47" i="2"/>
  <c r="Z77" i="22" s="1"/>
  <c r="CD48" i="2"/>
  <c r="DU68" i="2"/>
  <c r="DU95" i="1"/>
  <c r="DV95" i="1" s="1"/>
  <c r="DV92" i="1"/>
  <c r="BX96" i="2"/>
  <c r="BX30" i="11"/>
  <c r="AA69" i="22"/>
  <c r="CE45" i="2"/>
  <c r="CE63" i="2"/>
  <c r="X78" i="22"/>
  <c r="CB4" i="15"/>
  <c r="CB161" i="1"/>
  <c r="CC161" i="1" s="1"/>
  <c r="CC163" i="1" s="1"/>
  <c r="CB51" i="2"/>
  <c r="CB66" i="2"/>
  <c r="BX16" i="15"/>
  <c r="BX17" i="15"/>
  <c r="BX4" i="11" s="1"/>
  <c r="BX5" i="11" s="1"/>
  <c r="BX18" i="15"/>
  <c r="BX15" i="15"/>
  <c r="EE42" i="1" l="1"/>
  <c r="EE65" i="2"/>
  <c r="EF46" i="2"/>
  <c r="EF65" i="2" s="1"/>
  <c r="DU91" i="1"/>
  <c r="DU22" i="1" s="1"/>
  <c r="DU134" i="1" s="1"/>
  <c r="CA31" i="15"/>
  <c r="CA13" i="15"/>
  <c r="BZ17" i="15"/>
  <c r="BZ4" i="11" s="1"/>
  <c r="BZ6" i="11" s="1"/>
  <c r="BZ15" i="15"/>
  <c r="BZ16" i="15"/>
  <c r="BZ18" i="15"/>
  <c r="CC67" i="2"/>
  <c r="CC79" i="2"/>
  <c r="Y83" i="22" s="1"/>
  <c r="CC75" i="2"/>
  <c r="DU5" i="15"/>
  <c r="DU34" i="2"/>
  <c r="DV34" i="2" s="1"/>
  <c r="DV68" i="2"/>
  <c r="DV5" i="15" s="1"/>
  <c r="Z78" i="22"/>
  <c r="CD4" i="15"/>
  <c r="CD161" i="1"/>
  <c r="CD51" i="2"/>
  <c r="CD66" i="2"/>
  <c r="CB7" i="15"/>
  <c r="CB11" i="15"/>
  <c r="CB12" i="15" s="1"/>
  <c r="CC7" i="15"/>
  <c r="CC11" i="15"/>
  <c r="CC12" i="15" s="1"/>
  <c r="AA75" i="22"/>
  <c r="CE47" i="2"/>
  <c r="AA77" i="22" s="1"/>
  <c r="CE48" i="2"/>
  <c r="AB69" i="22"/>
  <c r="CF63" i="2"/>
  <c r="CF45" i="2"/>
  <c r="AC68" i="22"/>
  <c r="CG159" i="1"/>
  <c r="CG62" i="2"/>
  <c r="CI38" i="2"/>
  <c r="CG39" i="2"/>
  <c r="DT158" i="1"/>
  <c r="CB79" i="2"/>
  <c r="X83" i="22" s="1"/>
  <c r="CB75" i="2"/>
  <c r="CB67" i="2"/>
  <c r="CB80" i="2" s="1"/>
  <c r="DT143" i="1"/>
  <c r="CH38" i="2"/>
  <c r="DV91" i="1" l="1"/>
  <c r="DV93" i="1" s="1"/>
  <c r="EF42" i="1"/>
  <c r="EF150" i="1" s="1"/>
  <c r="EE150" i="1"/>
  <c r="AE68" i="22"/>
  <c r="CI159" i="1"/>
  <c r="CI62" i="2"/>
  <c r="CJ38" i="2"/>
  <c r="CI39" i="2"/>
  <c r="CD7" i="15"/>
  <c r="CD11" i="15"/>
  <c r="CD12" i="15" s="1"/>
  <c r="CC13" i="15"/>
  <c r="CC23" i="15"/>
  <c r="CC20" i="15"/>
  <c r="AA78" i="22"/>
  <c r="CE4" i="15"/>
  <c r="CE161" i="1"/>
  <c r="CE51" i="2"/>
  <c r="CE66" i="2"/>
  <c r="AC69" i="22"/>
  <c r="CG63" i="2"/>
  <c r="CG45" i="2"/>
  <c r="CH39" i="2"/>
  <c r="CA16" i="15"/>
  <c r="CA15" i="15"/>
  <c r="CA18" i="15"/>
  <c r="CA17" i="15"/>
  <c r="CA4" i="11" s="1"/>
  <c r="CA6" i="11" s="1"/>
  <c r="AD68" i="22"/>
  <c r="CH159" i="1"/>
  <c r="CH62" i="2"/>
  <c r="CB31" i="15"/>
  <c r="CC31" i="15" s="1"/>
  <c r="CB13" i="15"/>
  <c r="CD75" i="2"/>
  <c r="CD79" i="2"/>
  <c r="Z83" i="22" s="1"/>
  <c r="CD67" i="2"/>
  <c r="CD80" i="2" s="1"/>
  <c r="AB75" i="22"/>
  <c r="CF47" i="2"/>
  <c r="AB77" i="22" s="1"/>
  <c r="CF48" i="2"/>
  <c r="CC80" i="2"/>
  <c r="CC69" i="2"/>
  <c r="DV22" i="1"/>
  <c r="DV19" i="1" s="1"/>
  <c r="DU19" i="1"/>
  <c r="DU158" i="1"/>
  <c r="DV158" i="1" s="1"/>
  <c r="DV134" i="1"/>
  <c r="DW92" i="1" l="1"/>
  <c r="DW95" i="1" s="1"/>
  <c r="AF68" i="22"/>
  <c r="CJ159" i="1"/>
  <c r="CK38" i="2"/>
  <c r="CJ62" i="2"/>
  <c r="CJ39" i="2"/>
  <c r="AE69" i="22"/>
  <c r="CI63" i="2"/>
  <c r="CI45" i="2"/>
  <c r="DU143" i="1"/>
  <c r="DU8" i="15"/>
  <c r="DU9" i="15" s="1"/>
  <c r="DV8" i="15"/>
  <c r="DV9" i="15" s="1"/>
  <c r="DV143" i="1"/>
  <c r="CE7" i="15"/>
  <c r="CE11" i="15"/>
  <c r="CE12" i="15" s="1"/>
  <c r="CC96" i="2"/>
  <c r="CC30" i="11"/>
  <c r="AB78" i="22"/>
  <c r="CF161" i="1"/>
  <c r="CF4" i="15"/>
  <c r="CF51" i="2"/>
  <c r="CF66" i="2"/>
  <c r="CC15" i="15"/>
  <c r="CC17" i="15"/>
  <c r="CC4" i="11" s="1"/>
  <c r="CC18" i="15"/>
  <c r="CC16" i="15"/>
  <c r="AC75" i="22"/>
  <c r="CG48" i="2"/>
  <c r="CG47" i="2"/>
  <c r="AC77" i="22" s="1"/>
  <c r="CD13" i="15"/>
  <c r="DW68" i="2"/>
  <c r="CB15" i="15"/>
  <c r="CB17" i="15"/>
  <c r="CB4" i="11" s="1"/>
  <c r="CB6" i="11" s="1"/>
  <c r="CC6" i="11" s="1"/>
  <c r="CB18" i="15"/>
  <c r="CB16" i="15"/>
  <c r="AD69" i="22"/>
  <c r="CH63" i="2"/>
  <c r="CH45" i="2"/>
  <c r="CE79" i="2"/>
  <c r="AA83" i="22" s="1"/>
  <c r="CE67" i="2"/>
  <c r="CE80" i="2" s="1"/>
  <c r="CE75" i="2"/>
  <c r="CC5" i="11" l="1"/>
  <c r="AG68" i="22"/>
  <c r="CK159" i="1"/>
  <c r="CL38" i="2"/>
  <c r="CK62" i="2"/>
  <c r="CK39" i="2"/>
  <c r="CE13" i="15"/>
  <c r="DW5" i="15"/>
  <c r="DW34" i="2"/>
  <c r="AF69" i="22"/>
  <c r="CJ63" i="2"/>
  <c r="CJ45" i="2"/>
  <c r="CD15" i="15"/>
  <c r="CD18" i="15"/>
  <c r="CD16" i="15"/>
  <c r="CD17" i="15"/>
  <c r="CD4" i="11" s="1"/>
  <c r="CD6" i="11" s="1"/>
  <c r="AE75" i="22"/>
  <c r="CI48" i="2"/>
  <c r="CI47" i="2"/>
  <c r="AE77" i="22" s="1"/>
  <c r="DW91" i="1"/>
  <c r="CF7" i="15"/>
  <c r="CF11" i="15"/>
  <c r="CF12" i="15" s="1"/>
  <c r="AC78" i="22"/>
  <c r="CG4" i="15"/>
  <c r="CG161" i="1"/>
  <c r="CH161" i="1" s="1"/>
  <c r="CG51" i="2"/>
  <c r="CG66" i="2"/>
  <c r="CH48" i="2"/>
  <c r="AD75" i="22"/>
  <c r="CH47" i="2"/>
  <c r="AD77" i="22" s="1"/>
  <c r="CF79" i="2"/>
  <c r="AB83" i="22" s="1"/>
  <c r="CF67" i="2"/>
  <c r="CF80" i="2" s="1"/>
  <c r="CF75" i="2"/>
  <c r="CH95" i="2" l="1"/>
  <c r="CH163" i="1"/>
  <c r="AF75" i="22"/>
  <c r="CJ48" i="2"/>
  <c r="CJ47" i="2"/>
  <c r="AF77" i="22" s="1"/>
  <c r="DW22" i="1"/>
  <c r="DX92" i="1"/>
  <c r="CG75" i="2"/>
  <c r="CG79" i="2"/>
  <c r="AC83" i="22" s="1"/>
  <c r="CG67" i="2"/>
  <c r="CG80" i="2" s="1"/>
  <c r="AD78" i="22"/>
  <c r="CH4" i="15"/>
  <c r="CH66" i="2"/>
  <c r="CH51" i="2"/>
  <c r="AE78" i="22"/>
  <c r="CI4" i="15"/>
  <c r="CI161" i="1"/>
  <c r="CI51" i="2"/>
  <c r="CI66" i="2"/>
  <c r="CE17" i="15"/>
  <c r="CE4" i="11" s="1"/>
  <c r="CE6" i="11" s="1"/>
  <c r="CE15" i="15"/>
  <c r="CE18" i="15"/>
  <c r="CE16" i="15"/>
  <c r="CG7" i="15"/>
  <c r="CG11" i="15"/>
  <c r="CG12" i="15" s="1"/>
  <c r="AG69" i="22"/>
  <c r="CK63" i="2"/>
  <c r="CK45" i="2"/>
  <c r="AH68" i="22"/>
  <c r="CL159" i="1"/>
  <c r="CL62" i="2"/>
  <c r="CN38" i="2"/>
  <c r="CL39" i="2"/>
  <c r="CM38" i="2"/>
  <c r="CF13" i="15"/>
  <c r="AH69" i="22" l="1"/>
  <c r="CL45" i="2"/>
  <c r="CL63" i="2"/>
  <c r="CM39" i="2"/>
  <c r="CN159" i="1"/>
  <c r="AJ68" i="22"/>
  <c r="CO38" i="2"/>
  <c r="CN62" i="2"/>
  <c r="CN39" i="2"/>
  <c r="CH75" i="2"/>
  <c r="CH67" i="2"/>
  <c r="CH79" i="2"/>
  <c r="AD83" i="22" s="1"/>
  <c r="CH7" i="15"/>
  <c r="CH11" i="15"/>
  <c r="CH12" i="15" s="1"/>
  <c r="AI68" i="22"/>
  <c r="CM159" i="1"/>
  <c r="CM62" i="2"/>
  <c r="AF78" i="22"/>
  <c r="CJ4" i="15"/>
  <c r="CJ161" i="1"/>
  <c r="CJ66" i="2"/>
  <c r="CJ51" i="2"/>
  <c r="CI79" i="2"/>
  <c r="AE83" i="22" s="1"/>
  <c r="CI75" i="2"/>
  <c r="CI67" i="2"/>
  <c r="CI80" i="2" s="1"/>
  <c r="AG75" i="22"/>
  <c r="CK47" i="2"/>
  <c r="AG77" i="22" s="1"/>
  <c r="CK48" i="2"/>
  <c r="CF15" i="15"/>
  <c r="CF18" i="15"/>
  <c r="CF16" i="15"/>
  <c r="CF17" i="15"/>
  <c r="CF4" i="11" s="1"/>
  <c r="CF6" i="11" s="1"/>
  <c r="DX95" i="1"/>
  <c r="DX68" i="2"/>
  <c r="CI7" i="15"/>
  <c r="CI11" i="15"/>
  <c r="CI12" i="15" s="1"/>
  <c r="DW19" i="1"/>
  <c r="DW134" i="1"/>
  <c r="CG13" i="15"/>
  <c r="CH13" i="15" l="1"/>
  <c r="CH17" i="15" s="1"/>
  <c r="CH4" i="11" s="1"/>
  <c r="DW8" i="15"/>
  <c r="DW9" i="15" s="1"/>
  <c r="DW143" i="1"/>
  <c r="AJ69" i="22"/>
  <c r="CN45" i="2"/>
  <c r="CN63" i="2"/>
  <c r="CH69" i="2"/>
  <c r="CH80" i="2"/>
  <c r="CH30" i="11" s="1"/>
  <c r="AG78" i="22"/>
  <c r="CK4" i="15"/>
  <c r="CK161" i="1"/>
  <c r="CK51" i="2"/>
  <c r="CK66" i="2"/>
  <c r="CI13" i="15"/>
  <c r="CJ7" i="15"/>
  <c r="CJ11" i="15"/>
  <c r="CJ12" i="15" s="1"/>
  <c r="DX91" i="1"/>
  <c r="AI69" i="22"/>
  <c r="CM63" i="2"/>
  <c r="DW158" i="1"/>
  <c r="CG16" i="15"/>
  <c r="CG15" i="15"/>
  <c r="CG17" i="15"/>
  <c r="CG4" i="11" s="1"/>
  <c r="CG6" i="11" s="1"/>
  <c r="CH6" i="11" s="1"/>
  <c r="CG18" i="15"/>
  <c r="AK68" i="22"/>
  <c r="CO159" i="1"/>
  <c r="CO62" i="2"/>
  <c r="CP38" i="2"/>
  <c r="CO39" i="2"/>
  <c r="CJ75" i="2"/>
  <c r="CJ67" i="2"/>
  <c r="CJ80" i="2" s="1"/>
  <c r="CJ79" i="2"/>
  <c r="AF83" i="22" s="1"/>
  <c r="AH75" i="22"/>
  <c r="CL48" i="2"/>
  <c r="CM48" i="2" s="1"/>
  <c r="CL47" i="2"/>
  <c r="AH77" i="22" s="1"/>
  <c r="CM45" i="2"/>
  <c r="DX5" i="15"/>
  <c r="DX34" i="2"/>
  <c r="CH18" i="15" l="1"/>
  <c r="CH15" i="15"/>
  <c r="CH16" i="15"/>
  <c r="CH5" i="11"/>
  <c r="AI78" i="22"/>
  <c r="CM4" i="15"/>
  <c r="CL51" i="2"/>
  <c r="CM66" i="2"/>
  <c r="CM51" i="2"/>
  <c r="AK69" i="22"/>
  <c r="CO45" i="2"/>
  <c r="CO63" i="2"/>
  <c r="DX22" i="1"/>
  <c r="DY92" i="1"/>
  <c r="CI18" i="15"/>
  <c r="CI16" i="15"/>
  <c r="CI17" i="15"/>
  <c r="CI4" i="11" s="1"/>
  <c r="CI6" i="11" s="1"/>
  <c r="CI15" i="15"/>
  <c r="AL68" i="22"/>
  <c r="CP62" i="2"/>
  <c r="CP159" i="1"/>
  <c r="CQ38" i="2"/>
  <c r="CP39" i="2"/>
  <c r="AH78" i="22"/>
  <c r="CL161" i="1"/>
  <c r="CM161" i="1" s="1"/>
  <c r="CL66" i="2"/>
  <c r="CL4" i="15"/>
  <c r="AJ75" i="22"/>
  <c r="CN48" i="2"/>
  <c r="CN47" i="2"/>
  <c r="AJ77" i="22" s="1"/>
  <c r="CJ13" i="15"/>
  <c r="CK67" i="2"/>
  <c r="CK80" i="2" s="1"/>
  <c r="CK79" i="2"/>
  <c r="AG83" i="22" s="1"/>
  <c r="CK75" i="2"/>
  <c r="CK7" i="15"/>
  <c r="CK11" i="15"/>
  <c r="CK12" i="15" s="1"/>
  <c r="AI75" i="22"/>
  <c r="CM47" i="2"/>
  <c r="AI77" i="22" s="1"/>
  <c r="CM163" i="1" l="1"/>
  <c r="CM95" i="2"/>
  <c r="CL7" i="15"/>
  <c r="CL11" i="15"/>
  <c r="CL12" i="15" s="1"/>
  <c r="DY68" i="2"/>
  <c r="DY95" i="1"/>
  <c r="DY91" i="1" s="1"/>
  <c r="AJ78" i="22"/>
  <c r="CN4" i="15"/>
  <c r="CN161" i="1"/>
  <c r="CN66" i="2"/>
  <c r="CN51" i="2"/>
  <c r="CJ18" i="15"/>
  <c r="CJ16" i="15"/>
  <c r="CJ15" i="15"/>
  <c r="CJ17" i="15"/>
  <c r="CJ4" i="11" s="1"/>
  <c r="CJ6" i="11" s="1"/>
  <c r="CM7" i="15"/>
  <c r="CM11" i="15"/>
  <c r="CM12" i="15" s="1"/>
  <c r="AK75" i="22"/>
  <c r="CO48" i="2"/>
  <c r="CO47" i="2"/>
  <c r="AK77" i="22" s="1"/>
  <c r="CL79" i="2"/>
  <c r="AH83" i="22" s="1"/>
  <c r="CL67" i="2"/>
  <c r="CL80" i="2" s="1"/>
  <c r="CL75" i="2"/>
  <c r="CM79" i="2"/>
  <c r="AI83" i="22" s="1"/>
  <c r="CM67" i="2"/>
  <c r="CM75" i="2"/>
  <c r="DX19" i="1"/>
  <c r="DX134" i="1"/>
  <c r="AL69" i="22"/>
  <c r="CP45" i="2"/>
  <c r="CP63" i="2"/>
  <c r="CK13" i="15"/>
  <c r="AM68" i="22"/>
  <c r="CS38" i="2"/>
  <c r="CQ62" i="2"/>
  <c r="CQ159" i="1"/>
  <c r="CQ39" i="2"/>
  <c r="CR38" i="2"/>
  <c r="CM13" i="15" l="1"/>
  <c r="AK78" i="22"/>
  <c r="CO4" i="15"/>
  <c r="CO161" i="1"/>
  <c r="CO51" i="2"/>
  <c r="CO66" i="2"/>
  <c r="AO68" i="22"/>
  <c r="CS159" i="1"/>
  <c r="CT38" i="2"/>
  <c r="CS62" i="2"/>
  <c r="CS39" i="2"/>
  <c r="AL75" i="22"/>
  <c r="CP47" i="2"/>
  <c r="AL77" i="22" s="1"/>
  <c r="CP48" i="2"/>
  <c r="DY5" i="15"/>
  <c r="DY34" i="2"/>
  <c r="AN68" i="22"/>
  <c r="CR159" i="1"/>
  <c r="CR62" i="2"/>
  <c r="DX158" i="1"/>
  <c r="CM80" i="2"/>
  <c r="CM30" i="11" s="1"/>
  <c r="CM69" i="2"/>
  <c r="DX8" i="15"/>
  <c r="DX9" i="15" s="1"/>
  <c r="DX143" i="1"/>
  <c r="CK18" i="15"/>
  <c r="CK16" i="15"/>
  <c r="CK17" i="15"/>
  <c r="CK4" i="11" s="1"/>
  <c r="CK6" i="11" s="1"/>
  <c r="CK15" i="15"/>
  <c r="DY22" i="1"/>
  <c r="DY19" i="1" s="1"/>
  <c r="DZ92" i="1"/>
  <c r="CL13" i="15"/>
  <c r="CN7" i="15"/>
  <c r="CN11" i="15"/>
  <c r="CN12" i="15" s="1"/>
  <c r="AM69" i="22"/>
  <c r="CQ45" i="2"/>
  <c r="CQ63" i="2"/>
  <c r="CR39" i="2"/>
  <c r="CN79" i="2"/>
  <c r="AJ83" i="22" s="1"/>
  <c r="CN75" i="2"/>
  <c r="CN67" i="2"/>
  <c r="CN80" i="2" s="1"/>
  <c r="DY134" i="1" l="1"/>
  <c r="DY143" i="1" s="1"/>
  <c r="CM18" i="15"/>
  <c r="CM16" i="15"/>
  <c r="CM17" i="15"/>
  <c r="CM4" i="11" s="1"/>
  <c r="CM15" i="15"/>
  <c r="CO7" i="15"/>
  <c r="CO11" i="15"/>
  <c r="CO12" i="15" s="1"/>
  <c r="AP68" i="22"/>
  <c r="CT159" i="1"/>
  <c r="CT62" i="2"/>
  <c r="CU38" i="2"/>
  <c r="CT39" i="2"/>
  <c r="CN13" i="15"/>
  <c r="CL17" i="15"/>
  <c r="CL4" i="11" s="1"/>
  <c r="CL6" i="11" s="1"/>
  <c r="CM6" i="11" s="1"/>
  <c r="CL16" i="15"/>
  <c r="CL15" i="15"/>
  <c r="CL18" i="15"/>
  <c r="AO69" i="22"/>
  <c r="CS63" i="2"/>
  <c r="CS45" i="2"/>
  <c r="DZ95" i="1"/>
  <c r="EA95" i="1" s="1"/>
  <c r="DZ68" i="2"/>
  <c r="EA92" i="1"/>
  <c r="DY8" i="15"/>
  <c r="DY9" i="15" s="1"/>
  <c r="AL78" i="22"/>
  <c r="CP4" i="15"/>
  <c r="CP161" i="1"/>
  <c r="CP66" i="2"/>
  <c r="CP51" i="2"/>
  <c r="AN69" i="22"/>
  <c r="CR63" i="2"/>
  <c r="AM75" i="22"/>
  <c r="CQ48" i="2"/>
  <c r="CQ47" i="2"/>
  <c r="AM77" i="22" s="1"/>
  <c r="CR45" i="2"/>
  <c r="CO79" i="2"/>
  <c r="AK83" i="22" s="1"/>
  <c r="CO75" i="2"/>
  <c r="CO67" i="2"/>
  <c r="CO80" i="2" s="1"/>
  <c r="DY158" i="1" l="1"/>
  <c r="CM5" i="11"/>
  <c r="CN16" i="15"/>
  <c r="CN15" i="15"/>
  <c r="CN17" i="15"/>
  <c r="CN4" i="11" s="1"/>
  <c r="CN6" i="11" s="1"/>
  <c r="CN18" i="15"/>
  <c r="CP7" i="15"/>
  <c r="CP11" i="15"/>
  <c r="CP12" i="15" s="1"/>
  <c r="AN75" i="22"/>
  <c r="CR47" i="2"/>
  <c r="AN77" i="22" s="1"/>
  <c r="DZ5" i="15"/>
  <c r="DZ34" i="2"/>
  <c r="EA34" i="2" s="1"/>
  <c r="EA68" i="2"/>
  <c r="EA5" i="15" s="1"/>
  <c r="AM78" i="22"/>
  <c r="CQ4" i="15"/>
  <c r="CQ161" i="1"/>
  <c r="CR161" i="1" s="1"/>
  <c r="CQ66" i="2"/>
  <c r="AQ68" i="22"/>
  <c r="CU159" i="1"/>
  <c r="CU62" i="2"/>
  <c r="CV38" i="2"/>
  <c r="CU39" i="2"/>
  <c r="CP67" i="2"/>
  <c r="CP80" i="2" s="1"/>
  <c r="CP79" i="2"/>
  <c r="AL83" i="22" s="1"/>
  <c r="CP75" i="2"/>
  <c r="AP69" i="22"/>
  <c r="CT63" i="2"/>
  <c r="CT45" i="2"/>
  <c r="AO75" i="22"/>
  <c r="CS47" i="2"/>
  <c r="AO77" i="22" s="1"/>
  <c r="CS48" i="2"/>
  <c r="DZ91" i="1"/>
  <c r="CO13" i="15"/>
  <c r="CR48" i="2"/>
  <c r="CR163" i="1" l="1"/>
  <c r="CR95" i="2"/>
  <c r="AP75" i="22"/>
  <c r="CT47" i="2"/>
  <c r="AP77" i="22" s="1"/>
  <c r="CT48" i="2"/>
  <c r="AN78" i="22"/>
  <c r="CR4" i="15"/>
  <c r="CR66" i="2"/>
  <c r="CQ51" i="2"/>
  <c r="CR51" i="2"/>
  <c r="CQ7" i="15"/>
  <c r="CQ11" i="15"/>
  <c r="CQ12" i="15" s="1"/>
  <c r="CQ75" i="2"/>
  <c r="CQ79" i="2"/>
  <c r="AM83" i="22" s="1"/>
  <c r="CQ67" i="2"/>
  <c r="CQ80" i="2" s="1"/>
  <c r="AO78" i="22"/>
  <c r="CS4" i="15"/>
  <c r="CS51" i="2"/>
  <c r="CS161" i="1"/>
  <c r="CS66" i="2"/>
  <c r="CO15" i="15"/>
  <c r="CO17" i="15"/>
  <c r="CO4" i="11" s="1"/>
  <c r="CO6" i="11" s="1"/>
  <c r="CO16" i="15"/>
  <c r="CO18" i="15"/>
  <c r="EA91" i="1"/>
  <c r="DZ22" i="1"/>
  <c r="AQ69" i="22"/>
  <c r="CU63" i="2"/>
  <c r="CU45" i="2"/>
  <c r="CP13" i="15"/>
  <c r="AR68" i="22"/>
  <c r="CV159" i="1"/>
  <c r="CX38" i="2"/>
  <c r="CV62" i="2"/>
  <c r="CV39" i="2"/>
  <c r="CW39" i="2" s="1"/>
  <c r="CW38" i="2"/>
  <c r="AQ75" i="22" l="1"/>
  <c r="CU48" i="2"/>
  <c r="CU47" i="2"/>
  <c r="AQ77" i="22" s="1"/>
  <c r="AS69" i="22"/>
  <c r="CW63" i="2"/>
  <c r="AP78" i="22"/>
  <c r="CT4" i="15"/>
  <c r="CT161" i="1"/>
  <c r="CT51" i="2"/>
  <c r="CT66" i="2"/>
  <c r="AS68" i="22"/>
  <c r="CW159" i="1"/>
  <c r="CW62" i="2"/>
  <c r="AR69" i="22"/>
  <c r="CV45" i="2"/>
  <c r="CW45" i="2" s="1"/>
  <c r="CV63" i="2"/>
  <c r="CS7" i="15"/>
  <c r="CS11" i="15"/>
  <c r="CS12" i="15" s="1"/>
  <c r="CP15" i="15"/>
  <c r="CP17" i="15"/>
  <c r="CP4" i="11" s="1"/>
  <c r="CP6" i="11" s="1"/>
  <c r="CP16" i="15"/>
  <c r="CP18" i="15"/>
  <c r="CR75" i="2"/>
  <c r="CR67" i="2"/>
  <c r="CR79" i="2"/>
  <c r="CQ13" i="15"/>
  <c r="CR7" i="15"/>
  <c r="CR11" i="15"/>
  <c r="CR12" i="15" s="1"/>
  <c r="AT68" i="22"/>
  <c r="CX159" i="1"/>
  <c r="CX62" i="2"/>
  <c r="CY38" i="2"/>
  <c r="CX39" i="2"/>
  <c r="EA22" i="1"/>
  <c r="EA19" i="1" s="1"/>
  <c r="DZ19" i="1"/>
  <c r="DZ134" i="1"/>
  <c r="CS79" i="2"/>
  <c r="AO83" i="22" s="1"/>
  <c r="CS67" i="2"/>
  <c r="CS80" i="2" s="1"/>
  <c r="CS75" i="2"/>
  <c r="EB92" i="1"/>
  <c r="EA93" i="1"/>
  <c r="CR13" i="15" l="1"/>
  <c r="AT69" i="22"/>
  <c r="CX63" i="2"/>
  <c r="CX45" i="2"/>
  <c r="CQ17" i="15"/>
  <c r="CQ4" i="11" s="1"/>
  <c r="CQ6" i="11" s="1"/>
  <c r="CR6" i="11" s="1"/>
  <c r="CQ15" i="15"/>
  <c r="CQ16" i="15"/>
  <c r="CQ18" i="15"/>
  <c r="CT75" i="2"/>
  <c r="CT67" i="2"/>
  <c r="CT80" i="2" s="1"/>
  <c r="CT79" i="2"/>
  <c r="AP83" i="22" s="1"/>
  <c r="AS75" i="22"/>
  <c r="CW47" i="2"/>
  <c r="AS77" i="22" s="1"/>
  <c r="AU68" i="22"/>
  <c r="CY159" i="1"/>
  <c r="CY62" i="2"/>
  <c r="CZ38" i="2"/>
  <c r="CY39" i="2"/>
  <c r="AR75" i="22"/>
  <c r="CV48" i="2"/>
  <c r="CV47" i="2"/>
  <c r="AR77" i="22" s="1"/>
  <c r="AN83" i="22"/>
  <c r="CR82" i="2"/>
  <c r="CR80" i="2"/>
  <c r="CR30" i="11" s="1"/>
  <c r="CR69" i="2"/>
  <c r="DZ158" i="1"/>
  <c r="EA158" i="1" s="1"/>
  <c r="EA134" i="1"/>
  <c r="EA143" i="1" s="1"/>
  <c r="DZ8" i="15"/>
  <c r="DZ9" i="15" s="1"/>
  <c r="DZ143" i="1"/>
  <c r="AQ78" i="22"/>
  <c r="CU4" i="15"/>
  <c r="CU66" i="2"/>
  <c r="CU161" i="1"/>
  <c r="CU51" i="2"/>
  <c r="EB95" i="1"/>
  <c r="EB91" i="1" s="1"/>
  <c r="EB68" i="2"/>
  <c r="CS13" i="15"/>
  <c r="CT7" i="15"/>
  <c r="CT11" i="15"/>
  <c r="CT12" i="15" s="1"/>
  <c r="EA8" i="15"/>
  <c r="EA9" i="15" s="1"/>
  <c r="CR15" i="15"/>
  <c r="CR17" i="15"/>
  <c r="CR4" i="11" s="1"/>
  <c r="CR18" i="15"/>
  <c r="CR16" i="15"/>
  <c r="CU75" i="2" l="1"/>
  <c r="CU67" i="2"/>
  <c r="CU80" i="2" s="1"/>
  <c r="CU79" i="2"/>
  <c r="AQ83" i="22" s="1"/>
  <c r="CR5" i="11"/>
  <c r="AV68" i="22"/>
  <c r="CZ159" i="1"/>
  <c r="CZ62" i="2"/>
  <c r="DA38" i="2"/>
  <c r="CZ39" i="2"/>
  <c r="AT75" i="22"/>
  <c r="CX47" i="2"/>
  <c r="AT77" i="22" s="1"/>
  <c r="CX48" i="2"/>
  <c r="CS16" i="15"/>
  <c r="CS17" i="15"/>
  <c r="CS4" i="11" s="1"/>
  <c r="CS6" i="11" s="1"/>
  <c r="CS18" i="15"/>
  <c r="CS15" i="15"/>
  <c r="EB22" i="1"/>
  <c r="EB19" i="1" s="1"/>
  <c r="EC92" i="1"/>
  <c r="AR78" i="22"/>
  <c r="CV4" i="15"/>
  <c r="CV161" i="1"/>
  <c r="CW161" i="1" s="1"/>
  <c r="CW163" i="1" s="1"/>
  <c r="CV66" i="2"/>
  <c r="CW48" i="2"/>
  <c r="CU7" i="15"/>
  <c r="CU11" i="15"/>
  <c r="CU12" i="15" s="1"/>
  <c r="EB5" i="15"/>
  <c r="EB34" i="2"/>
  <c r="CT13" i="15"/>
  <c r="AU69" i="22"/>
  <c r="CY63" i="2"/>
  <c r="CY45" i="2"/>
  <c r="CT17" i="15" l="1"/>
  <c r="CT4" i="11" s="1"/>
  <c r="CT6" i="11" s="1"/>
  <c r="CT15" i="15"/>
  <c r="CT18" i="15"/>
  <c r="CT16" i="15"/>
  <c r="CU13" i="15"/>
  <c r="AV69" i="22"/>
  <c r="CZ45" i="2"/>
  <c r="CZ63" i="2"/>
  <c r="EB134" i="1"/>
  <c r="EB143" i="1" s="1"/>
  <c r="EB8" i="15"/>
  <c r="EB9" i="15" s="1"/>
  <c r="AW68" i="22"/>
  <c r="DA159" i="1"/>
  <c r="DA62" i="2"/>
  <c r="DC38" i="2"/>
  <c r="DA39" i="2"/>
  <c r="AS78" i="22"/>
  <c r="CW4" i="15"/>
  <c r="CV51" i="2"/>
  <c r="CW51" i="2"/>
  <c r="CW66" i="2"/>
  <c r="CV75" i="2"/>
  <c r="CV79" i="2"/>
  <c r="AR83" i="22" s="1"/>
  <c r="CV67" i="2"/>
  <c r="CV80" i="2" s="1"/>
  <c r="DB38" i="2"/>
  <c r="CV7" i="15"/>
  <c r="CV11" i="15"/>
  <c r="CV12" i="15" s="1"/>
  <c r="AT78" i="22"/>
  <c r="CX161" i="1"/>
  <c r="CX4" i="15"/>
  <c r="CX66" i="2"/>
  <c r="CX51" i="2"/>
  <c r="AU75" i="22"/>
  <c r="CY47" i="2"/>
  <c r="AU77" i="22" s="1"/>
  <c r="CY48" i="2"/>
  <c r="EC95" i="1"/>
  <c r="EC68" i="2"/>
  <c r="AU78" i="22" l="1"/>
  <c r="CY4" i="15"/>
  <c r="CY161" i="1"/>
  <c r="CY66" i="2"/>
  <c r="CY51" i="2"/>
  <c r="CX67" i="2"/>
  <c r="CX80" i="2" s="1"/>
  <c r="CX79" i="2"/>
  <c r="AT83" i="22" s="1"/>
  <c r="CX75" i="2"/>
  <c r="AV75" i="22"/>
  <c r="CZ47" i="2"/>
  <c r="AV77" i="22" s="1"/>
  <c r="CZ48" i="2"/>
  <c r="EC5" i="15"/>
  <c r="EC34" i="2"/>
  <c r="AW69" i="22"/>
  <c r="DA45" i="2"/>
  <c r="DA63" i="2"/>
  <c r="EC91" i="1"/>
  <c r="CX7" i="15"/>
  <c r="CX11" i="15"/>
  <c r="CX12" i="15" s="1"/>
  <c r="AY68" i="22"/>
  <c r="DC159" i="1"/>
  <c r="DD38" i="2"/>
  <c r="DE38" i="2" s="1"/>
  <c r="DF38" i="2" s="1"/>
  <c r="DH38" i="2" s="1"/>
  <c r="DI38" i="2" s="1"/>
  <c r="DC62" i="2"/>
  <c r="DC39" i="2"/>
  <c r="AX68" i="22"/>
  <c r="DB159" i="1"/>
  <c r="DB62" i="2"/>
  <c r="CW67" i="2"/>
  <c r="CW75" i="2"/>
  <c r="CW79" i="2"/>
  <c r="EB158" i="1"/>
  <c r="CW7" i="15"/>
  <c r="CW11" i="15"/>
  <c r="CW12" i="15" s="1"/>
  <c r="CU18" i="15"/>
  <c r="CU17" i="15"/>
  <c r="CU4" i="11" s="1"/>
  <c r="CU6" i="11" s="1"/>
  <c r="CU15" i="15"/>
  <c r="CU16" i="15"/>
  <c r="CV13" i="15"/>
  <c r="DB39" i="2"/>
  <c r="DI62" i="2" l="1"/>
  <c r="DI39" i="2"/>
  <c r="DH62" i="2"/>
  <c r="DH159" i="1"/>
  <c r="DH39" i="2"/>
  <c r="DF62" i="2"/>
  <c r="DF39" i="2"/>
  <c r="DE62" i="2"/>
  <c r="DE39" i="2"/>
  <c r="CW13" i="15"/>
  <c r="CW16" i="15" s="1"/>
  <c r="CY79" i="2"/>
  <c r="AU83" i="22" s="1"/>
  <c r="CY67" i="2"/>
  <c r="CY80" i="2" s="1"/>
  <c r="CY75" i="2"/>
  <c r="CV18" i="15"/>
  <c r="CV15" i="15"/>
  <c r="CV16" i="15"/>
  <c r="CV17" i="15"/>
  <c r="CV4" i="11" s="1"/>
  <c r="CV6" i="11" s="1"/>
  <c r="CW6" i="11" s="1"/>
  <c r="CW80" i="2"/>
  <c r="CW30" i="11" s="1"/>
  <c r="CW69" i="2"/>
  <c r="AV78" i="22"/>
  <c r="CZ4" i="15"/>
  <c r="CZ161" i="1"/>
  <c r="CZ66" i="2"/>
  <c r="CZ51" i="2"/>
  <c r="AZ68" i="22"/>
  <c r="DD159" i="1"/>
  <c r="DD62" i="2"/>
  <c r="DD39" i="2"/>
  <c r="AX69" i="22"/>
  <c r="DB63" i="2"/>
  <c r="AW75" i="22"/>
  <c r="DA48" i="2"/>
  <c r="DA47" i="2"/>
  <c r="AW77" i="22" s="1"/>
  <c r="DB45" i="2"/>
  <c r="CY7" i="15"/>
  <c r="CY11" i="15"/>
  <c r="CY12" i="15" s="1"/>
  <c r="CX13" i="15"/>
  <c r="AY69" i="22"/>
  <c r="DC45" i="2"/>
  <c r="DC63" i="2"/>
  <c r="AS83" i="22"/>
  <c r="CW82" i="2"/>
  <c r="EC22" i="1"/>
  <c r="ED92" i="1"/>
  <c r="DI45" i="2" l="1"/>
  <c r="DI63" i="2"/>
  <c r="DH45" i="2"/>
  <c r="DH63" i="2"/>
  <c r="DF45" i="2"/>
  <c r="DF63" i="2"/>
  <c r="DE45" i="2"/>
  <c r="DE63" i="2"/>
  <c r="CW18" i="15"/>
  <c r="CW17" i="15"/>
  <c r="CW4" i="11" s="1"/>
  <c r="CW5" i="11" s="1"/>
  <c r="CW15" i="15"/>
  <c r="AX75" i="22"/>
  <c r="DB47" i="2"/>
  <c r="AX77" i="22" s="1"/>
  <c r="AZ69" i="22"/>
  <c r="DD45" i="2"/>
  <c r="DD63" i="2"/>
  <c r="ED95" i="1"/>
  <c r="ED68" i="2"/>
  <c r="CX16" i="15"/>
  <c r="CX18" i="15"/>
  <c r="CX15" i="15"/>
  <c r="CX17" i="15"/>
  <c r="CX4" i="11" s="1"/>
  <c r="CX6" i="11" s="1"/>
  <c r="CZ79" i="2"/>
  <c r="AV83" i="22" s="1"/>
  <c r="CZ75" i="2"/>
  <c r="CZ67" i="2"/>
  <c r="CZ80" i="2" s="1"/>
  <c r="CY13" i="15"/>
  <c r="CZ7" i="15"/>
  <c r="CZ11" i="15"/>
  <c r="CZ12" i="15" s="1"/>
  <c r="AY75" i="22"/>
  <c r="DC47" i="2"/>
  <c r="AY77" i="22" s="1"/>
  <c r="DC48" i="2"/>
  <c r="BA68" i="22"/>
  <c r="DE159" i="1"/>
  <c r="EC19" i="1"/>
  <c r="EC134" i="1"/>
  <c r="AW78" i="22"/>
  <c r="DA4" i="15"/>
  <c r="DA161" i="1"/>
  <c r="DB161" i="1" s="1"/>
  <c r="DB163" i="1" s="1"/>
  <c r="DA66" i="2"/>
  <c r="DB48" i="2"/>
  <c r="DI48" i="2" l="1"/>
  <c r="DI47" i="2"/>
  <c r="DH48" i="2"/>
  <c r="DH47" i="2"/>
  <c r="DF48" i="2"/>
  <c r="DF66" i="2" s="1"/>
  <c r="DF47" i="2"/>
  <c r="DE48" i="2"/>
  <c r="DE66" i="2" s="1"/>
  <c r="DE47" i="2"/>
  <c r="ED5" i="15"/>
  <c r="ED34" i="2"/>
  <c r="ED91" i="1"/>
  <c r="AZ75" i="22"/>
  <c r="DD47" i="2"/>
  <c r="AZ77" i="22" s="1"/>
  <c r="DD48" i="2"/>
  <c r="AY78" i="22"/>
  <c r="DC4" i="15"/>
  <c r="DC161" i="1"/>
  <c r="DC66" i="2"/>
  <c r="DC51" i="2"/>
  <c r="AX78" i="22"/>
  <c r="DB4" i="15"/>
  <c r="DA51" i="2"/>
  <c r="DB49" i="2"/>
  <c r="DB66" i="2"/>
  <c r="DB51" i="2"/>
  <c r="DA79" i="2"/>
  <c r="AW83" i="22" s="1"/>
  <c r="DA67" i="2"/>
  <c r="DA80" i="2" s="1"/>
  <c r="DA75" i="2"/>
  <c r="BB68" i="22"/>
  <c r="DF159" i="1"/>
  <c r="BD68" i="22"/>
  <c r="CY17" i="15"/>
  <c r="CY4" i="11" s="1"/>
  <c r="CY6" i="11" s="1"/>
  <c r="CY18" i="15"/>
  <c r="CY16" i="15"/>
  <c r="CY15" i="15"/>
  <c r="CZ13" i="15"/>
  <c r="EC158" i="1"/>
  <c r="EC8" i="15"/>
  <c r="EC9" i="15" s="1"/>
  <c r="EC143" i="1"/>
  <c r="DA7" i="15"/>
  <c r="DA11" i="15"/>
  <c r="DA12" i="15" s="1"/>
  <c r="DG38" i="2"/>
  <c r="DI66" i="2" l="1"/>
  <c r="DI79" i="2"/>
  <c r="DI75" i="2"/>
  <c r="DI67" i="2"/>
  <c r="DI80" i="2" s="1"/>
  <c r="DH66" i="2"/>
  <c r="DH161" i="1"/>
  <c r="DF67" i="2"/>
  <c r="DF80" i="2" s="1"/>
  <c r="DF75" i="2"/>
  <c r="DF79" i="2"/>
  <c r="DE75" i="2"/>
  <c r="DE79" i="2"/>
  <c r="DE67" i="2"/>
  <c r="DE80" i="2" s="1"/>
  <c r="DA13" i="15"/>
  <c r="DA15" i="15" s="1"/>
  <c r="AZ78" i="22"/>
  <c r="DD4" i="15"/>
  <c r="DD161" i="1"/>
  <c r="DD51" i="2"/>
  <c r="DD66" i="2"/>
  <c r="CZ16" i="15"/>
  <c r="CZ18" i="15"/>
  <c r="CZ15" i="15"/>
  <c r="CZ17" i="15"/>
  <c r="CZ4" i="11" s="1"/>
  <c r="CZ6" i="11" s="1"/>
  <c r="DC79" i="2"/>
  <c r="AY83" i="22" s="1"/>
  <c r="DC67" i="2"/>
  <c r="DC80" i="2" s="1"/>
  <c r="DC75" i="2"/>
  <c r="BE68" i="22"/>
  <c r="DB7" i="15"/>
  <c r="DB11" i="15"/>
  <c r="DB12" i="15" s="1"/>
  <c r="ED22" i="1"/>
  <c r="EE92" i="1"/>
  <c r="BC68" i="22"/>
  <c r="DG159" i="1"/>
  <c r="DG62" i="2"/>
  <c r="DC7" i="15"/>
  <c r="DC11" i="15"/>
  <c r="DC12" i="15" s="1"/>
  <c r="DB79" i="2"/>
  <c r="DB75" i="2"/>
  <c r="DB67" i="2"/>
  <c r="DH75" i="2" l="1"/>
  <c r="DH79" i="2"/>
  <c r="DH67" i="2"/>
  <c r="DH80" i="2" s="1"/>
  <c r="DA18" i="15"/>
  <c r="DA16" i="15"/>
  <c r="DA17" i="15"/>
  <c r="DA4" i="11" s="1"/>
  <c r="DA6" i="11" s="1"/>
  <c r="DB6" i="11" s="1"/>
  <c r="DC13" i="15"/>
  <c r="DC15" i="15" s="1"/>
  <c r="AX83" i="22"/>
  <c r="DB82" i="2"/>
  <c r="ED19" i="1"/>
  <c r="ED134" i="1"/>
  <c r="DD75" i="2"/>
  <c r="DD67" i="2"/>
  <c r="DD80" i="2" s="1"/>
  <c r="DD79" i="2"/>
  <c r="AZ83" i="22" s="1"/>
  <c r="DI159" i="1"/>
  <c r="DJ38" i="2"/>
  <c r="BF68" i="22" s="1"/>
  <c r="EE95" i="1"/>
  <c r="EF95" i="1" s="1"/>
  <c r="EE68" i="2"/>
  <c r="EF92" i="1"/>
  <c r="DB69" i="2"/>
  <c r="DB80" i="2"/>
  <c r="DB30" i="11" s="1"/>
  <c r="DB13" i="15"/>
  <c r="DD7" i="15"/>
  <c r="DD11" i="15"/>
  <c r="DD12" i="15" s="1"/>
  <c r="DC17" i="15" l="1"/>
  <c r="DC4" i="11" s="1"/>
  <c r="DC6" i="11" s="1"/>
  <c r="DC18" i="15"/>
  <c r="DC16" i="15"/>
  <c r="EE91" i="1"/>
  <c r="EF91" i="1" s="1"/>
  <c r="EF93" i="1" s="1"/>
  <c r="DD13" i="15"/>
  <c r="ED158" i="1"/>
  <c r="ED8" i="15"/>
  <c r="ED9" i="15" s="1"/>
  <c r="ED143" i="1"/>
  <c r="DB18" i="15"/>
  <c r="DB15" i="15"/>
  <c r="DB16" i="15"/>
  <c r="DB17" i="15"/>
  <c r="DB4" i="11" s="1"/>
  <c r="DB5" i="11" s="1"/>
  <c r="EE5" i="15"/>
  <c r="EE34" i="2"/>
  <c r="EF34" i="2" s="1"/>
  <c r="EF68" i="2"/>
  <c r="EF5" i="15" s="1"/>
  <c r="DJ159" i="1"/>
  <c r="DK38" i="2"/>
  <c r="BG68" i="22" s="1"/>
  <c r="DJ62" i="2"/>
  <c r="EE22" i="1" l="1"/>
  <c r="EE134" i="1" s="1"/>
  <c r="EF134" i="1" s="1"/>
  <c r="DK159" i="1"/>
  <c r="DM38" i="2"/>
  <c r="BI68" i="22" s="1"/>
  <c r="DK62" i="2"/>
  <c r="DL38" i="2"/>
  <c r="BH68" i="22" s="1"/>
  <c r="DD15" i="15"/>
  <c r="DD17" i="15"/>
  <c r="DD4" i="11" s="1"/>
  <c r="DD6" i="11" s="1"/>
  <c r="DD16" i="15"/>
  <c r="DD18" i="15"/>
  <c r="EE158" i="1" l="1"/>
  <c r="EF158" i="1" s="1"/>
  <c r="EE19" i="1"/>
  <c r="EF22" i="1"/>
  <c r="EF19" i="1" s="1"/>
  <c r="DM159" i="1"/>
  <c r="DN38" i="2"/>
  <c r="BJ68" i="22" s="1"/>
  <c r="DM62" i="2"/>
  <c r="EE8" i="15"/>
  <c r="EE9" i="15" s="1"/>
  <c r="EE143" i="1"/>
  <c r="EF8" i="15"/>
  <c r="EF9" i="15" s="1"/>
  <c r="EF143" i="1"/>
  <c r="DL159" i="1"/>
  <c r="DL62" i="2"/>
  <c r="DN159" i="1" l="1"/>
  <c r="DO38" i="2"/>
  <c r="BK68" i="22" s="1"/>
  <c r="DN62" i="2"/>
  <c r="DO159" i="1" l="1"/>
  <c r="DP38" i="2"/>
  <c r="DO62" i="2"/>
  <c r="DQ38" i="2" l="1"/>
  <c r="BM68" i="22" s="1"/>
  <c r="BL68" i="22"/>
  <c r="DP159" i="1"/>
  <c r="DR38" i="2"/>
  <c r="DP62" i="2"/>
  <c r="DQ159" i="1" l="1"/>
  <c r="DQ62" i="2"/>
  <c r="DR159" i="1"/>
  <c r="DS38" i="2"/>
  <c r="DR62" i="2"/>
  <c r="DS159" i="1" l="1"/>
  <c r="DT38" i="2"/>
  <c r="DS62" i="2"/>
  <c r="DT159" i="1" l="1"/>
  <c r="DU38" i="2"/>
  <c r="DT62" i="2"/>
  <c r="DU159" i="1" l="1"/>
  <c r="DW38" i="2"/>
  <c r="DU62" i="2"/>
  <c r="DV38" i="2"/>
  <c r="DV159" i="1" l="1"/>
  <c r="DV62" i="2"/>
  <c r="DW159" i="1"/>
  <c r="DX38" i="2"/>
  <c r="DW62" i="2"/>
  <c r="DX159" i="1" l="1"/>
  <c r="DY38" i="2"/>
  <c r="DX62" i="2"/>
  <c r="DY159" i="1" l="1"/>
  <c r="DZ38" i="2"/>
  <c r="DY62" i="2"/>
  <c r="DZ159" i="1" l="1"/>
  <c r="EB38" i="2"/>
  <c r="DZ62" i="2"/>
  <c r="EA38" i="2"/>
  <c r="EA159" i="1" l="1"/>
  <c r="EA62" i="2"/>
  <c r="EB159" i="1"/>
  <c r="EC38" i="2"/>
  <c r="EB62" i="2"/>
  <c r="EC159" i="1" l="1"/>
  <c r="ED38" i="2"/>
  <c r="EC62" i="2"/>
  <c r="ED159" i="1" l="1"/>
  <c r="EE38" i="2"/>
  <c r="ED62" i="2"/>
  <c r="EE159" i="1" l="1"/>
  <c r="EE62" i="2"/>
  <c r="EF38" i="2"/>
  <c r="EF159" i="1" l="1"/>
  <c r="EF62" i="2"/>
  <c r="DG50" i="2" l="1"/>
  <c r="DG81" i="2" s="1"/>
  <c r="DG32" i="11" s="1"/>
  <c r="DG38" i="1" l="1"/>
  <c r="DG149" i="1" s="1"/>
  <c r="DG145" i="1" s="1"/>
  <c r="DF149" i="1"/>
  <c r="DF145" i="1" s="1"/>
  <c r="DG27" i="1"/>
  <c r="DL38" i="1" l="1"/>
  <c r="DM38" i="1" l="1"/>
  <c r="DU38" i="1" l="1"/>
  <c r="DZ38" i="1"/>
  <c r="EA38" i="1" s="1"/>
  <c r="EE38" i="1"/>
  <c r="EF38" i="1" s="1"/>
  <c r="DU81" i="2"/>
  <c r="DZ81" i="2"/>
  <c r="EE81" i="2"/>
  <c r="DV38" i="1" l="1"/>
  <c r="EB38" i="1"/>
  <c r="M34" i="20"/>
  <c r="G34" i="20"/>
  <c r="I34" i="20"/>
  <c r="K34" i="20"/>
  <c r="C6" i="20"/>
  <c r="C22" i="20" s="1"/>
  <c r="DW38" i="1" l="1"/>
  <c r="DE161" i="1" l="1"/>
  <c r="DE4" i="15"/>
  <c r="DE7" i="15" s="1"/>
  <c r="DE51" i="2"/>
  <c r="BA46" i="22"/>
  <c r="BA52" i="22"/>
  <c r="BA53" i="22"/>
  <c r="BA67" i="22"/>
  <c r="BA69" i="22"/>
  <c r="BA75" i="22"/>
  <c r="BA77" i="22"/>
  <c r="BA78" i="22"/>
  <c r="DE52" i="1" l="1"/>
  <c r="BA83" i="22"/>
  <c r="DE11" i="15"/>
  <c r="DE12" i="15" s="1"/>
  <c r="DE13" i="15" s="1"/>
  <c r="DE121" i="1"/>
  <c r="DE120" i="1"/>
  <c r="DE57" i="1"/>
  <c r="DE18" i="15" l="1"/>
  <c r="DE17" i="15"/>
  <c r="DE4" i="11" s="1"/>
  <c r="DE6" i="11" s="1"/>
  <c r="DE16" i="15"/>
  <c r="DE15" i="15"/>
  <c r="DE25" i="2" l="1"/>
  <c r="BA54" i="22" s="1"/>
  <c r="DE139" i="1"/>
  <c r="DE138" i="1" s="1"/>
  <c r="DE151" i="1" s="1"/>
  <c r="DE48" i="1"/>
  <c r="DE51" i="1"/>
  <c r="DE53" i="1" s="1"/>
  <c r="DF14" i="15"/>
  <c r="DE49" i="1" l="1"/>
  <c r="DE54" i="1"/>
  <c r="DE55" i="1"/>
  <c r="DE56" i="1"/>
  <c r="DE122" i="1"/>
  <c r="DE152" i="1"/>
  <c r="DE154" i="1"/>
  <c r="DE165" i="1"/>
  <c r="DG47" i="1"/>
  <c r="DG43" i="1" s="1"/>
  <c r="DF161" i="1"/>
  <c r="DG161" i="1" s="1"/>
  <c r="DF4" i="15"/>
  <c r="DF7" i="15" s="1"/>
  <c r="DG17" i="2"/>
  <c r="BC46" i="22" s="1"/>
  <c r="DG23" i="2"/>
  <c r="BC52" i="22" s="1"/>
  <c r="DG24" i="2"/>
  <c r="DG60" i="2" s="1"/>
  <c r="DG59" i="2" s="1"/>
  <c r="DG37" i="2"/>
  <c r="BC67" i="22" s="1"/>
  <c r="DG39" i="2"/>
  <c r="DG45" i="2"/>
  <c r="BC75" i="22" s="1"/>
  <c r="DG48" i="2"/>
  <c r="BB83" i="22"/>
  <c r="BB46" i="22"/>
  <c r="BB52" i="22"/>
  <c r="BB53" i="22"/>
  <c r="BB67" i="22"/>
  <c r="BB69" i="22"/>
  <c r="BB75" i="22"/>
  <c r="BB77" i="22"/>
  <c r="BB78" i="22"/>
  <c r="DK50" i="2" l="1"/>
  <c r="DG51" i="2"/>
  <c r="DK81" i="2"/>
  <c r="DF51" i="2"/>
  <c r="C10" i="20"/>
  <c r="C26" i="20" s="1"/>
  <c r="DG49" i="2"/>
  <c r="DG47" i="2"/>
  <c r="BC77" i="22" s="1"/>
  <c r="DF121" i="1"/>
  <c r="DG66" i="2"/>
  <c r="BC78" i="22"/>
  <c r="DG121" i="1"/>
  <c r="DG57" i="1"/>
  <c r="DG120" i="1"/>
  <c r="DG52" i="1"/>
  <c r="DG26" i="1"/>
  <c r="DG63" i="2"/>
  <c r="BC69" i="22"/>
  <c r="BC53" i="22"/>
  <c r="DF57" i="1"/>
  <c r="DF120" i="1"/>
  <c r="DF11" i="15"/>
  <c r="DF12" i="15" s="1"/>
  <c r="DF13" i="15" s="1"/>
  <c r="DG4" i="15"/>
  <c r="DG7" i="15" s="1"/>
  <c r="DL50" i="2" l="1"/>
  <c r="DL81" i="2" s="1"/>
  <c r="DJ81" i="2"/>
  <c r="DG75" i="2"/>
  <c r="DG67" i="2"/>
  <c r="DG79" i="2"/>
  <c r="DF52" i="1"/>
  <c r="DF15" i="15"/>
  <c r="DF18" i="15"/>
  <c r="DF17" i="15"/>
  <c r="DF4" i="11" s="1"/>
  <c r="DF6" i="11" s="1"/>
  <c r="DF16" i="15"/>
  <c r="DG11" i="15"/>
  <c r="DG12" i="15" s="1"/>
  <c r="DG13" i="15" s="1"/>
  <c r="DG80" i="2" l="1"/>
  <c r="DG30" i="11" s="1"/>
  <c r="DG69" i="2"/>
  <c r="BC83" i="22"/>
  <c r="DG82" i="2"/>
  <c r="DG15" i="15"/>
  <c r="DG16" i="15"/>
  <c r="DG17" i="15"/>
  <c r="DG4" i="11" s="1"/>
  <c r="DG18" i="15"/>
  <c r="DF25" i="2"/>
  <c r="BB54" i="22" s="1"/>
  <c r="DF48" i="1"/>
  <c r="DF139" i="1"/>
  <c r="DF138" i="1" s="1"/>
  <c r="DF151" i="1" s="1"/>
  <c r="DG6" i="1"/>
  <c r="DG25" i="2" s="1"/>
  <c r="BC54" i="22" s="1"/>
  <c r="DF51" i="1"/>
  <c r="DF53" i="1" s="1"/>
  <c r="DF49" i="1" s="1"/>
  <c r="DG6" i="11"/>
  <c r="DL32" i="11"/>
  <c r="DF56" i="1" l="1"/>
  <c r="DF55" i="1"/>
  <c r="DF54" i="1"/>
  <c r="DF122" i="1"/>
  <c r="DG123" i="1" s="1"/>
  <c r="DH14" i="15"/>
  <c r="DG51" i="1"/>
  <c r="DG53" i="1" s="1"/>
  <c r="DH49" i="1" s="1"/>
  <c r="DL14" i="15"/>
  <c r="DG5" i="1"/>
  <c r="DG4" i="1" s="1"/>
  <c r="DG48" i="1" s="1"/>
  <c r="DG139" i="1"/>
  <c r="DG138" i="1" s="1"/>
  <c r="DG151" i="1" s="1"/>
  <c r="DF154" i="1"/>
  <c r="DF152" i="1"/>
  <c r="DF165" i="1"/>
  <c r="DG163" i="1"/>
  <c r="DG5" i="11"/>
  <c r="DG49" i="1" l="1"/>
  <c r="DG56" i="1"/>
  <c r="DG55" i="1"/>
  <c r="DG54" i="1"/>
  <c r="DG122" i="1"/>
  <c r="DG154" i="1"/>
  <c r="DG152" i="1"/>
  <c r="DG165" i="1"/>
  <c r="DG31" i="11" s="1"/>
  <c r="DH4" i="15"/>
  <c r="DH7" i="15" s="1"/>
  <c r="DH51" i="2"/>
  <c r="BD83" i="22"/>
  <c r="BD46" i="22"/>
  <c r="BD52" i="22"/>
  <c r="BD53" i="22"/>
  <c r="BD67" i="22"/>
  <c r="BD69" i="22"/>
  <c r="BD75" i="22"/>
  <c r="BD77" i="22"/>
  <c r="BD78" i="22"/>
  <c r="DH11" i="15" l="1"/>
  <c r="DH12" i="15" s="1"/>
  <c r="DH13" i="15" s="1"/>
  <c r="DH16" i="15" l="1"/>
  <c r="DH15" i="15"/>
  <c r="DH25" i="2" s="1"/>
  <c r="DH17" i="15"/>
  <c r="DH4" i="11" s="1"/>
  <c r="DH6" i="11" s="1"/>
  <c r="DH18" i="15"/>
  <c r="BD54" i="22" l="1"/>
  <c r="DH5" i="1"/>
  <c r="DH4" i="1" s="1"/>
  <c r="DH48" i="1" s="1"/>
  <c r="DI14" i="15"/>
  <c r="DH165" i="1" l="1"/>
  <c r="C9" i="20" l="1"/>
  <c r="C25" i="20" s="1"/>
  <c r="B11" i="11" l="1"/>
  <c r="BE34" i="22" l="1"/>
  <c r="DJ40" i="9"/>
  <c r="BE62" i="22" l="1"/>
  <c r="BE61" i="22"/>
  <c r="BE80" i="22"/>
  <c r="DJ111" i="1"/>
  <c r="DI149" i="1" l="1"/>
  <c r="BE35" i="22"/>
  <c r="BE42" i="22"/>
  <c r="DI147" i="1" l="1"/>
  <c r="BE58" i="22"/>
  <c r="BE59" i="22"/>
  <c r="DI140" i="1"/>
  <c r="DJ19" i="9"/>
  <c r="DI28" i="1"/>
  <c r="DI41" i="2" l="1"/>
  <c r="BE71" i="22" s="1"/>
  <c r="DI50" i="1"/>
  <c r="DI85" i="2" s="1"/>
  <c r="DI84" i="2" s="1"/>
  <c r="DI146" i="1"/>
  <c r="DI10" i="15"/>
  <c r="DJ14" i="9"/>
  <c r="DJ21" i="9"/>
  <c r="DJ39" i="9" s="1"/>
  <c r="BF20" i="22"/>
  <c r="DI27" i="2" l="1"/>
  <c r="BF22" i="22"/>
  <c r="BF15" i="22"/>
  <c r="DJ9" i="9"/>
  <c r="DJ34" i="9"/>
  <c r="DJ14" i="2"/>
  <c r="DJ38" i="9" l="1"/>
  <c r="DJ36" i="9" s="1"/>
  <c r="DJ5" i="2" s="1"/>
  <c r="DJ30" i="9"/>
  <c r="BF30" i="22" s="1"/>
  <c r="DJ24" i="9"/>
  <c r="DJ10" i="9"/>
  <c r="DJ12" i="9"/>
  <c r="BF13" i="22" s="1"/>
  <c r="BF10" i="22"/>
  <c r="BE56" i="22"/>
  <c r="BE55" i="22"/>
  <c r="DI157" i="1"/>
  <c r="DI141" i="1"/>
  <c r="DJ61" i="1" l="1"/>
  <c r="DJ64" i="1" s="1"/>
  <c r="DJ33" i="2"/>
  <c r="DJ56" i="2" s="1"/>
  <c r="DJ42" i="9"/>
  <c r="DJ7" i="2" s="1"/>
  <c r="DJ71" i="2"/>
  <c r="BF80" i="22" s="1"/>
  <c r="DJ112" i="1"/>
  <c r="DJ116" i="1" s="1"/>
  <c r="DJ114" i="1" s="1"/>
  <c r="BF34" i="22"/>
  <c r="DJ84" i="1"/>
  <c r="BF11" i="22"/>
  <c r="DJ35" i="9"/>
  <c r="DJ37" i="9" s="1"/>
  <c r="DJ26" i="9"/>
  <c r="DK28" i="9"/>
  <c r="BG29" i="22" s="1"/>
  <c r="DJ75" i="1"/>
  <c r="BF25" i="22"/>
  <c r="BF43" i="22"/>
  <c r="DJ107" i="1" l="1"/>
  <c r="DJ33" i="9" s="1"/>
  <c r="DK40" i="9" s="1"/>
  <c r="DK111" i="1" s="1"/>
  <c r="DL111" i="1" s="1"/>
  <c r="DJ108" i="1"/>
  <c r="DJ13" i="2"/>
  <c r="DJ70" i="1" s="1"/>
  <c r="DJ113" i="1"/>
  <c r="DJ115" i="1" s="1"/>
  <c r="DJ117" i="1" s="1"/>
  <c r="DJ15" i="2"/>
  <c r="BF44" i="22" s="1"/>
  <c r="BF36" i="22"/>
  <c r="DJ66" i="1"/>
  <c r="BF62" i="22"/>
  <c r="DJ32" i="2"/>
  <c r="BF61" i="22" s="1"/>
  <c r="DJ13" i="1"/>
  <c r="DJ69" i="1"/>
  <c r="DJ72" i="1" s="1"/>
  <c r="BF27" i="22"/>
  <c r="DK17" i="9"/>
  <c r="DJ100" i="1"/>
  <c r="DJ15" i="1" s="1"/>
  <c r="DJ144" i="1" s="1"/>
  <c r="DJ97" i="1"/>
  <c r="DJ17" i="1" s="1"/>
  <c r="DJ142" i="1" s="1"/>
  <c r="DJ103" i="1"/>
  <c r="DJ36" i="1" s="1"/>
  <c r="DJ83" i="1"/>
  <c r="DJ34" i="1" s="1"/>
  <c r="DJ8" i="1" l="1"/>
  <c r="DJ29" i="1" s="1"/>
  <c r="DJ9" i="1"/>
  <c r="DL40" i="9"/>
  <c r="DL41" i="9" s="1"/>
  <c r="DJ109" i="1"/>
  <c r="DJ110" i="1" s="1"/>
  <c r="BF42" i="22"/>
  <c r="DJ54" i="2"/>
  <c r="DJ12" i="2"/>
  <c r="BF41" i="22" s="1"/>
  <c r="DJ39" i="1"/>
  <c r="DJ149" i="1" s="1"/>
  <c r="DJ6" i="2"/>
  <c r="DJ4" i="2" s="1"/>
  <c r="DJ30" i="2"/>
  <c r="DJ29" i="2" s="1"/>
  <c r="DL17" i="9"/>
  <c r="DK29" i="9"/>
  <c r="DK18" i="2"/>
  <c r="BG18" i="22"/>
  <c r="DJ88" i="1"/>
  <c r="DJ87" i="1" s="1"/>
  <c r="DJ35" i="1" s="1"/>
  <c r="DJ11" i="1"/>
  <c r="DJ71" i="1"/>
  <c r="DJ80" i="1"/>
  <c r="DJ79" i="1" s="1"/>
  <c r="DJ32" i="1" s="1"/>
  <c r="DK19" i="9" l="1"/>
  <c r="DJ140" i="1"/>
  <c r="DJ60" i="1"/>
  <c r="BF35" i="22"/>
  <c r="BF59" i="22"/>
  <c r="DL18" i="2"/>
  <c r="BG47" i="22"/>
  <c r="DJ147" i="1"/>
  <c r="DL29" i="9"/>
  <c r="DL18" i="9"/>
  <c r="BH19" i="22" s="1"/>
  <c r="BH18" i="22"/>
  <c r="BG20" i="22"/>
  <c r="DL19" i="9"/>
  <c r="DK21" i="9"/>
  <c r="DK39" i="9" s="1"/>
  <c r="DK14" i="9"/>
  <c r="BF58" i="22"/>
  <c r="DJ63" i="1"/>
  <c r="DJ40" i="2" s="1"/>
  <c r="DJ62" i="1"/>
  <c r="DJ9" i="2"/>
  <c r="BF33" i="22"/>
  <c r="DJ28" i="1"/>
  <c r="BH47" i="22" l="1"/>
  <c r="DL20" i="2"/>
  <c r="BH49" i="22" s="1"/>
  <c r="DJ8" i="2"/>
  <c r="BF38" i="22"/>
  <c r="DK9" i="9"/>
  <c r="DK34" i="9"/>
  <c r="BG15" i="22"/>
  <c r="DL14" i="9"/>
  <c r="BF70" i="22"/>
  <c r="DL20" i="9"/>
  <c r="BH21" i="22" s="1"/>
  <c r="BH20" i="22"/>
  <c r="DJ50" i="1"/>
  <c r="DJ146" i="1"/>
  <c r="DJ10" i="15"/>
  <c r="BG22" i="22"/>
  <c r="DL21" i="9"/>
  <c r="BH22" i="22" s="1"/>
  <c r="DL34" i="9" l="1"/>
  <c r="BH15" i="22"/>
  <c r="DJ85" i="2"/>
  <c r="DK38" i="9"/>
  <c r="DK112" i="1" s="1"/>
  <c r="DK30" i="9"/>
  <c r="BG30" i="22" s="1"/>
  <c r="DK10" i="9"/>
  <c r="DK12" i="9"/>
  <c r="BG10" i="22"/>
  <c r="DL9" i="9"/>
  <c r="DK24" i="9"/>
  <c r="BF37" i="22"/>
  <c r="DJ11" i="2"/>
  <c r="DK116" i="1" l="1"/>
  <c r="DL112" i="1"/>
  <c r="DK107" i="1"/>
  <c r="BG13" i="22"/>
  <c r="DL12" i="9"/>
  <c r="BH13" i="22" s="1"/>
  <c r="DL30" i="9"/>
  <c r="BH30" i="22" s="1"/>
  <c r="BH10" i="22"/>
  <c r="DK36" i="9"/>
  <c r="DL38" i="9"/>
  <c r="DL39" i="9" s="1"/>
  <c r="DK84" i="1"/>
  <c r="BG11" i="22"/>
  <c r="DL10" i="9"/>
  <c r="DK35" i="9"/>
  <c r="DJ84" i="2"/>
  <c r="DJ42" i="2"/>
  <c r="DJ19" i="2"/>
  <c r="BF48" i="22" s="1"/>
  <c r="DJ53" i="2"/>
  <c r="DJ55" i="2" s="1"/>
  <c r="DJ22" i="2"/>
  <c r="BF51" i="22" s="1"/>
  <c r="DJ16" i="2"/>
  <c r="BF40" i="22"/>
  <c r="DK75" i="1"/>
  <c r="DL24" i="9"/>
  <c r="DK26" i="9"/>
  <c r="BG25" i="22"/>
  <c r="DL84" i="1" l="1"/>
  <c r="DL11" i="9"/>
  <c r="BH12" i="22" s="1"/>
  <c r="DL13" i="9"/>
  <c r="BH14" i="22" s="1"/>
  <c r="DL35" i="9"/>
  <c r="BH11" i="22"/>
  <c r="DK37" i="9"/>
  <c r="DK5" i="2"/>
  <c r="DK42" i="9"/>
  <c r="DK7" i="2" s="1"/>
  <c r="DL36" i="9"/>
  <c r="DK83" i="1"/>
  <c r="DK34" i="1" s="1"/>
  <c r="DL34" i="1" s="1"/>
  <c r="DL83" i="1" s="1"/>
  <c r="DK100" i="1"/>
  <c r="DK15" i="1" s="1"/>
  <c r="DK103" i="1"/>
  <c r="DK36" i="1" s="1"/>
  <c r="DK97" i="1"/>
  <c r="DK17" i="1" s="1"/>
  <c r="DL26" i="9"/>
  <c r="BG27" i="22"/>
  <c r="DL107" i="1"/>
  <c r="DK33" i="9"/>
  <c r="DQ28" i="9"/>
  <c r="BM29" i="22" s="1"/>
  <c r="DM28" i="9"/>
  <c r="BI29" i="22" s="1"/>
  <c r="BH25" i="22"/>
  <c r="DJ133" i="1"/>
  <c r="DK14" i="2" s="1"/>
  <c r="DK13" i="1"/>
  <c r="DL75" i="1"/>
  <c r="DL76" i="1" s="1"/>
  <c r="DK69" i="1"/>
  <c r="DK72" i="1" s="1"/>
  <c r="DJ91" i="2"/>
  <c r="DJ2" i="2"/>
  <c r="BF45" i="22"/>
  <c r="DJ57" i="2"/>
  <c r="DJ70" i="2"/>
  <c r="BF79" i="22" s="1"/>
  <c r="BF72" i="22"/>
  <c r="DJ64" i="2"/>
  <c r="DJ26" i="2"/>
  <c r="DK114" i="1"/>
  <c r="DL116" i="1"/>
  <c r="DL118" i="1" s="1"/>
  <c r="DL37" i="9" l="1"/>
  <c r="DL85" i="1"/>
  <c r="DM85" i="1" s="1"/>
  <c r="DN85" i="1" s="1"/>
  <c r="DL15" i="1"/>
  <c r="DK144" i="1"/>
  <c r="DJ157" i="1"/>
  <c r="DJ141" i="1"/>
  <c r="DL13" i="1"/>
  <c r="DL88" i="1" s="1"/>
  <c r="DK88" i="1"/>
  <c r="DK87" i="1" s="1"/>
  <c r="DK35" i="1" s="1"/>
  <c r="DL35" i="1" s="1"/>
  <c r="DL87" i="1" s="1"/>
  <c r="DK11" i="1"/>
  <c r="DK61" i="1"/>
  <c r="DK33" i="2"/>
  <c r="BG34" i="22"/>
  <c r="DL5" i="2"/>
  <c r="DK71" i="2"/>
  <c r="DK108" i="1" s="1"/>
  <c r="DK15" i="2"/>
  <c r="BG44" i="22" s="1"/>
  <c r="BG36" i="22"/>
  <c r="DM17" i="9"/>
  <c r="BH27" i="22"/>
  <c r="DK142" i="1"/>
  <c r="DL17" i="1"/>
  <c r="DL36" i="1"/>
  <c r="DJ27" i="2"/>
  <c r="BF56" i="22" s="1"/>
  <c r="DJ61" i="2"/>
  <c r="BF55" i="22"/>
  <c r="DL114" i="1"/>
  <c r="DJ58" i="2"/>
  <c r="DJ74" i="2"/>
  <c r="BF82" i="22" s="1"/>
  <c r="DL33" i="9"/>
  <c r="DL89" i="1" l="1"/>
  <c r="DM18" i="2"/>
  <c r="BI18" i="22"/>
  <c r="DL11" i="1"/>
  <c r="DM40" i="9"/>
  <c r="BG43" i="22"/>
  <c r="DL14" i="2"/>
  <c r="BH43" i="22" s="1"/>
  <c r="DK64" i="1"/>
  <c r="DL64" i="1" s="1"/>
  <c r="DK66" i="1"/>
  <c r="DK32" i="2"/>
  <c r="BG62" i="22"/>
  <c r="DL33" i="2"/>
  <c r="DK56" i="2"/>
  <c r="DL108" i="1"/>
  <c r="DK109" i="1"/>
  <c r="DL61" i="1"/>
  <c r="BH34" i="22"/>
  <c r="DL103" i="1"/>
  <c r="DL104" i="1" s="1"/>
  <c r="DL142" i="1"/>
  <c r="DL97" i="1"/>
  <c r="DL98" i="1" s="1"/>
  <c r="DO85" i="1"/>
  <c r="DJ73" i="2"/>
  <c r="BF81" i="22" s="1"/>
  <c r="BF65" i="22"/>
  <c r="DK13" i="2"/>
  <c r="BG80" i="22"/>
  <c r="DK113" i="1"/>
  <c r="DL144" i="1"/>
  <c r="DL100" i="1"/>
  <c r="DL101" i="1" s="1"/>
  <c r="DL113" i="1" l="1"/>
  <c r="DK115" i="1"/>
  <c r="DP85" i="1"/>
  <c r="DM111" i="1"/>
  <c r="DL65" i="1"/>
  <c r="DK110" i="1"/>
  <c r="DL109" i="1"/>
  <c r="DL110" i="1" s="1"/>
  <c r="DL69" i="1"/>
  <c r="DL72" i="1" s="1"/>
  <c r="DK70" i="1"/>
  <c r="DK12" i="2"/>
  <c r="BG41" i="22" s="1"/>
  <c r="BG42" i="22"/>
  <c r="DK54" i="2"/>
  <c r="DL13" i="2"/>
  <c r="BH62" i="22"/>
  <c r="DL56" i="2"/>
  <c r="BG61" i="22"/>
  <c r="DL32" i="2"/>
  <c r="BH61" i="22" s="1"/>
  <c r="BI47" i="22"/>
  <c r="DK9" i="1"/>
  <c r="DL66" i="1"/>
  <c r="DL67" i="1" s="1"/>
  <c r="BH42" i="22" l="1"/>
  <c r="DL71" i="2"/>
  <c r="BH80" i="22" s="1"/>
  <c r="DL9" i="1"/>
  <c r="DK8" i="1"/>
  <c r="DK30" i="2"/>
  <c r="DK6" i="2"/>
  <c r="DK39" i="1"/>
  <c r="DK71" i="1"/>
  <c r="DK80" i="1"/>
  <c r="DK79" i="1" s="1"/>
  <c r="DK32" i="1" s="1"/>
  <c r="DL115" i="1"/>
  <c r="DL117" i="1" s="1"/>
  <c r="DK117" i="1"/>
  <c r="DL39" i="1" l="1"/>
  <c r="DK149" i="1"/>
  <c r="DL8" i="1"/>
  <c r="DK60" i="1"/>
  <c r="DK140" i="1"/>
  <c r="DK29" i="1"/>
  <c r="DL32" i="1"/>
  <c r="DK147" i="1"/>
  <c r="DK29" i="2"/>
  <c r="BG59" i="22"/>
  <c r="DL30" i="2"/>
  <c r="BH59" i="22" s="1"/>
  <c r="BG35" i="22"/>
  <c r="DL6" i="2"/>
  <c r="BH35" i="22" s="1"/>
  <c r="DK4" i="2"/>
  <c r="DL60" i="1" l="1"/>
  <c r="DL140" i="1"/>
  <c r="DM19" i="9"/>
  <c r="DL79" i="1"/>
  <c r="DL147" i="1"/>
  <c r="BG58" i="22"/>
  <c r="DL29" i="2"/>
  <c r="BH58" i="22" s="1"/>
  <c r="DL29" i="1"/>
  <c r="DK28" i="1"/>
  <c r="DK9" i="2"/>
  <c r="BG33" i="22"/>
  <c r="DK63" i="1"/>
  <c r="DK40" i="2" s="1"/>
  <c r="DK62" i="1"/>
  <c r="DL149" i="1"/>
  <c r="DK8" i="2" l="1"/>
  <c r="BG38" i="22"/>
  <c r="DK50" i="1"/>
  <c r="DL28" i="1"/>
  <c r="DK146" i="1"/>
  <c r="DK10" i="15"/>
  <c r="BG70" i="22"/>
  <c r="BI20" i="22"/>
  <c r="DM21" i="9"/>
  <c r="DM39" i="9" s="1"/>
  <c r="DM14" i="9"/>
  <c r="DL63" i="1"/>
  <c r="DL62" i="1"/>
  <c r="DM9" i="9" l="1"/>
  <c r="DM34" i="9"/>
  <c r="BI15" i="22"/>
  <c r="DM29" i="9"/>
  <c r="BI22" i="22"/>
  <c r="DL50" i="1"/>
  <c r="DL10" i="15"/>
  <c r="DL146" i="1"/>
  <c r="DK85" i="2"/>
  <c r="BG37" i="22"/>
  <c r="DK11" i="2"/>
  <c r="DM38" i="9" l="1"/>
  <c r="DM112" i="1" s="1"/>
  <c r="DK84" i="2"/>
  <c r="DL85" i="2"/>
  <c r="DL86" i="2" s="1"/>
  <c r="DL87" i="2" s="1"/>
  <c r="DM30" i="9"/>
  <c r="BI30" i="22" s="1"/>
  <c r="DM10" i="9"/>
  <c r="DM12" i="9"/>
  <c r="BI10" i="22"/>
  <c r="DM24" i="9"/>
  <c r="DK16" i="2"/>
  <c r="DK42" i="2"/>
  <c r="DK53" i="2"/>
  <c r="DK55" i="2" s="1"/>
  <c r="DK22" i="2"/>
  <c r="BG51" i="22" s="1"/>
  <c r="BG40" i="22"/>
  <c r="DK19" i="2"/>
  <c r="BG48" i="22" s="1"/>
  <c r="DM84" i="1" l="1"/>
  <c r="BI11" i="22"/>
  <c r="DM35" i="9"/>
  <c r="DM75" i="1"/>
  <c r="DN28" i="9"/>
  <c r="BJ29" i="22" s="1"/>
  <c r="DM26" i="9"/>
  <c r="BI25" i="22"/>
  <c r="DM116" i="1"/>
  <c r="DM107" i="1"/>
  <c r="BG72" i="22"/>
  <c r="DK64" i="2"/>
  <c r="DM36" i="9"/>
  <c r="BI13" i="22"/>
  <c r="DL84" i="2"/>
  <c r="DL88" i="2" s="1"/>
  <c r="DK133" i="1"/>
  <c r="DK57" i="2"/>
  <c r="DK70" i="2"/>
  <c r="BG79" i="22" s="1"/>
  <c r="DK26" i="2"/>
  <c r="DK2" i="2"/>
  <c r="BG45" i="22"/>
  <c r="DK91" i="2"/>
  <c r="DK27" i="2" l="1"/>
  <c r="BG56" i="22" s="1"/>
  <c r="DK61" i="2"/>
  <c r="BG55" i="22"/>
  <c r="DL26" i="2"/>
  <c r="DK58" i="2"/>
  <c r="DK74" i="2"/>
  <c r="BG82" i="22" s="1"/>
  <c r="DM33" i="9"/>
  <c r="DN17" i="9"/>
  <c r="BI27" i="22"/>
  <c r="DL133" i="1"/>
  <c r="DM14" i="2" s="1"/>
  <c r="DK157" i="1"/>
  <c r="DL157" i="1" s="1"/>
  <c r="DK141" i="1"/>
  <c r="DM13" i="1"/>
  <c r="DM69" i="1"/>
  <c r="DM72" i="1" s="1"/>
  <c r="DM114" i="1"/>
  <c r="DM5" i="2"/>
  <c r="DM37" i="9"/>
  <c r="DM42" i="9"/>
  <c r="DM100" i="1"/>
  <c r="DM15" i="1" s="1"/>
  <c r="DM144" i="1" s="1"/>
  <c r="DM103" i="1"/>
  <c r="DM36" i="1" s="1"/>
  <c r="DM97" i="1"/>
  <c r="DM17" i="1" s="1"/>
  <c r="DM142" i="1" s="1"/>
  <c r="DM83" i="1"/>
  <c r="DM34" i="1" s="1"/>
  <c r="DM61" i="1" l="1"/>
  <c r="DM33" i="2"/>
  <c r="BI34" i="22"/>
  <c r="DM71" i="2"/>
  <c r="DN29" i="9"/>
  <c r="DN18" i="2"/>
  <c r="BJ18" i="22"/>
  <c r="DN40" i="9"/>
  <c r="DK73" i="2"/>
  <c r="BG81" i="22" s="1"/>
  <c r="BG65" i="22"/>
  <c r="DL27" i="2"/>
  <c r="BH56" i="22" s="1"/>
  <c r="DL61" i="2"/>
  <c r="BH55" i="22"/>
  <c r="DM88" i="1"/>
  <c r="DM87" i="1" s="1"/>
  <c r="DM35" i="1" s="1"/>
  <c r="DM11" i="1"/>
  <c r="DM7" i="2"/>
  <c r="DL141" i="1"/>
  <c r="DM15" i="2" l="1"/>
  <c r="BI36" i="22"/>
  <c r="DM13" i="2"/>
  <c r="BI80" i="22"/>
  <c r="DM113" i="1"/>
  <c r="DM115" i="1" s="1"/>
  <c r="DM117" i="1" s="1"/>
  <c r="BI43" i="22"/>
  <c r="DN111" i="1"/>
  <c r="BJ47" i="22"/>
  <c r="DM108" i="1"/>
  <c r="DM32" i="2"/>
  <c r="BI62" i="22"/>
  <c r="DM56" i="2"/>
  <c r="DM66" i="1"/>
  <c r="DM9" i="1" s="1"/>
  <c r="DM64" i="1"/>
  <c r="DM109" i="1" l="1"/>
  <c r="DM110" i="1" s="1"/>
  <c r="DM8" i="1"/>
  <c r="DM30" i="2"/>
  <c r="DM6" i="2"/>
  <c r="DM39" i="1"/>
  <c r="DM70" i="1"/>
  <c r="DM12" i="2"/>
  <c r="BI42" i="22"/>
  <c r="DM54" i="2"/>
  <c r="BI61" i="22"/>
  <c r="BI44" i="22"/>
  <c r="BI35" i="22" l="1"/>
  <c r="DM4" i="2"/>
  <c r="DM29" i="2"/>
  <c r="BI59" i="22"/>
  <c r="DM149" i="1"/>
  <c r="BI41" i="22"/>
  <c r="DM71" i="1"/>
  <c r="DM80" i="1"/>
  <c r="DM79" i="1" s="1"/>
  <c r="DM32" i="1" s="1"/>
  <c r="DM147" i="1" s="1"/>
  <c r="DM60" i="1"/>
  <c r="DM140" i="1"/>
  <c r="DN19" i="9"/>
  <c r="DM29" i="1"/>
  <c r="BJ20" i="22" l="1"/>
  <c r="DN14" i="9"/>
  <c r="DN21" i="9"/>
  <c r="BI58" i="22"/>
  <c r="DM9" i="2"/>
  <c r="BI33" i="22"/>
  <c r="DM28" i="1"/>
  <c r="DM63" i="1"/>
  <c r="DM40" i="2" s="1"/>
  <c r="DM62" i="1"/>
  <c r="BI70" i="22" l="1"/>
  <c r="DM50" i="1"/>
  <c r="DM10" i="15"/>
  <c r="DM146" i="1"/>
  <c r="DN39" i="9"/>
  <c r="BJ22" i="22"/>
  <c r="DM8" i="2"/>
  <c r="BI38" i="22"/>
  <c r="DN9" i="9"/>
  <c r="DN34" i="9"/>
  <c r="BJ15" i="22"/>
  <c r="DN38" i="9" l="1"/>
  <c r="DN112" i="1" s="1"/>
  <c r="DN30" i="9"/>
  <c r="BJ30" i="22" s="1"/>
  <c r="DN10" i="9"/>
  <c r="DN12" i="9"/>
  <c r="BJ10" i="22"/>
  <c r="DN24" i="9"/>
  <c r="DM85" i="2"/>
  <c r="BI37" i="22"/>
  <c r="DM11" i="2"/>
  <c r="DN36" i="9" l="1"/>
  <c r="DN5" i="2" s="1"/>
  <c r="DM84" i="2"/>
  <c r="DM26" i="2" s="1"/>
  <c r="DN75" i="1"/>
  <c r="DO28" i="9"/>
  <c r="BK29" i="22" s="1"/>
  <c r="DN26" i="9"/>
  <c r="BJ25" i="22"/>
  <c r="BJ13" i="22"/>
  <c r="DN84" i="1"/>
  <c r="BJ11" i="22"/>
  <c r="DN35" i="9"/>
  <c r="DM16" i="2"/>
  <c r="DM22" i="2"/>
  <c r="BI51" i="22" s="1"/>
  <c r="DM42" i="2"/>
  <c r="BI40" i="22"/>
  <c r="DM53" i="2"/>
  <c r="DM55" i="2" s="1"/>
  <c r="DM19" i="2"/>
  <c r="BI48" i="22" s="1"/>
  <c r="DN116" i="1"/>
  <c r="DN107" i="1"/>
  <c r="DN42" i="9" l="1"/>
  <c r="DN7" i="2" s="1"/>
  <c r="DN37" i="9"/>
  <c r="DN100" i="1"/>
  <c r="DN15" i="1" s="1"/>
  <c r="DN144" i="1" s="1"/>
  <c r="DN103" i="1"/>
  <c r="DN36" i="1" s="1"/>
  <c r="DN97" i="1"/>
  <c r="DN17" i="1" s="1"/>
  <c r="DN142" i="1" s="1"/>
  <c r="DN83" i="1"/>
  <c r="DN34" i="1" s="1"/>
  <c r="DO17" i="9"/>
  <c r="BJ27" i="22"/>
  <c r="BI72" i="22"/>
  <c r="DM64" i="2"/>
  <c r="DM2" i="2"/>
  <c r="BI45" i="22"/>
  <c r="DM91" i="2"/>
  <c r="DN33" i="9"/>
  <c r="DN13" i="1"/>
  <c r="DN69" i="1"/>
  <c r="DN72" i="1" s="1"/>
  <c r="DN61" i="1"/>
  <c r="DN33" i="2"/>
  <c r="BJ34" i="22"/>
  <c r="DN71" i="2"/>
  <c r="DM133" i="1"/>
  <c r="DN14" i="2" s="1"/>
  <c r="DN114" i="1"/>
  <c r="DM70" i="2"/>
  <c r="BI79" i="22" s="1"/>
  <c r="DM57" i="2"/>
  <c r="DM27" i="2"/>
  <c r="BI56" i="22" s="1"/>
  <c r="DM61" i="2"/>
  <c r="BI55" i="22"/>
  <c r="DN32" i="2" l="1"/>
  <c r="BJ62" i="22"/>
  <c r="DN56" i="2"/>
  <c r="DN66" i="1"/>
  <c r="DN9" i="1" s="1"/>
  <c r="DN39" i="1" s="1"/>
  <c r="DN64" i="1"/>
  <c r="DN15" i="2"/>
  <c r="BJ36" i="22"/>
  <c r="DO29" i="9"/>
  <c r="DO18" i="2"/>
  <c r="BK18" i="22"/>
  <c r="DO40" i="9"/>
  <c r="DN108" i="1"/>
  <c r="DM58" i="2"/>
  <c r="DM74" i="2"/>
  <c r="BI82" i="22" s="1"/>
  <c r="DN11" i="1"/>
  <c r="DN88" i="1"/>
  <c r="DN87" i="1" s="1"/>
  <c r="DN35" i="1" s="1"/>
  <c r="DM157" i="1"/>
  <c r="DM141" i="1"/>
  <c r="DN13" i="2"/>
  <c r="BJ80" i="22"/>
  <c r="DN113" i="1"/>
  <c r="DN115" i="1" s="1"/>
  <c r="DN117" i="1" s="1"/>
  <c r="BK47" i="22" l="1"/>
  <c r="DN149" i="1"/>
  <c r="BI65" i="22"/>
  <c r="DM73" i="2"/>
  <c r="BI81" i="22" s="1"/>
  <c r="DN109" i="1"/>
  <c r="DN110" i="1" s="1"/>
  <c r="DN8" i="1"/>
  <c r="DN30" i="2"/>
  <c r="DN6" i="2"/>
  <c r="BJ44" i="22"/>
  <c r="DO111" i="1"/>
  <c r="BJ43" i="22"/>
  <c r="DN70" i="1"/>
  <c r="DN12" i="2"/>
  <c r="DN54" i="2"/>
  <c r="BJ42" i="22"/>
  <c r="BJ61" i="22"/>
  <c r="DN71" i="1" l="1"/>
  <c r="DN80" i="1"/>
  <c r="DN79" i="1" s="1"/>
  <c r="DN32" i="1" s="1"/>
  <c r="DN147" i="1" s="1"/>
  <c r="BJ35" i="22"/>
  <c r="DN4" i="2"/>
  <c r="BJ41" i="22"/>
  <c r="DN29" i="2"/>
  <c r="BJ59" i="22"/>
  <c r="DN60" i="1"/>
  <c r="DN140" i="1"/>
  <c r="DO19" i="9"/>
  <c r="DN29" i="1"/>
  <c r="BJ58" i="22" l="1"/>
  <c r="BK20" i="22"/>
  <c r="DO14" i="9"/>
  <c r="DO21" i="9"/>
  <c r="DN9" i="2"/>
  <c r="BJ33" i="22"/>
  <c r="DN28" i="1"/>
  <c r="DN63" i="1"/>
  <c r="DN40" i="2" s="1"/>
  <c r="DN62" i="1"/>
  <c r="BJ70" i="22" l="1"/>
  <c r="DN50" i="1"/>
  <c r="DN10" i="15"/>
  <c r="DN146" i="1"/>
  <c r="DO9" i="9"/>
  <c r="DO34" i="9"/>
  <c r="BK15" i="22"/>
  <c r="BJ38" i="22"/>
  <c r="DN8" i="2"/>
  <c r="DO39" i="9"/>
  <c r="BK22" i="22"/>
  <c r="DO38" i="9" l="1"/>
  <c r="DO112" i="1" s="1"/>
  <c r="BJ37" i="22"/>
  <c r="DN11" i="2"/>
  <c r="DN85" i="2"/>
  <c r="DO10" i="9"/>
  <c r="DO12" i="9"/>
  <c r="DO30" i="9"/>
  <c r="BK30" i="22" s="1"/>
  <c r="BK10" i="22"/>
  <c r="DO24" i="9"/>
  <c r="DO36" i="9" l="1"/>
  <c r="DO5" i="2" s="1"/>
  <c r="DN84" i="2"/>
  <c r="DN26" i="2" s="1"/>
  <c r="DN16" i="2"/>
  <c r="DN22" i="2"/>
  <c r="BJ51" i="22" s="1"/>
  <c r="DN42" i="2"/>
  <c r="DN53" i="2"/>
  <c r="DN55" i="2" s="1"/>
  <c r="BJ40" i="22"/>
  <c r="DN19" i="2"/>
  <c r="BJ48" i="22" s="1"/>
  <c r="DO116" i="1"/>
  <c r="DO107" i="1"/>
  <c r="BK13" i="22"/>
  <c r="DO84" i="1"/>
  <c r="BK11" i="22"/>
  <c r="DO35" i="9"/>
  <c r="DO75" i="1"/>
  <c r="DP28" i="9"/>
  <c r="BL29" i="22" s="1"/>
  <c r="DO26" i="9"/>
  <c r="BK25" i="22"/>
  <c r="DO37" i="9" l="1"/>
  <c r="DO42" i="9"/>
  <c r="DO7" i="2" s="1"/>
  <c r="DO69" i="1"/>
  <c r="DO72" i="1" s="1"/>
  <c r="DO13" i="1"/>
  <c r="DO33" i="9"/>
  <c r="DO114" i="1"/>
  <c r="BJ72" i="22"/>
  <c r="DN64" i="2"/>
  <c r="DN2" i="2"/>
  <c r="BJ45" i="22"/>
  <c r="DN91" i="2"/>
  <c r="DO61" i="1"/>
  <c r="DO33" i="2"/>
  <c r="BK34" i="22"/>
  <c r="DO71" i="2"/>
  <c r="DN70" i="2"/>
  <c r="BJ79" i="22" s="1"/>
  <c r="DN57" i="2"/>
  <c r="DO97" i="1"/>
  <c r="DO17" i="1" s="1"/>
  <c r="DO142" i="1" s="1"/>
  <c r="DO100" i="1"/>
  <c r="DO15" i="1" s="1"/>
  <c r="DO144" i="1" s="1"/>
  <c r="DO103" i="1"/>
  <c r="DO36" i="1" s="1"/>
  <c r="DO83" i="1"/>
  <c r="DO34" i="1" s="1"/>
  <c r="DN133" i="1"/>
  <c r="DO14" i="2" s="1"/>
  <c r="DP17" i="9"/>
  <c r="BK27" i="22"/>
  <c r="DN27" i="2"/>
  <c r="BJ56" i="22" s="1"/>
  <c r="DN61" i="2"/>
  <c r="BJ55" i="22"/>
  <c r="DO108" i="1" l="1"/>
  <c r="DP40" i="9"/>
  <c r="DO32" i="2"/>
  <c r="BK62" i="22"/>
  <c r="DO56" i="2"/>
  <c r="DO15" i="2"/>
  <c r="BK36" i="22"/>
  <c r="DN58" i="2"/>
  <c r="DN74" i="2"/>
  <c r="BJ82" i="22" s="1"/>
  <c r="DO13" i="2"/>
  <c r="BK80" i="22"/>
  <c r="DO113" i="1"/>
  <c r="DO115" i="1" s="1"/>
  <c r="DO117" i="1" s="1"/>
  <c r="DP29" i="9"/>
  <c r="DP18" i="2"/>
  <c r="BL18" i="22"/>
  <c r="DQ17" i="9"/>
  <c r="DN157" i="1"/>
  <c r="DN141" i="1"/>
  <c r="DO88" i="1"/>
  <c r="DO87" i="1" s="1"/>
  <c r="DO35" i="1" s="1"/>
  <c r="DO11" i="1"/>
  <c r="DO66" i="1"/>
  <c r="DO9" i="1" s="1"/>
  <c r="DO64" i="1"/>
  <c r="DO70" i="1" l="1"/>
  <c r="DO12" i="2"/>
  <c r="DO54" i="2"/>
  <c r="BK42" i="22"/>
  <c r="BJ65" i="22"/>
  <c r="DN73" i="2"/>
  <c r="BJ81" i="22" s="1"/>
  <c r="BK43" i="22"/>
  <c r="BK44" i="22"/>
  <c r="DQ29" i="9"/>
  <c r="BM18" i="22"/>
  <c r="DQ18" i="9"/>
  <c r="BM19" i="22" s="1"/>
  <c r="BL47" i="22"/>
  <c r="DQ18" i="2"/>
  <c r="BK61" i="22"/>
  <c r="DQ40" i="9"/>
  <c r="DQ41" i="9" s="1"/>
  <c r="DP111" i="1"/>
  <c r="DO109" i="1"/>
  <c r="DO110" i="1" s="1"/>
  <c r="DO8" i="1"/>
  <c r="DO30" i="2"/>
  <c r="DO6" i="2"/>
  <c r="DO39" i="1"/>
  <c r="DQ111" i="1" l="1"/>
  <c r="BK35" i="22"/>
  <c r="DO4" i="2"/>
  <c r="DQ20" i="2"/>
  <c r="BM49" i="22" s="1"/>
  <c r="BM47" i="22"/>
  <c r="BK41" i="22"/>
  <c r="DO149" i="1"/>
  <c r="DO29" i="2"/>
  <c r="BK59" i="22"/>
  <c r="DO60" i="1"/>
  <c r="DO140" i="1"/>
  <c r="DP19" i="9"/>
  <c r="DO29" i="1"/>
  <c r="DO71" i="1"/>
  <c r="DO80" i="1"/>
  <c r="DO79" i="1" s="1"/>
  <c r="DO32" i="1" s="1"/>
  <c r="DO147" i="1" s="1"/>
  <c r="DO63" i="1" l="1"/>
  <c r="DO40" i="2" s="1"/>
  <c r="DO62" i="1"/>
  <c r="BL20" i="22"/>
  <c r="DQ19" i="9"/>
  <c r="DP14" i="9"/>
  <c r="DP21" i="9"/>
  <c r="DO9" i="2"/>
  <c r="BK33" i="22"/>
  <c r="BK58" i="22"/>
  <c r="DO28" i="1"/>
  <c r="DP39" i="9" l="1"/>
  <c r="BL22" i="22"/>
  <c r="DQ21" i="9"/>
  <c r="BM22" i="22" s="1"/>
  <c r="DO8" i="2"/>
  <c r="BK38" i="22"/>
  <c r="DP34" i="9"/>
  <c r="DP9" i="9"/>
  <c r="BL15" i="22"/>
  <c r="DQ14" i="9"/>
  <c r="DQ20" i="9"/>
  <c r="BM21" i="22" s="1"/>
  <c r="BM20" i="22"/>
  <c r="BK70" i="22"/>
  <c r="DO50" i="1"/>
  <c r="DO10" i="15"/>
  <c r="DO146" i="1"/>
  <c r="DP38" i="9" l="1"/>
  <c r="DQ38" i="9" s="1"/>
  <c r="DP10" i="9"/>
  <c r="DP12" i="9"/>
  <c r="DP30" i="9"/>
  <c r="BL30" i="22" s="1"/>
  <c r="BL10" i="22"/>
  <c r="DQ9" i="9"/>
  <c r="DP24" i="9"/>
  <c r="DQ34" i="9"/>
  <c r="BM15" i="22"/>
  <c r="BK37" i="22"/>
  <c r="DO11" i="2"/>
  <c r="DO85" i="2"/>
  <c r="DP36" i="9" l="1"/>
  <c r="DP42" i="9" s="1"/>
  <c r="DP112" i="1"/>
  <c r="DP116" i="1" s="1"/>
  <c r="DQ30" i="9"/>
  <c r="BM30" i="22" s="1"/>
  <c r="BM10" i="22"/>
  <c r="BL13" i="22"/>
  <c r="DQ12" i="9"/>
  <c r="BM13" i="22" s="1"/>
  <c r="DO84" i="2"/>
  <c r="DO26" i="2" s="1"/>
  <c r="DP75" i="1"/>
  <c r="DQ24" i="9"/>
  <c r="DP26" i="9"/>
  <c r="BL25" i="22"/>
  <c r="DQ39" i="9"/>
  <c r="DP84" i="1"/>
  <c r="BL11" i="22"/>
  <c r="DQ10" i="9"/>
  <c r="DP35" i="9"/>
  <c r="DO16" i="2"/>
  <c r="DO22" i="2"/>
  <c r="BK51" i="22" s="1"/>
  <c r="DO53" i="2"/>
  <c r="DO55" i="2" s="1"/>
  <c r="DO42" i="2"/>
  <c r="BK40" i="22"/>
  <c r="DO19" i="2"/>
  <c r="BK48" i="22" s="1"/>
  <c r="DQ36" i="9" l="1"/>
  <c r="DP5" i="2"/>
  <c r="DP33" i="2" s="1"/>
  <c r="DP37" i="9"/>
  <c r="DP107" i="1"/>
  <c r="DQ107" i="1" s="1"/>
  <c r="DQ112" i="1"/>
  <c r="DO27" i="2"/>
  <c r="BK56" i="22" s="1"/>
  <c r="DO61" i="2"/>
  <c r="BK55" i="22"/>
  <c r="DR28" i="9"/>
  <c r="DV28" i="9"/>
  <c r="BM25" i="22"/>
  <c r="BK72" i="22"/>
  <c r="DO64" i="2"/>
  <c r="DQ26" i="9"/>
  <c r="BL27" i="22"/>
  <c r="DP69" i="1"/>
  <c r="DP72" i="1" s="1"/>
  <c r="DQ75" i="1"/>
  <c r="DQ76" i="1" s="1"/>
  <c r="DP13" i="1"/>
  <c r="DO2" i="2"/>
  <c r="BK45" i="22"/>
  <c r="DO91" i="2"/>
  <c r="DP7" i="2"/>
  <c r="DQ42" i="9"/>
  <c r="DP114" i="1"/>
  <c r="DQ116" i="1"/>
  <c r="DO70" i="2"/>
  <c r="BK79" i="22" s="1"/>
  <c r="DO57" i="2"/>
  <c r="DQ84" i="1"/>
  <c r="DQ11" i="9"/>
  <c r="BM12" i="22" s="1"/>
  <c r="DQ13" i="9"/>
  <c r="BM14" i="22" s="1"/>
  <c r="BM11" i="22"/>
  <c r="DQ35" i="9"/>
  <c r="DP97" i="1"/>
  <c r="DP17" i="1" s="1"/>
  <c r="DP103" i="1"/>
  <c r="DP36" i="1" s="1"/>
  <c r="DP100" i="1"/>
  <c r="DP15" i="1" s="1"/>
  <c r="DP83" i="1"/>
  <c r="DP34" i="1" s="1"/>
  <c r="DQ34" i="1" s="1"/>
  <c r="DQ83" i="1" s="1"/>
  <c r="DO133" i="1"/>
  <c r="DP14" i="2" s="1"/>
  <c r="DQ14" i="2" s="1"/>
  <c r="DQ43" i="9" l="1"/>
  <c r="DQ37" i="9"/>
  <c r="DP61" i="1"/>
  <c r="DP64" i="1" s="1"/>
  <c r="DQ64" i="1" s="1"/>
  <c r="DP71" i="2"/>
  <c r="BL80" i="22" s="1"/>
  <c r="DQ5" i="2"/>
  <c r="DQ61" i="1" s="1"/>
  <c r="BL34" i="22"/>
  <c r="DQ118" i="1"/>
  <c r="DP33" i="9"/>
  <c r="DO157" i="1"/>
  <c r="DO141" i="1"/>
  <c r="DQ15" i="1"/>
  <c r="DP144" i="1"/>
  <c r="DQ33" i="9"/>
  <c r="DO58" i="2"/>
  <c r="DO74" i="2"/>
  <c r="BK82" i="22" s="1"/>
  <c r="DR17" i="9"/>
  <c r="BM27" i="22"/>
  <c r="DQ36" i="1"/>
  <c r="DQ114" i="1"/>
  <c r="DQ17" i="1"/>
  <c r="DP142" i="1"/>
  <c r="DP15" i="2"/>
  <c r="BL36" i="22"/>
  <c r="DQ7" i="2"/>
  <c r="BM36" i="22" s="1"/>
  <c r="DQ85" i="1"/>
  <c r="DR85" i="1" s="1"/>
  <c r="DP32" i="2"/>
  <c r="BL62" i="22"/>
  <c r="DQ33" i="2"/>
  <c r="DP56" i="2"/>
  <c r="DP88" i="1"/>
  <c r="DP87" i="1" s="1"/>
  <c r="DP35" i="1" s="1"/>
  <c r="DQ35" i="1" s="1"/>
  <c r="DQ87" i="1" s="1"/>
  <c r="DP11" i="1"/>
  <c r="DQ13" i="1"/>
  <c r="DQ88" i="1" s="1"/>
  <c r="DP66" i="1" l="1"/>
  <c r="DQ66" i="1" s="1"/>
  <c r="DQ67" i="1" s="1"/>
  <c r="DP108" i="1"/>
  <c r="DQ108" i="1" s="1"/>
  <c r="DP13" i="2"/>
  <c r="DP70" i="1" s="1"/>
  <c r="DP113" i="1"/>
  <c r="DP115" i="1" s="1"/>
  <c r="BM34" i="22"/>
  <c r="DQ103" i="1"/>
  <c r="DQ104" i="1" s="1"/>
  <c r="BL44" i="22"/>
  <c r="DQ15" i="2"/>
  <c r="DQ89" i="1"/>
  <c r="DQ144" i="1"/>
  <c r="DQ100" i="1"/>
  <c r="DQ101" i="1" s="1"/>
  <c r="DR18" i="2"/>
  <c r="DO73" i="2"/>
  <c r="BK81" i="22" s="1"/>
  <c r="BK65" i="22"/>
  <c r="DR40" i="9"/>
  <c r="DQ11" i="1"/>
  <c r="DQ97" i="1"/>
  <c r="DQ98" i="1" s="1"/>
  <c r="DQ142" i="1"/>
  <c r="DS85" i="1"/>
  <c r="DQ65" i="1"/>
  <c r="BM62" i="22"/>
  <c r="DQ56" i="2"/>
  <c r="BL43" i="22"/>
  <c r="BM43" i="22"/>
  <c r="BL61" i="22"/>
  <c r="DQ32" i="2"/>
  <c r="BM61" i="22" s="1"/>
  <c r="DP9" i="1" l="1"/>
  <c r="DQ9" i="1" s="1"/>
  <c r="DP12" i="2"/>
  <c r="DQ12" i="2" s="1"/>
  <c r="DP109" i="1"/>
  <c r="DQ109" i="1" s="1"/>
  <c r="DQ110" i="1" s="1"/>
  <c r="DQ13" i="2"/>
  <c r="DQ71" i="2" s="1"/>
  <c r="BM80" i="22" s="1"/>
  <c r="BL42" i="22"/>
  <c r="DP54" i="2"/>
  <c r="DQ113" i="1"/>
  <c r="DP71" i="1"/>
  <c r="DP80" i="1"/>
  <c r="DP79" i="1" s="1"/>
  <c r="DP32" i="1" s="1"/>
  <c r="DT85" i="1"/>
  <c r="DQ72" i="2"/>
  <c r="BM44" i="22"/>
  <c r="DQ69" i="1"/>
  <c r="DQ72" i="1" s="1"/>
  <c r="DR111" i="1"/>
  <c r="DQ115" i="1"/>
  <c r="DQ117" i="1" s="1"/>
  <c r="DP117" i="1"/>
  <c r="BM42" i="22" l="1"/>
  <c r="DP39" i="1"/>
  <c r="DQ39" i="1" s="1"/>
  <c r="DQ54" i="2"/>
  <c r="DP6" i="2"/>
  <c r="BL35" i="22" s="1"/>
  <c r="DP30" i="2"/>
  <c r="DP29" i="2" s="1"/>
  <c r="DP8" i="1"/>
  <c r="DP60" i="1" s="1"/>
  <c r="BL41" i="22"/>
  <c r="DP110" i="1"/>
  <c r="DU85" i="1"/>
  <c r="DQ32" i="1"/>
  <c r="DP147" i="1"/>
  <c r="DQ70" i="1"/>
  <c r="BM41" i="22"/>
  <c r="DQ30" i="2" l="1"/>
  <c r="BM59" i="22" s="1"/>
  <c r="BL59" i="22"/>
  <c r="DP4" i="2"/>
  <c r="DP9" i="2" s="1"/>
  <c r="DQ6" i="2"/>
  <c r="BM35" i="22" s="1"/>
  <c r="DP29" i="1"/>
  <c r="DQ29" i="1" s="1"/>
  <c r="DP140" i="1"/>
  <c r="DQ8" i="1"/>
  <c r="DR19" i="9" s="1"/>
  <c r="DQ71" i="1"/>
  <c r="DQ80" i="1"/>
  <c r="BL58" i="22"/>
  <c r="DQ29" i="2"/>
  <c r="BM58" i="22" s="1"/>
  <c r="DQ79" i="1"/>
  <c r="DQ147" i="1"/>
  <c r="DP63" i="1"/>
  <c r="DP62" i="1"/>
  <c r="DQ140" i="1" l="1"/>
  <c r="DQ60" i="1"/>
  <c r="DQ62" i="1" s="1"/>
  <c r="DP28" i="1"/>
  <c r="DQ28" i="1" s="1"/>
  <c r="DQ4" i="2"/>
  <c r="BM33" i="22" s="1"/>
  <c r="BL33" i="22"/>
  <c r="DP40" i="2"/>
  <c r="BL70" i="22" s="1"/>
  <c r="DQ81" i="1"/>
  <c r="BL38" i="22"/>
  <c r="DP8" i="2"/>
  <c r="DQ9" i="2"/>
  <c r="DR14" i="9"/>
  <c r="DR21" i="9"/>
  <c r="DQ40" i="2" l="1"/>
  <c r="DQ63" i="1"/>
  <c r="DQ41" i="2" s="1"/>
  <c r="BM71" i="22" s="1"/>
  <c r="DP10" i="15"/>
  <c r="DP146" i="1"/>
  <c r="DP50" i="1"/>
  <c r="DP85" i="2" s="1"/>
  <c r="BM70" i="22"/>
  <c r="BL37" i="22"/>
  <c r="DQ8" i="2"/>
  <c r="BM37" i="22" s="1"/>
  <c r="DP11" i="2"/>
  <c r="DR39" i="9"/>
  <c r="DR34" i="9"/>
  <c r="DR9" i="9"/>
  <c r="DR29" i="9"/>
  <c r="DQ10" i="2"/>
  <c r="BM39" i="22" s="1"/>
  <c r="BM38" i="22"/>
  <c r="DQ50" i="1"/>
  <c r="DQ146" i="1"/>
  <c r="DQ10" i="15"/>
  <c r="DR38" i="9" l="1"/>
  <c r="DR36" i="9" s="1"/>
  <c r="DP84" i="2"/>
  <c r="DP26" i="2" s="1"/>
  <c r="DQ85" i="2"/>
  <c r="DQ86" i="2" s="1"/>
  <c r="DQ87" i="2" s="1"/>
  <c r="DR10" i="9"/>
  <c r="DR12" i="9"/>
  <c r="DR30" i="9"/>
  <c r="DR24" i="9"/>
  <c r="DP16" i="2"/>
  <c r="DP22" i="2"/>
  <c r="BL51" i="22" s="1"/>
  <c r="DP53" i="2"/>
  <c r="DP55" i="2" s="1"/>
  <c r="DP42" i="2"/>
  <c r="BL40" i="22"/>
  <c r="DP19" i="2"/>
  <c r="BL48" i="22" s="1"/>
  <c r="DQ11" i="2"/>
  <c r="DR112" i="1" l="1"/>
  <c r="DR116" i="1" s="1"/>
  <c r="DR75" i="1"/>
  <c r="DR26" i="9"/>
  <c r="DS17" i="9" s="1"/>
  <c r="DS28" i="9"/>
  <c r="DP70" i="2"/>
  <c r="BL79" i="22" s="1"/>
  <c r="DP57" i="2"/>
  <c r="DQ22" i="2"/>
  <c r="BM51" i="22" s="1"/>
  <c r="DQ53" i="2"/>
  <c r="DQ55" i="2" s="1"/>
  <c r="BM40" i="22"/>
  <c r="DQ19" i="2"/>
  <c r="BM48" i="22" s="1"/>
  <c r="DP27" i="2"/>
  <c r="BL56" i="22" s="1"/>
  <c r="DP61" i="2"/>
  <c r="BL55" i="22"/>
  <c r="DQ26" i="2"/>
  <c r="DR84" i="1"/>
  <c r="DR35" i="9"/>
  <c r="DR37" i="9" s="1"/>
  <c r="BL72" i="22"/>
  <c r="DQ42" i="2"/>
  <c r="DP64" i="2"/>
  <c r="DQ84" i="2"/>
  <c r="DQ88" i="2" s="1"/>
  <c r="DP133" i="1"/>
  <c r="DP2" i="2"/>
  <c r="DP91" i="2"/>
  <c r="BL45" i="22"/>
  <c r="DQ16" i="2"/>
  <c r="DR42" i="9"/>
  <c r="DR5" i="2"/>
  <c r="DR107" i="1" l="1"/>
  <c r="DR33" i="9" s="1"/>
  <c r="DP157" i="1"/>
  <c r="DQ157" i="1" s="1"/>
  <c r="DQ133" i="1"/>
  <c r="DR14" i="2" s="1"/>
  <c r="DP141" i="1"/>
  <c r="DQ27" i="2"/>
  <c r="BM56" i="22" s="1"/>
  <c r="DQ61" i="2"/>
  <c r="BM55" i="22"/>
  <c r="DQ2" i="2"/>
  <c r="DQ91" i="2"/>
  <c r="BM45" i="22"/>
  <c r="DQ70" i="2"/>
  <c r="BM79" i="22" s="1"/>
  <c r="DQ57" i="2"/>
  <c r="DR61" i="1"/>
  <c r="DR33" i="2"/>
  <c r="DR71" i="2"/>
  <c r="DP58" i="2"/>
  <c r="DP74" i="2"/>
  <c r="BL82" i="22" s="1"/>
  <c r="DR7" i="2"/>
  <c r="DS29" i="9"/>
  <c r="DS18" i="2"/>
  <c r="BM72" i="22"/>
  <c r="DQ64" i="2"/>
  <c r="DQ43" i="2"/>
  <c r="BM73" i="22" s="1"/>
  <c r="DR114" i="1"/>
  <c r="DR97" i="1"/>
  <c r="DR17" i="1" s="1"/>
  <c r="DR142" i="1" s="1"/>
  <c r="DR103" i="1"/>
  <c r="DR36" i="1" s="1"/>
  <c r="DR100" i="1"/>
  <c r="DR15" i="1" s="1"/>
  <c r="DR144" i="1" s="1"/>
  <c r="DR83" i="1"/>
  <c r="DR34" i="1" s="1"/>
  <c r="DR69" i="1"/>
  <c r="DR72" i="1" s="1"/>
  <c r="DR13" i="1"/>
  <c r="DR15" i="2" l="1"/>
  <c r="DR108" i="1"/>
  <c r="DR13" i="2"/>
  <c r="DR113" i="1"/>
  <c r="DR115" i="1" s="1"/>
  <c r="DR117" i="1" s="1"/>
  <c r="DR88" i="1"/>
  <c r="DR87" i="1" s="1"/>
  <c r="DR35" i="1" s="1"/>
  <c r="DR11" i="1"/>
  <c r="DP73" i="2"/>
  <c r="BL81" i="22" s="1"/>
  <c r="BL65" i="22"/>
  <c r="DR32" i="2"/>
  <c r="DR56" i="2"/>
  <c r="DQ58" i="2"/>
  <c r="DQ74" i="2"/>
  <c r="BM82" i="22" s="1"/>
  <c r="DR64" i="1"/>
  <c r="DR66" i="1"/>
  <c r="DR9" i="1" s="1"/>
  <c r="DR39" i="1" s="1"/>
  <c r="DS40" i="9"/>
  <c r="DQ141" i="1"/>
  <c r="DR70" i="1" l="1"/>
  <c r="DR12" i="2"/>
  <c r="DR54" i="2"/>
  <c r="DR109" i="1"/>
  <c r="DR110" i="1" s="1"/>
  <c r="DS111" i="1"/>
  <c r="DR8" i="1"/>
  <c r="DR30" i="2"/>
  <c r="DR6" i="2"/>
  <c r="DQ73" i="2"/>
  <c r="BM65" i="22"/>
  <c r="DR4" i="2" l="1"/>
  <c r="BM81" i="22"/>
  <c r="DP69" i="2"/>
  <c r="DO69" i="2" s="1"/>
  <c r="DR29" i="2"/>
  <c r="DR60" i="1"/>
  <c r="DR140" i="1"/>
  <c r="DS19" i="9"/>
  <c r="DR29" i="1"/>
  <c r="DR71" i="1"/>
  <c r="DR80" i="1"/>
  <c r="DR79" i="1" s="1"/>
  <c r="DR32" i="1" s="1"/>
  <c r="DR147" i="1" s="1"/>
  <c r="DR63" i="1" l="1"/>
  <c r="DR40" i="2" s="1"/>
  <c r="DR62" i="1"/>
  <c r="DR9" i="2"/>
  <c r="DS14" i="9"/>
  <c r="DS21" i="9"/>
  <c r="DR28" i="1"/>
  <c r="DS9" i="9" l="1"/>
  <c r="DS34" i="9"/>
  <c r="DR8" i="2"/>
  <c r="DR50" i="1"/>
  <c r="DR146" i="1"/>
  <c r="DR10" i="15"/>
  <c r="DS39" i="9"/>
  <c r="DR85" i="2" l="1"/>
  <c r="DS38" i="9"/>
  <c r="DR11" i="2"/>
  <c r="DS10" i="9"/>
  <c r="DS12" i="9"/>
  <c r="DS30" i="9"/>
  <c r="DS24" i="9"/>
  <c r="DS75" i="1" l="1"/>
  <c r="DS26" i="9"/>
  <c r="DT17" i="9" s="1"/>
  <c r="DT28" i="9"/>
  <c r="DS84" i="1"/>
  <c r="DS35" i="9"/>
  <c r="DR16" i="2"/>
  <c r="DR22" i="2"/>
  <c r="DR53" i="2"/>
  <c r="DR55" i="2" s="1"/>
  <c r="DR42" i="2"/>
  <c r="DR19" i="2"/>
  <c r="DS36" i="9"/>
  <c r="DR84" i="2"/>
  <c r="DS112" i="1"/>
  <c r="DS97" i="1" l="1"/>
  <c r="DS17" i="1" s="1"/>
  <c r="DS142" i="1" s="1"/>
  <c r="DS100" i="1"/>
  <c r="DS15" i="1" s="1"/>
  <c r="DS144" i="1" s="1"/>
  <c r="DS103" i="1"/>
  <c r="DS36" i="1" s="1"/>
  <c r="DS83" i="1"/>
  <c r="DS34" i="1" s="1"/>
  <c r="DS37" i="9"/>
  <c r="DS5" i="2"/>
  <c r="DS42" i="9"/>
  <c r="DR70" i="2"/>
  <c r="DR57" i="2"/>
  <c r="DR133" i="1"/>
  <c r="DS14" i="2" s="1"/>
  <c r="DT29" i="9"/>
  <c r="DT18" i="2"/>
  <c r="DR64" i="2"/>
  <c r="DR2" i="2"/>
  <c r="DR91" i="2"/>
  <c r="DS116" i="1"/>
  <c r="DS107" i="1"/>
  <c r="DR26" i="2"/>
  <c r="DS13" i="1"/>
  <c r="DS69" i="1"/>
  <c r="DS72" i="1" s="1"/>
  <c r="DS88" i="1" l="1"/>
  <c r="DS87" i="1" s="1"/>
  <c r="DS35" i="1" s="1"/>
  <c r="DS11" i="1"/>
  <c r="DS33" i="9"/>
  <c r="DR27" i="2"/>
  <c r="DR61" i="2"/>
  <c r="DR157" i="1"/>
  <c r="DR141" i="1"/>
  <c r="DS114" i="1"/>
  <c r="DR58" i="2"/>
  <c r="DR73" i="2" s="1"/>
  <c r="DR74" i="2"/>
  <c r="DS61" i="1"/>
  <c r="DS33" i="2"/>
  <c r="DS71" i="2"/>
  <c r="DS7" i="2"/>
  <c r="DS13" i="2" l="1"/>
  <c r="DS113" i="1"/>
  <c r="DS115" i="1" s="1"/>
  <c r="DS117" i="1" s="1"/>
  <c r="DT40" i="9"/>
  <c r="DS15" i="2"/>
  <c r="DS32" i="2"/>
  <c r="DS56" i="2"/>
  <c r="DS64" i="1"/>
  <c r="DS66" i="1"/>
  <c r="DS9" i="1" s="1"/>
  <c r="DS108" i="1"/>
  <c r="DT111" i="1" l="1"/>
  <c r="DS109" i="1"/>
  <c r="DS110" i="1" s="1"/>
  <c r="DS8" i="1"/>
  <c r="DS30" i="2"/>
  <c r="DS6" i="2"/>
  <c r="DS39" i="1"/>
  <c r="DS70" i="1"/>
  <c r="DS12" i="2"/>
  <c r="DS54" i="2"/>
  <c r="DS4" i="2" l="1"/>
  <c r="DS60" i="1"/>
  <c r="DS140" i="1"/>
  <c r="DT19" i="9"/>
  <c r="DS29" i="1"/>
  <c r="DS71" i="1"/>
  <c r="DS80" i="1"/>
  <c r="DS79" i="1" s="1"/>
  <c r="DS32" i="1" s="1"/>
  <c r="DS147" i="1" s="1"/>
  <c r="DS29" i="2"/>
  <c r="DS149" i="1"/>
  <c r="DS9" i="2" l="1"/>
  <c r="DT21" i="9"/>
  <c r="DT14" i="9"/>
  <c r="DS28" i="1"/>
  <c r="DS63" i="1"/>
  <c r="DS40" i="2" s="1"/>
  <c r="DS62" i="1"/>
  <c r="DS50" i="1" l="1"/>
  <c r="DS146" i="1"/>
  <c r="DS10" i="15"/>
  <c r="DT34" i="9"/>
  <c r="DT9" i="9"/>
  <c r="DS8" i="2"/>
  <c r="DT39" i="9"/>
  <c r="DT38" i="9" l="1"/>
  <c r="DT112" i="1" s="1"/>
  <c r="DS11" i="2"/>
  <c r="DT10" i="9"/>
  <c r="DT12" i="9"/>
  <c r="DT30" i="9"/>
  <c r="DT24" i="9"/>
  <c r="DS85" i="2"/>
  <c r="DS16" i="2" l="1"/>
  <c r="DS22" i="2"/>
  <c r="DS42" i="2"/>
  <c r="DS53" i="2"/>
  <c r="DS55" i="2" s="1"/>
  <c r="DS19" i="2"/>
  <c r="DS84" i="2"/>
  <c r="DS26" i="2" s="1"/>
  <c r="DT75" i="1"/>
  <c r="DT26" i="9"/>
  <c r="DU17" i="9" s="1"/>
  <c r="DU28" i="9"/>
  <c r="DT84" i="1"/>
  <c r="DT35" i="9"/>
  <c r="DT116" i="1"/>
  <c r="DT107" i="1"/>
  <c r="DT36" i="9"/>
  <c r="DS133" i="1" l="1"/>
  <c r="DT14" i="2" s="1"/>
  <c r="DS27" i="2"/>
  <c r="DS61" i="2"/>
  <c r="DT13" i="1"/>
  <c r="DT69" i="1"/>
  <c r="DT72" i="1" s="1"/>
  <c r="DT33" i="9"/>
  <c r="DS70" i="2"/>
  <c r="DS57" i="2"/>
  <c r="DS64" i="2"/>
  <c r="DU29" i="9"/>
  <c r="DU18" i="2"/>
  <c r="DV17" i="9"/>
  <c r="DT37" i="9"/>
  <c r="DT42" i="9"/>
  <c r="DT5" i="2"/>
  <c r="DT114" i="1"/>
  <c r="DT97" i="1"/>
  <c r="DT17" i="1" s="1"/>
  <c r="DT142" i="1" s="1"/>
  <c r="DT100" i="1"/>
  <c r="DT15" i="1" s="1"/>
  <c r="DT144" i="1" s="1"/>
  <c r="DT103" i="1"/>
  <c r="DT36" i="1" s="1"/>
  <c r="DT83" i="1"/>
  <c r="DT34" i="1" s="1"/>
  <c r="DS2" i="2"/>
  <c r="DS91" i="2"/>
  <c r="DS58" i="2" l="1"/>
  <c r="DS73" i="2" s="1"/>
  <c r="DS74" i="2"/>
  <c r="DT7" i="2"/>
  <c r="DV18" i="9"/>
  <c r="DV29" i="9"/>
  <c r="DT88" i="1"/>
  <c r="DT87" i="1" s="1"/>
  <c r="DT35" i="1" s="1"/>
  <c r="DT11" i="1"/>
  <c r="DU40" i="9"/>
  <c r="DT61" i="1"/>
  <c r="DT33" i="2"/>
  <c r="DT71" i="2"/>
  <c r="DV18" i="2"/>
  <c r="DS157" i="1"/>
  <c r="DS141" i="1"/>
  <c r="DV40" i="9" l="1"/>
  <c r="DV41" i="9" s="1"/>
  <c r="DU111" i="1"/>
  <c r="DT64" i="1"/>
  <c r="DT66" i="1"/>
  <c r="DT9" i="1" s="1"/>
  <c r="DT15" i="2"/>
  <c r="DT13" i="2"/>
  <c r="DT113" i="1"/>
  <c r="DT115" i="1" s="1"/>
  <c r="DT117" i="1" s="1"/>
  <c r="DT108" i="1"/>
  <c r="DV20" i="2"/>
  <c r="DT32" i="2"/>
  <c r="DT56" i="2"/>
  <c r="DT70" i="1" l="1"/>
  <c r="DT12" i="2"/>
  <c r="DT54" i="2"/>
  <c r="DT109" i="1"/>
  <c r="DT110" i="1" s="1"/>
  <c r="DV111" i="1"/>
  <c r="DT8" i="1"/>
  <c r="DT30" i="2"/>
  <c r="DT6" i="2"/>
  <c r="DT39" i="1"/>
  <c r="DT60" i="1" l="1"/>
  <c r="DU19" i="9"/>
  <c r="DT140" i="1"/>
  <c r="DT29" i="1"/>
  <c r="DT29" i="2"/>
  <c r="DT4" i="2"/>
  <c r="DT149" i="1"/>
  <c r="DT80" i="1"/>
  <c r="DT79" i="1" s="1"/>
  <c r="DT32" i="1" s="1"/>
  <c r="DT147" i="1" s="1"/>
  <c r="DT71" i="1"/>
  <c r="DT9" i="2" l="1"/>
  <c r="DT28" i="1"/>
  <c r="DV19" i="9"/>
  <c r="DV20" i="9" s="1"/>
  <c r="DU21" i="9"/>
  <c r="DU14" i="9"/>
  <c r="DT63" i="1"/>
  <c r="DT40" i="2" s="1"/>
  <c r="DT62" i="1"/>
  <c r="DU39" i="9" l="1"/>
  <c r="DV21" i="9"/>
  <c r="DU34" i="9"/>
  <c r="DU9" i="9"/>
  <c r="DV14" i="9"/>
  <c r="DV34" i="9" s="1"/>
  <c r="DT50" i="1"/>
  <c r="DT146" i="1"/>
  <c r="DT10" i="15"/>
  <c r="DT8" i="2"/>
  <c r="DU38" i="9" l="1"/>
  <c r="DU112" i="1" s="1"/>
  <c r="DU30" i="9"/>
  <c r="DU10" i="9"/>
  <c r="DU12" i="9"/>
  <c r="DV12" i="9" s="1"/>
  <c r="DV9" i="9"/>
  <c r="DV30" i="9" s="1"/>
  <c r="DU24" i="9"/>
  <c r="DT11" i="2"/>
  <c r="DT85" i="2"/>
  <c r="DV38" i="9" l="1"/>
  <c r="DV39" i="9" s="1"/>
  <c r="DU36" i="9"/>
  <c r="DU42" i="9" s="1"/>
  <c r="DT16" i="2"/>
  <c r="DT22" i="2"/>
  <c r="DT42" i="2"/>
  <c r="DT53" i="2"/>
  <c r="DT55" i="2" s="1"/>
  <c r="DT19" i="2"/>
  <c r="DU75" i="1"/>
  <c r="DU26" i="9"/>
  <c r="DV26" i="9" s="1"/>
  <c r="DW17" i="9" s="1"/>
  <c r="DV24" i="9"/>
  <c r="DU84" i="1"/>
  <c r="DV10" i="9"/>
  <c r="DU35" i="9"/>
  <c r="DT84" i="2"/>
  <c r="DU116" i="1"/>
  <c r="DV112" i="1"/>
  <c r="DU107" i="1"/>
  <c r="DU5" i="2" l="1"/>
  <c r="DU61" i="1" s="1"/>
  <c r="DU37" i="9"/>
  <c r="DV36" i="9"/>
  <c r="DW18" i="2"/>
  <c r="DV11" i="9"/>
  <c r="DV13" i="9"/>
  <c r="DV84" i="1"/>
  <c r="DV35" i="9"/>
  <c r="DU100" i="1"/>
  <c r="DU15" i="1" s="1"/>
  <c r="DU103" i="1"/>
  <c r="DU36" i="1" s="1"/>
  <c r="DU97" i="1"/>
  <c r="DU17" i="1" s="1"/>
  <c r="DU83" i="1"/>
  <c r="DU34" i="1" s="1"/>
  <c r="DV34" i="1" s="1"/>
  <c r="DV83" i="1" s="1"/>
  <c r="DV107" i="1"/>
  <c r="DU33" i="9"/>
  <c r="DU114" i="1"/>
  <c r="DV116" i="1"/>
  <c r="DV118" i="1" s="1"/>
  <c r="DW28" i="9"/>
  <c r="EA28" i="9"/>
  <c r="DU13" i="1"/>
  <c r="DV75" i="1"/>
  <c r="DV76" i="1" s="1"/>
  <c r="DU69" i="1"/>
  <c r="DU72" i="1" s="1"/>
  <c r="DT133" i="1"/>
  <c r="DU14" i="2" s="1"/>
  <c r="DV14" i="2" s="1"/>
  <c r="DT57" i="2"/>
  <c r="DT70" i="2"/>
  <c r="DT26" i="2"/>
  <c r="DT64" i="2"/>
  <c r="DU7" i="2"/>
  <c r="DV42" i="9"/>
  <c r="DT2" i="2"/>
  <c r="DT91" i="2"/>
  <c r="DU71" i="2" l="1"/>
  <c r="DU13" i="2" s="1"/>
  <c r="DV5" i="2"/>
  <c r="DV61" i="1" s="1"/>
  <c r="DU33" i="2"/>
  <c r="DU32" i="2" s="1"/>
  <c r="DV32" i="2" s="1"/>
  <c r="DV43" i="9"/>
  <c r="DV37" i="9"/>
  <c r="DV85" i="1"/>
  <c r="DW85" i="1" s="1"/>
  <c r="DX85" i="1" s="1"/>
  <c r="DU144" i="1"/>
  <c r="DV15" i="1"/>
  <c r="DU15" i="2"/>
  <c r="DV15" i="2" s="1"/>
  <c r="DV7" i="2"/>
  <c r="DV33" i="9"/>
  <c r="DV13" i="1"/>
  <c r="DV88" i="1" s="1"/>
  <c r="DU88" i="1"/>
  <c r="DU87" i="1" s="1"/>
  <c r="DU35" i="1" s="1"/>
  <c r="DV35" i="1" s="1"/>
  <c r="DV87" i="1" s="1"/>
  <c r="DU11" i="1"/>
  <c r="DV17" i="1"/>
  <c r="DU142" i="1"/>
  <c r="DV36" i="1"/>
  <c r="DT27" i="2"/>
  <c r="DT61" i="2"/>
  <c r="DU64" i="1"/>
  <c r="DV64" i="1" s="1"/>
  <c r="DU66" i="1"/>
  <c r="DV114" i="1"/>
  <c r="DT74" i="2"/>
  <c r="DT58" i="2"/>
  <c r="DT73" i="2" s="1"/>
  <c r="DT157" i="1"/>
  <c r="DT141" i="1"/>
  <c r="DV65" i="1" l="1"/>
  <c r="DU113" i="1"/>
  <c r="DU115" i="1" s="1"/>
  <c r="DV33" i="2"/>
  <c r="DV56" i="2" s="1"/>
  <c r="DU56" i="2"/>
  <c r="DU108" i="1"/>
  <c r="DV108" i="1" s="1"/>
  <c r="DV89" i="1"/>
  <c r="DW40" i="9"/>
  <c r="DV103" i="1"/>
  <c r="DV104" i="1" s="1"/>
  <c r="DV66" i="1"/>
  <c r="DV67" i="1" s="1"/>
  <c r="DU9" i="1"/>
  <c r="DV97" i="1"/>
  <c r="DV98" i="1" s="1"/>
  <c r="DV142" i="1"/>
  <c r="DV72" i="2"/>
  <c r="DY85" i="1"/>
  <c r="DV11" i="1"/>
  <c r="DV144" i="1"/>
  <c r="DV100" i="1"/>
  <c r="DV101" i="1" s="1"/>
  <c r="DU70" i="1"/>
  <c r="DU12" i="2"/>
  <c r="DV12" i="2" s="1"/>
  <c r="DV70" i="1" s="1"/>
  <c r="DU54" i="2"/>
  <c r="DV13" i="2"/>
  <c r="DV113" i="1" l="1"/>
  <c r="DU109" i="1"/>
  <c r="DU110" i="1" s="1"/>
  <c r="DV54" i="2"/>
  <c r="DV71" i="2"/>
  <c r="DU80" i="1"/>
  <c r="DU79" i="1" s="1"/>
  <c r="DU32" i="1" s="1"/>
  <c r="DU71" i="1"/>
  <c r="DU117" i="1"/>
  <c r="DV115" i="1"/>
  <c r="DV117" i="1" s="1"/>
  <c r="DV80" i="1"/>
  <c r="DU8" i="1"/>
  <c r="DV9" i="1"/>
  <c r="DU30" i="2"/>
  <c r="DU6" i="2"/>
  <c r="DU39" i="1"/>
  <c r="DW111" i="1"/>
  <c r="DV69" i="1"/>
  <c r="DV72" i="1" s="1"/>
  <c r="DZ85" i="1"/>
  <c r="DV109" i="1" l="1"/>
  <c r="DV110" i="1" s="1"/>
  <c r="DV71" i="1"/>
  <c r="DV8" i="1"/>
  <c r="DU60" i="1"/>
  <c r="DU140" i="1"/>
  <c r="DU29" i="1"/>
  <c r="DV39" i="1"/>
  <c r="DU149" i="1"/>
  <c r="DV32" i="1"/>
  <c r="DU147" i="1"/>
  <c r="DV6" i="2"/>
  <c r="DU4" i="2"/>
  <c r="DU29" i="2"/>
  <c r="DV29" i="2" s="1"/>
  <c r="DV30" i="2"/>
  <c r="DV79" i="1" l="1"/>
  <c r="DV81" i="1" s="1"/>
  <c r="DV147" i="1"/>
  <c r="DV149" i="1"/>
  <c r="DV29" i="1"/>
  <c r="DU28" i="1"/>
  <c r="DU9" i="2"/>
  <c r="DV4" i="2"/>
  <c r="DU63" i="1"/>
  <c r="DU40" i="2" s="1"/>
  <c r="DU62" i="1"/>
  <c r="DV60" i="1"/>
  <c r="DV140" i="1"/>
  <c r="DW19" i="9"/>
  <c r="DV40" i="2" l="1"/>
  <c r="DV28" i="1"/>
  <c r="DU50" i="1"/>
  <c r="DU146" i="1"/>
  <c r="DU10" i="15"/>
  <c r="DV63" i="1"/>
  <c r="DV62" i="1"/>
  <c r="DU8" i="2"/>
  <c r="DV9" i="2"/>
  <c r="DV10" i="2" s="1"/>
  <c r="DW21" i="9"/>
  <c r="DW14" i="9"/>
  <c r="DV8" i="2" l="1"/>
  <c r="DU11" i="2"/>
  <c r="DW39" i="9"/>
  <c r="DV41" i="2"/>
  <c r="DU85" i="2"/>
  <c r="DV50" i="1"/>
  <c r="DV146" i="1"/>
  <c r="DV10" i="15"/>
  <c r="DW34" i="9"/>
  <c r="DW9" i="9"/>
  <c r="DW29" i="9"/>
  <c r="DU84" i="2" l="1"/>
  <c r="DU26" i="2" s="1"/>
  <c r="DV85" i="2"/>
  <c r="DV86" i="2" s="1"/>
  <c r="DV87" i="2" s="1"/>
  <c r="DW30" i="9"/>
  <c r="DW10" i="9"/>
  <c r="DW12" i="9"/>
  <c r="DW24" i="9"/>
  <c r="DW38" i="9"/>
  <c r="DW112" i="1" s="1"/>
  <c r="DU16" i="2"/>
  <c r="DU22" i="2"/>
  <c r="DU42" i="2"/>
  <c r="DU53" i="2"/>
  <c r="DU55" i="2" s="1"/>
  <c r="DU19" i="2"/>
  <c r="DV11" i="2"/>
  <c r="DW116" i="1" l="1"/>
  <c r="DW107" i="1"/>
  <c r="DU27" i="2"/>
  <c r="DU61" i="2"/>
  <c r="DV26" i="2"/>
  <c r="DU2" i="2"/>
  <c r="DU91" i="2"/>
  <c r="DV16" i="2"/>
  <c r="DW36" i="9"/>
  <c r="DW75" i="1"/>
  <c r="DX28" i="9"/>
  <c r="DW26" i="9"/>
  <c r="DX17" i="9" s="1"/>
  <c r="DV22" i="2"/>
  <c r="DV53" i="2"/>
  <c r="DV55" i="2" s="1"/>
  <c r="DV19" i="2"/>
  <c r="DU57" i="2"/>
  <c r="DU70" i="2"/>
  <c r="DV42" i="2"/>
  <c r="DU64" i="2"/>
  <c r="DW84" i="1"/>
  <c r="DW35" i="9"/>
  <c r="DV84" i="2"/>
  <c r="DV88" i="2" s="1"/>
  <c r="DU133" i="1"/>
  <c r="DV57" i="2" l="1"/>
  <c r="DV70" i="2"/>
  <c r="DW97" i="1"/>
  <c r="DW17" i="1" s="1"/>
  <c r="DW142" i="1" s="1"/>
  <c r="DW100" i="1"/>
  <c r="DW15" i="1" s="1"/>
  <c r="DW144" i="1" s="1"/>
  <c r="DW103" i="1"/>
  <c r="DW36" i="1" s="1"/>
  <c r="DW83" i="1"/>
  <c r="DW34" i="1" s="1"/>
  <c r="DV43" i="2"/>
  <c r="DV64" i="2"/>
  <c r="DU74" i="2"/>
  <c r="DU58" i="2"/>
  <c r="DU73" i="2" s="1"/>
  <c r="DV61" i="2"/>
  <c r="DV27" i="2"/>
  <c r="DW33" i="9"/>
  <c r="DU157" i="1"/>
  <c r="DV157" i="1" s="1"/>
  <c r="DV133" i="1"/>
  <c r="DW14" i="2" s="1"/>
  <c r="DU141" i="1"/>
  <c r="DW114" i="1"/>
  <c r="DW37" i="9"/>
  <c r="DW5" i="2"/>
  <c r="DW42" i="9"/>
  <c r="DV91" i="2"/>
  <c r="DV2" i="2"/>
  <c r="DX29" i="9"/>
  <c r="DX18" i="2"/>
  <c r="DW13" i="1"/>
  <c r="DW69" i="1"/>
  <c r="DW72" i="1" s="1"/>
  <c r="DW61" i="1" l="1"/>
  <c r="DW33" i="2"/>
  <c r="DW71" i="2"/>
  <c r="DW108" i="1" s="1"/>
  <c r="DW7" i="2"/>
  <c r="DV141" i="1"/>
  <c r="DX40" i="9"/>
  <c r="DW88" i="1"/>
  <c r="DW87" i="1" s="1"/>
  <c r="DW35" i="1" s="1"/>
  <c r="DW11" i="1"/>
  <c r="DV74" i="2"/>
  <c r="DV58" i="2"/>
  <c r="DV73" i="2" s="1"/>
  <c r="DU69" i="2" s="1"/>
  <c r="DT69" i="2" s="1"/>
  <c r="DW109" i="1" l="1"/>
  <c r="DW110" i="1" s="1"/>
  <c r="DW15" i="2"/>
  <c r="DW13" i="2"/>
  <c r="DW113" i="1"/>
  <c r="DW115" i="1" s="1"/>
  <c r="DW117" i="1" s="1"/>
  <c r="DW32" i="2"/>
  <c r="DW56" i="2"/>
  <c r="DX111" i="1"/>
  <c r="DW64" i="1"/>
  <c r="DW66" i="1"/>
  <c r="DW9" i="1" s="1"/>
  <c r="DW70" i="1" l="1"/>
  <c r="DW54" i="2"/>
  <c r="DW12" i="2"/>
  <c r="DW8" i="1"/>
  <c r="DW30" i="2"/>
  <c r="DW6" i="2"/>
  <c r="DW39" i="1"/>
  <c r="DW149" i="1" l="1"/>
  <c r="DW4" i="2"/>
  <c r="DW29" i="2"/>
  <c r="DW60" i="1"/>
  <c r="DW140" i="1"/>
  <c r="DX19" i="9"/>
  <c r="DW29" i="1"/>
  <c r="DW71" i="1"/>
  <c r="DW80" i="1"/>
  <c r="DW79" i="1" s="1"/>
  <c r="DW32" i="1" s="1"/>
  <c r="DW147" i="1" s="1"/>
  <c r="DW9" i="2" l="1"/>
  <c r="DW63" i="1"/>
  <c r="DW40" i="2" s="1"/>
  <c r="DW62" i="1"/>
  <c r="DW28" i="1"/>
  <c r="DX14" i="9"/>
  <c r="DX21" i="9"/>
  <c r="DX39" i="9" l="1"/>
  <c r="DW50" i="1"/>
  <c r="DW146" i="1"/>
  <c r="DW10" i="15"/>
  <c r="DW8" i="2"/>
  <c r="DX9" i="9"/>
  <c r="DX34" i="9"/>
  <c r="DX38" i="9" l="1"/>
  <c r="DX112" i="1" s="1"/>
  <c r="DW85" i="2"/>
  <c r="DX10" i="9"/>
  <c r="DX12" i="9"/>
  <c r="DX30" i="9"/>
  <c r="DX24" i="9"/>
  <c r="DW11" i="2"/>
  <c r="DX36" i="9" l="1"/>
  <c r="DX42" i="9" s="1"/>
  <c r="DW84" i="2"/>
  <c r="DX116" i="1"/>
  <c r="DX107" i="1"/>
  <c r="DX75" i="1"/>
  <c r="DX26" i="9"/>
  <c r="DY17" i="9" s="1"/>
  <c r="DY28" i="9"/>
  <c r="DX84" i="1"/>
  <c r="DX35" i="9"/>
  <c r="DW16" i="2"/>
  <c r="DW42" i="2"/>
  <c r="DW53" i="2"/>
  <c r="DW55" i="2" s="1"/>
  <c r="DW22" i="2"/>
  <c r="DW19" i="2"/>
  <c r="DX5" i="2" l="1"/>
  <c r="DX33" i="2" s="1"/>
  <c r="DX37" i="9"/>
  <c r="DX97" i="1"/>
  <c r="DX17" i="1" s="1"/>
  <c r="DX142" i="1" s="1"/>
  <c r="DX100" i="1"/>
  <c r="DX15" i="1" s="1"/>
  <c r="DX144" i="1" s="1"/>
  <c r="DX103" i="1"/>
  <c r="DX36" i="1" s="1"/>
  <c r="DX83" i="1"/>
  <c r="DX34" i="1" s="1"/>
  <c r="DY29" i="9"/>
  <c r="DY18" i="2"/>
  <c r="DW57" i="2"/>
  <c r="DW70" i="2"/>
  <c r="DX7" i="2"/>
  <c r="DX33" i="9"/>
  <c r="DW133" i="1"/>
  <c r="DX14" i="2" s="1"/>
  <c r="DX13" i="1"/>
  <c r="DX69" i="1"/>
  <c r="DX72" i="1" s="1"/>
  <c r="DX114" i="1"/>
  <c r="DW64" i="2"/>
  <c r="DW91" i="2"/>
  <c r="DW2" i="2"/>
  <c r="DW26" i="2"/>
  <c r="DX61" i="1" l="1"/>
  <c r="DX64" i="1" s="1"/>
  <c r="DX71" i="2"/>
  <c r="DX108" i="1" s="1"/>
  <c r="DW74" i="2"/>
  <c r="DW58" i="2"/>
  <c r="DW73" i="2" s="1"/>
  <c r="DX32" i="2"/>
  <c r="DX56" i="2"/>
  <c r="DX15" i="2"/>
  <c r="DW157" i="1"/>
  <c r="DW141" i="1"/>
  <c r="DW27" i="2"/>
  <c r="DW61" i="2"/>
  <c r="DX88" i="1"/>
  <c r="DX87" i="1" s="1"/>
  <c r="DX35" i="1" s="1"/>
  <c r="DX11" i="1"/>
  <c r="DY40" i="9"/>
  <c r="DX66" i="1" l="1"/>
  <c r="DX9" i="1" s="1"/>
  <c r="DX30" i="2" s="1"/>
  <c r="DX113" i="1"/>
  <c r="DX115" i="1" s="1"/>
  <c r="DX117" i="1" s="1"/>
  <c r="DX13" i="2"/>
  <c r="DX70" i="1" s="1"/>
  <c r="DY111" i="1"/>
  <c r="DX109" i="1"/>
  <c r="DX110" i="1" s="1"/>
  <c r="DX8" i="1" l="1"/>
  <c r="DX60" i="1" s="1"/>
  <c r="DX39" i="1"/>
  <c r="DX149" i="1" s="1"/>
  <c r="DX6" i="2"/>
  <c r="DX4" i="2" s="1"/>
  <c r="DX12" i="2"/>
  <c r="DX54" i="2"/>
  <c r="DX71" i="1"/>
  <c r="DX80" i="1"/>
  <c r="DX79" i="1" s="1"/>
  <c r="DX32" i="1" s="1"/>
  <c r="DX147" i="1" s="1"/>
  <c r="DX29" i="2"/>
  <c r="DX29" i="1" l="1"/>
  <c r="DX28" i="1" s="1"/>
  <c r="DY19" i="9"/>
  <c r="DY14" i="9" s="1"/>
  <c r="DX140" i="1"/>
  <c r="DX9" i="2"/>
  <c r="DX63" i="1"/>
  <c r="DX40" i="2" s="1"/>
  <c r="DX62" i="1"/>
  <c r="DY21" i="9" l="1"/>
  <c r="DY9" i="9"/>
  <c r="DY34" i="9"/>
  <c r="DY39" i="9"/>
  <c r="DX50" i="1"/>
  <c r="DX146" i="1"/>
  <c r="DX10" i="15"/>
  <c r="DX8" i="2"/>
  <c r="DX11" i="2" l="1"/>
  <c r="DY30" i="9"/>
  <c r="DY10" i="9"/>
  <c r="DY12" i="9"/>
  <c r="DY24" i="9"/>
  <c r="DX85" i="2"/>
  <c r="DY38" i="9"/>
  <c r="DX84" i="2" l="1"/>
  <c r="DY84" i="1"/>
  <c r="DY35" i="9"/>
  <c r="DY36" i="9"/>
  <c r="DX42" i="2"/>
  <c r="DX16" i="2"/>
  <c r="DX53" i="2"/>
  <c r="DX55" i="2" s="1"/>
  <c r="DX22" i="2"/>
  <c r="DX19" i="2"/>
  <c r="DY75" i="1"/>
  <c r="DZ28" i="9"/>
  <c r="DY26" i="9"/>
  <c r="DZ17" i="9" s="1"/>
  <c r="DY112" i="1"/>
  <c r="DX57" i="2" l="1"/>
  <c r="DX70" i="2"/>
  <c r="DX64" i="2"/>
  <c r="DY37" i="9"/>
  <c r="DY5" i="2"/>
  <c r="DY42" i="9"/>
  <c r="DY97" i="1"/>
  <c r="DY17" i="1" s="1"/>
  <c r="DY142" i="1" s="1"/>
  <c r="DY100" i="1"/>
  <c r="DY15" i="1" s="1"/>
  <c r="DY144" i="1" s="1"/>
  <c r="DY103" i="1"/>
  <c r="DY36" i="1" s="1"/>
  <c r="DY83" i="1"/>
  <c r="DY34" i="1" s="1"/>
  <c r="DY116" i="1"/>
  <c r="DY107" i="1"/>
  <c r="DY13" i="1"/>
  <c r="DY69" i="1"/>
  <c r="DY72" i="1" s="1"/>
  <c r="DX91" i="2"/>
  <c r="DX2" i="2"/>
  <c r="DX133" i="1"/>
  <c r="DY14" i="2" s="1"/>
  <c r="DZ29" i="9"/>
  <c r="DZ18" i="2"/>
  <c r="EA17" i="9"/>
  <c r="DX26" i="2"/>
  <c r="DY7" i="2" l="1"/>
  <c r="DY61" i="1"/>
  <c r="DY33" i="2"/>
  <c r="DY71" i="2"/>
  <c r="DY114" i="1"/>
  <c r="EA18" i="9"/>
  <c r="EA29" i="9"/>
  <c r="DX157" i="1"/>
  <c r="DX141" i="1"/>
  <c r="EA18" i="2"/>
  <c r="DY11" i="1"/>
  <c r="DY88" i="1"/>
  <c r="DY87" i="1" s="1"/>
  <c r="DY35" i="1" s="1"/>
  <c r="DX27" i="2"/>
  <c r="DX61" i="2"/>
  <c r="DY33" i="9"/>
  <c r="DX58" i="2"/>
  <c r="DX73" i="2" s="1"/>
  <c r="DX74" i="2"/>
  <c r="DY13" i="2" l="1"/>
  <c r="DY113" i="1"/>
  <c r="DY115" i="1" s="1"/>
  <c r="DY117" i="1" s="1"/>
  <c r="DY32" i="2"/>
  <c r="DY56" i="2"/>
  <c r="DY64" i="1"/>
  <c r="DY66" i="1"/>
  <c r="DY9" i="1" s="1"/>
  <c r="DY108" i="1"/>
  <c r="EA20" i="2"/>
  <c r="DZ40" i="9"/>
  <c r="DY15" i="2"/>
  <c r="DY8" i="1" l="1"/>
  <c r="DY30" i="2"/>
  <c r="DY6" i="2"/>
  <c r="DY39" i="1"/>
  <c r="DY109" i="1"/>
  <c r="DY110" i="1" s="1"/>
  <c r="EA40" i="9"/>
  <c r="EA41" i="9" s="1"/>
  <c r="DZ111" i="1"/>
  <c r="DY70" i="1"/>
  <c r="DY12" i="2"/>
  <c r="DY54" i="2"/>
  <c r="DY71" i="1" l="1"/>
  <c r="DY80" i="1"/>
  <c r="DY79" i="1" s="1"/>
  <c r="DY32" i="1" s="1"/>
  <c r="DY147" i="1" s="1"/>
  <c r="EA111" i="1"/>
  <c r="DY149" i="1"/>
  <c r="DY4" i="2"/>
  <c r="DY29" i="2"/>
  <c r="DY60" i="1"/>
  <c r="DY140" i="1"/>
  <c r="DZ19" i="9"/>
  <c r="DY29" i="1"/>
  <c r="DY9" i="2" l="1"/>
  <c r="DY28" i="1"/>
  <c r="EA19" i="9"/>
  <c r="EA20" i="9" s="1"/>
  <c r="DZ21" i="9"/>
  <c r="DZ14" i="9"/>
  <c r="DY63" i="1"/>
  <c r="DY40" i="2" s="1"/>
  <c r="DY62" i="1"/>
  <c r="DZ39" i="9" l="1"/>
  <c r="EA21" i="9"/>
  <c r="DY50" i="1"/>
  <c r="DY146" i="1"/>
  <c r="DY10" i="15"/>
  <c r="DY8" i="2"/>
  <c r="DZ9" i="9"/>
  <c r="DZ34" i="9"/>
  <c r="EA14" i="9"/>
  <c r="EA34" i="9" s="1"/>
  <c r="DZ38" i="9" l="1"/>
  <c r="DZ36" i="9" s="1"/>
  <c r="DY11" i="2"/>
  <c r="DZ30" i="9"/>
  <c r="DZ10" i="9"/>
  <c r="DZ12" i="9"/>
  <c r="EA12" i="9" s="1"/>
  <c r="EA9" i="9"/>
  <c r="EA30" i="9" s="1"/>
  <c r="DZ24" i="9"/>
  <c r="DY85" i="2"/>
  <c r="DZ112" i="1" l="1"/>
  <c r="EA112" i="1" s="1"/>
  <c r="EA38" i="9"/>
  <c r="EA39" i="9" s="1"/>
  <c r="DZ84" i="1"/>
  <c r="EA10" i="9"/>
  <c r="DZ35" i="9"/>
  <c r="DZ37" i="9" s="1"/>
  <c r="DY16" i="2"/>
  <c r="DY42" i="2"/>
  <c r="DY53" i="2"/>
  <c r="DY55" i="2" s="1"/>
  <c r="DY22" i="2"/>
  <c r="DY19" i="2"/>
  <c r="DZ75" i="1"/>
  <c r="EA24" i="9"/>
  <c r="DZ26" i="9"/>
  <c r="EA26" i="9" s="1"/>
  <c r="EB17" i="9" s="1"/>
  <c r="DY84" i="2"/>
  <c r="DZ5" i="2"/>
  <c r="DZ42" i="9"/>
  <c r="EA36" i="9"/>
  <c r="DZ107" i="1" l="1"/>
  <c r="EA107" i="1" s="1"/>
  <c r="DZ116" i="1"/>
  <c r="DZ114" i="1" s="1"/>
  <c r="DZ61" i="1"/>
  <c r="DZ33" i="2"/>
  <c r="EA5" i="2"/>
  <c r="EA61" i="1" s="1"/>
  <c r="DZ71" i="2"/>
  <c r="DY57" i="2"/>
  <c r="DY70" i="2"/>
  <c r="DY2" i="2"/>
  <c r="DY91" i="2"/>
  <c r="DY133" i="1"/>
  <c r="DZ14" i="2" s="1"/>
  <c r="EA14" i="2" s="1"/>
  <c r="DZ13" i="1"/>
  <c r="EA75" i="1"/>
  <c r="EA76" i="1" s="1"/>
  <c r="DZ69" i="1"/>
  <c r="DZ72" i="1" s="1"/>
  <c r="DY26" i="2"/>
  <c r="EA84" i="1"/>
  <c r="EA11" i="9"/>
  <c r="EA13" i="9"/>
  <c r="EA35" i="9"/>
  <c r="EA37" i="9" s="1"/>
  <c r="EB28" i="9"/>
  <c r="EF28" i="9"/>
  <c r="DY64" i="2"/>
  <c r="DZ7" i="2"/>
  <c r="EA42" i="9"/>
  <c r="EA43" i="9" s="1"/>
  <c r="EB18" i="2"/>
  <c r="DZ97" i="1"/>
  <c r="DZ17" i="1" s="1"/>
  <c r="DZ100" i="1"/>
  <c r="DZ15" i="1" s="1"/>
  <c r="DZ103" i="1"/>
  <c r="DZ36" i="1" s="1"/>
  <c r="DZ83" i="1"/>
  <c r="DZ34" i="1" s="1"/>
  <c r="EA34" i="1" s="1"/>
  <c r="EA83" i="1" s="1"/>
  <c r="EA116" i="1" l="1"/>
  <c r="EA118" i="1" s="1"/>
  <c r="DZ33" i="9"/>
  <c r="EA85" i="1"/>
  <c r="EB85" i="1" s="1"/>
  <c r="EC85" i="1" s="1"/>
  <c r="EA114" i="1"/>
  <c r="DZ108" i="1"/>
  <c r="DY58" i="2"/>
  <c r="DY73" i="2" s="1"/>
  <c r="DY74" i="2"/>
  <c r="EA17" i="1"/>
  <c r="DZ142" i="1"/>
  <c r="DZ13" i="2"/>
  <c r="DZ113" i="1"/>
  <c r="EA36" i="1"/>
  <c r="EA15" i="1"/>
  <c r="DZ144" i="1"/>
  <c r="DY27" i="2"/>
  <c r="DY61" i="2"/>
  <c r="EA13" i="1"/>
  <c r="EA88" i="1" s="1"/>
  <c r="DZ11" i="1"/>
  <c r="DZ88" i="1"/>
  <c r="DZ87" i="1" s="1"/>
  <c r="DZ35" i="1" s="1"/>
  <c r="EA35" i="1" s="1"/>
  <c r="EA87" i="1" s="1"/>
  <c r="EA33" i="9"/>
  <c r="DZ15" i="2"/>
  <c r="EA15" i="2" s="1"/>
  <c r="EA7" i="2"/>
  <c r="DY157" i="1"/>
  <c r="DY141" i="1"/>
  <c r="DZ32" i="2"/>
  <c r="EA32" i="2" s="1"/>
  <c r="DZ56" i="2"/>
  <c r="EA33" i="2"/>
  <c r="EA56" i="2" s="1"/>
  <c r="DZ64" i="1"/>
  <c r="EA64" i="1" s="1"/>
  <c r="EA65" i="1" s="1"/>
  <c r="DZ66" i="1"/>
  <c r="EA89" i="1" l="1"/>
  <c r="EA72" i="2"/>
  <c r="ED85" i="1"/>
  <c r="EA113" i="1"/>
  <c r="DZ115" i="1"/>
  <c r="DZ70" i="1"/>
  <c r="DZ12" i="2"/>
  <c r="EA12" i="2" s="1"/>
  <c r="EA70" i="1" s="1"/>
  <c r="DZ54" i="2"/>
  <c r="EA13" i="2"/>
  <c r="EA11" i="1"/>
  <c r="EA103" i="1"/>
  <c r="EA104" i="1" s="1"/>
  <c r="EA97" i="1"/>
  <c r="EA98" i="1" s="1"/>
  <c r="EA142" i="1"/>
  <c r="EA144" i="1"/>
  <c r="EA100" i="1"/>
  <c r="EA101" i="1" s="1"/>
  <c r="EA108" i="1"/>
  <c r="DZ109" i="1"/>
  <c r="DZ9" i="1"/>
  <c r="EA66" i="1"/>
  <c r="EA67" i="1" s="1"/>
  <c r="EB40" i="9"/>
  <c r="EB111" i="1" l="1"/>
  <c r="EA69" i="1"/>
  <c r="EA72" i="1" s="1"/>
  <c r="EA109" i="1"/>
  <c r="EA110" i="1" s="1"/>
  <c r="DZ110" i="1"/>
  <c r="EA115" i="1"/>
  <c r="EA117" i="1" s="1"/>
  <c r="DZ117" i="1"/>
  <c r="EA80" i="1"/>
  <c r="EA54" i="2"/>
  <c r="EA71" i="2"/>
  <c r="EE85" i="1"/>
  <c r="EA9" i="1"/>
  <c r="DZ8" i="1"/>
  <c r="DZ30" i="2"/>
  <c r="DZ6" i="2"/>
  <c r="DZ39" i="1"/>
  <c r="DZ71" i="1"/>
  <c r="DZ80" i="1"/>
  <c r="DZ79" i="1" s="1"/>
  <c r="DZ32" i="1" s="1"/>
  <c r="EA71" i="1" l="1"/>
  <c r="EA32" i="1"/>
  <c r="DZ147" i="1"/>
  <c r="DZ149" i="1"/>
  <c r="EA39" i="1"/>
  <c r="EA6" i="2"/>
  <c r="DZ4" i="2"/>
  <c r="DZ29" i="2"/>
  <c r="EA29" i="2" s="1"/>
  <c r="EA30" i="2"/>
  <c r="EA8" i="1"/>
  <c r="DZ60" i="1"/>
  <c r="DZ140" i="1"/>
  <c r="DZ29" i="1"/>
  <c r="EA29" i="1" l="1"/>
  <c r="DZ28" i="1"/>
  <c r="EA149" i="1"/>
  <c r="DZ9" i="2"/>
  <c r="EA4" i="2"/>
  <c r="DZ63" i="1"/>
  <c r="DZ40" i="2" s="1"/>
  <c r="DZ62" i="1"/>
  <c r="EA60" i="1"/>
  <c r="EA140" i="1"/>
  <c r="EB19" i="9"/>
  <c r="EA79" i="1"/>
  <c r="EA81" i="1" s="1"/>
  <c r="EA147" i="1"/>
  <c r="EA40" i="2" l="1"/>
  <c r="EB21" i="9"/>
  <c r="EB14" i="9"/>
  <c r="EA63" i="1"/>
  <c r="EA62" i="1"/>
  <c r="DZ8" i="2"/>
  <c r="EA9" i="2"/>
  <c r="EA10" i="2" s="1"/>
  <c r="EA28" i="1"/>
  <c r="DZ50" i="1"/>
  <c r="DZ146" i="1"/>
  <c r="DZ10" i="15"/>
  <c r="EA8" i="2" l="1"/>
  <c r="DZ11" i="2"/>
  <c r="EB9" i="9"/>
  <c r="EB34" i="9"/>
  <c r="EB29" i="9"/>
  <c r="EA50" i="1"/>
  <c r="EA146" i="1"/>
  <c r="EA10" i="15"/>
  <c r="EA41" i="2"/>
  <c r="DZ85" i="2"/>
  <c r="EB39" i="9"/>
  <c r="EB38" i="9" l="1"/>
  <c r="EB36" i="9" s="1"/>
  <c r="EB30" i="9"/>
  <c r="EB10" i="9"/>
  <c r="EB12" i="9"/>
  <c r="EB24" i="9"/>
  <c r="DZ84" i="2"/>
  <c r="DZ26" i="2" s="1"/>
  <c r="EA85" i="2"/>
  <c r="EA86" i="2" s="1"/>
  <c r="EA87" i="2" s="1"/>
  <c r="DZ22" i="2"/>
  <c r="DZ42" i="2"/>
  <c r="DZ16" i="2"/>
  <c r="DZ53" i="2"/>
  <c r="DZ55" i="2" s="1"/>
  <c r="DZ19" i="2"/>
  <c r="EA11" i="2"/>
  <c r="EB112" i="1" l="1"/>
  <c r="EB116" i="1" s="1"/>
  <c r="EB75" i="1"/>
  <c r="EC28" i="9"/>
  <c r="EB26" i="9"/>
  <c r="EC17" i="9" s="1"/>
  <c r="DZ61" i="2"/>
  <c r="DZ27" i="2"/>
  <c r="EA26" i="2"/>
  <c r="EA84" i="2"/>
  <c r="EA88" i="2" s="1"/>
  <c r="DZ133" i="1"/>
  <c r="EB84" i="1"/>
  <c r="EB35" i="9"/>
  <c r="EB37" i="9" s="1"/>
  <c r="DZ57" i="2"/>
  <c r="DZ70" i="2"/>
  <c r="DZ2" i="2"/>
  <c r="DZ91" i="2"/>
  <c r="EA16" i="2"/>
  <c r="EB5" i="2"/>
  <c r="EB42" i="9"/>
  <c r="EA22" i="2"/>
  <c r="EA53" i="2"/>
  <c r="EA55" i="2" s="1"/>
  <c r="EA19" i="2"/>
  <c r="EA42" i="2"/>
  <c r="DZ64" i="2"/>
  <c r="EB107" i="1" l="1"/>
  <c r="EB33" i="9" s="1"/>
  <c r="DZ58" i="2"/>
  <c r="DZ73" i="2" s="1"/>
  <c r="DZ74" i="2"/>
  <c r="EB61" i="1"/>
  <c r="EB33" i="2"/>
  <c r="EB71" i="2"/>
  <c r="EB97" i="1"/>
  <c r="EB17" i="1" s="1"/>
  <c r="EB142" i="1" s="1"/>
  <c r="EB100" i="1"/>
  <c r="EB15" i="1" s="1"/>
  <c r="EB144" i="1" s="1"/>
  <c r="EB103" i="1"/>
  <c r="EB36" i="1" s="1"/>
  <c r="EB83" i="1"/>
  <c r="EB34" i="1" s="1"/>
  <c r="EC18" i="2"/>
  <c r="EC29" i="9"/>
  <c r="EB7" i="2"/>
  <c r="EA64" i="2"/>
  <c r="EA43" i="2"/>
  <c r="EA70" i="2"/>
  <c r="EA57" i="2"/>
  <c r="EA133" i="1"/>
  <c r="EB14" i="2" s="1"/>
  <c r="DZ157" i="1"/>
  <c r="EA157" i="1" s="1"/>
  <c r="DZ141" i="1"/>
  <c r="EA27" i="2"/>
  <c r="EA61" i="2"/>
  <c r="EA2" i="2"/>
  <c r="EA91" i="2"/>
  <c r="EB114" i="1"/>
  <c r="EB13" i="1"/>
  <c r="EB69" i="1"/>
  <c r="EB72" i="1" s="1"/>
  <c r="EB11" i="1" l="1"/>
  <c r="EB88" i="1"/>
  <c r="EB87" i="1" s="1"/>
  <c r="EB35" i="1" s="1"/>
  <c r="EB32" i="2"/>
  <c r="EB56" i="2"/>
  <c r="EB15" i="2"/>
  <c r="EA58" i="2"/>
  <c r="EA73" i="2" s="1"/>
  <c r="DZ69" i="2" s="1"/>
  <c r="DY69" i="2" s="1"/>
  <c r="EA74" i="2"/>
  <c r="EB66" i="1"/>
  <c r="EB9" i="1" s="1"/>
  <c r="EB39" i="1" s="1"/>
  <c r="EB64" i="1"/>
  <c r="EA141" i="1"/>
  <c r="EB13" i="2"/>
  <c r="EB113" i="1"/>
  <c r="EB115" i="1" s="1"/>
  <c r="EB117" i="1" s="1"/>
  <c r="EB108" i="1"/>
  <c r="EC40" i="9"/>
  <c r="EB109" i="1" l="1"/>
  <c r="EB110" i="1" s="1"/>
  <c r="EB8" i="1"/>
  <c r="EB30" i="2"/>
  <c r="EB6" i="2"/>
  <c r="EC111" i="1"/>
  <c r="EB70" i="1"/>
  <c r="EB12" i="2"/>
  <c r="EB54" i="2"/>
  <c r="EB149" i="1"/>
  <c r="EB71" i="1" l="1"/>
  <c r="EB80" i="1"/>
  <c r="EB79" i="1" s="1"/>
  <c r="EB32" i="1" s="1"/>
  <c r="EB147" i="1" s="1"/>
  <c r="EB4" i="2"/>
  <c r="EB29" i="2"/>
  <c r="EB60" i="1"/>
  <c r="EB140" i="1"/>
  <c r="EC19" i="9"/>
  <c r="EB29" i="1"/>
  <c r="EB28" i="1" l="1"/>
  <c r="EC21" i="9"/>
  <c r="EC14" i="9"/>
  <c r="EB63" i="1"/>
  <c r="EB40" i="2" s="1"/>
  <c r="EB62" i="1"/>
  <c r="EB9" i="2"/>
  <c r="EC9" i="9" l="1"/>
  <c r="EC34" i="9"/>
  <c r="EC39" i="9"/>
  <c r="EB8" i="2"/>
  <c r="EB50" i="1"/>
  <c r="EB146" i="1"/>
  <c r="EB10" i="15"/>
  <c r="EB85" i="2" l="1"/>
  <c r="EC38" i="9"/>
  <c r="EC112" i="1" s="1"/>
  <c r="EB11" i="2"/>
  <c r="EC10" i="9"/>
  <c r="EC12" i="9"/>
  <c r="EC30" i="9"/>
  <c r="EC24" i="9"/>
  <c r="EC75" i="1" l="1"/>
  <c r="ED28" i="9"/>
  <c r="EC26" i="9"/>
  <c r="ED17" i="9" s="1"/>
  <c r="EC84" i="1"/>
  <c r="EC35" i="9"/>
  <c r="EB84" i="2"/>
  <c r="EB26" i="2" s="1"/>
  <c r="EB16" i="2"/>
  <c r="EB22" i="2"/>
  <c r="EB42" i="2"/>
  <c r="EB53" i="2"/>
  <c r="EB55" i="2" s="1"/>
  <c r="EB19" i="2"/>
  <c r="EC116" i="1"/>
  <c r="EC107" i="1"/>
  <c r="EC36" i="9"/>
  <c r="EB27" i="2" l="1"/>
  <c r="EB61" i="2"/>
  <c r="EB2" i="2"/>
  <c r="EB91" i="2"/>
  <c r="EC33" i="9"/>
  <c r="EC97" i="1"/>
  <c r="EC17" i="1" s="1"/>
  <c r="EC142" i="1" s="1"/>
  <c r="EC100" i="1"/>
  <c r="EC15" i="1" s="1"/>
  <c r="EC144" i="1" s="1"/>
  <c r="EC103" i="1"/>
  <c r="EC36" i="1" s="1"/>
  <c r="EC83" i="1"/>
  <c r="EC34" i="1" s="1"/>
  <c r="EC114" i="1"/>
  <c r="ED29" i="9"/>
  <c r="ED18" i="2"/>
  <c r="EB64" i="2"/>
  <c r="EB133" i="1"/>
  <c r="EC14" i="2" s="1"/>
  <c r="EC37" i="9"/>
  <c r="EC5" i="2"/>
  <c r="EC42" i="9"/>
  <c r="EB70" i="2"/>
  <c r="EB57" i="2"/>
  <c r="EC69" i="1"/>
  <c r="EC72" i="1" s="1"/>
  <c r="EC13" i="1"/>
  <c r="ED40" i="9" l="1"/>
  <c r="EB157" i="1"/>
  <c r="EB141" i="1"/>
  <c r="EB58" i="2"/>
  <c r="EB73" i="2" s="1"/>
  <c r="EB74" i="2"/>
  <c r="EC88" i="1"/>
  <c r="EC87" i="1" s="1"/>
  <c r="EC35" i="1" s="1"/>
  <c r="EC11" i="1"/>
  <c r="EC61" i="1"/>
  <c r="EC33" i="2"/>
  <c r="EC71" i="2"/>
  <c r="EC7" i="2"/>
  <c r="EC66" i="1" l="1"/>
  <c r="EC9" i="1" s="1"/>
  <c r="EC64" i="1"/>
  <c r="EC13" i="2"/>
  <c r="EC113" i="1"/>
  <c r="EC115" i="1" s="1"/>
  <c r="EC117" i="1" s="1"/>
  <c r="ED111" i="1"/>
  <c r="EC32" i="2"/>
  <c r="EC56" i="2"/>
  <c r="EC15" i="2"/>
  <c r="EC108" i="1"/>
  <c r="EC70" i="1" l="1"/>
  <c r="EC12" i="2"/>
  <c r="EC54" i="2"/>
  <c r="EC8" i="1"/>
  <c r="EC30" i="2"/>
  <c r="EC6" i="2"/>
  <c r="EC39" i="1"/>
  <c r="EC109" i="1"/>
  <c r="EC110" i="1" s="1"/>
  <c r="EC149" i="1" l="1"/>
  <c r="EC4" i="2"/>
  <c r="EC60" i="1"/>
  <c r="EC140" i="1"/>
  <c r="ED19" i="9"/>
  <c r="EC29" i="1"/>
  <c r="EC71" i="1"/>
  <c r="EC80" i="1"/>
  <c r="EC79" i="1" s="1"/>
  <c r="EC32" i="1" s="1"/>
  <c r="EC147" i="1" s="1"/>
  <c r="EC29" i="2"/>
  <c r="EC28" i="1" l="1"/>
  <c r="ED14" i="9"/>
  <c r="ED21" i="9"/>
  <c r="EC9" i="2"/>
  <c r="EC63" i="1"/>
  <c r="EC40" i="2" s="1"/>
  <c r="EC62" i="1"/>
  <c r="ED34" i="9" l="1"/>
  <c r="ED9" i="9"/>
  <c r="EC8" i="2"/>
  <c r="ED39" i="9"/>
  <c r="EC50" i="1"/>
  <c r="EC146" i="1"/>
  <c r="EC10" i="15"/>
  <c r="EC85" i="2" l="1"/>
  <c r="ED10" i="9"/>
  <c r="ED12" i="9"/>
  <c r="ED30" i="9"/>
  <c r="ED24" i="9"/>
  <c r="EC11" i="2"/>
  <c r="ED38" i="9"/>
  <c r="ED112" i="1" s="1"/>
  <c r="ED116" i="1" l="1"/>
  <c r="ED107" i="1"/>
  <c r="EC16" i="2"/>
  <c r="EC22" i="2"/>
  <c r="EC53" i="2"/>
  <c r="EC55" i="2" s="1"/>
  <c r="EC42" i="2"/>
  <c r="EC19" i="2"/>
  <c r="EC84" i="2"/>
  <c r="ED36" i="9"/>
  <c r="ED75" i="1"/>
  <c r="EE28" i="9"/>
  <c r="ED26" i="9"/>
  <c r="EE17" i="9" s="1"/>
  <c r="ED84" i="1"/>
  <c r="ED35" i="9"/>
  <c r="ED37" i="9" l="1"/>
  <c r="ED42" i="9"/>
  <c r="ED5" i="2"/>
  <c r="EC133" i="1"/>
  <c r="ED14" i="2" s="1"/>
  <c r="EC26" i="2"/>
  <c r="EC64" i="2"/>
  <c r="ED100" i="1"/>
  <c r="ED15" i="1" s="1"/>
  <c r="ED144" i="1" s="1"/>
  <c r="ED97" i="1"/>
  <c r="ED17" i="1" s="1"/>
  <c r="ED142" i="1" s="1"/>
  <c r="ED103" i="1"/>
  <c r="ED36" i="1" s="1"/>
  <c r="ED83" i="1"/>
  <c r="ED34" i="1" s="1"/>
  <c r="EC2" i="2"/>
  <c r="EC91" i="2"/>
  <c r="ED33" i="9"/>
  <c r="EE18" i="2"/>
  <c r="EE29" i="9"/>
  <c r="EF17" i="9"/>
  <c r="EC70" i="2"/>
  <c r="EC57" i="2"/>
  <c r="ED69" i="1"/>
  <c r="ED72" i="1" s="1"/>
  <c r="ED13" i="1"/>
  <c r="ED114" i="1"/>
  <c r="EC58" i="2" l="1"/>
  <c r="EC73" i="2" s="1"/>
  <c r="EC74" i="2"/>
  <c r="EC27" i="2"/>
  <c r="EC61" i="2"/>
  <c r="EF18" i="9"/>
  <c r="EF29" i="9"/>
  <c r="ED61" i="1"/>
  <c r="ED33" i="2"/>
  <c r="ED71" i="2"/>
  <c r="ED108" i="1" s="1"/>
  <c r="EE40" i="9"/>
  <c r="EC157" i="1"/>
  <c r="EC141" i="1"/>
  <c r="ED7" i="2"/>
  <c r="EF18" i="2"/>
  <c r="ED88" i="1"/>
  <c r="ED87" i="1" s="1"/>
  <c r="ED35" i="1" s="1"/>
  <c r="ED11" i="1"/>
  <c r="ED32" i="2" l="1"/>
  <c r="ED56" i="2"/>
  <c r="EF20" i="2"/>
  <c r="ED109" i="1"/>
  <c r="ED110" i="1" s="1"/>
  <c r="ED15" i="2"/>
  <c r="EF40" i="9"/>
  <c r="EF41" i="9" s="1"/>
  <c r="EE111" i="1"/>
  <c r="ED64" i="1"/>
  <c r="ED66" i="1"/>
  <c r="ED9" i="1" s="1"/>
  <c r="ED13" i="2"/>
  <c r="ED113" i="1"/>
  <c r="ED115" i="1" s="1"/>
  <c r="ED117" i="1" s="1"/>
  <c r="ED70" i="1" l="1"/>
  <c r="ED12" i="2"/>
  <c r="ED54" i="2"/>
  <c r="ED8" i="1"/>
  <c r="ED30" i="2"/>
  <c r="ED6" i="2"/>
  <c r="ED39" i="1"/>
  <c r="EF111" i="1"/>
  <c r="ED4" i="2" l="1"/>
  <c r="ED29" i="2"/>
  <c r="ED71" i="1"/>
  <c r="ED80" i="1"/>
  <c r="ED79" i="1" s="1"/>
  <c r="ED32" i="1" s="1"/>
  <c r="ED147" i="1" s="1"/>
  <c r="ED149" i="1"/>
  <c r="ED60" i="1"/>
  <c r="ED140" i="1"/>
  <c r="EE19" i="9"/>
  <c r="ED29" i="1"/>
  <c r="ED63" i="1" l="1"/>
  <c r="ED40" i="2" s="1"/>
  <c r="ED62" i="1"/>
  <c r="EF19" i="9"/>
  <c r="EF20" i="9" s="1"/>
  <c r="EE14" i="9"/>
  <c r="EE21" i="9"/>
  <c r="ED9" i="2"/>
  <c r="ED28" i="1"/>
  <c r="ED50" i="1" l="1"/>
  <c r="ED146" i="1"/>
  <c r="ED10" i="15"/>
  <c r="ED8" i="2"/>
  <c r="EE39" i="9"/>
  <c r="EF21" i="9"/>
  <c r="EE9" i="9"/>
  <c r="EE34" i="9"/>
  <c r="EF14" i="9"/>
  <c r="EF34" i="9" s="1"/>
  <c r="EE10" i="9" l="1"/>
  <c r="EE12" i="9"/>
  <c r="EF12" i="9" s="1"/>
  <c r="EE30" i="9"/>
  <c r="EF9" i="9"/>
  <c r="EF30" i="9" s="1"/>
  <c r="EE24" i="9"/>
  <c r="EE38" i="9"/>
  <c r="ED11" i="2"/>
  <c r="ED85" i="2"/>
  <c r="ED16" i="2" l="1"/>
  <c r="ED22" i="2"/>
  <c r="ED53" i="2"/>
  <c r="ED55" i="2" s="1"/>
  <c r="ED42" i="2"/>
  <c r="ED19" i="2"/>
  <c r="EE36" i="9"/>
  <c r="EF38" i="9"/>
  <c r="EF39" i="9" s="1"/>
  <c r="ED84" i="2"/>
  <c r="ED26" i="2" s="1"/>
  <c r="EE84" i="1"/>
  <c r="EF10" i="9"/>
  <c r="EE35" i="9"/>
  <c r="EE75" i="1"/>
  <c r="EE26" i="9"/>
  <c r="EF26" i="9" s="1"/>
  <c r="EF24" i="9"/>
  <c r="EE112" i="1"/>
  <c r="ED27" i="2" l="1"/>
  <c r="ED61" i="2"/>
  <c r="EE100" i="1"/>
  <c r="EE15" i="1" s="1"/>
  <c r="EE97" i="1"/>
  <c r="EE17" i="1" s="1"/>
  <c r="EE103" i="1"/>
  <c r="EE36" i="1" s="1"/>
  <c r="EE83" i="1"/>
  <c r="EE34" i="1" s="1"/>
  <c r="EF34" i="1" s="1"/>
  <c r="EF83" i="1" s="1"/>
  <c r="EF84" i="1"/>
  <c r="EF11" i="9"/>
  <c r="EF13" i="9"/>
  <c r="EF35" i="9"/>
  <c r="ED64" i="2"/>
  <c r="ED70" i="2"/>
  <c r="ED57" i="2"/>
  <c r="ED133" i="1"/>
  <c r="EE14" i="2" s="1"/>
  <c r="EE116" i="1"/>
  <c r="EF112" i="1"/>
  <c r="EE107" i="1"/>
  <c r="EE37" i="9"/>
  <c r="EE42" i="9"/>
  <c r="EE5" i="2"/>
  <c r="EF36" i="9"/>
  <c r="EF75" i="1"/>
  <c r="EF76" i="1" s="1"/>
  <c r="EE69" i="1"/>
  <c r="EE72" i="1" s="1"/>
  <c r="EE13" i="1"/>
  <c r="ED2" i="2"/>
  <c r="ED91" i="2"/>
  <c r="EF85" i="1" l="1"/>
  <c r="EF37" i="9"/>
  <c r="EF36" i="1"/>
  <c r="EE88" i="1"/>
  <c r="EE87" i="1" s="1"/>
  <c r="EE35" i="1" s="1"/>
  <c r="EF35" i="1" s="1"/>
  <c r="EF87" i="1" s="1"/>
  <c r="EE11" i="1"/>
  <c r="EF13" i="1"/>
  <c r="EF88" i="1" s="1"/>
  <c r="EF15" i="1"/>
  <c r="EE144" i="1"/>
  <c r="EE61" i="1"/>
  <c r="EE33" i="2"/>
  <c r="EF5" i="2"/>
  <c r="EF61" i="1" s="1"/>
  <c r="EE71" i="2"/>
  <c r="EF107" i="1"/>
  <c r="EF33" i="9" s="1"/>
  <c r="EE33" i="9"/>
  <c r="ED157" i="1"/>
  <c r="EF14" i="2"/>
  <c r="ED141" i="1"/>
  <c r="EE7" i="2"/>
  <c r="EF42" i="9"/>
  <c r="EF43" i="9" s="1"/>
  <c r="EF17" i="1"/>
  <c r="EE142" i="1"/>
  <c r="EE114" i="1"/>
  <c r="EF116" i="1"/>
  <c r="EF118" i="1" s="1"/>
  <c r="ED58" i="2"/>
  <c r="ED73" i="2" s="1"/>
  <c r="ED74" i="2"/>
  <c r="EE13" i="2" l="1"/>
  <c r="EE113" i="1"/>
  <c r="EF142" i="1"/>
  <c r="EF97" i="1"/>
  <c r="EF98" i="1" s="1"/>
  <c r="EE15" i="2"/>
  <c r="EF15" i="2" s="1"/>
  <c r="EF7" i="2"/>
  <c r="EF100" i="1"/>
  <c r="EF101" i="1" s="1"/>
  <c r="EF144" i="1"/>
  <c r="EF11" i="1"/>
  <c r="EF114" i="1"/>
  <c r="EE108" i="1"/>
  <c r="EF89" i="1"/>
  <c r="EE64" i="1"/>
  <c r="EF64" i="1" s="1"/>
  <c r="EF65" i="1" s="1"/>
  <c r="EE66" i="1"/>
  <c r="EF103" i="1"/>
  <c r="EF104" i="1" s="1"/>
  <c r="EE32" i="2"/>
  <c r="EF32" i="2" s="1"/>
  <c r="EE56" i="2"/>
  <c r="EF33" i="2"/>
  <c r="EF56" i="2" s="1"/>
  <c r="EF72" i="2" l="1"/>
  <c r="EF69" i="1"/>
  <c r="EF72" i="1" s="1"/>
  <c r="EF113" i="1"/>
  <c r="EE115" i="1"/>
  <c r="EF66" i="1"/>
  <c r="EF67" i="1" s="1"/>
  <c r="EE9" i="1"/>
  <c r="EF108" i="1"/>
  <c r="EE109" i="1"/>
  <c r="EE70" i="1"/>
  <c r="EE12" i="2"/>
  <c r="EF12" i="2" s="1"/>
  <c r="EF70" i="1" s="1"/>
  <c r="EE54" i="2"/>
  <c r="EF13" i="2"/>
  <c r="EF71" i="1" l="1"/>
  <c r="EF80" i="1"/>
  <c r="EF71" i="2"/>
  <c r="EF54" i="2"/>
  <c r="EE110" i="1"/>
  <c r="EF109" i="1"/>
  <c r="EF110" i="1" s="1"/>
  <c r="EF9" i="1"/>
  <c r="EE8" i="1"/>
  <c r="EE30" i="2"/>
  <c r="EE6" i="2"/>
  <c r="EE39" i="1"/>
  <c r="EE71" i="1"/>
  <c r="EE80" i="1"/>
  <c r="EE79" i="1" s="1"/>
  <c r="EE32" i="1" s="1"/>
  <c r="EF115" i="1"/>
  <c r="EF117" i="1" s="1"/>
  <c r="EE117" i="1"/>
  <c r="EF6" i="2" l="1"/>
  <c r="EE4" i="2"/>
  <c r="EF39" i="1"/>
  <c r="EF149" i="1" s="1"/>
  <c r="EE149" i="1"/>
  <c r="EE29" i="2"/>
  <c r="EF29" i="2" s="1"/>
  <c r="EF30" i="2"/>
  <c r="EE60" i="1"/>
  <c r="EF8" i="1"/>
  <c r="EE140" i="1"/>
  <c r="EE29" i="1"/>
  <c r="EF32" i="1"/>
  <c r="EE147" i="1"/>
  <c r="EE63" i="1" l="1"/>
  <c r="EE40" i="2" s="1"/>
  <c r="EE62" i="1"/>
  <c r="EF29" i="1"/>
  <c r="EE28" i="1"/>
  <c r="EE9" i="2"/>
  <c r="EF4" i="2"/>
  <c r="EF79" i="1"/>
  <c r="EF81" i="1" s="1"/>
  <c r="EF147" i="1"/>
  <c r="EF60" i="1"/>
  <c r="EF140" i="1"/>
  <c r="EF63" i="1" l="1"/>
  <c r="EF62" i="1"/>
  <c r="EF40" i="2"/>
  <c r="EE8" i="2"/>
  <c r="EF9" i="2"/>
  <c r="EF10" i="2" s="1"/>
  <c r="EF28" i="1"/>
  <c r="EE50" i="1"/>
  <c r="EE146" i="1"/>
  <c r="EE10" i="15"/>
  <c r="EF8" i="2" l="1"/>
  <c r="EE11" i="2"/>
  <c r="EE85" i="2"/>
  <c r="EF41" i="2"/>
  <c r="EF50" i="1"/>
  <c r="EF146" i="1"/>
  <c r="EF10" i="15"/>
  <c r="EE16" i="2" l="1"/>
  <c r="EE22" i="2"/>
  <c r="EE42" i="2"/>
  <c r="EE53" i="2"/>
  <c r="EE55" i="2" s="1"/>
  <c r="EE19" i="2"/>
  <c r="EF11" i="2"/>
  <c r="EE84" i="2"/>
  <c r="EE26" i="2" s="1"/>
  <c r="EF85" i="2"/>
  <c r="EF86" i="2" s="1"/>
  <c r="EF87" i="2" s="1"/>
  <c r="EE27" i="2" l="1"/>
  <c r="EE61" i="2"/>
  <c r="EF26" i="2"/>
  <c r="EF84" i="2"/>
  <c r="EF88" i="2" s="1"/>
  <c r="EE133" i="1"/>
  <c r="EE70" i="2"/>
  <c r="EE57" i="2"/>
  <c r="EE2" i="2"/>
  <c r="EE91" i="2"/>
  <c r="EF16" i="2"/>
  <c r="EF22" i="2"/>
  <c r="EF53" i="2"/>
  <c r="EF55" i="2" s="1"/>
  <c r="EF19" i="2"/>
  <c r="EF42" i="2"/>
  <c r="EE64" i="2"/>
  <c r="EF70" i="2" l="1"/>
  <c r="EF57" i="2"/>
  <c r="EE58" i="2"/>
  <c r="EE73" i="2" s="1"/>
  <c r="EE74" i="2"/>
  <c r="EE157" i="1"/>
  <c r="EF157" i="1" s="1"/>
  <c r="EF133" i="1"/>
  <c r="EF141" i="1" s="1"/>
  <c r="EE141" i="1"/>
  <c r="EF27" i="2"/>
  <c r="EF61" i="2"/>
  <c r="EF2" i="2"/>
  <c r="EF91" i="2"/>
  <c r="EF43" i="2"/>
  <c r="EF64" i="2"/>
  <c r="EF58" i="2" l="1"/>
  <c r="EF73" i="2" s="1"/>
  <c r="EE69" i="2" s="1"/>
  <c r="ED69" i="2" s="1"/>
  <c r="EF74" i="2"/>
  <c r="DL42" i="9"/>
  <c r="DL43" i="9" s="1"/>
  <c r="DL7" i="2"/>
  <c r="BH36" i="22" s="1"/>
  <c r="BE36" i="22" l="1"/>
  <c r="DL15" i="2" l="1"/>
  <c r="BE44" i="22"/>
  <c r="DL4" i="2"/>
  <c r="BH33" i="22" s="1"/>
  <c r="BE33" i="22"/>
  <c r="DL40" i="2" l="1"/>
  <c r="BE70" i="22"/>
  <c r="DL9" i="2"/>
  <c r="BE38" i="22"/>
  <c r="DL72" i="2"/>
  <c r="BH44" i="22"/>
  <c r="DL54" i="2"/>
  <c r="DL12" i="2"/>
  <c r="BE41" i="22"/>
  <c r="BH41" i="22" l="1"/>
  <c r="DL70" i="1"/>
  <c r="BE37" i="22"/>
  <c r="DL8" i="2"/>
  <c r="BH37" i="22" s="1"/>
  <c r="DL10" i="2"/>
  <c r="BH39" i="22" s="1"/>
  <c r="BH38" i="22"/>
  <c r="DL41" i="2"/>
  <c r="BH71" i="22" s="1"/>
  <c r="BH70" i="22"/>
  <c r="DL11" i="2" l="1"/>
  <c r="BE51" i="22"/>
  <c r="BE40" i="22"/>
  <c r="BE48" i="22"/>
  <c r="DL71" i="1"/>
  <c r="DL80" i="1"/>
  <c r="DL81" i="1" s="1"/>
  <c r="BE72" i="22" l="1"/>
  <c r="DL42" i="2"/>
  <c r="DI2" i="2"/>
  <c r="BE45" i="22"/>
  <c r="DL16" i="2"/>
  <c r="DI91" i="2"/>
  <c r="DL53" i="2"/>
  <c r="DL55" i="2" s="1"/>
  <c r="DL22" i="2"/>
  <c r="BH51" i="22" s="1"/>
  <c r="DL19" i="2"/>
  <c r="BH48" i="22" s="1"/>
  <c r="BH40" i="22"/>
  <c r="BE79" i="22"/>
  <c r="DL70" i="2" l="1"/>
  <c r="BH79" i="22" s="1"/>
  <c r="DL57" i="2"/>
  <c r="DL2" i="2"/>
  <c r="BH45" i="22"/>
  <c r="DL91" i="2"/>
  <c r="BH72" i="22"/>
  <c r="DL64" i="2"/>
  <c r="DL43" i="2"/>
  <c r="BH73" i="22" s="1"/>
  <c r="BE82" i="22"/>
  <c r="DI27" i="1"/>
  <c r="DJ37" i="1"/>
  <c r="DI148" i="1"/>
  <c r="DI145" i="1" s="1"/>
  <c r="DI6" i="15"/>
  <c r="BE65" i="22" l="1"/>
  <c r="BE81" i="22"/>
  <c r="DJ27" i="1"/>
  <c r="DJ6" i="15"/>
  <c r="DK37" i="1"/>
  <c r="DJ148" i="1"/>
  <c r="DJ145" i="1" s="1"/>
  <c r="DL74" i="2"/>
  <c r="BH82" i="22" s="1"/>
  <c r="DL58" i="2"/>
  <c r="BH65" i="22" l="1"/>
  <c r="DL73" i="2"/>
  <c r="DK27" i="1"/>
  <c r="DK6" i="15"/>
  <c r="DL37" i="1"/>
  <c r="DK148" i="1"/>
  <c r="DK145" i="1" s="1"/>
  <c r="DL148" i="1" l="1"/>
  <c r="DL145" i="1" s="1"/>
  <c r="DL6" i="15"/>
  <c r="DL27" i="1"/>
  <c r="DM37" i="1"/>
  <c r="DK69" i="2"/>
  <c r="DJ69" i="2" s="1"/>
  <c r="BH81" i="22"/>
  <c r="DM148" i="1" l="1"/>
  <c r="DM145" i="1" s="1"/>
  <c r="DM6" i="15"/>
  <c r="DM27" i="1"/>
  <c r="DN37" i="1"/>
  <c r="DN148" i="1" l="1"/>
  <c r="DN145" i="1" s="1"/>
  <c r="DN6" i="15"/>
  <c r="DN27" i="1"/>
  <c r="DO37" i="1"/>
  <c r="DO148" i="1" l="1"/>
  <c r="DO145" i="1" s="1"/>
  <c r="DO6" i="15"/>
  <c r="DP37" i="1"/>
  <c r="DO27" i="1"/>
  <c r="DP148" i="1" l="1"/>
  <c r="DQ37" i="1"/>
  <c r="DP6" i="15"/>
  <c r="DR37" i="1" l="1"/>
  <c r="DQ6" i="15"/>
  <c r="DQ148" i="1"/>
  <c r="DR6" i="15" l="1"/>
  <c r="DS37" i="1"/>
  <c r="DR148" i="1"/>
  <c r="DS27" i="1" l="1"/>
  <c r="DS6" i="15"/>
  <c r="DT37" i="1"/>
  <c r="DS148" i="1"/>
  <c r="DS145" i="1" s="1"/>
  <c r="DT27" i="1" l="1"/>
  <c r="DT6" i="15"/>
  <c r="DU37" i="1"/>
  <c r="DT148" i="1"/>
  <c r="DT145" i="1" s="1"/>
  <c r="DU27" i="1" l="1"/>
  <c r="DV37" i="1"/>
  <c r="DU148" i="1"/>
  <c r="DU145" i="1" s="1"/>
  <c r="DU6" i="15"/>
  <c r="DV27" i="1" l="1"/>
  <c r="DV6" i="15"/>
  <c r="DW37" i="1"/>
  <c r="DV148" i="1"/>
  <c r="DV145" i="1" s="1"/>
  <c r="DW27" i="1" l="1"/>
  <c r="DW148" i="1"/>
  <c r="DW145" i="1" s="1"/>
  <c r="DW6" i="15"/>
  <c r="DX37" i="1"/>
  <c r="DX148" i="1" l="1"/>
  <c r="DX145" i="1" s="1"/>
  <c r="DX6" i="15"/>
  <c r="DY37" i="1"/>
  <c r="DX27" i="1"/>
  <c r="DY148" i="1" l="1"/>
  <c r="DY145" i="1" s="1"/>
  <c r="DY6" i="15"/>
  <c r="DY27" i="1"/>
  <c r="DZ37" i="1"/>
  <c r="DZ148" i="1" l="1"/>
  <c r="DZ145" i="1" s="1"/>
  <c r="DZ6" i="15"/>
  <c r="DZ27" i="1"/>
  <c r="EA37" i="1"/>
  <c r="EA148" i="1" l="1"/>
  <c r="EA145" i="1" s="1"/>
  <c r="EB37" i="1"/>
  <c r="EA6" i="15"/>
  <c r="EA27" i="1"/>
  <c r="EB148" i="1" l="1"/>
  <c r="EB145" i="1" s="1"/>
  <c r="EB27" i="1"/>
  <c r="EC37" i="1"/>
  <c r="EB6" i="15"/>
  <c r="ED37" i="1" l="1"/>
  <c r="EC27" i="1"/>
  <c r="EC6" i="15"/>
  <c r="EC148" i="1"/>
  <c r="EC145" i="1" s="1"/>
  <c r="ED27" i="1" l="1"/>
  <c r="ED6" i="15"/>
  <c r="EE37" i="1"/>
  <c r="ED148" i="1"/>
  <c r="ED145" i="1" s="1"/>
  <c r="EE27" i="1" l="1"/>
  <c r="EE6" i="15"/>
  <c r="EF37" i="1"/>
  <c r="EE148" i="1"/>
  <c r="EE145" i="1" s="1"/>
  <c r="EF27" i="1" l="1"/>
  <c r="EF6" i="15"/>
  <c r="EF148" i="1"/>
  <c r="EF145" i="1" s="1"/>
  <c r="BE75" i="22" l="1"/>
  <c r="BE83" i="22"/>
  <c r="DI51" i="2"/>
  <c r="DI4" i="15"/>
  <c r="DI161" i="1"/>
  <c r="BE78" i="22"/>
  <c r="BE53" i="22"/>
  <c r="DI7" i="15"/>
  <c r="BE67" i="22"/>
  <c r="BE77" i="22"/>
  <c r="BE46" i="22"/>
  <c r="BE69" i="22"/>
  <c r="BE52" i="22"/>
  <c r="DI121" i="1" l="1"/>
  <c r="DI52" i="1"/>
  <c r="DI11" i="15"/>
  <c r="DI12" i="15" s="1"/>
  <c r="DI13" i="15" s="1"/>
  <c r="DI57" i="1"/>
  <c r="DI120" i="1"/>
  <c r="DI26" i="1"/>
  <c r="DI16" i="15" l="1"/>
  <c r="DI15" i="15"/>
  <c r="DI17" i="15"/>
  <c r="DI4" i="11" s="1"/>
  <c r="DI6" i="11" s="1"/>
  <c r="DI18" i="15"/>
  <c r="DI25" i="2" l="1"/>
  <c r="BE54" i="22" s="1"/>
  <c r="DI5" i="1"/>
  <c r="DI4" i="1" s="1"/>
  <c r="DI48" i="1" s="1"/>
  <c r="DJ14" i="15"/>
  <c r="DI139" i="1"/>
  <c r="DI138" i="1" s="1"/>
  <c r="DI151" i="1" s="1"/>
  <c r="DI51" i="1"/>
  <c r="DI53" i="1" s="1"/>
  <c r="DI56" i="1" l="1"/>
  <c r="DI55" i="1"/>
  <c r="DI54" i="1"/>
  <c r="DI122" i="1"/>
  <c r="DI152" i="1"/>
  <c r="DI154" i="1"/>
  <c r="DI165" i="1"/>
  <c r="A2" i="1" l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DP27" i="1"/>
  <c r="DQ27" i="1"/>
  <c r="DR27" i="1"/>
  <c r="DP38" i="1"/>
  <c r="DQ38" i="1"/>
  <c r="DR38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DJ49" i="1"/>
  <c r="DK49" i="1"/>
  <c r="DL49" i="1"/>
  <c r="DQ49" i="1"/>
  <c r="DV49" i="1"/>
  <c r="EA49" i="1"/>
  <c r="EF49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CD74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DL123" i="1"/>
  <c r="DQ123" i="1"/>
  <c r="DV123" i="1"/>
  <c r="EA123" i="1"/>
  <c r="EF123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DP145" i="1"/>
  <c r="DQ145" i="1"/>
  <c r="DR145" i="1"/>
  <c r="DP149" i="1"/>
  <c r="DQ149" i="1"/>
  <c r="DR149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DL163" i="1"/>
  <c r="DQ163" i="1"/>
  <c r="DV163" i="1"/>
  <c r="EA163" i="1"/>
  <c r="EF163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A2" i="15"/>
  <c r="DJ4" i="15"/>
  <c r="DK4" i="15"/>
  <c r="DL4" i="15"/>
  <c r="DM4" i="15"/>
  <c r="DN4" i="15"/>
  <c r="DO4" i="15"/>
  <c r="DP4" i="15"/>
  <c r="DQ4" i="15"/>
  <c r="DR4" i="15"/>
  <c r="DS4" i="15"/>
  <c r="DT4" i="15"/>
  <c r="DU4" i="15"/>
  <c r="DV4" i="15"/>
  <c r="DW4" i="15"/>
  <c r="DX4" i="15"/>
  <c r="DY4" i="15"/>
  <c r="DZ4" i="15"/>
  <c r="EA4" i="15"/>
  <c r="EB4" i="15"/>
  <c r="EC4" i="15"/>
  <c r="ED4" i="15"/>
  <c r="EE4" i="15"/>
  <c r="EF4" i="15"/>
  <c r="DJ7" i="15"/>
  <c r="DK7" i="15"/>
  <c r="DL7" i="15"/>
  <c r="DM7" i="15"/>
  <c r="DN7" i="15"/>
  <c r="DO7" i="15"/>
  <c r="DP7" i="15"/>
  <c r="DQ7" i="15"/>
  <c r="DR7" i="15"/>
  <c r="DS7" i="15"/>
  <c r="DT7" i="15"/>
  <c r="DU7" i="15"/>
  <c r="DV7" i="15"/>
  <c r="DW7" i="15"/>
  <c r="DX7" i="15"/>
  <c r="DY7" i="15"/>
  <c r="DZ7" i="15"/>
  <c r="EA7" i="15"/>
  <c r="EB7" i="15"/>
  <c r="EC7" i="15"/>
  <c r="ED7" i="15"/>
  <c r="EE7" i="15"/>
  <c r="EF7" i="15"/>
  <c r="DJ11" i="15"/>
  <c r="DK11" i="15"/>
  <c r="DL11" i="15"/>
  <c r="DM11" i="15"/>
  <c r="DN11" i="15"/>
  <c r="DO11" i="15"/>
  <c r="DP11" i="15"/>
  <c r="DQ11" i="15"/>
  <c r="DR11" i="15"/>
  <c r="DS11" i="15"/>
  <c r="DT11" i="15"/>
  <c r="DU11" i="15"/>
  <c r="DV11" i="15"/>
  <c r="DW11" i="15"/>
  <c r="DX11" i="15"/>
  <c r="DY11" i="15"/>
  <c r="DZ11" i="15"/>
  <c r="EA11" i="15"/>
  <c r="EB11" i="15"/>
  <c r="EC11" i="15"/>
  <c r="ED11" i="15"/>
  <c r="EE11" i="15"/>
  <c r="EF11" i="15"/>
  <c r="DJ12" i="15"/>
  <c r="DK12" i="15"/>
  <c r="DL12" i="15"/>
  <c r="DM12" i="15"/>
  <c r="DN12" i="15"/>
  <c r="DO12" i="15"/>
  <c r="DP12" i="15"/>
  <c r="DQ12" i="15"/>
  <c r="DR12" i="15"/>
  <c r="DS12" i="15"/>
  <c r="DT12" i="15"/>
  <c r="DU12" i="15"/>
  <c r="DV12" i="15"/>
  <c r="DW12" i="15"/>
  <c r="DX12" i="15"/>
  <c r="DY12" i="15"/>
  <c r="DZ12" i="15"/>
  <c r="EA12" i="15"/>
  <c r="EB12" i="15"/>
  <c r="EC12" i="15"/>
  <c r="ED12" i="15"/>
  <c r="EE12" i="15"/>
  <c r="EF12" i="15"/>
  <c r="DJ13" i="15"/>
  <c r="DK13" i="15"/>
  <c r="DL13" i="15"/>
  <c r="DM13" i="15"/>
  <c r="DN13" i="15"/>
  <c r="DO13" i="15"/>
  <c r="DP13" i="15"/>
  <c r="DQ13" i="15"/>
  <c r="DR13" i="15"/>
  <c r="DS13" i="15"/>
  <c r="DT13" i="15"/>
  <c r="DU13" i="15"/>
  <c r="DV13" i="15"/>
  <c r="DW13" i="15"/>
  <c r="DX13" i="15"/>
  <c r="DY13" i="15"/>
  <c r="DZ13" i="15"/>
  <c r="EA13" i="15"/>
  <c r="EB13" i="15"/>
  <c r="EC13" i="15"/>
  <c r="ED13" i="15"/>
  <c r="EE13" i="15"/>
  <c r="EF13" i="15"/>
  <c r="DK14" i="15"/>
  <c r="DM14" i="15"/>
  <c r="DN14" i="15"/>
  <c r="DO14" i="15"/>
  <c r="DP14" i="15"/>
  <c r="DQ14" i="15"/>
  <c r="DR14" i="15"/>
  <c r="DS14" i="15"/>
  <c r="DT14" i="15"/>
  <c r="DU14" i="15"/>
  <c r="DV14" i="15"/>
  <c r="DW14" i="15"/>
  <c r="DX14" i="15"/>
  <c r="DY14" i="15"/>
  <c r="DZ14" i="15"/>
  <c r="EA14" i="15"/>
  <c r="EB14" i="15"/>
  <c r="EC14" i="15"/>
  <c r="ED14" i="15"/>
  <c r="EE14" i="15"/>
  <c r="EF14" i="15"/>
  <c r="DJ15" i="15"/>
  <c r="DK15" i="15"/>
  <c r="DL15" i="15"/>
  <c r="DM15" i="15"/>
  <c r="DN15" i="15"/>
  <c r="DO15" i="15"/>
  <c r="DP15" i="15"/>
  <c r="DQ15" i="15"/>
  <c r="DR15" i="15"/>
  <c r="DS15" i="15"/>
  <c r="DT15" i="15"/>
  <c r="DU15" i="15"/>
  <c r="DV15" i="15"/>
  <c r="DW15" i="15"/>
  <c r="DX15" i="15"/>
  <c r="DY15" i="15"/>
  <c r="DZ15" i="15"/>
  <c r="EA15" i="15"/>
  <c r="EB15" i="15"/>
  <c r="EC15" i="15"/>
  <c r="ED15" i="15"/>
  <c r="EE15" i="15"/>
  <c r="EF15" i="15"/>
  <c r="DJ16" i="15"/>
  <c r="DK16" i="15"/>
  <c r="DL16" i="15"/>
  <c r="DM16" i="15"/>
  <c r="DN16" i="15"/>
  <c r="DO16" i="15"/>
  <c r="DP16" i="15"/>
  <c r="DQ16" i="15"/>
  <c r="DR16" i="15"/>
  <c r="DS16" i="15"/>
  <c r="DT16" i="15"/>
  <c r="DU16" i="15"/>
  <c r="DV16" i="15"/>
  <c r="DW16" i="15"/>
  <c r="DX16" i="15"/>
  <c r="DY16" i="15"/>
  <c r="DZ16" i="15"/>
  <c r="EA16" i="15"/>
  <c r="EB16" i="15"/>
  <c r="EC16" i="15"/>
  <c r="ED16" i="15"/>
  <c r="EE16" i="15"/>
  <c r="EF16" i="15"/>
  <c r="DJ17" i="15"/>
  <c r="DK17" i="15"/>
  <c r="DL17" i="15"/>
  <c r="DM17" i="15"/>
  <c r="DN17" i="15"/>
  <c r="DO17" i="15"/>
  <c r="DP17" i="15"/>
  <c r="DQ17" i="15"/>
  <c r="DR17" i="15"/>
  <c r="DS17" i="15"/>
  <c r="DT17" i="15"/>
  <c r="DU17" i="15"/>
  <c r="DV17" i="15"/>
  <c r="DW17" i="15"/>
  <c r="DX17" i="15"/>
  <c r="DY17" i="15"/>
  <c r="DZ17" i="15"/>
  <c r="EA17" i="15"/>
  <c r="EB17" i="15"/>
  <c r="EC17" i="15"/>
  <c r="ED17" i="15"/>
  <c r="EE17" i="15"/>
  <c r="EF17" i="15"/>
  <c r="DJ18" i="15"/>
  <c r="DK18" i="15"/>
  <c r="DL18" i="15"/>
  <c r="DM18" i="15"/>
  <c r="DN18" i="15"/>
  <c r="DO18" i="15"/>
  <c r="DP18" i="15"/>
  <c r="DQ18" i="15"/>
  <c r="DR18" i="15"/>
  <c r="DS18" i="15"/>
  <c r="DT18" i="15"/>
  <c r="DU18" i="15"/>
  <c r="DV18" i="15"/>
  <c r="DW18" i="15"/>
  <c r="DX18" i="15"/>
  <c r="DY18" i="15"/>
  <c r="DZ18" i="15"/>
  <c r="EA18" i="15"/>
  <c r="EB18" i="15"/>
  <c r="EC18" i="15"/>
  <c r="ED18" i="15"/>
  <c r="EE18" i="15"/>
  <c r="EF18" i="15"/>
  <c r="A2" i="11"/>
  <c r="DJ4" i="11"/>
  <c r="DK4" i="11"/>
  <c r="DL4" i="11"/>
  <c r="DM4" i="11"/>
  <c r="DN4" i="11"/>
  <c r="DO4" i="11"/>
  <c r="DP4" i="11"/>
  <c r="DQ4" i="11"/>
  <c r="DR4" i="11"/>
  <c r="DS4" i="11"/>
  <c r="DT4" i="11"/>
  <c r="DU4" i="11"/>
  <c r="DV4" i="11"/>
  <c r="DW4" i="11"/>
  <c r="DX4" i="11"/>
  <c r="DY4" i="11"/>
  <c r="DZ4" i="11"/>
  <c r="EA4" i="11"/>
  <c r="EB4" i="11"/>
  <c r="EC4" i="11"/>
  <c r="ED4" i="11"/>
  <c r="EE4" i="11"/>
  <c r="EF4" i="11"/>
  <c r="EG4" i="11"/>
  <c r="DL5" i="11"/>
  <c r="DQ5" i="11"/>
  <c r="DV5" i="11"/>
  <c r="EA5" i="11"/>
  <c r="EF5" i="11"/>
  <c r="EG5" i="11"/>
  <c r="DJ6" i="11"/>
  <c r="DK6" i="11"/>
  <c r="DL6" i="11"/>
  <c r="DM6" i="11"/>
  <c r="DN6" i="11"/>
  <c r="DO6" i="11"/>
  <c r="DP6" i="11"/>
  <c r="DQ6" i="11"/>
  <c r="DR6" i="11"/>
  <c r="DS6" i="11"/>
  <c r="DT6" i="11"/>
  <c r="DU6" i="11"/>
  <c r="DV6" i="11"/>
  <c r="DW6" i="11"/>
  <c r="DX6" i="11"/>
  <c r="DY6" i="11"/>
  <c r="DZ6" i="11"/>
  <c r="EA6" i="11"/>
  <c r="EB6" i="11"/>
  <c r="EC6" i="11"/>
  <c r="ED6" i="11"/>
  <c r="EE6" i="11"/>
  <c r="EF6" i="11"/>
  <c r="EG6" i="11"/>
  <c r="B10" i="11"/>
  <c r="B12" i="11"/>
  <c r="B14" i="11"/>
  <c r="DL30" i="11"/>
  <c r="DQ30" i="11"/>
  <c r="DV30" i="11"/>
  <c r="EA30" i="11"/>
  <c r="EF30" i="11"/>
  <c r="DL31" i="11"/>
  <c r="DQ31" i="11"/>
  <c r="DV31" i="11"/>
  <c r="EA31" i="11"/>
  <c r="EF31" i="11"/>
  <c r="DQ32" i="11"/>
  <c r="DV32" i="11"/>
  <c r="EA32" i="11"/>
  <c r="EF32" i="11"/>
  <c r="AJ33" i="11"/>
  <c r="AO33" i="11"/>
  <c r="AT33" i="11"/>
  <c r="AY33" i="11"/>
  <c r="BD33" i="11"/>
  <c r="BI33" i="11"/>
  <c r="BN33" i="11"/>
  <c r="BS33" i="11"/>
  <c r="BX33" i="11"/>
  <c r="CC33" i="11"/>
  <c r="CH33" i="11"/>
  <c r="CM33" i="11"/>
  <c r="CR33" i="11"/>
  <c r="CW33" i="11"/>
  <c r="DB33" i="11"/>
  <c r="DG33" i="11"/>
  <c r="DL33" i="11"/>
  <c r="DQ33" i="11"/>
  <c r="DV33" i="11"/>
  <c r="EA33" i="11"/>
  <c r="EF33" i="11"/>
  <c r="AJ34" i="11"/>
  <c r="AO34" i="11"/>
  <c r="AT34" i="11"/>
  <c r="AY34" i="11"/>
  <c r="BD34" i="11"/>
  <c r="BI34" i="11"/>
  <c r="BN34" i="11"/>
  <c r="BS34" i="11"/>
  <c r="BX34" i="11"/>
  <c r="CC34" i="11"/>
  <c r="CH34" i="11"/>
  <c r="CM34" i="11"/>
  <c r="CR34" i="11"/>
  <c r="CW34" i="11"/>
  <c r="DB34" i="11"/>
  <c r="DG34" i="11"/>
  <c r="DL34" i="11"/>
  <c r="DQ34" i="11"/>
  <c r="DV34" i="11"/>
  <c r="EA34" i="11"/>
  <c r="EF34" i="11"/>
  <c r="A2" i="9"/>
  <c r="CD46" i="9"/>
  <c r="CD47" i="9"/>
  <c r="CD48" i="9"/>
  <c r="A2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DL25" i="2"/>
  <c r="DQ25" i="2"/>
  <c r="DV25" i="2"/>
  <c r="EA25" i="2"/>
  <c r="EF25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DJ48" i="2"/>
  <c r="DK48" i="2"/>
  <c r="DL48" i="2"/>
  <c r="DM48" i="2"/>
  <c r="DN48" i="2"/>
  <c r="DO48" i="2"/>
  <c r="DP48" i="2"/>
  <c r="DQ48" i="2"/>
  <c r="DR48" i="2"/>
  <c r="DS48" i="2"/>
  <c r="DT48" i="2"/>
  <c r="DU48" i="2"/>
  <c r="DV48" i="2"/>
  <c r="DW48" i="2"/>
  <c r="DX48" i="2"/>
  <c r="DY48" i="2"/>
  <c r="DZ48" i="2"/>
  <c r="EA48" i="2"/>
  <c r="EB48" i="2"/>
  <c r="EC48" i="2"/>
  <c r="ED48" i="2"/>
  <c r="EE48" i="2"/>
  <c r="EF48" i="2"/>
  <c r="DL49" i="2"/>
  <c r="DQ49" i="2"/>
  <c r="DV49" i="2"/>
  <c r="EA49" i="2"/>
  <c r="EF49" i="2"/>
  <c r="DM50" i="2"/>
  <c r="DN50" i="2"/>
  <c r="DO50" i="2"/>
  <c r="DP50" i="2"/>
  <c r="DQ50" i="2"/>
  <c r="DR50" i="2"/>
  <c r="DV50" i="2"/>
  <c r="DW50" i="2"/>
  <c r="EA50" i="2"/>
  <c r="EB50" i="2"/>
  <c r="EF50" i="2"/>
  <c r="DJ51" i="2"/>
  <c r="DK51" i="2"/>
  <c r="DL51" i="2"/>
  <c r="DM51" i="2"/>
  <c r="DN51" i="2"/>
  <c r="DO51" i="2"/>
  <c r="DP51" i="2"/>
  <c r="DQ51" i="2"/>
  <c r="DR51" i="2"/>
  <c r="DS51" i="2"/>
  <c r="DT51" i="2"/>
  <c r="DU51" i="2"/>
  <c r="DV51" i="2"/>
  <c r="DW51" i="2"/>
  <c r="DX51" i="2"/>
  <c r="DY51" i="2"/>
  <c r="DZ51" i="2"/>
  <c r="EA51" i="2"/>
  <c r="EB51" i="2"/>
  <c r="EC51" i="2"/>
  <c r="ED51" i="2"/>
  <c r="EE51" i="2"/>
  <c r="EF51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DL69" i="2"/>
  <c r="DQ69" i="2"/>
  <c r="DV69" i="2"/>
  <c r="EA69" i="2"/>
  <c r="EF69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DM81" i="2"/>
  <c r="DN81" i="2"/>
  <c r="DO81" i="2"/>
  <c r="DP81" i="2"/>
  <c r="DQ81" i="2"/>
  <c r="DR81" i="2"/>
  <c r="DV81" i="2"/>
  <c r="DW81" i="2"/>
  <c r="EA81" i="2"/>
  <c r="EB81" i="2"/>
  <c r="EF81" i="2"/>
  <c r="DL82" i="2"/>
  <c r="DQ82" i="2"/>
  <c r="BY84" i="2"/>
  <c r="BZ84" i="2"/>
  <c r="CA84" i="2"/>
  <c r="CB84" i="2"/>
  <c r="CC84" i="2"/>
  <c r="BY85" i="2"/>
  <c r="BZ85" i="2"/>
  <c r="CA85" i="2"/>
  <c r="CB85" i="2"/>
  <c r="CC85" i="2"/>
  <c r="BY86" i="2"/>
  <c r="BZ86" i="2"/>
  <c r="CA86" i="2"/>
  <c r="CB86" i="2"/>
  <c r="CC86" i="2"/>
  <c r="BY87" i="2"/>
  <c r="BZ87" i="2"/>
  <c r="CA87" i="2"/>
  <c r="CB87" i="2"/>
  <c r="CC87" i="2"/>
  <c r="BY88" i="2"/>
  <c r="BZ88" i="2"/>
  <c r="CA88" i="2"/>
  <c r="CB88" i="2"/>
  <c r="CC88" i="2"/>
  <c r="DQ97" i="2"/>
  <c r="DV97" i="2"/>
  <c r="EA97" i="2"/>
  <c r="A2" i="7"/>
  <c r="BF46" i="22"/>
  <c r="BG46" i="22"/>
  <c r="BH46" i="22"/>
  <c r="BI46" i="22"/>
  <c r="BJ46" i="22"/>
  <c r="BK46" i="22"/>
  <c r="BL46" i="22"/>
  <c r="BM46" i="22"/>
  <c r="BF52" i="22"/>
  <c r="BG52" i="22"/>
  <c r="BH52" i="22"/>
  <c r="BI52" i="22"/>
  <c r="BJ52" i="22"/>
  <c r="BK52" i="22"/>
  <c r="BL52" i="22"/>
  <c r="BM52" i="22"/>
  <c r="BF53" i="22"/>
  <c r="BG53" i="22"/>
  <c r="BH53" i="22"/>
  <c r="BI53" i="22"/>
  <c r="BJ53" i="22"/>
  <c r="BK53" i="22"/>
  <c r="BL53" i="22"/>
  <c r="BM53" i="22"/>
  <c r="BH54" i="22"/>
  <c r="BM54" i="22"/>
  <c r="BF67" i="22"/>
  <c r="BG67" i="22"/>
  <c r="BH67" i="22"/>
  <c r="BI67" i="22"/>
  <c r="BJ67" i="22"/>
  <c r="BK67" i="22"/>
  <c r="BL67" i="22"/>
  <c r="BM67" i="22"/>
  <c r="BF69" i="22"/>
  <c r="BG69" i="22"/>
  <c r="BH69" i="22"/>
  <c r="BI69" i="22"/>
  <c r="BJ69" i="22"/>
  <c r="BK69" i="22"/>
  <c r="BL69" i="22"/>
  <c r="BM69" i="22"/>
  <c r="BF75" i="22"/>
  <c r="BG75" i="22"/>
  <c r="BH75" i="22"/>
  <c r="BI75" i="22"/>
  <c r="BJ75" i="22"/>
  <c r="BK75" i="22"/>
  <c r="BL75" i="22"/>
  <c r="BM75" i="22"/>
  <c r="BF77" i="22"/>
  <c r="BG77" i="22"/>
  <c r="BH77" i="22"/>
  <c r="BI77" i="22"/>
  <c r="BJ77" i="22"/>
  <c r="BK77" i="22"/>
  <c r="BL77" i="22"/>
  <c r="BM77" i="22"/>
  <c r="BF78" i="22"/>
  <c r="BG78" i="22"/>
  <c r="BH78" i="22"/>
  <c r="BI78" i="22"/>
  <c r="BJ78" i="22"/>
  <c r="BK78" i="22"/>
  <c r="BL78" i="22"/>
  <c r="BM78" i="22"/>
  <c r="BF83" i="22"/>
  <c r="BG83" i="22"/>
  <c r="BH83" i="22"/>
  <c r="BI83" i="22"/>
  <c r="BJ83" i="22"/>
  <c r="BK83" i="22"/>
  <c r="BL83" i="22"/>
  <c r="BM83" i="22"/>
  <c r="C4" i="20"/>
  <c r="C5" i="20"/>
  <c r="F6" i="20"/>
  <c r="F7" i="20"/>
  <c r="C8" i="20"/>
  <c r="F8" i="20"/>
  <c r="C11" i="20"/>
  <c r="D11" i="20"/>
  <c r="C13" i="20"/>
  <c r="C15" i="20"/>
  <c r="C16" i="20"/>
  <c r="D16" i="20"/>
  <c r="C17" i="20"/>
  <c r="F17" i="20"/>
  <c r="C20" i="20"/>
  <c r="C21" i="20"/>
  <c r="C24" i="20"/>
  <c r="C27" i="20"/>
  <c r="C28" i="20"/>
  <c r="C29" i="20"/>
  <c r="C30" i="20"/>
  <c r="O32" i="20"/>
  <c r="E34" i="20"/>
  <c r="F34" i="20"/>
  <c r="O34" i="20"/>
  <c r="G35" i="20"/>
  <c r="I35" i="20"/>
  <c r="K35" i="20"/>
  <c r="M35" i="20"/>
  <c r="O35" i="20"/>
  <c r="P35" i="20"/>
  <c r="P3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credenel</author>
    <author>PASCALAN</author>
    <author>fabrisgu</author>
    <author>Martins, Antonio</author>
  </authors>
  <commentList>
    <comment ref="BC5" authorId="0" shapeId="0" xr:uid="{C2399806-30E3-490B-BBAA-2D3F4D37DE6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BH5" authorId="0" shapeId="0" xr:uid="{465681BA-F454-4F57-A58F-6C17BEB3C86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BM5" authorId="0" shapeId="0" xr:uid="{E53D9C89-233C-44F5-9A04-3F324B3118EC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BR5" authorId="0" shapeId="0" xr:uid="{7B4B31AE-CE8F-4B61-B25A-AFFDBC02800F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BW5" authorId="0" shapeId="0" xr:uid="{7F9A7504-2183-44A4-9093-91259100AAFD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CB5" authorId="0" shapeId="0" xr:uid="{8AB1C7F3-AAFD-4D75-BD09-3CFA7D1780DC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Net of cancellations</t>
        </r>
      </text>
    </comment>
    <comment ref="CK21" authorId="0" shapeId="0" xr:uid="{DAE399A6-D43A-43D5-802B-75D6B64BC83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Bonus</t>
        </r>
      </text>
    </comment>
    <comment ref="CY21" authorId="0" shapeId="0" xr:uid="{C2EB5587-E607-4756-9401-A3070C850B10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Pagamento para bonus</t>
        </r>
      </text>
    </comment>
    <comment ref="DD21" authorId="0" shapeId="0" xr:uid="{72E136FE-D92F-473D-95C8-3A2C767F5805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Pagamento para bonus</t>
        </r>
      </text>
    </comment>
    <comment ref="DI21" authorId="0" shapeId="0" xr:uid="{F6138B9B-D90E-4934-BAEB-7978DCE6229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Pagamento para bonus</t>
        </r>
      </text>
    </comment>
    <comment ref="CQ26" authorId="0" shapeId="0" xr:uid="{AA74EEE6-E709-45A5-BE2A-6522E552D23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Descontos concedidos</t>
        </r>
      </text>
    </comment>
    <comment ref="BR33" authorId="0" shapeId="0" xr:uid="{0D18F935-580A-45EC-B5ED-379615E37D26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R$43.2mn in PDA revision, R$30.6mn in reinbursment of operating expenses and R$20mn in reinbursment from expenses </t>
        </r>
      </text>
    </comment>
    <comment ref="BW33" authorId="0" shapeId="0" xr:uid="{90F1A863-9F66-4F3F-946D-D680BAB34C7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R$43.2mn in PDA revision, R$30.6mn in reinbursment of operating expenses and R$20mn in reinbursment from expenses </t>
        </r>
      </text>
    </comment>
    <comment ref="CB33" authorId="0" shapeId="0" xr:uid="{B9DC21C2-9038-40C7-B5AD-69D4F0A6D33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R$43.2mn in PDA revision, R$30.6mn in reinbursment of operating expenses and R$20mn in reinbursment from expenses </t>
        </r>
      </text>
    </comment>
    <comment ref="CL33" authorId="0" shapeId="0" xr:uid="{0CB68E74-40E1-4923-8E41-8549BACCC21F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Land sale</t>
        </r>
      </text>
    </comment>
    <comment ref="CY33" authorId="0" shapeId="0" xr:uid="{5CDB5128-D413-4E49-AE7F-73D0AE21EE62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R$3mn perda por venda do ParkJacarepaguá</t>
        </r>
      </text>
    </comment>
    <comment ref="DA46" authorId="0" shapeId="0" xr:uid="{1FD782EB-176D-41A4-9FC2-38D4C1D3E59D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Deve rodar entre 90-95%. Fizeram parceria com caras que queriam parceiro.</t>
        </r>
      </text>
    </comment>
    <comment ref="DC50" authorId="0" shapeId="0" xr:uid="{E3F2C826-E6AA-45F7-B419-ECEC68CB8094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announced February-10th; paid on February-20th</t>
        </r>
      </text>
    </comment>
    <comment ref="DD50" authorId="0" shapeId="0" xr:uid="{47ECB663-4830-47FD-B45E-DB579FDC7503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announced April-17th; paid on May-6th</t>
        </r>
      </text>
    </comment>
    <comment ref="DF50" authorId="1" shapeId="0" xr:uid="{191B19C1-B30F-446F-88C6-91B096DDC611}">
      <text>
        <r>
          <rPr>
            <sz val="9"/>
            <color indexed="81"/>
            <rFont val="Tahoma"/>
            <family val="2"/>
          </rPr>
          <t>R$200m:
announced September-25th; ex on October-1st; paid on October-7th
R$250mn
announced November-24th; ex on November-28th; paid on December-4th
R$573
announced December 11th
ex December-17th
paid December-23rd</t>
        </r>
      </text>
    </comment>
    <comment ref="DH50" authorId="1" shapeId="0" xr:uid="{CFD1561D-7C14-42A8-B7E0-563B62CD1736}">
      <text>
        <r>
          <rPr>
            <sz val="9"/>
            <color indexed="81"/>
            <rFont val="Tahoma"/>
            <family val="2"/>
          </rPr>
          <t>announced January-30th; ex on February-5th; payment 30mn until year-end and R$110mn in 07/04/2026</t>
        </r>
      </text>
    </comment>
    <comment ref="DI50" authorId="2" shapeId="0" xr:uid="{09F272ED-E5FD-40DA-B433-7AD106A5E854}">
      <text>
        <r>
          <rPr>
            <b/>
            <sz val="9"/>
            <color indexed="81"/>
            <rFont val="Tahoma"/>
            <family val="2"/>
          </rPr>
          <t>fabrisgu:</t>
        </r>
        <r>
          <rPr>
            <sz val="9"/>
            <color indexed="81"/>
            <rFont val="Tahoma"/>
            <family val="2"/>
          </rPr>
          <t xml:space="preserve">
Announced May-12th; ex-dividends on May-18th and payment on May-28th</t>
        </r>
      </text>
    </comment>
    <comment ref="DJ50" authorId="2" shapeId="0" xr:uid="{39C259C4-8D17-445B-AB62-E1B63F4D43F5}">
      <text>
        <r>
          <rPr>
            <b/>
            <sz val="9"/>
            <color indexed="81"/>
            <rFont val="Tahoma"/>
            <family val="2"/>
          </rPr>
          <t>fabrisgu:</t>
        </r>
        <r>
          <rPr>
            <sz val="9"/>
            <color indexed="81"/>
            <rFont val="Tahoma"/>
            <family val="2"/>
          </rPr>
          <t xml:space="preserve">
Announced Aug-11th; ex-dividends on 17th-Aug and payment on Sep-8th</t>
        </r>
      </text>
    </comment>
    <comment ref="CF78" authorId="3" shapeId="0" xr:uid="{245BE3F5-5011-48D2-A47D-AF0276D1F1A3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IPO = R$200mn primary offer</t>
        </r>
      </text>
    </comment>
    <comment ref="CZ96" authorId="0" shapeId="0" xr:uid="{1D718872-A5CC-4185-B946-C6F5C96246AA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60mn de efeito da CEF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credenel</author>
    <author>tc={BCAFFEA9-5CD3-4FB5-8AB5-CF98AB166280}</author>
    <author>PASCALAN</author>
  </authors>
  <commentList>
    <comment ref="CB6" authorId="0" shapeId="0" xr:uid="{1B8B95EA-D1E3-4490-AE2D-CAC5669D481F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Inlcuding retained deposits by CEF</t>
        </r>
      </text>
    </comment>
    <comment ref="CL6" authorId="0" shapeId="0" xr:uid="{B33C9323-78DA-4DAE-9A83-BC9661B9B548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Reapresentado</t>
        </r>
      </text>
    </comment>
    <comment ref="CL9" authorId="0" shapeId="0" xr:uid="{49D0668A-2AB7-49A0-9651-9D2C259F154C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Reapresentado</t>
        </r>
      </text>
    </comment>
    <comment ref="BC10" authorId="0" shapeId="0" xr:uid="{AFDAF0A5-723E-4FA4-AE18-E48D4BDE10E3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BH10" authorId="0" shapeId="0" xr:uid="{AAEE914A-F02C-4198-923C-B1B6877FF9DC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BM10" authorId="0" shapeId="0" xr:uid="{FE0DB188-F9D6-4CDB-B7B7-64C09B089803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BR10" authorId="0" shapeId="0" xr:uid="{17161A40-64DA-476C-A2DB-4110CFB1C585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BW10" authorId="0" shapeId="0" xr:uid="{A0445052-70CD-494B-96CD-8491838BE1B6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B10" authorId="0" shapeId="0" xr:uid="{85D9AE9D-49E4-4B76-8E22-D0386C50B1F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D10" authorId="0" shapeId="0" xr:uid="{8CBDB6E3-7C7E-475D-8CEB-00FA2E031B1B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E10" authorId="0" shapeId="0" xr:uid="{703B4B69-7AE2-486C-BC5F-E37F3CD124FB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F10" authorId="0" shapeId="0" xr:uid="{03FCCA7F-7444-4EB4-9263-7CF47D02E916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G10" authorId="0" shapeId="0" xr:uid="{A7230695-5B3E-428B-A49A-B91FDFB70989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I10" authorId="0" shapeId="0" xr:uid="{7F8A1A48-B3CF-4CAA-B656-A3FCCA287C5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J10" authorId="0" shapeId="0" xr:uid="{05975990-0FB4-419D-B7D9-EA211A4BE12F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K10" authorId="0" shapeId="0" xr:uid="{20CFFF49-B536-4830-BACE-6E45D59BCC69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L10" authorId="0" shapeId="0" xr:uid="{01F146FB-46B8-4D37-AAE6-2FCA426FF7A4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N10" authorId="0" shapeId="0" xr:uid="{45730A3B-A5E1-4161-924B-C07FFD9FFBB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O10" authorId="0" shapeId="0" xr:uid="{562B4BE7-6D88-4A24-AC55-9683582D3FB9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P10" authorId="0" shapeId="0" xr:uid="{5E8CEB5B-7338-4E09-813C-C681D38BA964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Q10" authorId="0" shapeId="0" xr:uid="{7803151C-1BE3-4223-8A60-7057908126FD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S10" authorId="0" shapeId="0" xr:uid="{97A85B7A-8213-4B3E-9251-D4D39C9BC931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T10" authorId="0" shapeId="0" xr:uid="{2A8709E9-1AD0-4FC1-A597-28E76BD3FD6B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CU10" authorId="0" shapeId="0" xr:uid="{864AAA04-8847-42BC-9259-CBC76E4505EB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MCMV Level 1 and receivables from land sale to Multiplan</t>
        </r>
      </text>
    </comment>
    <comment ref="DF44" authorId="1" shapeId="0" xr:uid="{BCAFFEA9-5CD3-4FB5-8AB5-CF98AB166280}">
      <text>
        <t>[Threaded comment]
Your version of Excel allows you to read this threaded comment; however, any edits to it will get removed if the file is opened in a newer version of Excel. Learn more: https://go.microsoft.com/fwlink/?linkid=870924
Comment:
    Follow-on offer (100% primary, to distribute proceeds in the form of dividends).
16,172,506 new shares @ R$35.50/share</t>
      </text>
    </comment>
    <comment ref="DF49" authorId="2" shapeId="0" xr:uid="{9C32CEDA-348C-4543-AFF6-46433753FA7C}">
      <text>
        <r>
          <rPr>
            <b/>
            <sz val="9"/>
            <color indexed="81"/>
            <rFont val="Tahoma"/>
            <family val="2"/>
          </rPr>
          <t>PASCALAN:</t>
        </r>
        <r>
          <rPr>
            <sz val="9"/>
            <color indexed="81"/>
            <rFont val="Tahoma"/>
            <family val="2"/>
          </rPr>
          <t xml:space="preserve">
ex follow on offer (R$574mn)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milmanma</author>
    <author>Martins, Antonio</author>
    <author>tomazebr</author>
    <author>credenel</author>
  </authors>
  <commentList>
    <comment ref="A15" authorId="0" shapeId="0" xr:uid="{00000000-0006-0000-0300-000018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3 quarters</t>
        </r>
      </text>
    </comment>
    <comment ref="CA19" authorId="1" shapeId="0" xr:uid="{008416F3-54D9-41CD-9F34-902B930198EC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D19" authorId="1" shapeId="0" xr:uid="{5CFF5E7E-F482-4462-9DAE-B0645A6D2098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E19" authorId="1" shapeId="0" xr:uid="{2547363B-AC0B-405F-A660-01975604CE45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F19" authorId="1" shapeId="0" xr:uid="{57CD1DD3-2F0F-410C-AFA1-AE2E6C01551A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G19" authorId="1" shapeId="0" xr:uid="{F3BA004A-B26E-4386-B7D1-BAE9CF90F20C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I19" authorId="1" shapeId="0" xr:uid="{0DC0EFD8-38E8-4F4A-9E6E-C32DF71A48CA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J19" authorId="1" shapeId="0" xr:uid="{11B709C6-BAA3-4BC9-B55F-16D64291CB68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K19" authorId="1" shapeId="0" xr:uid="{2D603959-80D9-4A3D-A760-D987039C2C1D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L19" authorId="1" shapeId="0" xr:uid="{E7436753-C84B-489B-A6B7-62A6F9EB1F63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N19" authorId="1" shapeId="0" xr:uid="{62B2EADB-353F-442A-9190-5EBC90B42870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O19" authorId="1" shapeId="0" xr:uid="{E13F8BA6-C65B-4600-8100-81F9645E64CB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P19" authorId="1" shapeId="0" xr:uid="{14D378FB-871F-4704-A4F7-18F92B9E590A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Q19" authorId="2" shapeId="0" xr:uid="{9B04857D-49BE-4028-A0E8-D60398A9EEE2}">
      <text>
        <r>
          <rPr>
            <b/>
            <sz val="9"/>
            <color indexed="81"/>
            <rFont val="Tahoma"/>
            <family val="2"/>
          </rPr>
          <t>tomazebr: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S19" authorId="1" shapeId="0" xr:uid="{9AA7281E-9395-4901-AE63-7F8957C41CED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T19" authorId="1" shapeId="0" xr:uid="{0DE3E1C9-1501-4D98-86B1-7550A0A1774C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U19" authorId="1" shapeId="0" xr:uid="{0604518D-0EF7-441C-8D02-83F6269C458F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V19" authorId="2" shapeId="0" xr:uid="{FE9002C0-861A-41EE-9C4C-45941FC2F69B}">
      <text>
        <r>
          <rPr>
            <b/>
            <sz val="9"/>
            <color indexed="81"/>
            <rFont val="Tahoma"/>
            <family val="2"/>
          </rPr>
          <t>tomazebr: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X19" authorId="1" shapeId="0" xr:uid="{EFDBFF47-63E8-4D14-A7C1-D56D7B13DFF3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Y19" authorId="1" shapeId="0" xr:uid="{AE4D7B3B-2DB7-48A9-A930-FF8A8CC1C5EA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Z19" authorId="1" shapeId="0" xr:uid="{BF3A7683-0461-4D7E-B02A-239A34584B16}">
      <text>
        <r>
          <rPr>
            <b/>
            <sz val="9"/>
            <color indexed="81"/>
            <rFont val="Tahoma"/>
            <family val="2"/>
          </rPr>
          <t>Martins, Antonio: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A19" authorId="2" shapeId="0" xr:uid="{8C965727-6F3B-454C-8EA8-446CBC24D55B}">
      <text>
        <r>
          <rPr>
            <b/>
            <sz val="9"/>
            <color indexed="81"/>
            <rFont val="Tahoma"/>
            <family val="2"/>
          </rPr>
          <t>tomazebr: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C19" authorId="1" shapeId="0" xr:uid="{09199539-E632-4D8F-B35E-A695F5300401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D19" authorId="1" shapeId="0" xr:uid="{F535AD7E-CA99-4374-A786-804B803D25B6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E19" authorId="1" shapeId="0" xr:uid="{561B9C73-9D15-4E77-9BB4-E72D73E5087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F19" authorId="2" shapeId="0" xr:uid="{A5FA1FAC-21E5-4C3C-A75D-6C3998F9B4CD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H19" authorId="1" shapeId="0" xr:uid="{30622B27-F255-4C82-8F10-AEA4E8518CCC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DI19" authorId="1" shapeId="0" xr:uid="{EA8C3A53-015C-458E-918C-289C6ED43AFA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100%</t>
        </r>
      </text>
    </comment>
    <comment ref="CB46" authorId="3" shapeId="0" xr:uid="{0D8C8855-D651-4369-85A0-E66E42D06B10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R$3.8bn in São Paulo and R$1.9bn in Rio</t>
        </r>
      </text>
    </comment>
  </commentList>
</comments>
</file>

<file path=xl/sharedStrings.xml><?xml version="1.0" encoding="utf-8"?>
<sst xmlns="http://schemas.openxmlformats.org/spreadsheetml/2006/main" count="817" uniqueCount="477">
  <si>
    <t>Net Revenues</t>
  </si>
  <si>
    <t>COGS</t>
  </si>
  <si>
    <t>Gross Profit</t>
  </si>
  <si>
    <t>EBIT</t>
  </si>
  <si>
    <t>EBITDA</t>
  </si>
  <si>
    <t xml:space="preserve">    Interest Income</t>
  </si>
  <si>
    <t xml:space="preserve">    Interest Expense</t>
  </si>
  <si>
    <t>Other Income</t>
  </si>
  <si>
    <t>Taxes</t>
  </si>
  <si>
    <t>Net Income</t>
  </si>
  <si>
    <t>Capex</t>
  </si>
  <si>
    <t>Depreciation</t>
  </si>
  <si>
    <t>EBITDA Margin</t>
  </si>
  <si>
    <t>Gross Margin</t>
  </si>
  <si>
    <t>Cash</t>
  </si>
  <si>
    <t>Current Assets</t>
  </si>
  <si>
    <t>Total Assets</t>
  </si>
  <si>
    <t>Total</t>
  </si>
  <si>
    <t xml:space="preserve">  Receivables from Clients</t>
  </si>
  <si>
    <t xml:space="preserve">   Land</t>
  </si>
  <si>
    <t xml:space="preserve">   Properties Under Construction</t>
  </si>
  <si>
    <t xml:space="preserve">   Units Completed</t>
  </si>
  <si>
    <t xml:space="preserve">   Investments</t>
  </si>
  <si>
    <t xml:space="preserve">   Property and Equipment</t>
  </si>
  <si>
    <t xml:space="preserve">   Deferred Income</t>
  </si>
  <si>
    <t xml:space="preserve">  Loans and Financings</t>
  </si>
  <si>
    <t xml:space="preserve">  Taxes and Contributions</t>
  </si>
  <si>
    <t xml:space="preserve">  Dividends Payable</t>
  </si>
  <si>
    <t xml:space="preserve">  Provisions</t>
  </si>
  <si>
    <t xml:space="preserve">  Debts with Related Parties</t>
  </si>
  <si>
    <t>Deferred Income</t>
  </si>
  <si>
    <t>Minority Interests</t>
  </si>
  <si>
    <t>Shareholders' Equity</t>
  </si>
  <si>
    <t>Deductions</t>
  </si>
  <si>
    <t>Operating Costs</t>
  </si>
  <si>
    <t>Operating (Expenses) Income</t>
  </si>
  <si>
    <t>Equity Income</t>
  </si>
  <si>
    <t>Operating Income</t>
  </si>
  <si>
    <t>Income Before Taxes on Income</t>
  </si>
  <si>
    <t>Income Tax and Social Contribution</t>
  </si>
  <si>
    <t>Deffered Taxes</t>
  </si>
  <si>
    <t>Permanent assets</t>
  </si>
  <si>
    <t>Taxes and Contributions</t>
  </si>
  <si>
    <t>Check</t>
  </si>
  <si>
    <t xml:space="preserve">  Financial Income</t>
  </si>
  <si>
    <t xml:space="preserve">  Financial Expenses</t>
  </si>
  <si>
    <t>Operating Expenses</t>
  </si>
  <si>
    <t>Assumptions</t>
  </si>
  <si>
    <t>Receivables</t>
  </si>
  <si>
    <t>Material and Service Suppliers</t>
  </si>
  <si>
    <t>Advances from Clients (Short Term)</t>
  </si>
  <si>
    <t>Advances / Sales</t>
  </si>
  <si>
    <t>Fixed Assets</t>
  </si>
  <si>
    <t>Market Cap</t>
  </si>
  <si>
    <t>P/E</t>
  </si>
  <si>
    <t>Terminal Value</t>
  </si>
  <si>
    <t>Present Value</t>
  </si>
  <si>
    <t># of Shares</t>
  </si>
  <si>
    <t>Target Price</t>
  </si>
  <si>
    <t>Current Price</t>
  </si>
  <si>
    <t>P/BV</t>
  </si>
  <si>
    <t>IPCA</t>
  </si>
  <si>
    <t>CDI</t>
  </si>
  <si>
    <t>R$/US$ Average</t>
  </si>
  <si>
    <t>GDP Growth</t>
  </si>
  <si>
    <t>Sequential Change</t>
  </si>
  <si>
    <t>EPS</t>
  </si>
  <si>
    <t xml:space="preserve">  Cash and Equivalents</t>
  </si>
  <si>
    <t>Net Cash Flow</t>
  </si>
  <si>
    <t>Beginning Cash</t>
  </si>
  <si>
    <t>Ending Cash</t>
  </si>
  <si>
    <t>Total Contracted Sales (100%)</t>
  </si>
  <si>
    <t>Margins (%)</t>
  </si>
  <si>
    <t>Depreciation Rate %</t>
  </si>
  <si>
    <t>Cost of Equity</t>
  </si>
  <si>
    <t>Status</t>
  </si>
  <si>
    <t>R$/US$ EoP</t>
  </si>
  <si>
    <t>IGP-M</t>
  </si>
  <si>
    <t xml:space="preserve">  Credits with Related Parties</t>
  </si>
  <si>
    <t xml:space="preserve">  Capital</t>
  </si>
  <si>
    <t xml:space="preserve">  Treasury Shares</t>
  </si>
  <si>
    <t>Properties for Sale</t>
  </si>
  <si>
    <t xml:space="preserve">  Properties for sale</t>
  </si>
  <si>
    <t>Suppliers Turnover (Days)</t>
  </si>
  <si>
    <t>Prepaid Expenses</t>
  </si>
  <si>
    <t>Prepaid Expenses / Sales</t>
  </si>
  <si>
    <t>Equity Value</t>
  </si>
  <si>
    <t>Land Bank</t>
  </si>
  <si>
    <t>Years of Sales</t>
  </si>
  <si>
    <t xml:space="preserve">  Expenses</t>
  </si>
  <si>
    <t>Dividends Declared</t>
  </si>
  <si>
    <t>Net Debt/EBITDA (x)</t>
  </si>
  <si>
    <t>Net Debt/Equity (%)</t>
  </si>
  <si>
    <t>Net Debt/Capital</t>
  </si>
  <si>
    <t>Total Landbank</t>
  </si>
  <si>
    <t>% of Landbank</t>
  </si>
  <si>
    <t>DPS</t>
  </si>
  <si>
    <t>Multiples</t>
  </si>
  <si>
    <t>Minorities</t>
  </si>
  <si>
    <t>equivalent</t>
  </si>
  <si>
    <t>Taxes / Sales</t>
  </si>
  <si>
    <t>Net Income (reported)</t>
  </si>
  <si>
    <t>Depreciation&amp;Amortization</t>
  </si>
  <si>
    <t xml:space="preserve">  Development &amp; Sales</t>
  </si>
  <si>
    <t xml:space="preserve">  Rental &amp; Services</t>
  </si>
  <si>
    <t>Obligations for Land Purchase</t>
  </si>
  <si>
    <t>As % of Land Inventory</t>
  </si>
  <si>
    <t>Taxes Recoverable ST</t>
  </si>
  <si>
    <t>BVPS</t>
  </si>
  <si>
    <t>Land</t>
  </si>
  <si>
    <t>Properties Under Construction</t>
  </si>
  <si>
    <t>Units Completed</t>
  </si>
  <si>
    <t>Unconsolidated Equity Investment</t>
  </si>
  <si>
    <t xml:space="preserve">  Prepaid Expenses</t>
  </si>
  <si>
    <t xml:space="preserve">  Deferred Taxes and Contributions</t>
  </si>
  <si>
    <t xml:space="preserve">  Taxes Recoverable</t>
  </si>
  <si>
    <t xml:space="preserve">  Payroll Charges and Profit Sharing</t>
  </si>
  <si>
    <t xml:space="preserve">  Advances from Clients</t>
  </si>
  <si>
    <t xml:space="preserve">  Other Creditors</t>
  </si>
  <si>
    <t xml:space="preserve">   Goodwill</t>
  </si>
  <si>
    <t>Backlog Margin</t>
  </si>
  <si>
    <t>Prevailing Sales</t>
  </si>
  <si>
    <t>Prevaling Costs</t>
  </si>
  <si>
    <t>Prevailing Gross Margin</t>
  </si>
  <si>
    <t>Net Margin</t>
  </si>
  <si>
    <t>Avg Share (%)</t>
  </si>
  <si>
    <t xml:space="preserve">   Construction Financing</t>
  </si>
  <si>
    <t xml:space="preserve">   Debentures and Others</t>
  </si>
  <si>
    <t>Increase (Decrease) in Loans and Financing</t>
  </si>
  <si>
    <t>Dividend Yield</t>
  </si>
  <si>
    <t>Selling Expenses</t>
  </si>
  <si>
    <t>Stock Options</t>
  </si>
  <si>
    <t># Options</t>
  </si>
  <si>
    <t>Strike</t>
  </si>
  <si>
    <t>Dilution</t>
  </si>
  <si>
    <t>Capitalized Interest</t>
  </si>
  <si>
    <t>Other Revenues</t>
  </si>
  <si>
    <t>As % of Development Revenue</t>
  </si>
  <si>
    <t>VGV Inventory</t>
  </si>
  <si>
    <t>% of VGV Inventory</t>
  </si>
  <si>
    <t xml:space="preserve">  Capitalized Interest</t>
  </si>
  <si>
    <t>FCFF</t>
  </si>
  <si>
    <t>FCFE</t>
  </si>
  <si>
    <t>(+) Amortization &amp; Depreciation</t>
  </si>
  <si>
    <t>(+/-) Change in Net Working Capital</t>
  </si>
  <si>
    <t>Cash Flow from Operations</t>
  </si>
  <si>
    <t>(-) CAPEX</t>
  </si>
  <si>
    <t>Cash Flow from Investment Activities</t>
  </si>
  <si>
    <t>(+) Increase in Debt</t>
  </si>
  <si>
    <t>(+/-) Capital Increases/Dividends</t>
  </si>
  <si>
    <t>Cash Flow from Financing Activities</t>
  </si>
  <si>
    <t>EBIT Margin</t>
  </si>
  <si>
    <t>BV ex-Land</t>
  </si>
  <si>
    <t>Adj. BV</t>
  </si>
  <si>
    <t>Total Interest Expense</t>
  </si>
  <si>
    <t>Rate</t>
  </si>
  <si>
    <t>% of CDI</t>
  </si>
  <si>
    <t>Adj. EPS</t>
  </si>
  <si>
    <t>Total Liabilities and Equity</t>
  </si>
  <si>
    <t>Inventory</t>
  </si>
  <si>
    <t>Target P/E</t>
  </si>
  <si>
    <t>Target P/BV</t>
  </si>
  <si>
    <t xml:space="preserve">  Stock Options</t>
  </si>
  <si>
    <t>Goodwill</t>
  </si>
  <si>
    <t>Turnover</t>
  </si>
  <si>
    <t>% Deferred</t>
  </si>
  <si>
    <t>Indirect Cash Flow</t>
  </si>
  <si>
    <t>Quarter</t>
  </si>
  <si>
    <t>1Q</t>
  </si>
  <si>
    <t>2Q</t>
  </si>
  <si>
    <t>3Q</t>
  </si>
  <si>
    <t>4Q</t>
  </si>
  <si>
    <t>Year</t>
  </si>
  <si>
    <t>Actual/Estimate</t>
  </si>
  <si>
    <t>E</t>
  </si>
  <si>
    <t>Days in Quarter</t>
  </si>
  <si>
    <t>Interest calculation</t>
  </si>
  <si>
    <t>Per share data</t>
  </si>
  <si>
    <t>Gross Revenues</t>
  </si>
  <si>
    <t xml:space="preserve">  Development Sales</t>
  </si>
  <si>
    <t xml:space="preserve">  Services</t>
  </si>
  <si>
    <t xml:space="preserve">  Taxes and other deductions</t>
  </si>
  <si>
    <t xml:space="preserve">  % of revenues</t>
  </si>
  <si>
    <t xml:space="preserve">  % of sales</t>
  </si>
  <si>
    <t>G&amp;A Expenses</t>
  </si>
  <si>
    <t>Net Financial Result</t>
  </si>
  <si>
    <t xml:space="preserve">  Avg rate (%)</t>
  </si>
  <si>
    <t xml:space="preserve">  Monetary Variation (when applicable)</t>
  </si>
  <si>
    <t>Other Operating Income</t>
  </si>
  <si>
    <t xml:space="preserve">  Client Financing (when applicable)</t>
  </si>
  <si>
    <t xml:space="preserve">  Extraordinary items</t>
  </si>
  <si>
    <t>Other Operating Expenses</t>
  </si>
  <si>
    <t>Non-operating Expenses</t>
  </si>
  <si>
    <t>Employee compensation</t>
  </si>
  <si>
    <t>Majority Earnings</t>
  </si>
  <si>
    <t>Minority Interest</t>
  </si>
  <si>
    <t>Net Earnings</t>
  </si>
  <si>
    <t>Payout (%)</t>
  </si>
  <si>
    <t>Summary</t>
  </si>
  <si>
    <t>EBT</t>
  </si>
  <si>
    <t>Net Income (adjusted)</t>
  </si>
  <si>
    <t>Shares Outstanding (ex-treasury)</t>
  </si>
  <si>
    <t xml:space="preserve">  Other Operating</t>
  </si>
  <si>
    <t>Liabilities</t>
  </si>
  <si>
    <t xml:space="preserve">  Suppliers &amp; Development Obligations</t>
  </si>
  <si>
    <t xml:space="preserve">  Obligations for Real Estate Purchases</t>
  </si>
  <si>
    <t xml:space="preserve">  Accrued Earnings</t>
  </si>
  <si>
    <t>Total Debt (inc. related parties)</t>
  </si>
  <si>
    <t>Net Debt/(cash)</t>
  </si>
  <si>
    <t>LTM Revenues</t>
  </si>
  <si>
    <t>Cash impact</t>
  </si>
  <si>
    <t>LTM Costs</t>
  </si>
  <si>
    <t>LTM Contracted Sales</t>
  </si>
  <si>
    <t>Backlog</t>
  </si>
  <si>
    <t>Backlog of Revenues</t>
  </si>
  <si>
    <t>Backlog of Costs</t>
  </si>
  <si>
    <t>Backlog of Results (to be recognized)</t>
  </si>
  <si>
    <t>Sales in the period</t>
  </si>
  <si>
    <t>Costs in the period</t>
  </si>
  <si>
    <t>Prevailing Result</t>
  </si>
  <si>
    <t>Result in the period</t>
  </si>
  <si>
    <t>Gross Margin added in the period</t>
  </si>
  <si>
    <t>Launches and sales</t>
  </si>
  <si>
    <t>Launches' Value (100%)</t>
  </si>
  <si>
    <t>Launches' Value (co%)</t>
  </si>
  <si>
    <t># of Units Launched</t>
  </si>
  <si>
    <t>Avg Launching Price, R$000/unit</t>
  </si>
  <si>
    <t>Contracted Sales (co%)</t>
  </si>
  <si>
    <t># of Units Sold</t>
  </si>
  <si>
    <t>Avg Selling Price, R$000/unit</t>
  </si>
  <si>
    <t>Sales speed</t>
  </si>
  <si>
    <t>Supply (launches+BoP inventory)</t>
  </si>
  <si>
    <t>Revenue recognition</t>
  </si>
  <si>
    <t>Sales Supply</t>
  </si>
  <si>
    <t>Development Revenue</t>
  </si>
  <si>
    <t>Rate of recognition (%)</t>
  </si>
  <si>
    <t>Potential VGV</t>
  </si>
  <si>
    <t>Free Cash Flow (to Equity)</t>
  </si>
  <si>
    <t>Discount Factor</t>
  </si>
  <si>
    <t>Fair Equity Value Calculation</t>
  </si>
  <si>
    <t>Potential upside</t>
  </si>
  <si>
    <t>Discount rate (ke)</t>
  </si>
  <si>
    <t>NTN-B</t>
  </si>
  <si>
    <t>LT inflation</t>
  </si>
  <si>
    <t>Risk free rate (Brazil)</t>
  </si>
  <si>
    <t>Equity Risk Premium</t>
  </si>
  <si>
    <t>Beta</t>
  </si>
  <si>
    <t>Stock Risk Premium</t>
  </si>
  <si>
    <t>Terminal Real Growth rate</t>
  </si>
  <si>
    <t>Terminal Nominal Growth rate</t>
  </si>
  <si>
    <t>Stock Price</t>
  </si>
  <si>
    <t>Cash operating result</t>
  </si>
  <si>
    <t>ROE</t>
  </si>
  <si>
    <t>Capitalized interest</t>
  </si>
  <si>
    <t>Capitalized sales stands</t>
  </si>
  <si>
    <t>Assets</t>
  </si>
  <si>
    <t>Other Assets</t>
  </si>
  <si>
    <t>Gross Financial Debt</t>
  </si>
  <si>
    <t>Development Obligations</t>
  </si>
  <si>
    <t>Other Liabilities</t>
  </si>
  <si>
    <t>Invested Capital</t>
  </si>
  <si>
    <t>TBVPS</t>
  </si>
  <si>
    <t>Goodwill Amortization</t>
  </si>
  <si>
    <t>Interest Capitalization</t>
  </si>
  <si>
    <t>Sales stand Capitalization</t>
  </si>
  <si>
    <t>Non-recurring items</t>
  </si>
  <si>
    <t>Adjusted Profit</t>
  </si>
  <si>
    <t>Tangible Book Value</t>
  </si>
  <si>
    <t>ATBVPS</t>
  </si>
  <si>
    <t>ROIC</t>
  </si>
  <si>
    <t>Current Quarter</t>
  </si>
  <si>
    <t>Tangible BV</t>
  </si>
  <si>
    <t>Fair P/TBV Multiple</t>
  </si>
  <si>
    <t>Value of assets valued separately</t>
  </si>
  <si>
    <t># of Shares Outstanding</t>
  </si>
  <si>
    <t>Target Price (R$/share)</t>
  </si>
  <si>
    <t>Target period</t>
  </si>
  <si>
    <t>Values to be excluded from TBV</t>
  </si>
  <si>
    <t>Tangible BV calculation</t>
  </si>
  <si>
    <t>Deliveries</t>
  </si>
  <si>
    <t>PSV Delivered</t>
  </si>
  <si>
    <t>Fair Value of Equity</t>
  </si>
  <si>
    <t xml:space="preserve">  INCC</t>
  </si>
  <si>
    <t xml:space="preserve">  INCC linked</t>
  </si>
  <si>
    <t xml:space="preserve">  In Processs</t>
  </si>
  <si>
    <t xml:space="preserve">  Turnover</t>
  </si>
  <si>
    <t>Upside</t>
  </si>
  <si>
    <t xml:space="preserve">  Not started</t>
  </si>
  <si>
    <t xml:space="preserve">  Under Construction</t>
  </si>
  <si>
    <t xml:space="preserve">  Completed</t>
  </si>
  <si>
    <t xml:space="preserve">  % of Gross revenues</t>
  </si>
  <si>
    <t xml:space="preserve">  Cash tax rate (% of collection)</t>
  </si>
  <si>
    <t xml:space="preserve">  Total tax rate (% of revenues)</t>
  </si>
  <si>
    <t>As % of majority earnings</t>
  </si>
  <si>
    <t xml:space="preserve">   Services</t>
  </si>
  <si>
    <t>Units Delivered</t>
  </si>
  <si>
    <t>Deconsolidated Assets</t>
  </si>
  <si>
    <t>Book Value (incl. minorities)</t>
  </si>
  <si>
    <t>INCC (lag)</t>
  </si>
  <si>
    <t xml:space="preserve">   Development</t>
  </si>
  <si>
    <t>Exit P/TBV</t>
  </si>
  <si>
    <t>IRR</t>
  </si>
  <si>
    <t>today</t>
  </si>
  <si>
    <t>Contracted Sales</t>
  </si>
  <si>
    <t>Gross Launches' Sales</t>
  </si>
  <si>
    <t xml:space="preserve">  -- Sales Speed</t>
  </si>
  <si>
    <t>Gross Inventory Sales</t>
  </si>
  <si>
    <t>Sales Cancelations</t>
  </si>
  <si>
    <t xml:space="preserve">  -- Cancelation Rate</t>
  </si>
  <si>
    <t>Net Inventory Sales</t>
  </si>
  <si>
    <t>Revenue from sales of the period</t>
  </si>
  <si>
    <t>Revenue from backlog</t>
  </si>
  <si>
    <t>Revenue Backlog</t>
  </si>
  <si>
    <t>Period's net contracted sales</t>
  </si>
  <si>
    <t>Equity Account</t>
  </si>
  <si>
    <t>Income statement</t>
  </si>
  <si>
    <t>VSO rate (gross)</t>
  </si>
  <si>
    <t>VSO rate (net)</t>
  </si>
  <si>
    <t xml:space="preserve">  Depreciation</t>
  </si>
  <si>
    <t>P/TBV</t>
  </si>
  <si>
    <t>Dez Irajá</t>
  </si>
  <si>
    <t>Urban Zona Norte</t>
  </si>
  <si>
    <t>Dez Jacarepaguá</t>
  </si>
  <si>
    <t>Mérito - Jacarepaguá</t>
  </si>
  <si>
    <t>Completo Campo Grande - Parque Brito</t>
  </si>
  <si>
    <t>Único Zona Sul</t>
  </si>
  <si>
    <t>Máximo Zona Sul - Fase I</t>
  </si>
  <si>
    <t>Máximo Zona Sul - Fase II</t>
  </si>
  <si>
    <t>Super Citta Residencial Paraíso</t>
  </si>
  <si>
    <t>Supercittà Residencial Magia</t>
  </si>
  <si>
    <t>Completo Engenho Novo</t>
  </si>
  <si>
    <t>Dez Sacomã</t>
  </si>
  <si>
    <t>Único Sacomã</t>
  </si>
  <si>
    <t>Completo Jacarepaguá II</t>
  </si>
  <si>
    <t>Completo Jacarepaguá I</t>
  </si>
  <si>
    <t>Dez Cursino</t>
  </si>
  <si>
    <t>Dez Gamelinha 2</t>
  </si>
  <si>
    <t>Meu Lar Monte Mor</t>
  </si>
  <si>
    <t>Completo - Piedade</t>
  </si>
  <si>
    <t>Dez Parque do Carmo</t>
  </si>
  <si>
    <t>Único Penha</t>
  </si>
  <si>
    <t>Dez Portal - Belford Roxo</t>
  </si>
  <si>
    <t>Dez Gamelinha</t>
  </si>
  <si>
    <t>Dez Bom Retiro</t>
  </si>
  <si>
    <t>Dez Anhaia Mello</t>
  </si>
  <si>
    <t>Dez Tiradentes</t>
  </si>
  <si>
    <t>Bela Vista São Gonçalo</t>
  </si>
  <si>
    <t>Dez Jardim Botânico</t>
  </si>
  <si>
    <t>Viva Mais Engenho Novo</t>
  </si>
  <si>
    <t>Viva Mais - São Gonçalo</t>
  </si>
  <si>
    <t>Dez Vila das Belezas</t>
  </si>
  <si>
    <t>Dez Vila das Belezas II</t>
  </si>
  <si>
    <t>Dez Vila Guilherme</t>
  </si>
  <si>
    <t>Condomínio Residencial Urban Mooca</t>
  </si>
  <si>
    <t>Condomínio Residencial Urban Mooca II</t>
  </si>
  <si>
    <t>Dez Cerejeira</t>
  </si>
  <si>
    <t>Project</t>
  </si>
  <si>
    <t>Launch date</t>
  </si>
  <si>
    <t>Total PSV (R$000')</t>
  </si>
  <si>
    <t>% Sold</t>
  </si>
  <si>
    <t>Inventory (R$000')</t>
  </si>
  <si>
    <t>PoC</t>
  </si>
  <si>
    <t>Sold PSV (R$000')</t>
  </si>
  <si>
    <t>Backlog Revenues (R$000')</t>
  </si>
  <si>
    <t>2020E</t>
  </si>
  <si>
    <t>1H21E</t>
  </si>
  <si>
    <t>2021E</t>
  </si>
  <si>
    <t>1H22E</t>
  </si>
  <si>
    <t>2022E</t>
  </si>
  <si>
    <t>1H23E</t>
  </si>
  <si>
    <t>2023E</t>
  </si>
  <si>
    <t>1H24E</t>
  </si>
  <si>
    <t>2024E</t>
  </si>
  <si>
    <t>P/E 2021</t>
  </si>
  <si>
    <t>P/E 2020</t>
  </si>
  <si>
    <t>Post-money</t>
  </si>
  <si>
    <t>Primary offer</t>
  </si>
  <si>
    <t>Pre-money</t>
  </si>
  <si>
    <t>R$mn</t>
  </si>
  <si>
    <t># shares</t>
  </si>
  <si>
    <t>ALV. - Fase 1/2</t>
  </si>
  <si>
    <t>ANT. - fase 1/4</t>
  </si>
  <si>
    <t>ANT. - fase 2/4</t>
  </si>
  <si>
    <t>AZT. - fase 1/2</t>
  </si>
  <si>
    <t>BLZ. - fase 3/3</t>
  </si>
  <si>
    <t>BRT. 2</t>
  </si>
  <si>
    <t>CIM. 0 - fase 5</t>
  </si>
  <si>
    <t>GRD.</t>
  </si>
  <si>
    <t>GLB.F. - fase 1/3</t>
  </si>
  <si>
    <t>GPA Perto</t>
  </si>
  <si>
    <t>ITQ. - fase 1/3</t>
  </si>
  <si>
    <t>ITQ. - fase 2/3</t>
  </si>
  <si>
    <t>MRL.T. - fase 1/8</t>
  </si>
  <si>
    <t>NRD. - fase 1/2</t>
  </si>
  <si>
    <t>NRD - fase 2/2</t>
  </si>
  <si>
    <t>ORV.B. - fase 1/2</t>
  </si>
  <si>
    <t>PDD. - fase 2/2</t>
  </si>
  <si>
    <t>PLN. 2</t>
  </si>
  <si>
    <t>S.G.WT. - fase 4/7</t>
  </si>
  <si>
    <t>GDP - Fase 1</t>
  </si>
  <si>
    <t>KNA. - fase 1/2</t>
  </si>
  <si>
    <t>Cury's PSV (R$000')</t>
  </si>
  <si>
    <t>City</t>
  </si>
  <si>
    <t>SP</t>
  </si>
  <si>
    <t>RJ</t>
  </si>
  <si>
    <t>CP</t>
  </si>
  <si>
    <t>Avg. Ticket (R$)</t>
  </si>
  <si>
    <t>Dez</t>
  </si>
  <si>
    <t>Urban</t>
  </si>
  <si>
    <t>Meu Lar</t>
  </si>
  <si>
    <t>Mérito</t>
  </si>
  <si>
    <t>Completo</t>
  </si>
  <si>
    <t>Product Type</t>
  </si>
  <si>
    <t>ALV. - fase 2/2</t>
  </si>
  <si>
    <t>ANT. - fase 3/4</t>
  </si>
  <si>
    <t>AZT. - fase 2/2</t>
  </si>
  <si>
    <t>BAR.F. - fase 1/2</t>
  </si>
  <si>
    <t>BRT. 3</t>
  </si>
  <si>
    <t>CLS.G  - fase 1/2</t>
  </si>
  <si>
    <t>EST. - fase 1/2</t>
  </si>
  <si>
    <t>GLB.F - fase 2/3</t>
  </si>
  <si>
    <t>ITQ. - fase 3/3</t>
  </si>
  <si>
    <t>JLM. - fase 1/3</t>
  </si>
  <si>
    <t>MRL.T. - fase 2/8</t>
  </si>
  <si>
    <t>ORV.B. - fase 2/2</t>
  </si>
  <si>
    <t>S.G.WT. - fase 5/7</t>
  </si>
  <si>
    <t>S.G.WT. - fase 6/7</t>
  </si>
  <si>
    <t>S.G.WT. - fase 7/7</t>
  </si>
  <si>
    <t>BRSF</t>
  </si>
  <si>
    <t>ALC - Fase 1</t>
  </si>
  <si>
    <t>GDP - Fase 2</t>
  </si>
  <si>
    <t>OUT - Fase 2</t>
  </si>
  <si>
    <t>BEL</t>
  </si>
  <si>
    <t>KNA. - fase 2/2</t>
  </si>
  <si>
    <t>ZFN.V. - fase 1/7</t>
  </si>
  <si>
    <t>ANT. - fase 4/4</t>
  </si>
  <si>
    <t>BAR.F. - fase 2/2</t>
  </si>
  <si>
    <t>BRT. 4</t>
  </si>
  <si>
    <t>CLS.G  - fase 2/2</t>
  </si>
  <si>
    <t>EST. - fase 2/2</t>
  </si>
  <si>
    <t>GLB.F. - fase 3/3</t>
  </si>
  <si>
    <t>JLM. - fase 2/3</t>
  </si>
  <si>
    <t>MRL.T - fase 3/8</t>
  </si>
  <si>
    <t>CMAT</t>
  </si>
  <si>
    <t>ALC - Fase 2</t>
  </si>
  <si>
    <t>OUT - Fase 1</t>
  </si>
  <si>
    <t>N.S.S  -  fase 1/2</t>
  </si>
  <si>
    <t>N.S.S  - fase 2/2</t>
  </si>
  <si>
    <t>ZFN.V. - fase 2/7</t>
  </si>
  <si>
    <t>ZFN.V. - fase 3/7</t>
  </si>
  <si>
    <t>JLM. - fase 3/3</t>
  </si>
  <si>
    <t>MRL.T - fase 4/8</t>
  </si>
  <si>
    <t>OUT - Fase 3</t>
  </si>
  <si>
    <t>ZFN.V. - fase 4/7</t>
  </si>
  <si>
    <t>ZFN.V. - fase 5/7</t>
  </si>
  <si>
    <t>MRL.T - fase 5/8</t>
  </si>
  <si>
    <t>ZFN.V. - fase 6/7</t>
  </si>
  <si>
    <t>ZFN.V. - fase 7/7</t>
  </si>
  <si>
    <t>MRL.T - fase 6/8</t>
  </si>
  <si>
    <t>MRL.T - fase 7/8</t>
  </si>
  <si>
    <t>MRL.T - fase 8/8</t>
  </si>
  <si>
    <t>GDL. - fase 1/3</t>
  </si>
  <si>
    <t>GDL. - fase 2/3</t>
  </si>
  <si>
    <t>GDL. - fase 3/3</t>
  </si>
  <si>
    <t>n.a.</t>
  </si>
  <si>
    <t>Net income (ex-capitalzed interest)</t>
  </si>
  <si>
    <t>P/E 2022</t>
  </si>
  <si>
    <t>Receita</t>
  </si>
  <si>
    <t>LL</t>
  </si>
  <si>
    <t>Mg bruta</t>
  </si>
  <si>
    <t>FCF</t>
  </si>
  <si>
    <t>DPS YE25</t>
  </si>
  <si>
    <t>Leverage</t>
  </si>
  <si>
    <t>39.5-40.0%</t>
  </si>
  <si>
    <t>Margem</t>
  </si>
  <si>
    <t xml:space="preserve">FCF </t>
  </si>
  <si>
    <t>3Q26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</si>
</sst>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(&quot;R$ &quot;* #,##0.00_);_(&quot;R$ &quot;* \(#,##0.00\);_(&quot;R$ &quot;* &quot;-&quot;??_);_(@_)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_(* #,##0.000_);_(* \(#,##0.000\);_(* &quot;-&quot;??_);_(@_)"/>
    <numFmt numFmtId="170" formatCode="_([$€-2]* #,##0.00_);_([$€-2]* \(#,##0.00\);_([$€-2]* &quot;-&quot;??_)"/>
    <numFmt numFmtId="171" formatCode="_(* #,##0.0000_);_(* \(#,##0.0000\);_(* &quot;-&quot;??_);_(@_)"/>
    <numFmt numFmtId="172" formatCode="0.0"/>
    <numFmt numFmtId="173" formatCode="0.0\x"/>
    <numFmt numFmtId="174" formatCode="0.0_);\(0.0\)"/>
    <numFmt numFmtId="175" formatCode="_(* #,##0.0_);_(* \(#,##0.0\);_(* &quot;-&quot;_);_(@_)"/>
    <numFmt numFmtId="176" formatCode="_(* #,##0.00_);_(* \(#,##0.00\);_(* &quot;-&quot;_);_(@_)"/>
    <numFmt numFmtId="177" formatCode="_(* #,##0.000_);_(* \(#,##0.000\);_(* &quot;-&quot;_);_(@_)"/>
    <numFmt numFmtId="178" formatCode="_(&quot;Cr$&quot;\ * #,##0_);_(&quot;Cr$&quot;\ * \(#,##0\);_(&quot;Cr$&quot;\ * &quot;-&quot;_);_(@_)"/>
    <numFmt numFmtId="179" formatCode="General_)"/>
    <numFmt numFmtId="180" formatCode="#,##0.0_);\(#,##0.0\)"/>
    <numFmt numFmtId="181" formatCode="_([$$-409]* #,##0.00_);_([$$-409]* \(#,##0.00\);_([$$-409]* &quot;-&quot;??_);_(@_)"/>
    <numFmt numFmtId="182" formatCode="_(* #,##0.000_);_(* \(#,##0.000\);_(* &quot;-&quot;???_);_(@_)"/>
    <numFmt numFmtId="183" formatCode="0.000%"/>
    <numFmt numFmtId="184" formatCode="0.0000%"/>
    <numFmt numFmtId="185" formatCode="#,##0.0"/>
    <numFmt numFmtId="186" formatCode="0.00\x"/>
    <numFmt numFmtId="187" formatCode="0.000000"/>
    <numFmt numFmtId="188" formatCode="#,##0.0\ \x"/>
    <numFmt numFmtId="189" formatCode="#,##0;&quot;£&quot;#,##0"/>
    <numFmt numFmtId="190" formatCode="&quot;£&quot;\ #,##0_);[Red]\(&quot;£&quot;\ #,##0\)"/>
    <numFmt numFmtId="191" formatCode="&quot;¥&quot;\ #,##0_);[Red]\(&quot;¥&quot;\ #,##0\)"/>
    <numFmt numFmtId="192" formatCode="0_)"/>
    <numFmt numFmtId="193" formatCode="0\A"/>
    <numFmt numFmtId="194" formatCode="0.000_]"/>
    <numFmt numFmtId="195" formatCode="#,##0.0\ _]"/>
    <numFmt numFmtId="196" formatCode="&quot;•&quot;\ \ @"/>
    <numFmt numFmtId="197" formatCode="_-* #,###_-;\(#,###\);_-* &quot;–&quot;_-;_-@_-"/>
    <numFmt numFmtId="198" formatCode="0.00000000000"/>
    <numFmt numFmtId="199" formatCode="0.000000000000"/>
    <numFmt numFmtId="200" formatCode="0.0%;\(0.0\)%"/>
    <numFmt numFmtId="201" formatCode="dd\-mm"/>
    <numFmt numFmtId="202" formatCode="dd/m/yy"/>
    <numFmt numFmtId="203" formatCode="#,##0_%_);\(#,##0\)_%;#,##0_%_);@_%_)"/>
    <numFmt numFmtId="204" formatCode="0."/>
    <numFmt numFmtId="205" formatCode="#,##0.0\x_);\(#,##0.0\x\)"/>
    <numFmt numFmtId="206" formatCode="0.00_);\(0.00\);0.00"/>
    <numFmt numFmtId="207" formatCode="0.0_)"/>
    <numFmt numFmtId="208" formatCode="&quot;£&quot;0&quot;m&quot;"/>
    <numFmt numFmtId="209" formatCode="\ \ _•&quot;–&quot;\ \ \ \ @"/>
    <numFmt numFmtId="210" formatCode="0.00000"/>
    <numFmt numFmtId="211" formatCode="#,##0;\(#,##0\)"/>
    <numFmt numFmtId="212" formatCode="_-* #,##0.0_-;\-* #,##0.0_-;_-* &quot;-&quot;??_-;_-@_-"/>
    <numFmt numFmtId="213" formatCode="#,##0.0\ ;\(#,##0.0\)"/>
    <numFmt numFmtId="214" formatCode="0.000"/>
    <numFmt numFmtId="215" formatCode="#,##0.00;\(#,##0.00\);&quot;-&quot;"/>
    <numFmt numFmtId="216" formatCode="#,##0.0000\ ;\(#,##0.0000\)"/>
    <numFmt numFmtId="217" formatCode="#,##0.0000_);[Red]\(#,##0.0000\)"/>
    <numFmt numFmtId="218" formatCode=";;;"/>
    <numFmt numFmtId="219" formatCode="#,##0.0;\(#,##0.0\)"/>
    <numFmt numFmtId="220" formatCode="mmyy"/>
    <numFmt numFmtId="221" formatCode="0.00_);\(0.00\);0.00_)"/>
    <numFmt numFmtId="222" formatCode="_-* #,##0.000_-;\-* #,##0.000_-;_-* &quot;-&quot;??_-;_-@_-"/>
    <numFmt numFmtId="223" formatCode="\$#,##0.0;\-\$#,##0.0"/>
    <numFmt numFmtId="224" formatCode="#,##0;\-\(\,##0\)"/>
    <numFmt numFmtId="225" formatCode="#,##0.00;\(#,##0.00\)"/>
    <numFmt numFmtId="226" formatCode="0.0\x;\-0.0\x;"/>
    <numFmt numFmtId="227" formatCode="#,##0.0_);[Red]\(#,##0.0\)"/>
    <numFmt numFmtId="228" formatCode="#,##0;_(* \(#,##0\);_(* &quot;-&quot;??_);_(@_)"/>
    <numFmt numFmtId="229" formatCode="0.0%;\(0.0%\)"/>
    <numFmt numFmtId="230" formatCode="0.0000E+00;\?"/>
    <numFmt numFmtId="231" formatCode="0.00\%;\-0.00\%;0.00\%"/>
    <numFmt numFmtId="232" formatCode="0.00\x;\-0.00\x;0.00\x"/>
    <numFmt numFmtId="233" formatCode="[Red]0.###,,&quot; mm&quot;"/>
    <numFmt numFmtId="234" formatCode="##0.00000"/>
    <numFmt numFmtId="235" formatCode="#,##0;\(#,##0\);&quot;–&quot;;@"/>
    <numFmt numFmtId="236" formatCode="#,##0.000\ ;\(#,##0.000\)"/>
    <numFmt numFmtId="237" formatCode="#,##0.00\ ;\(#,##0.00\)"/>
    <numFmt numFmtId="238" formatCode="0.000000000"/>
    <numFmt numFmtId="239" formatCode="0.0\ \x"/>
    <numFmt numFmtId="240" formatCode="&quot;$&quot;#,##0\ ;[Red]\(&quot;$&quot;#,##0\)"/>
    <numFmt numFmtId="241" formatCode="#,##0.0000000000"/>
    <numFmt numFmtId="242" formatCode="#,##0.00\p;\(#,##0.00\p\)"/>
    <numFmt numFmtId="243" formatCode="&quot;$&quot;#,##0.000_%_);\(&quot;$&quot;#,##0.000\)_%;&quot;$&quot;#,##0.000_%_);@_%_)"/>
    <numFmt numFmtId="244" formatCode="#,##0.0%_);\(#,##0.0%\);#,##0.0%_);@_%_)"/>
    <numFmt numFmtId="245" formatCode="\£#,##0_);\(\£#,##0\)"/>
    <numFmt numFmtId="246" formatCode="&quot;$&quot;#,##0.0_)_);\(&quot;$&quot;#,##0.0\)_);&quot;$&quot;#,##0.0_)_);@_%_)"/>
    <numFmt numFmtId="247" formatCode="#,##0.000_);[Red]\(#,##0.000\)"/>
    <numFmt numFmtId="248" formatCode="&quot;+ &quot;#,##0.000"/>
    <numFmt numFmtId="249" formatCode="#,##0.0_)\ &quot;Btons&quot;;[Red]\(#,##0.0\)\ &quot;Btons&quot;"/>
    <numFmt numFmtId="250" formatCode="#,##0.0_)\ &quot;Tcfe&quot;;[Red]\(#,##0.0\)\ &quot;Tcfe&quot;"/>
    <numFmt numFmtId="251" formatCode="#,##0.00_%_);\(#,##0.00\)_%;**;@_%_)"/>
    <numFmt numFmtId="252" formatCode="#,##0.000_%_);\(#,##0.000\)_%;**;@_%_)"/>
    <numFmt numFmtId="253" formatCode="#,##0_)\ \-\ ;[Red]\(#,##0\)\ \-"/>
    <numFmt numFmtId="254" formatCode="#,##0.0_%_);\(#,##0.0\)_%;**;@_%_)"/>
    <numFmt numFmtId="255" formatCode="#,##0.0\x_);\(#,##0.0\x\);#,##0.0\x_);@_)"/>
    <numFmt numFmtId="256" formatCode="#,##0.0_%_);\(#,##0.0\)_%;#,##0.0_%_);@_%_)"/>
    <numFmt numFmtId="257" formatCode="[$$]#,##0.0_);\([$$]#,##0.0\);[$$]#,##0.0_);@_)"/>
    <numFmt numFmtId="258" formatCode="#,##0.0\p"/>
    <numFmt numFmtId="259" formatCode="0_%_);\(0\)_%;0_%_);@_%_)"/>
    <numFmt numFmtId="260" formatCode="&quot;$&quot;#,##0.0;\(&quot;$&quot;#,##0.0\);&quot;$&quot;#,##0.0"/>
    <numFmt numFmtId="261" formatCode="&quot;$&quot;#,##0.0_);[Red]\(&quot;$&quot;#,##0.0\)"/>
    <numFmt numFmtId="262" formatCode="&quot;$&quot;#,##0.000_);[Red]\(&quot;$&quot;#,##0.000\)"/>
    <numFmt numFmtId="263" formatCode="&quot;$&quot;#,##0.00_%_);\(&quot;$&quot;#,##0.00\)_%;**;@_%_)"/>
    <numFmt numFmtId="264" formatCode="&quot;$&quot;#,##0.00_%_);\(&quot;$&quot;#,##0.00\)_%;&quot;$&quot;#,##0.00_%_);@_%_)"/>
    <numFmt numFmtId="265" formatCode="&quot;$&quot;#,##0.000_%_);\(&quot;$&quot;#,##0.000\)_%;**;@_%_)"/>
    <numFmt numFmtId="266" formatCode="&quot;$&quot;#,##0.0_%_);\(&quot;$&quot;#,##0.0\)_%;**;@_%_)"/>
    <numFmt numFmtId="267" formatCode="[Blue]&quot;$&quot;#,##0.00_);[Magenta]\(&quot;$&quot;#,##0.00\)"/>
    <numFmt numFmtId="268" formatCode="&quot;$&quot;#,##0.0_%_);\(&quot;$&quot;#,##0.0\)_%;&quot;$&quot;#,##0.0_%_);@_%_)"/>
    <numFmt numFmtId="269" formatCode="@\ \ \ \ \ "/>
    <numFmt numFmtId="270" formatCode="m/d/yy\ h:mm\ AM/PM"/>
    <numFmt numFmtId="271" formatCode="m/d/yy_%_);;**"/>
    <numFmt numFmtId="272" formatCode="m/d/yy_%_)"/>
    <numFmt numFmtId="273" formatCode="&quot;$&quot;#,##0.0_);\(&quot;$&quot;#,##0.0\)"/>
    <numFmt numFmtId="274" formatCode="#,##0.00_)\ \ \ \ \ ;\(#,##0.00\)\ \ \ \ \ "/>
    <numFmt numFmtId="275" formatCode="&quot;$&quot;#,##0.00_)\ \ \ \ \ ;\(&quot;$&quot;#,##0.00\)\ \ \ \ \ "/>
    <numFmt numFmtId="276" formatCode="&quot;$&quot;#,##0.00\A\ \ \ \ ;\(&quot;$&quot;#,##0.00\A\)\ \ \ \ "/>
    <numFmt numFmtId="277" formatCode="&quot;$&quot;#,##0.00&quot;E&quot;\ \ \ \ ;\(&quot;$&quot;#,##0.00&quot;E&quot;\)\ \ \ \ "/>
    <numFmt numFmtId="278" formatCode="#,##0.00\A\ \ \ \ ;\(#,##0.00\A\)\ \ \ \ "/>
    <numFmt numFmtId="279" formatCode="#,##0.00&quot;E&quot;\ \ \ \ ;\(#,##0.00&quot;E&quot;\)\ \ \ \ "/>
    <numFmt numFmtId="280" formatCode="###0.0;[Red]\-###0.0"/>
    <numFmt numFmtId="281" formatCode="###0.00;[Red]\-###0.00"/>
    <numFmt numFmtId="282" formatCode="#,##0.000_);[Red]\-#,##0.000"/>
    <numFmt numFmtId="283" formatCode="###0_);[Red]\-###0"/>
    <numFmt numFmtId="284" formatCode="#,##0.000_);\(#,##0.000\)"/>
    <numFmt numFmtId="285" formatCode="0.0%_);[Red]\(0.0%\)"/>
    <numFmt numFmtId="286" formatCode="#,##0;[Red]\(#,##0\)"/>
    <numFmt numFmtId="287" formatCode="&quot;$&quot;#,##0.0"/>
    <numFmt numFmtId="288" formatCode="#,##0.000_%_);\(&quot;$&quot;#,##0.000\)_%;**;@_%_)"/>
    <numFmt numFmtId="289" formatCode="&quot;$&quot;#,##0"/>
    <numFmt numFmtId="290" formatCode="0.00_)"/>
    <numFmt numFmtId="291" formatCode="\C\f\ #,##0.000_%_);\(\C\f\ #,##0.000\)_%;\C\f\ #,##0.000_%_);@_%_)"/>
    <numFmt numFmtId="292" formatCode="_(&quot;$&quot;* #,##0_)\ &quot;millions&quot;;_(&quot;$&quot;* \(#,##0\)&quot; millions&quot;"/>
    <numFmt numFmtId="293" formatCode="&quot;$&quot;#,##0\ &quot;MM&quot;;\(&quot;$&quot;#,##0.00\ &quot;MM&quot;\)"/>
    <numFmt numFmtId="294" formatCode="#,##0\ &quot;MM&quot;"/>
    <numFmt numFmtId="295" formatCode="#,##0.000000000000"/>
    <numFmt numFmtId="296" formatCode="#,##0.00000000000"/>
    <numFmt numFmtId="297" formatCode="0.0_ &quot;  &quot;"/>
    <numFmt numFmtId="298" formatCode="#,##0.0\x_)_);\(#,##0.0\x\)_);#,##0.0\x_)_);@_%_)"/>
    <numFmt numFmtId="299" formatCode="0.00000000"/>
    <numFmt numFmtId="300" formatCode="#,##0.00_);\-#,##0.00_);\-_)"/>
    <numFmt numFmtId="301" formatCode="*$#,##0.0_);[Red]\(*$#,##0.0\)"/>
    <numFmt numFmtId="302" formatCode="0.0\ \ \ \ \ \ "/>
    <numFmt numFmtId="303" formatCode="0.0%\ \ \ \ \ "/>
    <numFmt numFmtId="304" formatCode="#,##0.000000000"/>
    <numFmt numFmtId="305" formatCode="#,##0.0%_);[Red]\-#,##0.0%"/>
    <numFmt numFmtId="306" formatCode="#,##0.00%_);[Red]\-#,##0.00%"/>
    <numFmt numFmtId="307" formatCode="#,##0.000%_);[Red]\-#,##0.000%"/>
    <numFmt numFmtId="308" formatCode="0.0%_);\(0.0%\);0.0%_);@_)"/>
    <numFmt numFmtId="309" formatCode="#,##0.0\%_);\(#,##0.0\%\);#,##0.0\%_);@_)"/>
    <numFmt numFmtId="310" formatCode="0.0%_);\(0.0%\);**;@_%_)"/>
    <numFmt numFmtId="311" formatCode="0.0%\ ;[Red]\(0.0%\)"/>
    <numFmt numFmtId="312" formatCode="#,##0.0000"/>
    <numFmt numFmtId="313" formatCode="&quot;$&quot;@"/>
    <numFmt numFmtId="314" formatCode="#,##0.000%;\-#,##0.000%;\-\%"/>
    <numFmt numFmtId="315" formatCode="#,##0.000;\-#,##0.000;\-\ "/>
    <numFmt numFmtId="316" formatCode="#,##0.0_);\-#,##0.0_);\-_)"/>
    <numFmt numFmtId="317" formatCode="0.0\x_)_);&quot;NM&quot;_x_)_);0.0\ \x_)_);@_%_)"/>
    <numFmt numFmtId="318" formatCode="&quot;$&quot;#,##0.00;[Red]\-&quot;$&quot;#,##0.00"/>
    <numFmt numFmtId="319" formatCode="\¥#,##0_);\(\¥#,##0\)"/>
    <numFmt numFmtId="320" formatCode="&quot;Yes&quot;_%_);&quot;Error&quot;_%_);&quot;No&quot;_%_);&quot;--&quot;_%_)"/>
    <numFmt numFmtId="321" formatCode="#,##0;[Red]#,##0"/>
  </numFmts>
  <fonts count="23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name val="‚l‚r ‚oƒSƒVƒbƒN"/>
      <family val="2"/>
      <charset val="128"/>
    </font>
    <font>
      <sz val="10"/>
      <name val="Univers 55"/>
      <family val="2"/>
    </font>
    <font>
      <sz val="10"/>
      <name val="MS Sans Serif"/>
      <family val="2"/>
    </font>
    <font>
      <sz val="10"/>
      <color indexed="8"/>
      <name val="Palatino"/>
      <family val="1"/>
    </font>
    <font>
      <sz val="10"/>
      <name val="Times New Roman"/>
      <family val="1"/>
    </font>
    <font>
      <sz val="12"/>
      <name val="Arial MT"/>
      <family val="2"/>
    </font>
    <font>
      <b/>
      <sz val="8"/>
      <name val="Tms Rmn"/>
      <family val="1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7"/>
      <color indexed="14"/>
      <name val="Small Fonts"/>
      <family val="2"/>
    </font>
    <font>
      <sz val="7"/>
      <name val="Palatino"/>
      <family val="1"/>
    </font>
    <font>
      <sz val="12"/>
      <name val="Arial"/>
      <family val="2"/>
    </font>
    <font>
      <b/>
      <sz val="6"/>
      <name val="Arial"/>
      <family val="2"/>
    </font>
    <font>
      <i/>
      <sz val="8"/>
      <name val="Arial"/>
      <family val="2"/>
    </font>
    <font>
      <sz val="8"/>
      <color indexed="12"/>
      <name val="Helv"/>
      <family val="2"/>
    </font>
    <font>
      <sz val="10"/>
      <name val="Geneva"/>
      <family val="2"/>
    </font>
    <font>
      <sz val="10"/>
      <name val="Geneva"/>
    </font>
    <font>
      <sz val="10"/>
      <color indexed="8"/>
      <name val="Tms Rmn"/>
    </font>
    <font>
      <strike/>
      <sz val="8"/>
      <name val="Arial"/>
      <family val="2"/>
    </font>
    <font>
      <sz val="8"/>
      <color indexed="8"/>
      <name val="Arial"/>
      <family val="2"/>
    </font>
    <font>
      <sz val="9"/>
      <color indexed="9"/>
      <name val="Times New Roman"/>
      <family val="1"/>
    </font>
    <font>
      <sz val="9"/>
      <color indexed="18"/>
      <name val="Helvetica"/>
      <family val="2"/>
    </font>
    <font>
      <sz val="10"/>
      <color indexed="12"/>
      <name val="Times New Roman"/>
      <family val="1"/>
    </font>
    <font>
      <sz val="8"/>
      <color indexed="12"/>
      <name val="Helvetica"/>
      <family val="2"/>
    </font>
    <font>
      <sz val="8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10"/>
      <name val="MS Sans Serif"/>
      <family val="2"/>
    </font>
    <font>
      <sz val="8"/>
      <color indexed="12"/>
      <name val="Times New Roman"/>
      <family val="1"/>
    </font>
    <font>
      <b/>
      <sz val="9"/>
      <name val="Times New Roman"/>
      <family val="1"/>
    </font>
    <font>
      <u val="singleAccounting"/>
      <sz val="10"/>
      <name val="Arial"/>
      <family val="2"/>
    </font>
    <font>
      <b/>
      <sz val="12"/>
      <name val="Arial"/>
      <family val="2"/>
    </font>
    <font>
      <sz val="10"/>
      <color indexed="18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2"/>
      <name val="Helvetica"/>
      <family val="2"/>
    </font>
    <font>
      <b/>
      <sz val="8"/>
      <name val="Times New Roman"/>
      <family val="1"/>
    </font>
    <font>
      <sz val="8"/>
      <name val="Helv"/>
    </font>
    <font>
      <sz val="8"/>
      <name val="Palatino"/>
      <family val="1"/>
    </font>
    <font>
      <sz val="9"/>
      <name val="Helv"/>
    </font>
    <font>
      <sz val="10"/>
      <color indexed="24"/>
      <name val="Arial"/>
      <family val="2"/>
    </font>
    <font>
      <sz val="24"/>
      <name val="Arial"/>
      <family val="2"/>
    </font>
    <font>
      <b/>
      <sz val="24"/>
      <name val="Times New Roman"/>
      <family val="1"/>
    </font>
    <font>
      <b/>
      <sz val="11"/>
      <name val="Times New Roman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8"/>
      <color indexed="12"/>
      <name val="Tms Rmn"/>
      <family val="1"/>
    </font>
    <font>
      <sz val="8"/>
      <color indexed="16"/>
      <name val="Palatino"/>
      <family val="1"/>
    </font>
    <font>
      <b/>
      <sz val="14"/>
      <name val="Tms Rmn"/>
    </font>
    <font>
      <b/>
      <sz val="8"/>
      <name val="Univers (E1)"/>
    </font>
    <font>
      <sz val="10"/>
      <name val="GillSans"/>
    </font>
    <font>
      <sz val="8"/>
      <color indexed="18"/>
      <name val="Times New Roman"/>
      <family val="1"/>
    </font>
    <font>
      <b/>
      <sz val="10"/>
      <name val="Arial"/>
      <family val="2"/>
    </font>
    <font>
      <b/>
      <sz val="10"/>
      <name val="Helv"/>
    </font>
    <font>
      <sz val="8"/>
      <name val="Arial MT"/>
    </font>
    <font>
      <sz val="8"/>
      <name val="Helvetica"/>
      <family val="2"/>
    </font>
    <font>
      <sz val="10"/>
      <name val="Helv"/>
    </font>
    <font>
      <sz val="10"/>
      <name val="Tms Rmn"/>
      <family val="1"/>
    </font>
    <font>
      <sz val="8"/>
      <color indexed="12"/>
      <name val="Times New Roman"/>
      <family val="1"/>
    </font>
    <font>
      <sz val="10"/>
      <color indexed="8"/>
      <name val="Arial"/>
      <family val="2"/>
    </font>
    <font>
      <u val="doubleAccounting"/>
      <sz val="10"/>
      <name val="Arial"/>
      <family val="2"/>
    </font>
    <font>
      <sz val="9"/>
      <color indexed="12"/>
      <name val="Times New Roman"/>
      <family val="1"/>
    </font>
    <font>
      <b/>
      <i/>
      <sz val="8"/>
      <color indexed="12"/>
      <name val="HelveticaNeue Condensed"/>
      <family val="2"/>
    </font>
    <font>
      <b/>
      <sz val="10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Arial"/>
      <family val="2"/>
    </font>
    <font>
      <sz val="10"/>
      <color indexed="12"/>
      <name val="Helvetica"/>
      <family val="2"/>
    </font>
    <font>
      <sz val="10"/>
      <name val="Helv"/>
      <family val="2"/>
    </font>
    <font>
      <sz val="9"/>
      <name val="Bembo (DFS)"/>
    </font>
    <font>
      <b/>
      <sz val="10"/>
      <color indexed="17"/>
      <name val="Helvetica"/>
      <family val="2"/>
    </font>
    <font>
      <b/>
      <sz val="10"/>
      <color indexed="9"/>
      <name val="GillSans"/>
    </font>
    <font>
      <b/>
      <sz val="10"/>
      <color indexed="8"/>
      <name val="GillSans"/>
    </font>
    <font>
      <b/>
      <sz val="16"/>
      <color indexed="10"/>
      <name val="FrankfurtGothicHeavy"/>
      <family val="2"/>
    </font>
    <font>
      <sz val="6"/>
      <name val="Palatino"/>
      <family val="1"/>
    </font>
    <font>
      <b/>
      <sz val="8"/>
      <color indexed="9"/>
      <name val="Helvetica"/>
      <family val="2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2"/>
      <color indexed="9"/>
      <name val="Arial"/>
      <family val="2"/>
    </font>
    <font>
      <b/>
      <sz val="16"/>
      <name val="Times New Roman"/>
      <family val="1"/>
    </font>
    <font>
      <b/>
      <sz val="8"/>
      <name val="Arial MT"/>
    </font>
    <font>
      <b/>
      <i/>
      <sz val="22"/>
      <name val="Times New Roman"/>
      <family val="1"/>
    </font>
    <font>
      <sz val="10"/>
      <color indexed="12"/>
      <name val="Arial"/>
      <family val="2"/>
    </font>
    <font>
      <i/>
      <sz val="8"/>
      <name val="Times New Roman"/>
      <family val="1"/>
    </font>
    <font>
      <sz val="10"/>
      <name val="GillSans Light"/>
      <family val="2"/>
    </font>
    <font>
      <b/>
      <sz val="22"/>
      <color indexed="16"/>
      <name val="Arial"/>
      <family val="2"/>
    </font>
    <font>
      <sz val="8"/>
      <color indexed="16"/>
      <name val="Arial"/>
      <family val="2"/>
    </font>
    <font>
      <sz val="7"/>
      <name val="Univers (E1)"/>
    </font>
    <font>
      <sz val="8"/>
      <color indexed="8"/>
      <name val="Helv"/>
      <family val="2"/>
    </font>
    <font>
      <b/>
      <sz val="14"/>
      <name val="Arial"/>
      <family val="2"/>
    </font>
    <font>
      <sz val="10"/>
      <color indexed="20"/>
      <name val="Times New Roman"/>
      <family val="1"/>
    </font>
    <font>
      <sz val="7"/>
      <name val="Small Fonts"/>
      <family val="2"/>
    </font>
    <font>
      <sz val="10"/>
      <name val="Palatino"/>
      <family val="1"/>
    </font>
    <font>
      <sz val="8"/>
      <color indexed="17"/>
      <name val="Tms Rmn"/>
      <family val="1"/>
    </font>
    <font>
      <sz val="8"/>
      <name val="Helvetica"/>
      <family val="2"/>
    </font>
    <font>
      <i/>
      <sz val="10"/>
      <name val="Helv"/>
    </font>
    <font>
      <sz val="8"/>
      <color indexed="8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sz val="10"/>
      <color indexed="72"/>
      <name val="Arial"/>
      <family val="2"/>
    </font>
    <font>
      <b/>
      <sz val="13.5"/>
      <name val="MS Sans Serif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9"/>
      <name val="Arial"/>
      <family val="2"/>
    </font>
    <font>
      <b/>
      <sz val="14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  <family val="2"/>
    </font>
    <font>
      <sz val="8"/>
      <color indexed="14"/>
      <name val="Tms Rmn"/>
      <family val="1"/>
    </font>
    <font>
      <sz val="8"/>
      <name val="Helv"/>
      <family val="2"/>
    </font>
    <font>
      <sz val="10"/>
      <name val="Book Antiqua"/>
      <family val="1"/>
    </font>
    <font>
      <sz val="8"/>
      <name val="MS Sans Serif"/>
      <family val="2"/>
    </font>
    <font>
      <sz val="10"/>
      <color indexed="10"/>
      <name val="MS Sans Serif"/>
      <family val="2"/>
    </font>
    <font>
      <sz val="10"/>
      <color indexed="55"/>
      <name val="Times New Roman"/>
      <family val="1"/>
    </font>
    <font>
      <sz val="8"/>
      <color indexed="12"/>
      <name val="Helvetica"/>
      <family val="2"/>
    </font>
    <font>
      <b/>
      <sz val="10"/>
      <name val="Palatino"/>
      <family val="1"/>
    </font>
    <font>
      <sz val="10"/>
      <name val="Tms Rmn"/>
    </font>
    <font>
      <sz val="10"/>
      <color indexed="23"/>
      <name val="MS Sans Serif"/>
      <family val="2"/>
    </font>
    <font>
      <b/>
      <sz val="10"/>
      <name val="Times New Roman"/>
      <family val="1"/>
    </font>
    <font>
      <b/>
      <sz val="18"/>
      <name val="Arial"/>
      <family val="2"/>
    </font>
    <font>
      <i/>
      <sz val="10"/>
      <name val="Times New Roman"/>
      <family val="1"/>
    </font>
    <font>
      <b/>
      <sz val="8"/>
      <name val="HelveticaNeue Condensed"/>
      <family val="2"/>
    </font>
    <font>
      <sz val="8"/>
      <name val="HelveticaNeue LightCond"/>
      <family val="2"/>
    </font>
    <font>
      <sz val="7"/>
      <name val="HelveticaNeue LightCond"/>
      <family val="2"/>
    </font>
    <font>
      <b/>
      <sz val="10"/>
      <name val="GillSans"/>
      <family val="2"/>
    </font>
    <font>
      <b/>
      <sz val="12"/>
      <color indexed="18"/>
      <name val="Arial"/>
      <family val="2"/>
    </font>
    <font>
      <i/>
      <sz val="12"/>
      <color indexed="12"/>
      <name val="Times New Roman"/>
      <family val="1"/>
    </font>
    <font>
      <b/>
      <sz val="12"/>
      <name val="Arial Narrow"/>
      <family val="2"/>
    </font>
    <font>
      <b/>
      <sz val="10"/>
      <color indexed="18"/>
      <name val="Symbol"/>
      <family val="1"/>
      <charset val="2"/>
    </font>
    <font>
      <sz val="7.5"/>
      <name val="Times New Roman"/>
      <family val="1"/>
    </font>
    <font>
      <b/>
      <sz val="11"/>
      <name val="Times New Roman"/>
      <family val="1"/>
    </font>
    <font>
      <sz val="9"/>
      <color indexed="21"/>
      <name val="Helvetica-Black"/>
      <family val="2"/>
    </font>
    <font>
      <b/>
      <sz val="9"/>
      <name val="Palatino"/>
      <family val="1"/>
    </font>
    <font>
      <b/>
      <sz val="10"/>
      <color indexed="16"/>
      <name val="Arial"/>
      <family val="2"/>
    </font>
    <font>
      <sz val="9"/>
      <name val="Helvetica-Black"/>
      <family val="2"/>
    </font>
    <font>
      <sz val="8"/>
      <name val="Helvetica-Narrow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GillSans"/>
      <family val="2"/>
    </font>
    <font>
      <b/>
      <sz val="10"/>
      <name val="lr ¾©"/>
      <family val="1"/>
    </font>
    <font>
      <sz val="12"/>
      <name val="Palatino"/>
      <family val="1"/>
    </font>
    <font>
      <sz val="11"/>
      <name val="Helvetica-Black"/>
    </font>
    <font>
      <sz val="8"/>
      <color indexed="8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b/>
      <u/>
      <sz val="9"/>
      <name val="Arial"/>
      <family val="2"/>
    </font>
    <font>
      <b/>
      <u/>
      <sz val="12"/>
      <name val="Arial"/>
      <family val="2"/>
    </font>
    <font>
      <b/>
      <sz val="11"/>
      <color indexed="9"/>
      <name val="GillSans"/>
      <family val="2"/>
    </font>
    <font>
      <b/>
      <sz val="10"/>
      <name val="Times New Roman"/>
      <family val="1"/>
    </font>
    <font>
      <b/>
      <sz val="11"/>
      <name val="GillSans"/>
      <family val="2"/>
    </font>
    <font>
      <b/>
      <sz val="8"/>
      <name val="Helv"/>
    </font>
    <font>
      <u/>
      <sz val="11"/>
      <name val="GillSans"/>
      <family val="2"/>
    </font>
    <font>
      <b/>
      <sz val="10"/>
      <color indexed="16"/>
      <name val="GillSans"/>
    </font>
    <font>
      <b/>
      <i/>
      <sz val="24"/>
      <name val="Arial"/>
      <family val="2"/>
    </font>
    <font>
      <u/>
      <sz val="10"/>
      <name val="Helv"/>
      <family val="2"/>
    </font>
    <font>
      <sz val="10"/>
      <color indexed="8"/>
      <name val="Arial"/>
      <family val="2"/>
    </font>
    <font>
      <sz val="8"/>
      <color indexed="12"/>
      <name val="Arial"/>
      <family val="2"/>
    </font>
    <font>
      <sz val="8"/>
      <color indexed="10"/>
      <name val="Arial Narrow"/>
      <family val="2"/>
    </font>
    <font>
      <sz val="8"/>
      <color indexed="16"/>
      <name val="Helv"/>
      <family val="2"/>
    </font>
    <font>
      <i/>
      <sz val="10"/>
      <name val="Arial"/>
      <family val="2"/>
    </font>
    <font>
      <sz val="10"/>
      <color indexed="9"/>
      <name val="Tms Rmn"/>
    </font>
    <font>
      <sz val="8"/>
      <color indexed="9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b/>
      <i/>
      <sz val="12"/>
      <name val="Times New Roman"/>
      <family val="1"/>
    </font>
    <font>
      <sz val="16"/>
      <name val="Times New Roman"/>
      <family val="1"/>
    </font>
    <font>
      <b/>
      <u/>
      <sz val="10"/>
      <name val="Tms Rmn"/>
      <family val="1"/>
    </font>
    <font>
      <sz val="10"/>
      <name val="細明朝体"/>
      <family val="3"/>
      <charset val="128"/>
    </font>
    <font>
      <sz val="24"/>
      <name val="MS Sans Serif"/>
      <family val="2"/>
    </font>
    <font>
      <sz val="10"/>
      <name val="Arial Narrow"/>
      <family val="2"/>
    </font>
    <font>
      <u/>
      <sz val="12"/>
      <color indexed="36"/>
      <name val="Arial"/>
      <family val="2"/>
    </font>
    <font>
      <b/>
      <sz val="9.5"/>
      <color theme="0"/>
      <name val="Arial Narrow"/>
      <family val="2"/>
    </font>
    <font>
      <sz val="9.5"/>
      <color theme="0"/>
      <name val="Arial Narrow"/>
      <family val="2"/>
    </font>
    <font>
      <sz val="9.5"/>
      <name val="Arial Narrow"/>
      <family val="2"/>
    </font>
    <font>
      <b/>
      <sz val="9.5"/>
      <name val="Arial Narrow"/>
      <family val="2"/>
    </font>
    <font>
      <i/>
      <sz val="9.5"/>
      <name val="Arial Narrow"/>
      <family val="2"/>
    </font>
    <font>
      <sz val="9.5"/>
      <color indexed="10"/>
      <name val="Arial Narrow"/>
      <family val="2"/>
    </font>
    <font>
      <sz val="9.5"/>
      <color indexed="8"/>
      <name val="Arial Narrow"/>
      <family val="2"/>
    </font>
    <font>
      <b/>
      <sz val="9.5"/>
      <color indexed="8"/>
      <name val="Arial Narrow"/>
      <family val="2"/>
    </font>
    <font>
      <i/>
      <sz val="9.5"/>
      <color indexed="10"/>
      <name val="Arial Narrow"/>
      <family val="2"/>
    </font>
    <font>
      <b/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i/>
      <sz val="9.5"/>
      <name val="Arial Narrow"/>
      <family val="2"/>
    </font>
    <font>
      <b/>
      <sz val="9.5"/>
      <color rgb="FFFF0000"/>
      <name val="Arial Narrow"/>
      <family val="2"/>
    </font>
    <font>
      <b/>
      <sz val="8.5"/>
      <color theme="0"/>
      <name val="Arial Narrow"/>
      <family val="2"/>
    </font>
    <font>
      <sz val="8.5"/>
      <name val="Arial Narrow"/>
      <family val="2"/>
    </font>
    <font>
      <sz val="8.5"/>
      <name val="Arial"/>
      <family val="2"/>
    </font>
    <font>
      <i/>
      <sz val="8.5"/>
      <name val="Arial Narrow"/>
      <family val="2"/>
    </font>
    <font>
      <b/>
      <sz val="8.5"/>
      <name val="Arial Narrow"/>
      <family val="2"/>
    </font>
    <font>
      <b/>
      <sz val="8.5"/>
      <color indexed="8"/>
      <name val="Arial Narrow"/>
      <family val="2"/>
    </font>
    <font>
      <sz val="8.5"/>
      <color indexed="8"/>
      <name val="Arial Narrow"/>
      <family val="2"/>
    </font>
    <font>
      <sz val="8.5"/>
      <color indexed="10"/>
      <name val="Arial Narrow"/>
      <family val="2"/>
    </font>
    <font>
      <i/>
      <sz val="8.5"/>
      <color indexed="1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.5"/>
      <color rgb="FFFF0000"/>
      <name val="Arial Narrow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gray0625">
        <fgColor indexed="10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lightGray">
        <fgColor indexed="15"/>
      </patternFill>
    </fill>
    <fill>
      <patternFill patternType="solid">
        <fgColor indexed="40"/>
        <bgColor indexed="64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gray0625">
        <fgColor indexed="13"/>
        <bgColor indexed="9"/>
      </patternFill>
    </fill>
    <fill>
      <patternFill patternType="mediumGray"/>
    </fill>
    <fill>
      <patternFill patternType="solid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</patternFill>
    </fill>
    <fill>
      <patternFill patternType="lightGray">
        <fgColor indexed="22"/>
        <bgColor indexed="9"/>
      </patternFill>
    </fill>
    <fill>
      <patternFill patternType="solid">
        <fgColor indexed="5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1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double">
        <color theme="0"/>
      </bottom>
      <diagonal/>
    </border>
  </borders>
  <cellStyleXfs count="582">
    <xf numFmtId="0" fontId="0" fillId="0" borderId="0"/>
    <xf numFmtId="188" fontId="13" fillId="0" borderId="0">
      <alignment horizontal="right"/>
    </xf>
    <xf numFmtId="0" fontId="1" fillId="0" borderId="0"/>
    <xf numFmtId="0" fontId="14" fillId="0" borderId="0" applyNumberFormat="0" applyFont="0" applyFill="0" applyBorder="0" applyAlignment="0" applyProtection="0"/>
    <xf numFmtId="218" fontId="15" fillId="0" borderId="0" applyFont="0" applyFill="0" applyBorder="0" applyAlignment="0"/>
    <xf numFmtId="0" fontId="16" fillId="0" borderId="0"/>
    <xf numFmtId="0" fontId="16" fillId="0" borderId="0"/>
    <xf numFmtId="0" fontId="5" fillId="0" borderId="0" applyFont="0" applyAlignment="0">
      <alignment horizontal="center" vertical="center"/>
    </xf>
    <xf numFmtId="0" fontId="15" fillId="0" borderId="0"/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15" fillId="0" borderId="0"/>
    <xf numFmtId="0" fontId="15" fillId="0" borderId="0"/>
    <xf numFmtId="0" fontId="1" fillId="0" borderId="0"/>
    <xf numFmtId="187" fontId="12" fillId="0" borderId="0">
      <alignment horizontal="left" wrapText="1"/>
    </xf>
    <xf numFmtId="187" fontId="12" fillId="0" borderId="0">
      <alignment horizontal="left" wrapText="1"/>
    </xf>
    <xf numFmtId="0" fontId="1" fillId="0" borderId="0" applyFont="0" applyFill="0" applyBorder="0" applyAlignment="0" applyProtection="0"/>
    <xf numFmtId="3" fontId="6" fillId="0" borderId="0"/>
    <xf numFmtId="0" fontId="1" fillId="0" borderId="0" applyFont="0" applyFill="0" applyBorder="0" applyAlignment="0" applyProtection="0"/>
    <xf numFmtId="187" fontId="12" fillId="0" borderId="0">
      <alignment horizontal="left" wrapText="1"/>
    </xf>
    <xf numFmtId="3" fontId="6" fillId="0" borderId="0"/>
    <xf numFmtId="3" fontId="6" fillId="0" borderId="0"/>
    <xf numFmtId="3" fontId="6" fillId="0" borderId="0"/>
    <xf numFmtId="0" fontId="1" fillId="0" borderId="0"/>
    <xf numFmtId="3" fontId="6" fillId="0" borderId="0"/>
    <xf numFmtId="187" fontId="1" fillId="0" borderId="0">
      <alignment horizontal="left" wrapText="1"/>
    </xf>
    <xf numFmtId="187" fontId="1" fillId="0" borderId="0">
      <alignment horizontal="left" wrapText="1"/>
    </xf>
    <xf numFmtId="3" fontId="6" fillId="0" borderId="0"/>
    <xf numFmtId="37" fontId="17" fillId="0" borderId="0" applyFont="0" applyFill="0" applyBorder="0" applyAlignment="0" applyProtection="0"/>
    <xf numFmtId="37" fontId="17" fillId="0" borderId="0" applyFont="0" applyFill="0" applyBorder="0" applyAlignment="0" applyProtection="0"/>
    <xf numFmtId="187" fontId="1" fillId="0" borderId="0">
      <alignment horizontal="left" wrapText="1"/>
    </xf>
    <xf numFmtId="37" fontId="17" fillId="0" borderId="0" applyFont="0" applyFill="0" applyBorder="0" applyAlignment="0" applyProtection="0"/>
    <xf numFmtId="0" fontId="1" fillId="0" borderId="0"/>
    <xf numFmtId="0" fontId="1" fillId="0" borderId="0"/>
    <xf numFmtId="187" fontId="12" fillId="0" borderId="0">
      <alignment horizontal="left" wrapText="1"/>
    </xf>
    <xf numFmtId="0" fontId="14" fillId="0" borderId="0" applyNumberFormat="0" applyFill="0" applyBorder="0" applyAlignment="0" applyProtection="0"/>
    <xf numFmtId="0" fontId="18" fillId="0" borderId="0">
      <alignment vertical="center"/>
    </xf>
    <xf numFmtId="189" fontId="19" fillId="2" borderId="0" applyNumberFormat="0" applyFont="0" applyBorder="0" applyAlignment="0">
      <protection locked="0"/>
    </xf>
    <xf numFmtId="187" fontId="12" fillId="0" borderId="0">
      <alignment horizontal="left" wrapText="1"/>
    </xf>
    <xf numFmtId="190" fontId="20" fillId="0" borderId="0" applyFont="0" applyFill="0" applyBorder="0" applyAlignment="0" applyProtection="0"/>
    <xf numFmtId="191" fontId="20" fillId="0" borderId="0" applyFont="0" applyFill="0" applyBorder="0" applyAlignment="0" applyProtection="0"/>
    <xf numFmtId="0" fontId="6" fillId="0" borderId="0">
      <alignment vertical="top"/>
    </xf>
    <xf numFmtId="0" fontId="15" fillId="0" borderId="0"/>
    <xf numFmtId="0" fontId="15" fillId="0" borderId="0"/>
    <xf numFmtId="192" fontId="21" fillId="0" borderId="0"/>
    <xf numFmtId="9" fontId="12" fillId="0" borderId="0"/>
    <xf numFmtId="0" fontId="21" fillId="0" borderId="0"/>
    <xf numFmtId="239" fontId="22" fillId="0" borderId="0">
      <alignment horizontal="left"/>
      <protection locked="0"/>
    </xf>
    <xf numFmtId="167" fontId="21" fillId="0" borderId="0"/>
    <xf numFmtId="0" fontId="21" fillId="0" borderId="0"/>
    <xf numFmtId="2" fontId="21" fillId="0" borderId="0"/>
    <xf numFmtId="10" fontId="21" fillId="0" borderId="0"/>
    <xf numFmtId="2" fontId="21" fillId="0" borderId="0"/>
    <xf numFmtId="192" fontId="21" fillId="0" borderId="0"/>
    <xf numFmtId="211" fontId="1" fillId="0" borderId="0" applyBorder="0"/>
    <xf numFmtId="192" fontId="12" fillId="0" borderId="0"/>
    <xf numFmtId="192" fontId="12" fillId="0" borderId="0"/>
    <xf numFmtId="192" fontId="12" fillId="0" borderId="0"/>
    <xf numFmtId="192" fontId="12" fillId="0" borderId="0"/>
    <xf numFmtId="192" fontId="12" fillId="0" borderId="0"/>
    <xf numFmtId="38" fontId="23" fillId="0" borderId="1"/>
    <xf numFmtId="37" fontId="24" fillId="0" borderId="0">
      <alignment horizontal="center"/>
    </xf>
    <xf numFmtId="193" fontId="25" fillId="0" borderId="2">
      <alignment horizontal="centerContinuous"/>
    </xf>
    <xf numFmtId="0" fontId="26" fillId="5" borderId="0" applyNumberFormat="0" applyFont="0" applyBorder="0" applyAlignment="0">
      <alignment horizontal="right"/>
    </xf>
    <xf numFmtId="240" fontId="1" fillId="6" borderId="3">
      <alignment horizontal="center" vertical="center"/>
    </xf>
    <xf numFmtId="0" fontId="27" fillId="5" borderId="4" applyFont="0">
      <alignment horizontal="right"/>
    </xf>
    <xf numFmtId="194" fontId="28" fillId="0" borderId="5"/>
    <xf numFmtId="0" fontId="12" fillId="0" borderId="0"/>
    <xf numFmtId="195" fontId="15" fillId="0" borderId="6" applyBorder="0"/>
    <xf numFmtId="0" fontId="29" fillId="0" borderId="0"/>
    <xf numFmtId="0" fontId="30" fillId="0" borderId="0">
      <alignment horizontal="left"/>
    </xf>
    <xf numFmtId="0" fontId="1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7" applyNumberFormat="0" applyFill="0" applyBorder="0" applyAlignment="0" applyProtection="0"/>
    <xf numFmtId="0" fontId="3" fillId="0" borderId="7" applyNumberFormat="0" applyFill="0" applyBorder="0" applyAlignment="0" applyProtection="0"/>
    <xf numFmtId="0" fontId="33" fillId="0" borderId="7" applyNumberFormat="0" applyFill="0" applyBorder="0" applyAlignment="0" applyProtection="0"/>
    <xf numFmtId="0" fontId="2" fillId="0" borderId="7" applyNumberFormat="0" applyFill="0" applyAlignment="0" applyProtection="0"/>
    <xf numFmtId="0" fontId="34" fillId="0" borderId="8">
      <protection hidden="1"/>
    </xf>
    <xf numFmtId="0" fontId="35" fillId="3" borderId="8" applyNumberFormat="0" applyFont="0" applyBorder="0" applyAlignment="0" applyProtection="0">
      <protection hidden="1"/>
    </xf>
    <xf numFmtId="0" fontId="34" fillId="0" borderId="8">
      <protection hidden="1"/>
    </xf>
    <xf numFmtId="0" fontId="15" fillId="0" borderId="0" applyNumberFormat="0" applyFill="0" applyBorder="0" applyAlignment="0" applyProtection="0"/>
    <xf numFmtId="241" fontId="36" fillId="0" borderId="0" applyFont="0" applyFill="0" applyBorder="0" applyAlignment="0" applyProtection="0">
      <alignment vertical="top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7" borderId="0" applyNumberFormat="0" applyFill="0" applyBorder="0" applyAlignment="0" applyProtection="0">
      <protection locked="0"/>
    </xf>
    <xf numFmtId="0" fontId="40" fillId="0" borderId="0" applyNumberFormat="0" applyFill="0" applyBorder="0" applyAlignment="0"/>
    <xf numFmtId="0" fontId="41" fillId="0" borderId="0"/>
    <xf numFmtId="7" fontId="42" fillId="0" borderId="0">
      <alignment horizontal="right"/>
      <protection locked="0"/>
    </xf>
    <xf numFmtId="14" fontId="43" fillId="0" borderId="0" applyNumberFormat="0" applyFill="0" applyBorder="0" applyAlignment="0" applyProtection="0">
      <alignment horizontal="center"/>
    </xf>
    <xf numFmtId="242" fontId="44" fillId="0" borderId="0">
      <alignment horizontal="right"/>
    </xf>
    <xf numFmtId="0" fontId="45" fillId="0" borderId="2" applyNumberFormat="0" applyFill="0" applyAlignment="0" applyProtection="0"/>
    <xf numFmtId="0" fontId="11" fillId="7" borderId="5" applyNumberFormat="0" applyFill="0" applyBorder="0" applyAlignment="0" applyProtection="0">
      <protection locked="0"/>
    </xf>
    <xf numFmtId="179" fontId="46" fillId="0" borderId="0" applyNumberFormat="0" applyAlignment="0"/>
    <xf numFmtId="5" fontId="47" fillId="0" borderId="9" applyAlignment="0" applyProtection="0"/>
    <xf numFmtId="0" fontId="16" fillId="0" borderId="10" applyNumberFormat="0" applyFont="0" applyFill="0" applyAlignment="0" applyProtection="0"/>
    <xf numFmtId="0" fontId="16" fillId="0" borderId="11" applyNumberFormat="0" applyFont="0" applyFill="0" applyAlignment="0" applyProtection="0"/>
    <xf numFmtId="243" fontId="48" fillId="0" borderId="0">
      <alignment horizontal="right"/>
    </xf>
    <xf numFmtId="179" fontId="49" fillId="0" borderId="0" applyFont="0">
      <alignment horizontal="centerContinuous"/>
    </xf>
    <xf numFmtId="244" fontId="13" fillId="0" borderId="0">
      <alignment horizontal="right"/>
    </xf>
    <xf numFmtId="245" fontId="50" fillId="0" borderId="0" applyFont="0" applyFill="0" applyBorder="0" applyAlignment="0" applyProtection="0"/>
    <xf numFmtId="246" fontId="15" fillId="0" borderId="0">
      <alignment horizontal="right"/>
    </xf>
    <xf numFmtId="196" fontId="20" fillId="0" borderId="0" applyFont="0" applyFill="0" applyBorder="0" applyAlignment="0" applyProtection="0"/>
    <xf numFmtId="197" fontId="2" fillId="0" borderId="0">
      <alignment horizontal="right" vertical="center"/>
    </xf>
    <xf numFmtId="179" fontId="44" fillId="9" borderId="0" applyNumberFormat="0" applyFont="0" applyBorder="0" applyAlignment="0"/>
    <xf numFmtId="0" fontId="51" fillId="10" borderId="0" applyNumberFormat="0" applyBorder="0">
      <alignment horizontal="centerContinuous"/>
    </xf>
    <xf numFmtId="37" fontId="15" fillId="0" borderId="0"/>
    <xf numFmtId="198" fontId="12" fillId="0" borderId="0"/>
    <xf numFmtId="199" fontId="12" fillId="0" borderId="0"/>
    <xf numFmtId="179" fontId="15" fillId="0" borderId="0"/>
    <xf numFmtId="1" fontId="52" fillId="0" borderId="0"/>
    <xf numFmtId="0" fontId="2" fillId="0" borderId="0" applyNumberFormat="0" applyFill="0" applyBorder="0" applyAlignment="0" applyProtection="0"/>
    <xf numFmtId="0" fontId="53" fillId="0" borderId="2" applyNumberFormat="0" applyFill="0" applyBorder="0" applyAlignment="0" applyProtection="0">
      <alignment horizontal="center"/>
    </xf>
    <xf numFmtId="0" fontId="54" fillId="0" borderId="2" applyNumberFormat="0" applyFill="0" applyProtection="0">
      <alignment horizontal="left" vertical="center"/>
    </xf>
    <xf numFmtId="0" fontId="12" fillId="0" borderId="0">
      <alignment horizontal="center" wrapText="1"/>
      <protection hidden="1"/>
    </xf>
    <xf numFmtId="0" fontId="55" fillId="0" borderId="12" applyNumberFormat="0" applyFill="0" applyProtection="0">
      <alignment horizontal="center" vertical="center"/>
    </xf>
    <xf numFmtId="0" fontId="56" fillId="0" borderId="2" applyNumberFormat="0" applyFill="0" applyBorder="0" applyProtection="0">
      <alignment horizontal="right" vertical="center"/>
    </xf>
    <xf numFmtId="0" fontId="57" fillId="0" borderId="0" applyNumberFormat="0" applyFill="0" applyBorder="0" applyProtection="0">
      <alignment horizontal="right"/>
    </xf>
    <xf numFmtId="1" fontId="58" fillId="0" borderId="13">
      <alignment vertical="top"/>
    </xf>
    <xf numFmtId="203" fontId="46" fillId="0" borderId="0">
      <alignment horizontal="right"/>
    </xf>
    <xf numFmtId="0" fontId="1" fillId="0" borderId="0"/>
    <xf numFmtId="43" fontId="1" fillId="0" borderId="0" applyFont="0" applyFill="0" applyBorder="0" applyAlignment="0" applyProtection="0"/>
    <xf numFmtId="200" fontId="59" fillId="0" borderId="0"/>
    <xf numFmtId="200" fontId="59" fillId="0" borderId="0"/>
    <xf numFmtId="200" fontId="59" fillId="0" borderId="0"/>
    <xf numFmtId="200" fontId="59" fillId="0" borderId="0"/>
    <xf numFmtId="200" fontId="59" fillId="0" borderId="0"/>
    <xf numFmtId="200" fontId="59" fillId="0" borderId="0"/>
    <xf numFmtId="200" fontId="59" fillId="0" borderId="0"/>
    <xf numFmtId="200" fontId="59" fillId="0" borderId="0"/>
    <xf numFmtId="0" fontId="15" fillId="0" borderId="0"/>
    <xf numFmtId="41" fontId="1" fillId="0" borderId="0" applyFont="0" applyFill="0" applyBorder="0" applyAlignment="0" applyProtection="0"/>
    <xf numFmtId="227" fontId="44" fillId="0" borderId="0" applyFont="0" applyFill="0" applyBorder="0" applyAlignment="0" applyProtection="0"/>
    <xf numFmtId="40" fontId="60" fillId="0" borderId="0" applyFont="0" applyFill="0" applyBorder="0" applyAlignment="0" applyProtection="0">
      <alignment horizontal="center"/>
    </xf>
    <xf numFmtId="247" fontId="60" fillId="0" borderId="0" applyFont="0" applyFill="0" applyBorder="0" applyAlignment="0" applyProtection="0">
      <alignment horizontal="center"/>
    </xf>
    <xf numFmtId="201" fontId="12" fillId="0" borderId="0" applyFont="0" applyFill="0" applyBorder="0" applyAlignment="0" applyProtection="0">
      <alignment horizontal="right"/>
    </xf>
    <xf numFmtId="202" fontId="12" fillId="0" borderId="0" applyFont="0" applyFill="0" applyBorder="0" applyAlignment="0" applyProtection="0"/>
    <xf numFmtId="248" fontId="1" fillId="0" borderId="0" applyFill="0" applyBorder="0" applyProtection="0"/>
    <xf numFmtId="227" fontId="61" fillId="0" borderId="0" applyFont="0" applyFill="0" applyBorder="0" applyAlignment="0" applyProtection="0"/>
    <xf numFmtId="249" fontId="61" fillId="0" borderId="0" applyFont="0" applyFill="0" applyBorder="0" applyAlignment="0" applyProtection="0"/>
    <xf numFmtId="25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4" fontId="12" fillId="0" borderId="0" applyFont="0" applyFill="0" applyBorder="0" applyAlignment="0" applyProtection="0">
      <alignment horizontal="right"/>
    </xf>
    <xf numFmtId="251" fontId="62" fillId="0" borderId="0" applyFont="0" applyFill="0" applyBorder="0" applyAlignment="0" applyProtection="0"/>
    <xf numFmtId="40" fontId="61" fillId="0" borderId="0" applyFont="0" applyFill="0" applyBorder="0" applyAlignment="0" applyProtection="0"/>
    <xf numFmtId="252" fontId="62" fillId="0" borderId="0" applyFont="0" applyFill="0" applyBorder="0" applyAlignment="0" applyProtection="0"/>
    <xf numFmtId="253" fontId="63" fillId="0" borderId="0" applyFont="0" applyFill="0" applyBorder="0" applyAlignment="0" applyProtection="0">
      <protection locked="0"/>
    </xf>
    <xf numFmtId="182" fontId="12" fillId="0" borderId="2" applyFont="0"/>
    <xf numFmtId="254" fontId="62" fillId="0" borderId="0" applyFont="0" applyFill="0" applyBorder="0" applyAlignment="0" applyProtection="0"/>
    <xf numFmtId="3" fontId="64" fillId="0" borderId="0" applyFont="0" applyFill="0" applyBorder="0" applyAlignment="0" applyProtection="0"/>
    <xf numFmtId="40" fontId="61" fillId="0" borderId="0" applyFont="0" applyFill="0" applyBorder="0" applyAlignment="0" applyProtection="0"/>
    <xf numFmtId="255" fontId="46" fillId="0" borderId="0">
      <alignment horizontal="right"/>
    </xf>
    <xf numFmtId="256" fontId="16" fillId="0" borderId="0" applyFont="0" applyFill="0" applyBorder="0" applyAlignment="0" applyProtection="0"/>
    <xf numFmtId="257" fontId="15" fillId="0" borderId="0">
      <alignment horizontal="right"/>
    </xf>
    <xf numFmtId="0" fontId="65" fillId="11" borderId="0">
      <alignment horizontal="center" vertical="center" wrapText="1"/>
    </xf>
    <xf numFmtId="0" fontId="66" fillId="0" borderId="0" applyNumberFormat="0" applyFill="0" applyBorder="0">
      <alignment horizontal="right"/>
    </xf>
    <xf numFmtId="179" fontId="67" fillId="0" borderId="0" applyFill="0" applyBorder="0">
      <alignment horizontal="left"/>
    </xf>
    <xf numFmtId="205" fontId="12" fillId="0" borderId="0" applyFont="0" applyFill="0" applyBorder="0" applyAlignment="0" applyProtection="0"/>
    <xf numFmtId="185" fontId="68" fillId="0" borderId="0"/>
    <xf numFmtId="258" fontId="1" fillId="0" borderId="0" applyFont="0" applyFill="0" applyBorder="0" applyAlignment="0" applyProtection="0"/>
    <xf numFmtId="0" fontId="69" fillId="0" borderId="0">
      <alignment horizontal="left"/>
    </xf>
    <xf numFmtId="0" fontId="70" fillId="0" borderId="0"/>
    <xf numFmtId="0" fontId="71" fillId="0" borderId="0">
      <alignment horizontal="left"/>
    </xf>
    <xf numFmtId="259" fontId="16" fillId="0" borderId="0"/>
    <xf numFmtId="6" fontId="17" fillId="0" borderId="0" applyFont="0" applyFill="0" applyBorder="0" applyAlignment="0" applyProtection="0"/>
    <xf numFmtId="206" fontId="12" fillId="0" borderId="0" applyFill="0" applyBorder="0">
      <alignment horizontal="right"/>
      <protection locked="0"/>
    </xf>
    <xf numFmtId="44" fontId="1" fillId="0" borderId="0" applyFont="0" applyFill="0" applyBorder="0" applyAlignment="0" applyProtection="0"/>
    <xf numFmtId="260" fontId="16" fillId="0" borderId="0" applyFont="0" applyFill="0" applyBorder="0" applyAlignment="0" applyProtection="0">
      <protection locked="0"/>
    </xf>
    <xf numFmtId="179" fontId="16" fillId="0" borderId="0" applyFont="0" applyFill="0" applyBorder="0" applyAlignment="0" applyProtection="0">
      <protection locked="0"/>
    </xf>
    <xf numFmtId="6" fontId="72" fillId="0" borderId="14" applyBorder="0"/>
    <xf numFmtId="261" fontId="23" fillId="0" borderId="0" applyFont="0" applyFill="0" applyBorder="0" applyAlignment="0" applyProtection="0"/>
    <xf numFmtId="8" fontId="44" fillId="0" borderId="0" applyFont="0" applyFill="0" applyBorder="0" applyAlignment="0" applyProtection="0"/>
    <xf numFmtId="262" fontId="44" fillId="0" borderId="0" applyFont="0" applyFill="0" applyBorder="0" applyAlignment="0" applyProtection="0"/>
    <xf numFmtId="207" fontId="15" fillId="0" borderId="0" applyFont="0" applyFill="0" applyBorder="0" applyAlignment="0" applyProtection="0">
      <alignment horizontal="right"/>
    </xf>
    <xf numFmtId="261" fontId="61" fillId="0" borderId="0" applyFont="0" applyFill="0" applyBorder="0" applyAlignment="0" applyProtection="0"/>
    <xf numFmtId="208" fontId="15" fillId="0" borderId="0" applyFont="0" applyFill="0" applyBorder="0" applyAlignment="0" applyProtection="0">
      <alignment horizontal="right"/>
    </xf>
    <xf numFmtId="263" fontId="73" fillId="0" borderId="0" applyFont="0" applyFill="0" applyBorder="0" applyAlignment="0" applyProtection="0"/>
    <xf numFmtId="264" fontId="62" fillId="0" borderId="0" applyFont="0" applyFill="0" applyBorder="0" applyAlignment="0" applyProtection="0">
      <alignment horizontal="right"/>
    </xf>
    <xf numFmtId="262" fontId="61" fillId="0" borderId="0" applyFont="0" applyFill="0" applyBorder="0" applyAlignment="0" applyProtection="0"/>
    <xf numFmtId="265" fontId="73" fillId="0" borderId="0" applyFont="0" applyFill="0" applyBorder="0" applyAlignment="0" applyProtection="0"/>
    <xf numFmtId="187" fontId="46" fillId="0" borderId="0" applyFont="0" applyFill="0" applyBorder="0" applyProtection="0">
      <alignment horizontal="right"/>
    </xf>
    <xf numFmtId="261" fontId="74" fillId="0" borderId="0" applyFont="0" applyFill="0" applyBorder="0" applyAlignment="0" applyProtection="0"/>
    <xf numFmtId="266" fontId="62" fillId="0" borderId="0" applyFont="0" applyFill="0" applyBorder="0" applyAlignment="0" applyProtection="0"/>
    <xf numFmtId="0" fontId="64" fillId="0" borderId="0" applyFont="0" applyFill="0" applyBorder="0" applyAlignment="0" applyProtection="0"/>
    <xf numFmtId="267" fontId="75" fillId="0" borderId="15" applyFont="0" applyFill="0" applyBorder="0" applyAlignment="0" applyProtection="0">
      <alignment horizontal="right"/>
      <protection locked="0"/>
    </xf>
    <xf numFmtId="268" fontId="16" fillId="0" borderId="0" applyFont="0" applyFill="0" applyBorder="0" applyAlignment="0" applyProtection="0"/>
    <xf numFmtId="0" fontId="61" fillId="0" borderId="0" applyFill="0" applyBorder="0" applyProtection="0"/>
    <xf numFmtId="43" fontId="4" fillId="0" borderId="0" applyFont="0" applyFill="0" applyBorder="0" applyAlignment="0" applyProtection="0"/>
    <xf numFmtId="37" fontId="1" fillId="0" borderId="0" applyFont="0" applyFill="0" applyBorder="0" applyAlignment="0" applyProtection="0"/>
    <xf numFmtId="269" fontId="76" fillId="12" borderId="5">
      <alignment horizontal="right"/>
    </xf>
    <xf numFmtId="0" fontId="7" fillId="13" borderId="0"/>
    <xf numFmtId="209" fontId="20" fillId="0" borderId="0" applyFont="0" applyFill="0" applyBorder="0" applyAlignment="0" applyProtection="0"/>
    <xf numFmtId="8" fontId="77" fillId="0" borderId="0" applyNumberFormat="0" applyFill="0" applyBorder="0" applyAlignment="0"/>
    <xf numFmtId="0" fontId="7" fillId="0" borderId="0"/>
    <xf numFmtId="14" fontId="78" fillId="0" borderId="4" applyFont="0">
      <alignment horizontal="right"/>
    </xf>
    <xf numFmtId="270" fontId="79" fillId="0" borderId="0" applyFont="0" applyFill="0" applyBorder="0" applyAlignment="0" applyProtection="0"/>
    <xf numFmtId="210" fontId="15" fillId="0" borderId="0" applyFont="0" applyFill="0" applyBorder="0" applyAlignment="0" applyProtection="0"/>
    <xf numFmtId="271" fontId="62" fillId="0" borderId="0" applyFont="0" applyFill="0" applyBorder="0" applyAlignment="0" applyProtection="0"/>
    <xf numFmtId="272" fontId="62" fillId="0" borderId="0" applyFont="0" applyFill="0" applyBorder="0" applyAlignment="0" applyProtection="0"/>
    <xf numFmtId="272" fontId="44" fillId="0" borderId="0" applyFont="0" applyFill="0" applyBorder="0" applyProtection="0">
      <alignment horizontal="right"/>
    </xf>
    <xf numFmtId="14" fontId="23" fillId="0" borderId="0">
      <alignment horizontal="right"/>
      <protection locked="0"/>
    </xf>
    <xf numFmtId="184" fontId="21" fillId="0" borderId="0"/>
    <xf numFmtId="1" fontId="15" fillId="0" borderId="0" applyFont="0" applyFill="0" applyBorder="0" applyAlignment="0" applyProtection="0">
      <alignment horizontal="right"/>
    </xf>
    <xf numFmtId="180" fontId="80" fillId="0" borderId="0"/>
    <xf numFmtId="39" fontId="81" fillId="0" borderId="0"/>
    <xf numFmtId="164" fontId="1" fillId="0" borderId="0" applyFont="0" applyFill="0" applyBorder="0" applyAlignment="0" applyProtection="0"/>
    <xf numFmtId="4" fontId="82" fillId="0" borderId="0" applyFont="0" applyFill="0" applyBorder="0" applyAlignment="0" applyProtection="0"/>
    <xf numFmtId="211" fontId="83" fillId="0" borderId="0"/>
    <xf numFmtId="0" fontId="46" fillId="0" borderId="0" applyFont="0" applyFill="0" applyBorder="0" applyAlignment="0" applyProtection="0">
      <alignment horizontal="right"/>
    </xf>
    <xf numFmtId="273" fontId="44" fillId="0" borderId="0"/>
    <xf numFmtId="273" fontId="84" fillId="0" borderId="0">
      <protection locked="0"/>
    </xf>
    <xf numFmtId="7" fontId="44" fillId="0" borderId="0"/>
    <xf numFmtId="5" fontId="85" fillId="0" borderId="0" applyFont="0" applyFill="0" applyBorder="0" applyAlignment="0" applyProtection="0">
      <protection locked="0"/>
    </xf>
    <xf numFmtId="212" fontId="15" fillId="0" borderId="16" applyNumberFormat="0" applyFont="0" applyFill="0" applyAlignment="0" applyProtection="0"/>
    <xf numFmtId="42" fontId="86" fillId="0" borderId="0" applyFill="0" applyBorder="0" applyAlignment="0" applyProtection="0"/>
    <xf numFmtId="213" fontId="87" fillId="0" borderId="9" applyNumberFormat="0" applyBorder="0"/>
    <xf numFmtId="167" fontId="88" fillId="0" borderId="17" applyNumberFormat="0" applyAlignment="0" applyProtection="0">
      <alignment vertical="top"/>
    </xf>
    <xf numFmtId="0" fontId="16" fillId="14" borderId="1" applyNumberFormat="0" applyFont="0" applyAlignment="0">
      <protection locked="0"/>
    </xf>
    <xf numFmtId="274" fontId="76" fillId="0" borderId="0"/>
    <xf numFmtId="275" fontId="76" fillId="0" borderId="0"/>
    <xf numFmtId="276" fontId="76" fillId="0" borderId="0"/>
    <xf numFmtId="277" fontId="76" fillId="0" borderId="0"/>
    <xf numFmtId="278" fontId="76" fillId="0" borderId="0"/>
    <xf numFmtId="279" fontId="76" fillId="0" borderId="0"/>
    <xf numFmtId="170" fontId="1" fillId="0" borderId="0" applyFont="0" applyFill="0" applyBorder="0" applyAlignment="0" applyProtection="0"/>
    <xf numFmtId="214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4" fillId="0" borderId="0" applyProtection="0"/>
    <xf numFmtId="0" fontId="89" fillId="0" borderId="0" applyProtection="0"/>
    <xf numFmtId="0" fontId="1" fillId="0" borderId="0" applyProtection="0"/>
    <xf numFmtId="0" fontId="4" fillId="0" borderId="0" applyProtection="0"/>
    <xf numFmtId="0" fontId="7" fillId="0" borderId="0"/>
    <xf numFmtId="0" fontId="1" fillId="12" borderId="0" applyBorder="0">
      <alignment horizontal="center"/>
    </xf>
    <xf numFmtId="215" fontId="12" fillId="0" borderId="0" applyFont="0" applyFill="0" applyBorder="0" applyAlignment="0" applyProtection="0"/>
    <xf numFmtId="0" fontId="1" fillId="0" borderId="0" applyFont="0" applyFill="0" applyBorder="0" applyAlignment="0" applyProtection="0"/>
    <xf numFmtId="180" fontId="15" fillId="0" borderId="0" applyFont="0" applyFill="0" applyBorder="0" applyAlignment="0" applyProtection="0">
      <alignment horizontal="right"/>
    </xf>
    <xf numFmtId="2" fontId="64" fillId="0" borderId="0" applyFont="0" applyFill="0" applyBorder="0" applyAlignment="0" applyProtection="0"/>
    <xf numFmtId="280" fontId="61" fillId="0" borderId="0" applyFont="0" applyFill="0" applyBorder="0" applyAlignment="0" applyProtection="0"/>
    <xf numFmtId="281" fontId="61" fillId="0" borderId="0" applyFont="0" applyFill="0" applyBorder="0" applyAlignment="0" applyProtection="0"/>
    <xf numFmtId="282" fontId="61" fillId="0" borderId="0" applyFont="0" applyFill="0" applyBorder="0" applyAlignment="0" applyProtection="0"/>
    <xf numFmtId="283" fontId="61" fillId="0" borderId="0" applyFont="0" applyFill="0" applyBorder="0" applyAlignment="0" applyProtection="0"/>
    <xf numFmtId="284" fontId="61" fillId="0" borderId="0" applyFill="0" applyBorder="0" applyProtection="0"/>
    <xf numFmtId="0" fontId="90" fillId="0" borderId="0">
      <alignment horizontal="left"/>
    </xf>
    <xf numFmtId="0" fontId="91" fillId="0" borderId="0">
      <alignment horizontal="left"/>
    </xf>
    <xf numFmtId="179" fontId="46" fillId="0" borderId="0"/>
    <xf numFmtId="0" fontId="30" fillId="0" borderId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30" fillId="0" borderId="0" applyFill="0" applyBorder="0" applyProtection="0">
      <alignment horizontal="left"/>
    </xf>
    <xf numFmtId="0" fontId="92" fillId="0" borderId="0" applyNumberFormat="0" applyFill="0" applyBorder="0" applyAlignment="0" applyProtection="0"/>
    <xf numFmtId="0" fontId="93" fillId="12" borderId="0"/>
    <xf numFmtId="37" fontId="28" fillId="12" borderId="0" applyNumberFormat="0" applyBorder="0" applyAlignment="0" applyProtection="0"/>
    <xf numFmtId="227" fontId="4" fillId="7" borderId="18" applyFont="0" applyBorder="0" applyAlignment="0" applyProtection="0">
      <alignment vertical="top"/>
    </xf>
    <xf numFmtId="216" fontId="3" fillId="0" borderId="0" applyBorder="0" applyProtection="0"/>
    <xf numFmtId="217" fontId="94" fillId="0" borderId="0"/>
    <xf numFmtId="0" fontId="95" fillId="0" borderId="0" applyNumberFormat="0" applyFill="0" applyBorder="0" applyAlignment="0" applyProtection="0"/>
    <xf numFmtId="0" fontId="96" fillId="0" borderId="0"/>
    <xf numFmtId="38" fontId="2" fillId="12" borderId="0" applyNumberFormat="0" applyBorder="0" applyAlignment="0" applyProtection="0"/>
    <xf numFmtId="285" fontId="44" fillId="0" borderId="0" applyFill="0" applyBorder="0" applyAlignment="0" applyProtection="0">
      <alignment horizontal="right"/>
    </xf>
    <xf numFmtId="0" fontId="78" fillId="0" borderId="0" applyBorder="0">
      <alignment horizontal="left"/>
    </xf>
    <xf numFmtId="218" fontId="61" fillId="0" borderId="0" applyFont="0" applyFill="0" applyBorder="0" applyAlignment="0" applyProtection="0"/>
    <xf numFmtId="187" fontId="15" fillId="0" borderId="0" applyFont="0" applyFill="0" applyBorder="0" applyAlignment="0" applyProtection="0">
      <alignment horizontal="right"/>
    </xf>
    <xf numFmtId="0" fontId="97" fillId="15" borderId="0" applyNumberFormat="0" applyBorder="0" applyProtection="0">
      <alignment horizontal="left" vertical="center"/>
    </xf>
    <xf numFmtId="0" fontId="98" fillId="1" borderId="0" applyNumberFormat="0" applyBorder="0" applyProtection="0">
      <alignment horizontal="left" vertical="center"/>
    </xf>
    <xf numFmtId="0" fontId="99" fillId="0" borderId="0"/>
    <xf numFmtId="0" fontId="100" fillId="0" borderId="0">
      <alignment horizontal="left"/>
    </xf>
    <xf numFmtId="0" fontId="100" fillId="0" borderId="0">
      <alignment horizontal="left"/>
    </xf>
    <xf numFmtId="0" fontId="51" fillId="0" borderId="19" applyNumberFormat="0" applyAlignment="0" applyProtection="0">
      <alignment horizontal="left" vertical="center"/>
    </xf>
    <xf numFmtId="0" fontId="51" fillId="0" borderId="4">
      <alignment horizontal="left" vertical="center"/>
    </xf>
    <xf numFmtId="37" fontId="101" fillId="16" borderId="0">
      <alignment horizontal="centerContinuous"/>
    </xf>
    <xf numFmtId="0" fontId="102" fillId="0" borderId="0">
      <alignment horizontal="left"/>
    </xf>
    <xf numFmtId="0" fontId="103" fillId="0" borderId="20">
      <alignment horizontal="left" vertical="top"/>
    </xf>
    <xf numFmtId="0" fontId="104" fillId="0" borderId="0">
      <alignment horizontal="left"/>
    </xf>
    <xf numFmtId="0" fontId="105" fillId="0" borderId="20">
      <alignment horizontal="left" vertical="top"/>
    </xf>
    <xf numFmtId="0" fontId="106" fillId="0" borderId="0">
      <alignment horizontal="left"/>
    </xf>
    <xf numFmtId="0" fontId="107" fillId="0" borderId="0">
      <alignment horizontal="left"/>
    </xf>
    <xf numFmtId="179" fontId="108" fillId="0" borderId="0">
      <alignment horizontal="right"/>
    </xf>
    <xf numFmtId="179" fontId="108" fillId="0" borderId="0">
      <alignment horizontal="left"/>
    </xf>
    <xf numFmtId="0" fontId="51" fillId="0" borderId="0"/>
    <xf numFmtId="37" fontId="109" fillId="0" borderId="2">
      <alignment horizontal="right"/>
    </xf>
    <xf numFmtId="0" fontId="110" fillId="0" borderId="21" applyNumberFormat="0" applyFill="0" applyBorder="0" applyAlignment="0" applyProtection="0">
      <alignment horizontal="left"/>
    </xf>
    <xf numFmtId="218" fontId="15" fillId="0" borderId="0"/>
    <xf numFmtId="0" fontId="111" fillId="0" borderId="22" applyNumberFormat="0" applyFill="0" applyAlignment="0" applyProtection="0"/>
    <xf numFmtId="219" fontId="13" fillId="17" borderId="0" applyNumberFormat="0" applyFont="0" applyBorder="0" applyAlignment="0" applyProtection="0"/>
    <xf numFmtId="37" fontId="28" fillId="0" borderId="0" applyNumberFormat="0" applyBorder="0" applyAlignment="0" applyProtection="0"/>
    <xf numFmtId="227" fontId="44" fillId="0" borderId="0" applyFill="0" applyBorder="0" applyAlignment="0" applyProtection="0"/>
    <xf numFmtId="220" fontId="15" fillId="0" borderId="0"/>
    <xf numFmtId="10" fontId="2" fillId="2" borderId="18" applyNumberFormat="0" applyBorder="0" applyAlignment="0" applyProtection="0"/>
    <xf numFmtId="192" fontId="1" fillId="0" borderId="0" applyFill="0" applyBorder="0" applyProtection="0"/>
    <xf numFmtId="286" fontId="1" fillId="0" borderId="0" applyFill="0" applyBorder="0" applyProtection="0"/>
    <xf numFmtId="287" fontId="1" fillId="0" borderId="0" applyFill="0" applyBorder="0" applyProtection="0"/>
    <xf numFmtId="288" fontId="1" fillId="0" borderId="0" applyFill="0" applyBorder="0" applyProtection="0"/>
    <xf numFmtId="37" fontId="80" fillId="12" borderId="0" applyFont="0" applyBorder="0" applyProtection="0"/>
    <xf numFmtId="289" fontId="4" fillId="2" borderId="0" applyNumberFormat="0" applyFont="0" applyBorder="0" applyAlignment="0" applyProtection="0">
      <alignment horizontal="center"/>
      <protection locked="0"/>
    </xf>
    <xf numFmtId="167" fontId="4" fillId="2" borderId="2" applyNumberFormat="0" applyFont="0" applyAlignment="0" applyProtection="0">
      <alignment horizontal="center"/>
      <protection locked="0"/>
    </xf>
    <xf numFmtId="0" fontId="12" fillId="0" borderId="0" applyFill="0" applyBorder="0">
      <alignment horizontal="right"/>
      <protection locked="0"/>
    </xf>
    <xf numFmtId="38" fontId="112" fillId="0" borderId="0" applyNumberFormat="0" applyBorder="0" applyProtection="0">
      <alignment horizontal="left"/>
    </xf>
    <xf numFmtId="221" fontId="12" fillId="0" borderId="0" applyFill="0" applyBorder="0">
      <alignment horizontal="right"/>
      <protection locked="0"/>
    </xf>
    <xf numFmtId="0" fontId="78" fillId="18" borderId="23">
      <alignment horizontal="left" vertical="center" wrapText="1"/>
    </xf>
    <xf numFmtId="0" fontId="113" fillId="0" borderId="0" applyNumberFormat="0" applyFill="0" applyBorder="0" applyProtection="0">
      <alignment horizontal="left" vertical="center"/>
    </xf>
    <xf numFmtId="290" fontId="44" fillId="0" borderId="0">
      <alignment horizontal="left"/>
    </xf>
    <xf numFmtId="0" fontId="114" fillId="0" borderId="0" applyNumberFormat="0">
      <alignment horizontal="left"/>
    </xf>
    <xf numFmtId="180" fontId="15" fillId="0" borderId="0" applyNumberFormat="0" applyAlignment="0">
      <alignment horizontal="left"/>
    </xf>
    <xf numFmtId="291" fontId="16" fillId="0" borderId="0" applyFont="0" applyFill="0" applyBorder="0" applyAlignment="0" applyProtection="0"/>
    <xf numFmtId="37" fontId="115" fillId="0" borderId="0" applyNumberFormat="0" applyFill="0" applyBorder="0" applyAlignment="0" applyProtection="0"/>
    <xf numFmtId="0" fontId="7" fillId="13" borderId="0"/>
    <xf numFmtId="292" fontId="76" fillId="0" borderId="0">
      <alignment horizontal="right"/>
    </xf>
    <xf numFmtId="293" fontId="76" fillId="0" borderId="0">
      <alignment horizontal="right"/>
    </xf>
    <xf numFmtId="14" fontId="116" fillId="0" borderId="0" applyFont="0" applyFill="0" applyBorder="0" applyAlignment="0" applyProtection="0"/>
    <xf numFmtId="0" fontId="117" fillId="0" borderId="8">
      <alignment horizontal="left"/>
      <protection locked="0"/>
    </xf>
    <xf numFmtId="0" fontId="118" fillId="0" borderId="0"/>
    <xf numFmtId="285" fontId="44" fillId="0" borderId="0" applyFill="0" applyBorder="0" applyAlignment="0" applyProtection="0">
      <alignment horizontal="right"/>
    </xf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0" fontId="119" fillId="0" borderId="0" applyBorder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0" fontId="78" fillId="0" borderId="4" applyFont="0" applyFill="0" applyBorder="0" applyAlignment="0" applyProtection="0">
      <alignment horizontal="center"/>
    </xf>
    <xf numFmtId="294" fontId="76" fillId="0" borderId="0">
      <alignment horizontal="right"/>
    </xf>
    <xf numFmtId="0" fontId="46" fillId="0" borderId="0" applyNumberFormat="0" applyFill="0" applyBorder="0" applyAlignment="0"/>
    <xf numFmtId="38" fontId="46" fillId="0" borderId="0" applyBorder="0"/>
    <xf numFmtId="295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296" fontId="16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22" fontId="15" fillId="0" borderId="0" applyFont="0" applyFill="0" applyBorder="0" applyAlignment="0" applyProtection="0">
      <alignment horizontal="right"/>
    </xf>
    <xf numFmtId="172" fontId="104" fillId="0" borderId="0" applyFont="0" applyFill="0" applyBorder="0" applyAlignment="0" applyProtection="0"/>
    <xf numFmtId="297" fontId="44" fillId="0" borderId="0" applyFill="0" applyBorder="0" applyProtection="0">
      <alignment horizontal="right"/>
    </xf>
    <xf numFmtId="298" fontId="62" fillId="0" borderId="0" applyFont="0" applyFill="0" applyBorder="0" applyProtection="0">
      <alignment horizontal="right"/>
    </xf>
    <xf numFmtId="180" fontId="15" fillId="0" borderId="0" applyFont="0" applyFill="0" applyBorder="0" applyAlignment="0" applyProtection="0">
      <alignment horizontal="right"/>
    </xf>
    <xf numFmtId="179" fontId="15" fillId="0" borderId="0"/>
    <xf numFmtId="255" fontId="46" fillId="19" borderId="0" applyNumberFormat="0">
      <alignment horizontal="right"/>
    </xf>
    <xf numFmtId="37" fontId="120" fillId="0" borderId="0"/>
    <xf numFmtId="185" fontId="15" fillId="0" borderId="0" applyFill="0" applyBorder="0" applyAlignment="0" applyProtection="0"/>
    <xf numFmtId="223" fontId="15" fillId="0" borderId="9" applyFont="0" applyFill="0" applyBorder="0" applyAlignment="0" applyProtection="0"/>
    <xf numFmtId="0" fontId="7" fillId="20" borderId="0"/>
    <xf numFmtId="299" fontId="16" fillId="0" borderId="0" applyFont="0">
      <alignment horizontal="right"/>
    </xf>
    <xf numFmtId="0" fontId="82" fillId="0" borderId="0"/>
    <xf numFmtId="224" fontId="59" fillId="0" borderId="0"/>
    <xf numFmtId="220" fontId="15" fillId="0" borderId="0"/>
    <xf numFmtId="219" fontId="121" fillId="0" borderId="0"/>
    <xf numFmtId="37" fontId="72" fillId="0" borderId="0"/>
    <xf numFmtId="38" fontId="122" fillId="0" borderId="0"/>
    <xf numFmtId="225" fontId="121" fillId="0" borderId="0"/>
    <xf numFmtId="226" fontId="15" fillId="0" borderId="0">
      <alignment horizontal="right"/>
    </xf>
    <xf numFmtId="227" fontId="12" fillId="0" borderId="0" applyFont="0" applyFill="0" applyBorder="0" applyAlignment="0"/>
    <xf numFmtId="300" fontId="2" fillId="0" borderId="0"/>
    <xf numFmtId="0" fontId="1" fillId="0" borderId="0"/>
    <xf numFmtId="0" fontId="17" fillId="0" borderId="0"/>
    <xf numFmtId="0" fontId="123" fillId="0" borderId="0" applyFill="0" applyBorder="0" applyAlignment="0" applyProtection="0"/>
    <xf numFmtId="179" fontId="112" fillId="0" borderId="0" applyBorder="0">
      <alignment horizontal="left"/>
    </xf>
    <xf numFmtId="0" fontId="124" fillId="0" borderId="8"/>
    <xf numFmtId="1" fontId="84" fillId="0" borderId="0">
      <alignment horizontal="right"/>
      <protection locked="0"/>
    </xf>
    <xf numFmtId="172" fontId="125" fillId="0" borderId="0">
      <alignment horizontal="right"/>
      <protection locked="0"/>
    </xf>
    <xf numFmtId="180" fontId="84" fillId="0" borderId="0">
      <protection locked="0"/>
    </xf>
    <xf numFmtId="2" fontId="125" fillId="0" borderId="0">
      <alignment horizontal="right"/>
      <protection locked="0"/>
    </xf>
    <xf numFmtId="2" fontId="84" fillId="0" borderId="0">
      <alignment horizontal="right"/>
      <protection locked="0"/>
    </xf>
    <xf numFmtId="228" fontId="35" fillId="0" borderId="0"/>
    <xf numFmtId="0" fontId="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213" fontId="12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72" fontId="34" fillId="0" borderId="0"/>
    <xf numFmtId="0" fontId="128" fillId="0" borderId="0">
      <alignment horizontal="left" vertical="top"/>
      <protection locked="0"/>
    </xf>
    <xf numFmtId="0" fontId="129" fillId="0" borderId="0">
      <alignment horizontal="left"/>
    </xf>
    <xf numFmtId="40" fontId="85" fillId="7" borderId="0">
      <alignment horizontal="right"/>
    </xf>
    <xf numFmtId="0" fontId="130" fillId="3" borderId="0">
      <alignment horizontal="center"/>
    </xf>
    <xf numFmtId="0" fontId="131" fillId="7" borderId="0">
      <alignment horizontal="left"/>
    </xf>
    <xf numFmtId="0" fontId="131" fillId="8" borderId="0" applyBorder="0">
      <alignment horizontal="centerContinuous"/>
    </xf>
    <xf numFmtId="0" fontId="132" fillId="4" borderId="0" applyBorder="0">
      <alignment horizontal="centerContinuous"/>
    </xf>
    <xf numFmtId="37" fontId="2" fillId="0" borderId="0" applyBorder="0">
      <protection locked="0"/>
    </xf>
    <xf numFmtId="0" fontId="133" fillId="0" borderId="0" applyNumberFormat="0" applyFill="0" applyBorder="0">
      <alignment horizontal="left"/>
    </xf>
    <xf numFmtId="0" fontId="134" fillId="0" borderId="0" applyProtection="0">
      <alignment horizontal="left"/>
    </xf>
    <xf numFmtId="0" fontId="134" fillId="0" borderId="0" applyFill="0" applyBorder="0" applyProtection="0">
      <alignment horizontal="left"/>
    </xf>
    <xf numFmtId="0" fontId="135" fillId="0" borderId="0" applyFill="0" applyBorder="0" applyProtection="0">
      <alignment horizontal="left"/>
    </xf>
    <xf numFmtId="1" fontId="136" fillId="0" borderId="0" applyProtection="0">
      <alignment horizontal="right" vertical="center"/>
    </xf>
    <xf numFmtId="301" fontId="1" fillId="0" borderId="0" applyFont="0" applyFill="0" applyBorder="0" applyAlignment="0" applyProtection="0"/>
    <xf numFmtId="302" fontId="76" fillId="0" borderId="0"/>
    <xf numFmtId="303" fontId="76" fillId="0" borderId="0"/>
    <xf numFmtId="304" fontId="36" fillId="0" borderId="0" applyFont="0" applyFill="0" applyBorder="0" applyAlignment="0" applyProtection="0">
      <alignment horizontal="center" vertical="top" wrapText="1"/>
    </xf>
    <xf numFmtId="167" fontId="44" fillId="0" borderId="0">
      <alignment horizontal="right"/>
    </xf>
    <xf numFmtId="9" fontId="1" fillId="0" borderId="0" applyFont="0" applyFill="0" applyBorder="0" applyAlignment="0" applyProtection="0"/>
    <xf numFmtId="10" fontId="12" fillId="0" borderId="0"/>
    <xf numFmtId="229" fontId="137" fillId="0" borderId="0"/>
    <xf numFmtId="167" fontId="112" fillId="0" borderId="0" applyFont="0" applyFill="0" applyBorder="0" applyAlignment="0" applyProtection="0"/>
    <xf numFmtId="230" fontId="35" fillId="0" borderId="0" applyFont="0" applyFill="0" applyBorder="0" applyAlignment="0"/>
    <xf numFmtId="305" fontId="82" fillId="0" borderId="0" applyFont="0" applyFill="0" applyBorder="0" applyAlignment="0" applyProtection="0"/>
    <xf numFmtId="306" fontId="82" fillId="0" borderId="0" applyFont="0" applyFill="0" applyBorder="0" applyAlignment="0" applyProtection="0"/>
    <xf numFmtId="307" fontId="82" fillId="0" borderId="0" applyFont="0" applyFill="0" applyBorder="0" applyAlignment="0" applyProtection="0"/>
    <xf numFmtId="308" fontId="28" fillId="0" borderId="0">
      <alignment horizontal="right"/>
    </xf>
    <xf numFmtId="298" fontId="46" fillId="19" borderId="0">
      <alignment horizontal="right"/>
    </xf>
    <xf numFmtId="309" fontId="44" fillId="0" borderId="0" applyFont="0" applyFill="0" applyBorder="0" applyProtection="0">
      <alignment horizontal="right"/>
    </xf>
    <xf numFmtId="167" fontId="12" fillId="0" borderId="0"/>
    <xf numFmtId="310" fontId="73" fillId="0" borderId="0" applyFont="0" applyFill="0" applyBorder="0" applyAlignment="0" applyProtection="0"/>
    <xf numFmtId="9" fontId="4" fillId="0" borderId="0"/>
    <xf numFmtId="167" fontId="138" fillId="0" borderId="0"/>
    <xf numFmtId="311" fontId="61" fillId="0" borderId="0" applyFont="0" applyFill="0" applyBorder="0" applyAlignment="0" applyProtection="0"/>
    <xf numFmtId="167" fontId="44" fillId="0" borderId="0"/>
    <xf numFmtId="167" fontId="84" fillId="0" borderId="0"/>
    <xf numFmtId="10" fontId="80" fillId="0" borderId="0" applyBorder="0"/>
    <xf numFmtId="10" fontId="84" fillId="0" borderId="0">
      <protection locked="0"/>
    </xf>
    <xf numFmtId="0" fontId="139" fillId="0" borderId="0"/>
    <xf numFmtId="231" fontId="12" fillId="0" borderId="0" applyFill="0" applyBorder="0">
      <alignment horizontal="right"/>
      <protection locked="0"/>
    </xf>
    <xf numFmtId="308" fontId="46" fillId="0" borderId="0">
      <alignment horizontal="right"/>
    </xf>
    <xf numFmtId="183" fontId="61" fillId="0" borderId="0" applyFill="0" applyBorder="0" applyProtection="0"/>
    <xf numFmtId="8" fontId="1" fillId="0" borderId="0" applyFont="0" applyFill="0" applyBorder="0" applyAlignment="0" applyProtection="0"/>
    <xf numFmtId="0" fontId="59" fillId="0" borderId="0"/>
    <xf numFmtId="312" fontId="1" fillId="0" borderId="0">
      <alignment horizontal="right"/>
      <protection locked="0"/>
    </xf>
    <xf numFmtId="0" fontId="3" fillId="12" borderId="18" applyNumberFormat="0" applyFont="0" applyAlignment="0" applyProtection="0"/>
    <xf numFmtId="289" fontId="4" fillId="12" borderId="0" applyNumberFormat="0" applyFont="0" applyBorder="0" applyAlignment="0" applyProtection="0">
      <alignment horizontal="center"/>
      <protection locked="0"/>
    </xf>
    <xf numFmtId="0" fontId="133" fillId="0" borderId="0"/>
    <xf numFmtId="0" fontId="133" fillId="0" borderId="21">
      <alignment horizontal="right"/>
    </xf>
    <xf numFmtId="0" fontId="133" fillId="0" borderId="0"/>
    <xf numFmtId="2" fontId="119" fillId="0" borderId="0" applyNumberFormat="0" applyFill="0" applyBorder="0" applyAlignment="0" applyProtection="0"/>
    <xf numFmtId="227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23" fillId="0" borderId="0">
      <alignment vertical="top"/>
    </xf>
    <xf numFmtId="180" fontId="23" fillId="0" borderId="0">
      <alignment vertical="top"/>
    </xf>
    <xf numFmtId="313" fontId="76" fillId="12" borderId="5">
      <alignment horizontal="right"/>
    </xf>
    <xf numFmtId="179" fontId="16" fillId="0" borderId="0" applyFont="0" applyFill="0" applyBorder="0" applyAlignment="0" applyProtection="0">
      <alignment horizontal="right"/>
    </xf>
    <xf numFmtId="232" fontId="12" fillId="0" borderId="0">
      <alignment horizontal="right"/>
      <protection locked="0"/>
    </xf>
    <xf numFmtId="0" fontId="140" fillId="0" borderId="0"/>
    <xf numFmtId="0" fontId="141" fillId="0" borderId="8" applyNumberFormat="0" applyFill="0" applyBorder="0" applyAlignment="0" applyProtection="0">
      <protection hidden="1"/>
    </xf>
    <xf numFmtId="37" fontId="142" fillId="0" borderId="0" applyNumberFormat="0" applyFill="0" applyBorder="0" applyAlignment="0" applyProtection="0"/>
    <xf numFmtId="0" fontId="143" fillId="0" borderId="0"/>
    <xf numFmtId="180" fontId="144" fillId="0" borderId="19" applyNumberFormat="0" applyAlignment="0" applyProtection="0">
      <alignment horizontal="right" vertical="center"/>
    </xf>
    <xf numFmtId="314" fontId="12" fillId="0" borderId="0" applyProtection="0">
      <alignment horizontal="right"/>
    </xf>
    <xf numFmtId="315" fontId="12" fillId="0" borderId="0" applyProtection="0">
      <alignment horizontal="right"/>
    </xf>
    <xf numFmtId="0" fontId="113" fillId="0" borderId="0" applyNumberFormat="0" applyFill="0" applyBorder="0" applyProtection="0">
      <alignment horizontal="right" vertical="center"/>
    </xf>
    <xf numFmtId="0" fontId="3" fillId="0" borderId="0" applyNumberFormat="0" applyFill="0" applyBorder="0"/>
    <xf numFmtId="233" fontId="15" fillId="0" borderId="0" applyNumberFormat="0" applyFill="0" applyBorder="0" applyProtection="0">
      <alignment horizontal="left" vertical="center"/>
      <protection locked="0"/>
    </xf>
    <xf numFmtId="0" fontId="145" fillId="0" borderId="13"/>
    <xf numFmtId="234" fontId="146" fillId="0" borderId="0" applyFill="0" applyBorder="0">
      <alignment horizontal="right"/>
      <protection hidden="1"/>
    </xf>
    <xf numFmtId="0" fontId="51" fillId="11" borderId="18">
      <alignment horizontal="center" vertical="center" wrapText="1"/>
      <protection hidden="1"/>
    </xf>
    <xf numFmtId="0" fontId="15" fillId="19" borderId="0" applyNumberFormat="0" applyFont="0" applyBorder="0" applyAlignment="0" applyProtection="0"/>
    <xf numFmtId="1" fontId="59" fillId="21" borderId="0" applyNumberFormat="0" applyFont="0" applyBorder="0" applyAlignment="0">
      <alignment horizontal="left"/>
    </xf>
    <xf numFmtId="179" fontId="147" fillId="0" borderId="0" applyNumberFormat="0" applyFont="0" applyAlignment="0"/>
    <xf numFmtId="185" fontId="15" fillId="0" borderId="2" applyFont="0" applyFill="0" applyBorder="0" applyAlignment="0" applyProtection="0">
      <alignment horizontal="right"/>
    </xf>
    <xf numFmtId="214" fontId="15" fillId="0" borderId="0"/>
    <xf numFmtId="0" fontId="148" fillId="12" borderId="0" applyNumberFormat="0" applyBorder="0">
      <alignment horizontal="centerContinuous"/>
    </xf>
    <xf numFmtId="42" fontId="50" fillId="0" borderId="0" applyFill="0" applyBorder="0" applyAlignment="0" applyProtection="0"/>
    <xf numFmtId="0" fontId="1" fillId="0" borderId="0"/>
    <xf numFmtId="0" fontId="149" fillId="0" borderId="0" applyNumberFormat="0" applyFill="0" applyBorder="0" applyAlignment="0" applyProtection="0"/>
    <xf numFmtId="180" fontId="18" fillId="0" borderId="0" applyFill="0" applyBorder="0" applyProtection="0">
      <alignment horizontal="right"/>
    </xf>
    <xf numFmtId="0" fontId="1" fillId="22" borderId="0"/>
    <xf numFmtId="0" fontId="7" fillId="0" borderId="0">
      <alignment vertical="center"/>
    </xf>
    <xf numFmtId="0" fontId="150" fillId="0" borderId="0" applyNumberFormat="0" applyFill="0" applyBorder="0" applyAlignment="0" applyProtection="0">
      <protection locked="0"/>
    </xf>
    <xf numFmtId="235" fontId="150" fillId="0" borderId="0" applyNumberFormat="0" applyFill="0" applyBorder="0" applyAlignment="0" applyProtection="0">
      <alignment horizontal="right" vertical="center" wrapText="1"/>
    </xf>
    <xf numFmtId="0" fontId="150" fillId="0" borderId="0" applyNumberFormat="0" applyFill="0" applyBorder="0" applyAlignment="0" applyProtection="0">
      <protection locked="0"/>
    </xf>
    <xf numFmtId="0" fontId="151" fillId="0" borderId="0" applyNumberFormat="0" applyFill="0" applyBorder="0" applyAlignment="0" applyProtection="0"/>
    <xf numFmtId="0" fontId="152" fillId="0" borderId="4" applyNumberFormat="0" applyFill="0" applyProtection="0">
      <alignment horizontal="right" vertical="center" wrapText="1"/>
    </xf>
    <xf numFmtId="0" fontId="78" fillId="10" borderId="0" applyNumberFormat="0" applyBorder="0">
      <alignment horizontal="centerContinuous"/>
    </xf>
    <xf numFmtId="0" fontId="49" fillId="0" borderId="9" applyNumberFormat="0" applyFill="0" applyProtection="0">
      <alignment horizontal="right"/>
    </xf>
    <xf numFmtId="0" fontId="153" fillId="0" borderId="0" applyNumberFormat="0" applyFill="0" applyBorder="0" applyProtection="0">
      <alignment horizontal="left" vertical="center"/>
    </xf>
    <xf numFmtId="316" fontId="154" fillId="0" borderId="0"/>
    <xf numFmtId="227" fontId="44" fillId="0" borderId="0" applyFill="0" applyBorder="0" applyAlignment="0" applyProtection="0"/>
    <xf numFmtId="0" fontId="155" fillId="0" borderId="0"/>
    <xf numFmtId="0" fontId="156" fillId="0" borderId="9" applyNumberFormat="0"/>
    <xf numFmtId="0" fontId="3" fillId="12" borderId="0" applyNumberFormat="0" applyFont="0" applyBorder="0" applyAlignment="0" applyProtection="0"/>
    <xf numFmtId="0" fontId="157" fillId="0" borderId="7" applyNumberFormat="0" applyFill="0" applyBorder="0" applyAlignment="0" applyProtection="0"/>
    <xf numFmtId="257" fontId="16" fillId="0" borderId="0">
      <alignment horizontal="left"/>
    </xf>
    <xf numFmtId="0" fontId="5" fillId="0" borderId="0" applyFill="0" applyBorder="0" applyProtection="0">
      <alignment horizontal="center" vertical="center"/>
    </xf>
    <xf numFmtId="3" fontId="158" fillId="0" borderId="0" applyFont="0" applyBorder="0" applyAlignment="0"/>
    <xf numFmtId="0" fontId="49" fillId="0" borderId="24" applyNumberFormat="0" applyProtection="0">
      <alignment horizontal="right"/>
    </xf>
    <xf numFmtId="0" fontId="159" fillId="0" borderId="2" applyNumberFormat="0" applyFill="0" applyProtection="0"/>
    <xf numFmtId="212" fontId="15" fillId="0" borderId="2" applyBorder="0" applyProtection="0">
      <alignment horizontal="right" vertical="center"/>
    </xf>
    <xf numFmtId="0" fontId="160" fillId="23" borderId="0" applyBorder="0" applyProtection="0">
      <alignment horizontal="centerContinuous" vertical="center"/>
    </xf>
    <xf numFmtId="0" fontId="160" fillId="24" borderId="2" applyBorder="0" applyProtection="0">
      <alignment horizontal="centerContinuous" vertical="center"/>
    </xf>
    <xf numFmtId="0" fontId="161" fillId="0" borderId="0" applyBorder="0" applyProtection="0">
      <alignment vertical="center"/>
    </xf>
    <xf numFmtId="0" fontId="30" fillId="0" borderId="0" applyNumberFormat="0" applyFill="0" applyBorder="0" applyProtection="0">
      <alignment horizontal="left"/>
    </xf>
    <xf numFmtId="0" fontId="5" fillId="0" borderId="0" applyFill="0" applyBorder="0" applyProtection="0"/>
    <xf numFmtId="0" fontId="162" fillId="0" borderId="0" applyNumberFormat="0">
      <alignment horizontal="left"/>
    </xf>
    <xf numFmtId="0" fontId="104" fillId="0" borderId="0" applyNumberFormat="0" applyFill="0" applyBorder="0" applyProtection="0"/>
    <xf numFmtId="0" fontId="163" fillId="0" borderId="0" applyFill="0" applyBorder="0" applyProtection="0">
      <alignment horizontal="left"/>
    </xf>
    <xf numFmtId="0" fontId="30" fillId="0" borderId="20" applyFill="0" applyBorder="0" applyProtection="0">
      <alignment horizontal="left" vertical="top"/>
    </xf>
    <xf numFmtId="0" fontId="33" fillId="0" borderId="2"/>
    <xf numFmtId="0" fontId="39" fillId="7" borderId="9" applyNumberFormat="0" applyFont="0" applyFill="0" applyAlignment="0" applyProtection="0">
      <protection locked="0"/>
    </xf>
    <xf numFmtId="167" fontId="164" fillId="0" borderId="0" applyNumberFormat="0" applyFill="0" applyBorder="0">
      <alignment horizontal="left"/>
    </xf>
    <xf numFmtId="167" fontId="164" fillId="0" borderId="0" applyNumberFormat="0" applyFill="0" applyBorder="0">
      <alignment horizontal="right"/>
    </xf>
    <xf numFmtId="167" fontId="55" fillId="0" borderId="0" applyNumberFormat="0" applyFill="0" applyBorder="0">
      <alignment horizontal="right"/>
    </xf>
    <xf numFmtId="0" fontId="165" fillId="0" borderId="0" applyFill="0" applyBorder="0" applyProtection="0">
      <alignment horizontal="center" vertical="center"/>
    </xf>
    <xf numFmtId="0" fontId="39" fillId="7" borderId="25" applyNumberFormat="0" applyFont="0" applyFill="0" applyAlignment="0" applyProtection="0">
      <protection locked="0"/>
    </xf>
    <xf numFmtId="38" fontId="166" fillId="0" borderId="0" applyNumberFormat="0" applyBorder="0">
      <alignment horizontal="left"/>
    </xf>
    <xf numFmtId="0" fontId="167" fillId="0" borderId="0" applyFill="0" applyBorder="0" applyProtection="0">
      <alignment vertical="top"/>
    </xf>
    <xf numFmtId="0" fontId="168" fillId="0" borderId="0" applyFill="0" applyBorder="0" applyProtection="0">
      <alignment vertical="center"/>
    </xf>
    <xf numFmtId="0" fontId="45" fillId="0" borderId="0" applyFill="0" applyBorder="0" applyProtection="0"/>
    <xf numFmtId="49" fontId="169" fillId="0" borderId="0"/>
    <xf numFmtId="0" fontId="170" fillId="25" borderId="0">
      <alignment vertical="top" wrapText="1"/>
    </xf>
    <xf numFmtId="0" fontId="3" fillId="0" borderId="0" applyNumberFormat="0" applyFill="0" applyBorder="0" applyAlignment="0" applyProtection="0"/>
    <xf numFmtId="0" fontId="171" fillId="0" borderId="0" applyNumberFormat="0" applyFill="0" applyBorder="0" applyProtection="0"/>
    <xf numFmtId="0" fontId="171" fillId="0" borderId="0" applyNumberFormat="0" applyFill="0" applyBorder="0" applyProtection="0"/>
    <xf numFmtId="179" fontId="84" fillId="0" borderId="0">
      <alignment horizontal="left"/>
      <protection locked="0"/>
    </xf>
    <xf numFmtId="0" fontId="172" fillId="0" borderId="0" applyNumberFormat="0" applyFill="0" applyBorder="0" applyProtection="0"/>
    <xf numFmtId="0" fontId="172" fillId="0" borderId="0" applyNumberFormat="0" applyFill="0" applyBorder="0" applyProtection="0"/>
    <xf numFmtId="0" fontId="171" fillId="0" borderId="0" applyNumberFormat="0" applyFill="0" applyBorder="0" applyProtection="0"/>
    <xf numFmtId="0" fontId="171" fillId="0" borderId="0"/>
    <xf numFmtId="236" fontId="3" fillId="0" borderId="0" applyBorder="0" applyProtection="0">
      <alignment horizontal="right"/>
    </xf>
    <xf numFmtId="18" fontId="173" fillId="7" borderId="0" applyFont="0" applyFill="0" applyBorder="0" applyAlignment="0" applyProtection="0">
      <protection locked="0"/>
    </xf>
    <xf numFmtId="173" fontId="1" fillId="0" borderId="0">
      <alignment horizontal="right" vertical="center"/>
    </xf>
    <xf numFmtId="0" fontId="1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5" fillId="0" borderId="0"/>
    <xf numFmtId="0" fontId="5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227" fontId="60" fillId="0" borderId="0" applyFill="0" applyBorder="0" applyProtection="0"/>
    <xf numFmtId="0" fontId="177" fillId="2" borderId="0">
      <alignment horizontal="right"/>
    </xf>
    <xf numFmtId="0" fontId="178" fillId="15" borderId="0" applyNumberFormat="0" applyBorder="0" applyProtection="0">
      <alignment horizontal="left" vertical="center"/>
    </xf>
    <xf numFmtId="290" fontId="179" fillId="0" borderId="0">
      <alignment horizontal="centerContinuous"/>
    </xf>
    <xf numFmtId="0" fontId="180" fillId="1" borderId="0" applyNumberFormat="0" applyBorder="0" applyProtection="0">
      <alignment horizontal="left" vertical="center"/>
    </xf>
    <xf numFmtId="290" fontId="60" fillId="0" borderId="0">
      <alignment horizontal="centerContinuous"/>
      <protection locked="0"/>
    </xf>
    <xf numFmtId="290" fontId="60" fillId="0" borderId="0">
      <alignment horizontal="left"/>
    </xf>
    <xf numFmtId="179" fontId="181" fillId="0" borderId="0">
      <alignment horizontal="center"/>
    </xf>
    <xf numFmtId="179" fontId="181" fillId="0" borderId="0">
      <alignment horizontal="left"/>
    </xf>
    <xf numFmtId="0" fontId="12" fillId="0" borderId="0" applyBorder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82" fillId="0" borderId="0"/>
    <xf numFmtId="0" fontId="172" fillId="0" borderId="0"/>
    <xf numFmtId="0" fontId="171" fillId="0" borderId="0"/>
    <xf numFmtId="0" fontId="183" fillId="0" borderId="0" applyNumberFormat="0" applyFont="0" applyFill="0" applyBorder="0" applyAlignment="0">
      <alignment horizontal="left" vertical="center"/>
    </xf>
    <xf numFmtId="0" fontId="138" fillId="3" borderId="8"/>
    <xf numFmtId="0" fontId="184" fillId="0" borderId="0"/>
    <xf numFmtId="192" fontId="1" fillId="0" borderId="0" applyFill="0" applyBorder="0" applyProtection="0"/>
    <xf numFmtId="317" fontId="1" fillId="0" borderId="0" applyFill="0" applyBorder="0" applyProtection="0"/>
    <xf numFmtId="316" fontId="58" fillId="0" borderId="24" applyAlignment="0">
      <alignment horizontal="right"/>
    </xf>
    <xf numFmtId="300" fontId="58" fillId="0" borderId="24" applyAlignment="0"/>
    <xf numFmtId="260" fontId="44" fillId="0" borderId="0">
      <alignment horizontal="right"/>
    </xf>
    <xf numFmtId="237" fontId="2" fillId="0" borderId="0" applyBorder="0" applyProtection="0">
      <alignment horizontal="right"/>
    </xf>
    <xf numFmtId="40" fontId="94" fillId="0" borderId="0"/>
    <xf numFmtId="37" fontId="15" fillId="22" borderId="18" applyNumberFormat="0" applyAlignment="0" applyProtection="0"/>
    <xf numFmtId="227" fontId="185" fillId="0" borderId="0"/>
    <xf numFmtId="38" fontId="166" fillId="0" borderId="0">
      <alignment horizontal="right"/>
    </xf>
    <xf numFmtId="38" fontId="186" fillId="0" borderId="8" applyFill="0" applyBorder="0" applyAlignment="0" applyProtection="0">
      <protection locked="0"/>
    </xf>
    <xf numFmtId="37" fontId="2" fillId="26" borderId="0" applyNumberFormat="0" applyBorder="0" applyAlignment="0" applyProtection="0"/>
    <xf numFmtId="37" fontId="4" fillId="0" borderId="0"/>
    <xf numFmtId="3" fontId="187" fillId="0" borderId="22" applyProtection="0"/>
    <xf numFmtId="0" fontId="188" fillId="0" borderId="0">
      <alignment vertical="top"/>
    </xf>
    <xf numFmtId="0" fontId="189" fillId="0" borderId="0" applyNumberFormat="0"/>
    <xf numFmtId="0" fontId="190" fillId="27" borderId="26">
      <alignment horizontal="left"/>
    </xf>
    <xf numFmtId="38" fontId="60" fillId="0" borderId="0" applyFill="0" applyBorder="0" applyAlignment="0" applyProtection="0">
      <alignment horizontal="left"/>
    </xf>
    <xf numFmtId="0" fontId="15" fillId="0" borderId="0" applyFont="0" applyAlignment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2" fillId="0" borderId="0"/>
    <xf numFmtId="0" fontId="1" fillId="0" borderId="0" applyFont="0" applyFill="0" applyBorder="0" applyAlignment="0" applyProtection="0"/>
    <xf numFmtId="318" fontId="82" fillId="0" borderId="0" applyFont="0" applyFill="0" applyBorder="0" applyAlignment="0" applyProtection="0"/>
    <xf numFmtId="180" fontId="191" fillId="0" borderId="0"/>
    <xf numFmtId="0" fontId="3" fillId="7" borderId="0" applyNumberFormat="0" applyFont="0" applyAlignment="0" applyProtection="0"/>
    <xf numFmtId="0" fontId="3" fillId="7" borderId="9" applyNumberFormat="0" applyFont="0" applyAlignment="0" applyProtection="0">
      <protection locked="0"/>
    </xf>
    <xf numFmtId="0" fontId="192" fillId="0" borderId="0" applyNumberFormat="0" applyFill="0" applyBorder="0" applyAlignment="0" applyProtection="0"/>
    <xf numFmtId="0" fontId="193" fillId="0" borderId="7" applyNumberFormat="0" applyFill="0" applyBorder="0" applyAlignment="0" applyProtection="0"/>
    <xf numFmtId="0" fontId="194" fillId="0" borderId="7" applyNumberFormat="0" applyFill="0" applyBorder="0" applyAlignment="0" applyProtection="0"/>
    <xf numFmtId="0" fontId="195" fillId="0" borderId="7" applyNumberFormat="0" applyFill="0" applyBorder="0" applyAlignment="0" applyProtection="0"/>
    <xf numFmtId="1" fontId="196" fillId="0" borderId="0">
      <alignment horizontal="right"/>
    </xf>
    <xf numFmtId="0" fontId="104" fillId="0" borderId="0" applyNumberFormat="0" applyFont="0" applyFill="0" applyBorder="0" applyProtection="0">
      <alignment horizontal="center" wrapText="1"/>
    </xf>
    <xf numFmtId="37" fontId="197" fillId="0" borderId="0"/>
    <xf numFmtId="188" fontId="15" fillId="0" borderId="0"/>
    <xf numFmtId="1" fontId="147" fillId="0" borderId="4" applyFill="0" applyProtection="0">
      <alignment horizontal="right"/>
    </xf>
    <xf numFmtId="0" fontId="198" fillId="0" borderId="0"/>
    <xf numFmtId="319" fontId="50" fillId="0" borderId="0" applyFont="0" applyFill="0" applyBorder="0" applyAlignment="0" applyProtection="0"/>
    <xf numFmtId="203" fontId="48" fillId="0" borderId="0">
      <alignment horizontal="right"/>
    </xf>
    <xf numFmtId="320" fontId="13" fillId="0" borderId="0" applyFont="0" applyFill="0" applyBorder="0" applyProtection="0">
      <alignment horizontal="right"/>
    </xf>
    <xf numFmtId="238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9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7" fillId="0" borderId="0" applyBorder="0"/>
    <xf numFmtId="0" fontId="200" fillId="11" borderId="0">
      <alignment horizontal="center" vertical="center" wrapText="1"/>
    </xf>
    <xf numFmtId="0" fontId="229" fillId="0" borderId="0"/>
  </cellStyleXfs>
  <cellXfs count="497">
    <xf numFmtId="0" fontId="0" fillId="0" borderId="0" xfId="0"/>
    <xf numFmtId="0" fontId="205" fillId="0" borderId="0" xfId="0" applyFont="1"/>
    <xf numFmtId="0" fontId="205" fillId="0" borderId="8" xfId="0" applyFont="1" applyBorder="1"/>
    <xf numFmtId="0" fontId="206" fillId="0" borderId="0" xfId="0" applyFont="1"/>
    <xf numFmtId="0" fontId="203" fillId="30" borderId="24" xfId="0" applyFont="1" applyFill="1" applyBorder="1" applyAlignment="1">
      <alignment horizontal="left" vertical="top"/>
    </xf>
    <xf numFmtId="0" fontId="203" fillId="30" borderId="24" xfId="0" applyFont="1" applyFill="1" applyBorder="1" applyAlignment="1">
      <alignment horizontal="center" vertical="top"/>
    </xf>
    <xf numFmtId="1" fontId="203" fillId="30" borderId="28" xfId="0" applyNumberFormat="1" applyFont="1" applyFill="1" applyBorder="1" applyAlignment="1">
      <alignment horizontal="center" vertical="top"/>
    </xf>
    <xf numFmtId="1" fontId="203" fillId="30" borderId="24" xfId="0" applyNumberFormat="1" applyFont="1" applyFill="1" applyBorder="1" applyAlignment="1">
      <alignment horizontal="center" vertical="top"/>
    </xf>
    <xf numFmtId="0" fontId="204" fillId="30" borderId="0" xfId="0" applyFont="1" applyFill="1"/>
    <xf numFmtId="0" fontId="205" fillId="0" borderId="0" xfId="0" applyFont="1" applyAlignment="1">
      <alignment horizontal="left"/>
    </xf>
    <xf numFmtId="167" fontId="205" fillId="31" borderId="0" xfId="387" applyNumberFormat="1" applyFont="1" applyFill="1" applyAlignment="1">
      <alignment horizontal="center"/>
    </xf>
    <xf numFmtId="167" fontId="205" fillId="0" borderId="8" xfId="387" applyNumberFormat="1" applyFont="1" applyFill="1" applyBorder="1" applyAlignment="1">
      <alignment horizontal="center"/>
    </xf>
    <xf numFmtId="39" fontId="205" fillId="31" borderId="0" xfId="387" applyNumberFormat="1" applyFont="1" applyFill="1" applyAlignment="1">
      <alignment horizontal="center"/>
    </xf>
    <xf numFmtId="39" fontId="205" fillId="0" borderId="8" xfId="387" applyNumberFormat="1" applyFont="1" applyFill="1" applyBorder="1" applyAlignment="1">
      <alignment horizontal="center"/>
    </xf>
    <xf numFmtId="167" fontId="205" fillId="0" borderId="0" xfId="387" applyNumberFormat="1" applyFont="1" applyFill="1" applyAlignment="1">
      <alignment horizontal="center"/>
    </xf>
    <xf numFmtId="0" fontId="206" fillId="0" borderId="0" xfId="0" applyFont="1" applyAlignment="1">
      <alignment horizontal="left"/>
    </xf>
    <xf numFmtId="166" fontId="205" fillId="0" borderId="0" xfId="124" applyNumberFormat="1" applyFont="1" applyFill="1"/>
    <xf numFmtId="166" fontId="206" fillId="0" borderId="8" xfId="124" applyNumberFormat="1" applyFont="1" applyFill="1" applyBorder="1"/>
    <xf numFmtId="166" fontId="206" fillId="0" borderId="0" xfId="124" applyNumberFormat="1" applyFont="1" applyFill="1"/>
    <xf numFmtId="166" fontId="206" fillId="0" borderId="0" xfId="124" applyNumberFormat="1" applyFont="1" applyFill="1" applyBorder="1"/>
    <xf numFmtId="166" fontId="205" fillId="0" borderId="8" xfId="124" applyNumberFormat="1" applyFont="1" applyFill="1" applyBorder="1" applyAlignment="1">
      <alignment horizontal="right"/>
    </xf>
    <xf numFmtId="166" fontId="205" fillId="0" borderId="0" xfId="124" applyNumberFormat="1" applyFont="1" applyFill="1" applyBorder="1" applyAlignment="1">
      <alignment horizontal="right"/>
    </xf>
    <xf numFmtId="166" fontId="205" fillId="0" borderId="0" xfId="124" applyNumberFormat="1" applyFont="1" applyFill="1" applyAlignment="1">
      <alignment horizontal="right"/>
    </xf>
    <xf numFmtId="166" fontId="206" fillId="0" borderId="8" xfId="124" applyNumberFormat="1" applyFont="1" applyFill="1" applyBorder="1" applyAlignment="1">
      <alignment horizontal="right"/>
    </xf>
    <xf numFmtId="166" fontId="206" fillId="0" borderId="0" xfId="124" applyNumberFormat="1" applyFont="1" applyFill="1" applyBorder="1" applyAlignment="1">
      <alignment horizontal="right"/>
    </xf>
    <xf numFmtId="166" fontId="206" fillId="0" borderId="0" xfId="124" applyNumberFormat="1" applyFont="1" applyFill="1" applyAlignment="1">
      <alignment horizontal="right"/>
    </xf>
    <xf numFmtId="166" fontId="205" fillId="0" borderId="8" xfId="124" applyNumberFormat="1" applyFont="1" applyFill="1" applyBorder="1"/>
    <xf numFmtId="167" fontId="205" fillId="0" borderId="0" xfId="387" applyNumberFormat="1" applyFont="1" applyFill="1" applyBorder="1"/>
    <xf numFmtId="9" fontId="205" fillId="0" borderId="8" xfId="387" applyFont="1" applyFill="1" applyBorder="1"/>
    <xf numFmtId="1" fontId="203" fillId="30" borderId="28" xfId="0" applyNumberFormat="1" applyFont="1" applyFill="1" applyBorder="1" applyAlignment="1">
      <alignment horizontal="left" vertical="top" indent="3"/>
    </xf>
    <xf numFmtId="0" fontId="203" fillId="30" borderId="24" xfId="0" applyFont="1" applyFill="1" applyBorder="1" applyAlignment="1">
      <alignment horizontal="left" vertical="top" indent="3"/>
    </xf>
    <xf numFmtId="1" fontId="203" fillId="30" borderId="24" xfId="0" applyNumberFormat="1" applyFont="1" applyFill="1" applyBorder="1" applyAlignment="1">
      <alignment horizontal="left" vertical="top" indent="3"/>
    </xf>
    <xf numFmtId="0" fontId="206" fillId="0" borderId="2" xfId="0" applyFont="1" applyBorder="1"/>
    <xf numFmtId="0" fontId="206" fillId="0" borderId="4" xfId="0" applyFont="1" applyBorder="1"/>
    <xf numFmtId="0" fontId="206" fillId="0" borderId="18" xfId="0" applyFont="1" applyBorder="1"/>
    <xf numFmtId="41" fontId="206" fillId="0" borderId="4" xfId="134" applyFont="1" applyFill="1" applyBorder="1"/>
    <xf numFmtId="41" fontId="206" fillId="0" borderId="18" xfId="0" applyNumberFormat="1" applyFont="1" applyBorder="1"/>
    <xf numFmtId="169" fontId="205" fillId="0" borderId="8" xfId="124" applyNumberFormat="1" applyFont="1" applyFill="1" applyBorder="1"/>
    <xf numFmtId="169" fontId="205" fillId="0" borderId="0" xfId="124" applyNumberFormat="1" applyFont="1" applyFill="1"/>
    <xf numFmtId="176" fontId="205" fillId="0" borderId="8" xfId="134" applyNumberFormat="1" applyFont="1" applyFill="1" applyBorder="1"/>
    <xf numFmtId="43" fontId="205" fillId="18" borderId="0" xfId="124" applyFont="1" applyFill="1"/>
    <xf numFmtId="43" fontId="205" fillId="0" borderId="0" xfId="124" applyFont="1" applyFill="1"/>
    <xf numFmtId="177" fontId="205" fillId="0" borderId="0" xfId="0" applyNumberFormat="1" applyFont="1"/>
    <xf numFmtId="41" fontId="205" fillId="0" borderId="8" xfId="134" applyFont="1" applyFill="1" applyBorder="1"/>
    <xf numFmtId="41" fontId="205" fillId="0" borderId="0" xfId="134" applyFont="1" applyFill="1"/>
    <xf numFmtId="41" fontId="205" fillId="18" borderId="0" xfId="134" applyFont="1" applyFill="1" applyBorder="1"/>
    <xf numFmtId="41" fontId="205" fillId="0" borderId="0" xfId="134" applyFont="1" applyFill="1" applyBorder="1"/>
    <xf numFmtId="41" fontId="205" fillId="0" borderId="0" xfId="0" applyNumberFormat="1" applyFont="1"/>
    <xf numFmtId="167" fontId="205" fillId="0" borderId="8" xfId="387" applyNumberFormat="1" applyFont="1" applyFill="1" applyBorder="1"/>
    <xf numFmtId="166" fontId="205" fillId="29" borderId="0" xfId="0" applyNumberFormat="1" applyFont="1" applyFill="1"/>
    <xf numFmtId="41" fontId="205" fillId="0" borderId="8" xfId="0" applyNumberFormat="1" applyFont="1" applyBorder="1"/>
    <xf numFmtId="43" fontId="205" fillId="0" borderId="8" xfId="124" applyFont="1" applyFill="1" applyBorder="1"/>
    <xf numFmtId="166" fontId="205" fillId="0" borderId="0" xfId="0" applyNumberFormat="1" applyFont="1"/>
    <xf numFmtId="0" fontId="206" fillId="0" borderId="8" xfId="0" applyFont="1" applyBorder="1"/>
    <xf numFmtId="181" fontId="206" fillId="0" borderId="0" xfId="169" applyNumberFormat="1" applyFont="1" applyFill="1" applyAlignment="1">
      <alignment horizontal="right"/>
    </xf>
    <xf numFmtId="165" fontId="206" fillId="0" borderId="0" xfId="169" applyNumberFormat="1" applyFont="1" applyFill="1" applyAlignment="1">
      <alignment horizontal="right"/>
    </xf>
    <xf numFmtId="44" fontId="205" fillId="0" borderId="0" xfId="169" applyFont="1" applyFill="1" applyAlignment="1">
      <alignment horizontal="right"/>
    </xf>
    <xf numFmtId="165" fontId="205" fillId="0" borderId="0" xfId="169" applyNumberFormat="1" applyFont="1" applyFill="1" applyAlignment="1">
      <alignment horizontal="right"/>
    </xf>
    <xf numFmtId="43" fontId="206" fillId="0" borderId="0" xfId="124" applyFont="1" applyFill="1"/>
    <xf numFmtId="9" fontId="206" fillId="0" borderId="0" xfId="0" applyNumberFormat="1" applyFont="1"/>
    <xf numFmtId="167" fontId="205" fillId="0" borderId="0" xfId="387" applyNumberFormat="1" applyFont="1" applyFill="1"/>
    <xf numFmtId="9" fontId="206" fillId="0" borderId="0" xfId="387" applyFont="1" applyFill="1"/>
    <xf numFmtId="0" fontId="205" fillId="0" borderId="0" xfId="0" applyFont="1" applyAlignment="1">
      <alignment horizontal="right"/>
    </xf>
    <xf numFmtId="167" fontId="206" fillId="0" borderId="0" xfId="387" applyNumberFormat="1" applyFont="1" applyFill="1" applyBorder="1"/>
    <xf numFmtId="0" fontId="206" fillId="30" borderId="28" xfId="0" applyFont="1" applyFill="1" applyBorder="1" applyAlignment="1">
      <alignment horizontal="left" vertical="top" indent="3"/>
    </xf>
    <xf numFmtId="167" fontId="206" fillId="0" borderId="0" xfId="387" applyNumberFormat="1" applyFont="1" applyFill="1"/>
    <xf numFmtId="167" fontId="205" fillId="0" borderId="0" xfId="387" applyNumberFormat="1" applyFont="1"/>
    <xf numFmtId="166" fontId="205" fillId="0" borderId="8" xfId="0" applyNumberFormat="1" applyFont="1" applyBorder="1"/>
    <xf numFmtId="9" fontId="205" fillId="0" borderId="0" xfId="387" applyFont="1" applyFill="1"/>
    <xf numFmtId="167" fontId="205" fillId="0" borderId="8" xfId="387" applyNumberFormat="1" applyFont="1" applyBorder="1"/>
    <xf numFmtId="0" fontId="205" fillId="0" borderId="4" xfId="0" applyFont="1" applyBorder="1"/>
    <xf numFmtId="44" fontId="205" fillId="0" borderId="8" xfId="0" applyNumberFormat="1" applyFont="1" applyBorder="1"/>
    <xf numFmtId="165" fontId="205" fillId="0" borderId="30" xfId="169" applyNumberFormat="1" applyFont="1" applyFill="1" applyBorder="1" applyAlignment="1">
      <alignment horizontal="right"/>
    </xf>
    <xf numFmtId="165" fontId="205" fillId="0" borderId="31" xfId="169" applyNumberFormat="1" applyFont="1" applyFill="1" applyBorder="1" applyAlignment="1">
      <alignment horizontal="right"/>
    </xf>
    <xf numFmtId="173" fontId="206" fillId="0" borderId="8" xfId="134" applyNumberFormat="1" applyFont="1" applyFill="1" applyBorder="1"/>
    <xf numFmtId="166" fontId="206" fillId="0" borderId="0" xfId="387" applyNumberFormat="1" applyFont="1" applyFill="1"/>
    <xf numFmtId="9" fontId="205" fillId="0" borderId="8" xfId="387" applyFont="1" applyBorder="1"/>
    <xf numFmtId="166" fontId="205" fillId="0" borderId="8" xfId="124" applyNumberFormat="1" applyFont="1" applyBorder="1"/>
    <xf numFmtId="166" fontId="205" fillId="0" borderId="0" xfId="124" applyNumberFormat="1" applyFont="1" applyFill="1" applyBorder="1" applyAlignment="1">
      <alignment horizontal="center" vertical="top"/>
    </xf>
    <xf numFmtId="166" fontId="205" fillId="0" borderId="8" xfId="124" applyNumberFormat="1" applyFont="1" applyFill="1" applyBorder="1" applyAlignment="1">
      <alignment horizontal="center" vertical="top"/>
    </xf>
    <xf numFmtId="166" fontId="206" fillId="0" borderId="0" xfId="124" applyNumberFormat="1" applyFont="1" applyFill="1" applyBorder="1" applyAlignment="1">
      <alignment horizontal="center" vertical="top"/>
    </xf>
    <xf numFmtId="166" fontId="206" fillId="0" borderId="8" xfId="124" applyNumberFormat="1" applyFont="1" applyFill="1" applyBorder="1" applyAlignment="1">
      <alignment horizontal="center" vertical="top"/>
    </xf>
    <xf numFmtId="166" fontId="205" fillId="0" borderId="0" xfId="124" applyNumberFormat="1" applyFont="1" applyBorder="1"/>
    <xf numFmtId="166" fontId="205" fillId="0" borderId="0" xfId="124" applyNumberFormat="1" applyFont="1" applyFill="1" applyBorder="1"/>
    <xf numFmtId="166" fontId="206" fillId="0" borderId="4" xfId="124" applyNumberFormat="1" applyFont="1" applyBorder="1"/>
    <xf numFmtId="166" fontId="206" fillId="0" borderId="18" xfId="124" applyNumberFormat="1" applyFont="1" applyBorder="1"/>
    <xf numFmtId="0" fontId="206" fillId="0" borderId="24" xfId="0" applyFont="1" applyBorder="1"/>
    <xf numFmtId="166" fontId="206" fillId="0" borderId="24" xfId="124" applyNumberFormat="1" applyFont="1" applyBorder="1"/>
    <xf numFmtId="166" fontId="206" fillId="0" borderId="28" xfId="124" applyNumberFormat="1" applyFont="1" applyBorder="1"/>
    <xf numFmtId="166" fontId="206" fillId="0" borderId="8" xfId="124" applyNumberFormat="1" applyFont="1" applyBorder="1"/>
    <xf numFmtId="166" fontId="206" fillId="28" borderId="0" xfId="124" applyNumberFormat="1" applyFont="1" applyFill="1"/>
    <xf numFmtId="9" fontId="205" fillId="0" borderId="0" xfId="387" applyFont="1"/>
    <xf numFmtId="0" fontId="205" fillId="0" borderId="2" xfId="0" applyFont="1" applyBorder="1"/>
    <xf numFmtId="167" fontId="205" fillId="0" borderId="2" xfId="387" applyNumberFormat="1" applyFont="1" applyBorder="1"/>
    <xf numFmtId="166" fontId="205" fillId="31" borderId="0" xfId="124" applyNumberFormat="1" applyFont="1" applyFill="1"/>
    <xf numFmtId="166" fontId="205" fillId="31" borderId="0" xfId="387" applyNumberFormat="1" applyFont="1" applyFill="1" applyBorder="1"/>
    <xf numFmtId="167" fontId="205" fillId="31" borderId="0" xfId="387" applyNumberFormat="1" applyFont="1" applyFill="1"/>
    <xf numFmtId="166" fontId="205" fillId="0" borderId="4" xfId="124" applyNumberFormat="1" applyFont="1" applyFill="1" applyBorder="1"/>
    <xf numFmtId="41" fontId="205" fillId="31" borderId="0" xfId="134" applyFont="1" applyFill="1"/>
    <xf numFmtId="166" fontId="205" fillId="0" borderId="18" xfId="124" applyNumberFormat="1" applyFont="1" applyFill="1" applyBorder="1"/>
    <xf numFmtId="9" fontId="205" fillId="0" borderId="18" xfId="387" applyFont="1" applyBorder="1"/>
    <xf numFmtId="9" fontId="205" fillId="0" borderId="4" xfId="387" applyFont="1" applyFill="1" applyBorder="1"/>
    <xf numFmtId="41" fontId="205" fillId="18" borderId="0" xfId="134" applyFont="1" applyFill="1"/>
    <xf numFmtId="167" fontId="205" fillId="0" borderId="27" xfId="387" applyNumberFormat="1" applyFont="1" applyBorder="1"/>
    <xf numFmtId="167" fontId="205" fillId="0" borderId="27" xfId="387" applyNumberFormat="1" applyFont="1" applyFill="1" applyBorder="1"/>
    <xf numFmtId="167" fontId="205" fillId="0" borderId="2" xfId="387" applyNumberFormat="1" applyFont="1" applyFill="1" applyBorder="1"/>
    <xf numFmtId="167" fontId="205" fillId="31" borderId="2" xfId="387" applyNumberFormat="1" applyFont="1" applyFill="1" applyBorder="1"/>
    <xf numFmtId="167" fontId="205" fillId="0" borderId="2" xfId="0" applyNumberFormat="1" applyFont="1" applyBorder="1"/>
    <xf numFmtId="1" fontId="205" fillId="0" borderId="4" xfId="0" applyNumberFormat="1" applyFont="1" applyBorder="1" applyAlignment="1">
      <alignment horizontal="left"/>
    </xf>
    <xf numFmtId="167" fontId="205" fillId="0" borderId="4" xfId="387" applyNumberFormat="1" applyFont="1" applyBorder="1"/>
    <xf numFmtId="167" fontId="205" fillId="0" borderId="27" xfId="387" applyNumberFormat="1" applyFont="1" applyFill="1" applyBorder="1" applyAlignment="1">
      <alignment horizontal="right" vertical="top"/>
    </xf>
    <xf numFmtId="0" fontId="205" fillId="0" borderId="9" xfId="0" applyFont="1" applyBorder="1"/>
    <xf numFmtId="167" fontId="205" fillId="0" borderId="9" xfId="387" applyNumberFormat="1" applyFont="1" applyBorder="1"/>
    <xf numFmtId="167" fontId="205" fillId="0" borderId="29" xfId="387" applyNumberFormat="1" applyFont="1" applyBorder="1"/>
    <xf numFmtId="166" fontId="205" fillId="31" borderId="0" xfId="0" applyNumberFormat="1" applyFont="1" applyFill="1"/>
    <xf numFmtId="168" fontId="205" fillId="0" borderId="0" xfId="0" applyNumberFormat="1" applyFont="1"/>
    <xf numFmtId="168" fontId="205" fillId="0" borderId="8" xfId="0" applyNumberFormat="1" applyFont="1" applyBorder="1"/>
    <xf numFmtId="168" fontId="205" fillId="31" borderId="0" xfId="0" applyNumberFormat="1" applyFont="1" applyFill="1"/>
    <xf numFmtId="166" fontId="206" fillId="0" borderId="4" xfId="0" applyNumberFormat="1" applyFont="1" applyBorder="1"/>
    <xf numFmtId="166" fontId="206" fillId="0" borderId="18" xfId="0" applyNumberFormat="1" applyFont="1" applyBorder="1"/>
    <xf numFmtId="166" fontId="205" fillId="0" borderId="29" xfId="387" applyNumberFormat="1" applyFont="1" applyBorder="1"/>
    <xf numFmtId="0" fontId="206" fillId="0" borderId="2" xfId="0" applyFont="1" applyBorder="1" applyAlignment="1">
      <alignment horizontal="left"/>
    </xf>
    <xf numFmtId="166" fontId="206" fillId="0" borderId="2" xfId="124" applyNumberFormat="1" applyFont="1" applyFill="1" applyBorder="1"/>
    <xf numFmtId="166" fontId="206" fillId="0" borderId="27" xfId="124" applyNumberFormat="1" applyFont="1" applyFill="1" applyBorder="1"/>
    <xf numFmtId="166" fontId="205" fillId="0" borderId="9" xfId="124" applyNumberFormat="1" applyFont="1" applyFill="1" applyBorder="1"/>
    <xf numFmtId="0" fontId="207" fillId="0" borderId="0" xfId="0" applyFont="1" applyAlignment="1">
      <alignment horizontal="left"/>
    </xf>
    <xf numFmtId="166" fontId="207" fillId="0" borderId="8" xfId="124" applyNumberFormat="1" applyFont="1" applyFill="1" applyBorder="1" applyAlignment="1">
      <alignment horizontal="right"/>
    </xf>
    <xf numFmtId="166" fontId="207" fillId="31" borderId="0" xfId="124" applyNumberFormat="1" applyFont="1" applyFill="1"/>
    <xf numFmtId="166" fontId="207" fillId="29" borderId="0" xfId="124" applyNumberFormat="1" applyFont="1" applyFill="1"/>
    <xf numFmtId="166" fontId="207" fillId="0" borderId="0" xfId="124" applyNumberFormat="1" applyFont="1" applyFill="1" applyBorder="1" applyAlignment="1">
      <alignment horizontal="right"/>
    </xf>
    <xf numFmtId="166" fontId="207" fillId="0" borderId="8" xfId="124" applyNumberFormat="1" applyFont="1" applyFill="1" applyBorder="1"/>
    <xf numFmtId="0" fontId="207" fillId="0" borderId="0" xfId="0" applyFont="1"/>
    <xf numFmtId="166" fontId="205" fillId="31" borderId="0" xfId="124" applyNumberFormat="1" applyFont="1" applyFill="1" applyBorder="1" applyAlignment="1">
      <alignment horizontal="right"/>
    </xf>
    <xf numFmtId="166" fontId="205" fillId="0" borderId="0" xfId="0" applyNumberFormat="1" applyFont="1" applyAlignment="1">
      <alignment horizontal="left"/>
    </xf>
    <xf numFmtId="0" fontId="205" fillId="0" borderId="2" xfId="0" applyFont="1" applyBorder="1" applyAlignment="1">
      <alignment horizontal="left"/>
    </xf>
    <xf numFmtId="166" fontId="205" fillId="0" borderId="27" xfId="124" applyNumberFormat="1" applyFont="1" applyFill="1" applyBorder="1"/>
    <xf numFmtId="166" fontId="205" fillId="31" borderId="2" xfId="124" applyNumberFormat="1" applyFont="1" applyFill="1" applyBorder="1"/>
    <xf numFmtId="166" fontId="205" fillId="31" borderId="2" xfId="124" applyNumberFormat="1" applyFont="1" applyFill="1" applyBorder="1" applyAlignment="1">
      <alignment horizontal="right"/>
    </xf>
    <xf numFmtId="166" fontId="205" fillId="0" borderId="27" xfId="124" applyNumberFormat="1" applyFont="1" applyFill="1" applyBorder="1" applyAlignment="1">
      <alignment horizontal="right"/>
    </xf>
    <xf numFmtId="0" fontId="206" fillId="0" borderId="8" xfId="0" applyFont="1" applyBorder="1" applyAlignment="1">
      <alignment horizontal="left" wrapText="1"/>
    </xf>
    <xf numFmtId="166" fontId="205" fillId="31" borderId="0" xfId="124" applyNumberFormat="1" applyFont="1" applyFill="1" applyBorder="1"/>
    <xf numFmtId="166" fontId="206" fillId="31" borderId="2" xfId="124" applyNumberFormat="1" applyFont="1" applyFill="1" applyBorder="1"/>
    <xf numFmtId="166" fontId="205" fillId="0" borderId="2" xfId="124" applyNumberFormat="1" applyFont="1" applyFill="1" applyBorder="1"/>
    <xf numFmtId="0" fontId="208" fillId="0" borderId="0" xfId="0" applyFont="1"/>
    <xf numFmtId="166" fontId="208" fillId="0" borderId="0" xfId="124" applyNumberFormat="1" applyFont="1" applyFill="1"/>
    <xf numFmtId="166" fontId="208" fillId="0" borderId="8" xfId="124" applyNumberFormat="1" applyFont="1" applyFill="1" applyBorder="1"/>
    <xf numFmtId="166" fontId="205" fillId="0" borderId="0" xfId="124" applyNumberFormat="1" applyFont="1" applyFill="1" applyBorder="1" applyAlignment="1">
      <alignment horizontal="right" wrapText="1"/>
    </xf>
    <xf numFmtId="9" fontId="205" fillId="0" borderId="0" xfId="387" applyFont="1" applyFill="1" applyBorder="1"/>
    <xf numFmtId="173" fontId="205" fillId="0" borderId="8" xfId="134" applyNumberFormat="1" applyFont="1" applyFill="1" applyBorder="1"/>
    <xf numFmtId="173" fontId="205" fillId="0" borderId="0" xfId="124" applyNumberFormat="1" applyFont="1" applyFill="1" applyBorder="1"/>
    <xf numFmtId="43" fontId="205" fillId="0" borderId="0" xfId="124" applyFont="1" applyFill="1" applyBorder="1"/>
    <xf numFmtId="41" fontId="206" fillId="0" borderId="0" xfId="134" applyFont="1" applyFill="1"/>
    <xf numFmtId="41" fontId="206" fillId="0" borderId="8" xfId="134" applyFont="1" applyFill="1" applyBorder="1"/>
    <xf numFmtId="41" fontId="206" fillId="0" borderId="0" xfId="0" applyNumberFormat="1" applyFont="1"/>
    <xf numFmtId="41" fontId="206" fillId="0" borderId="8" xfId="0" applyNumberFormat="1" applyFont="1" applyBorder="1"/>
    <xf numFmtId="174" fontId="208" fillId="0" borderId="0" xfId="0" applyNumberFormat="1" applyFont="1"/>
    <xf numFmtId="174" fontId="208" fillId="0" borderId="8" xfId="0" applyNumberFormat="1" applyFont="1" applyBorder="1"/>
    <xf numFmtId="174" fontId="208" fillId="31" borderId="0" xfId="0" applyNumberFormat="1" applyFont="1" applyFill="1"/>
    <xf numFmtId="167" fontId="208" fillId="0" borderId="0" xfId="387" applyNumberFormat="1" applyFont="1" applyFill="1"/>
    <xf numFmtId="167" fontId="208" fillId="0" borderId="8" xfId="387" applyNumberFormat="1" applyFont="1" applyFill="1" applyBorder="1"/>
    <xf numFmtId="167" fontId="208" fillId="31" borderId="0" xfId="387" applyNumberFormat="1" applyFont="1" applyFill="1"/>
    <xf numFmtId="174" fontId="205" fillId="0" borderId="8" xfId="0" applyNumberFormat="1" applyFont="1" applyBorder="1"/>
    <xf numFmtId="166" fontId="206" fillId="0" borderId="0" xfId="0" applyNumberFormat="1" applyFont="1"/>
    <xf numFmtId="166" fontId="206" fillId="0" borderId="8" xfId="0" applyNumberFormat="1" applyFont="1" applyBorder="1"/>
    <xf numFmtId="166" fontId="206" fillId="31" borderId="0" xfId="0" applyNumberFormat="1" applyFont="1" applyFill="1"/>
    <xf numFmtId="166" fontId="209" fillId="0" borderId="8" xfId="124" applyNumberFormat="1" applyFont="1" applyFill="1" applyBorder="1" applyAlignment="1">
      <alignment horizontal="right"/>
    </xf>
    <xf numFmtId="166" fontId="210" fillId="0" borderId="0" xfId="124" applyNumberFormat="1" applyFont="1" applyFill="1" applyAlignment="1">
      <alignment horizontal="right"/>
    </xf>
    <xf numFmtId="166" fontId="210" fillId="0" borderId="8" xfId="124" applyNumberFormat="1" applyFont="1" applyFill="1" applyBorder="1" applyAlignment="1">
      <alignment horizontal="right"/>
    </xf>
    <xf numFmtId="167" fontId="206" fillId="0" borderId="4" xfId="387" applyNumberFormat="1" applyFont="1" applyFill="1" applyBorder="1"/>
    <xf numFmtId="167" fontId="206" fillId="0" borderId="18" xfId="387" applyNumberFormat="1" applyFont="1" applyFill="1" applyBorder="1"/>
    <xf numFmtId="166" fontId="205" fillId="0" borderId="2" xfId="0" applyNumberFormat="1" applyFont="1" applyBorder="1"/>
    <xf numFmtId="166" fontId="209" fillId="31" borderId="0" xfId="124" applyNumberFormat="1" applyFont="1" applyFill="1" applyAlignment="1">
      <alignment horizontal="right"/>
    </xf>
    <xf numFmtId="166" fontId="209" fillId="29" borderId="0" xfId="124" applyNumberFormat="1" applyFont="1" applyFill="1" applyAlignment="1">
      <alignment horizontal="right"/>
    </xf>
    <xf numFmtId="0" fontId="208" fillId="0" borderId="0" xfId="0" applyFont="1" applyAlignment="1">
      <alignment horizontal="left"/>
    </xf>
    <xf numFmtId="167" fontId="208" fillId="0" borderId="0" xfId="387" applyNumberFormat="1" applyFont="1" applyFill="1" applyAlignment="1">
      <alignment horizontal="right"/>
    </xf>
    <xf numFmtId="167" fontId="208" fillId="0" borderId="8" xfId="387" applyNumberFormat="1" applyFont="1" applyFill="1" applyBorder="1" applyAlignment="1">
      <alignment horizontal="right"/>
    </xf>
    <xf numFmtId="167" fontId="208" fillId="31" borderId="0" xfId="387" applyNumberFormat="1" applyFont="1" applyFill="1" applyAlignment="1">
      <alignment horizontal="right"/>
    </xf>
    <xf numFmtId="166" fontId="205" fillId="0" borderId="0" xfId="0" applyNumberFormat="1" applyFont="1" applyAlignment="1">
      <alignment horizontal="right"/>
    </xf>
    <xf numFmtId="9" fontId="211" fillId="0" borderId="0" xfId="387" applyFont="1" applyFill="1" applyAlignment="1">
      <alignment horizontal="left"/>
    </xf>
    <xf numFmtId="167" fontId="211" fillId="0" borderId="0" xfId="387" applyNumberFormat="1" applyFont="1" applyFill="1" applyAlignment="1">
      <alignment horizontal="right"/>
    </xf>
    <xf numFmtId="167" fontId="211" fillId="0" borderId="8" xfId="387" applyNumberFormat="1" applyFont="1" applyFill="1" applyBorder="1" applyAlignment="1">
      <alignment horizontal="right"/>
    </xf>
    <xf numFmtId="9" fontId="211" fillId="0" borderId="0" xfId="387" applyFont="1" applyFill="1"/>
    <xf numFmtId="167" fontId="211" fillId="31" borderId="0" xfId="387" applyNumberFormat="1" applyFont="1" applyFill="1" applyAlignment="1">
      <alignment horizontal="right"/>
    </xf>
    <xf numFmtId="9" fontId="211" fillId="0" borderId="0" xfId="387" applyFont="1" applyFill="1" applyBorder="1"/>
    <xf numFmtId="166" fontId="209" fillId="0" borderId="0" xfId="124" applyNumberFormat="1" applyFont="1" applyFill="1" applyAlignment="1">
      <alignment horizontal="right"/>
    </xf>
    <xf numFmtId="166" fontId="205" fillId="31" borderId="0" xfId="124" applyNumberFormat="1" applyFont="1" applyFill="1" applyAlignment="1">
      <alignment horizontal="right"/>
    </xf>
    <xf numFmtId="166" fontId="210" fillId="31" borderId="0" xfId="124" applyNumberFormat="1" applyFont="1" applyFill="1" applyAlignment="1">
      <alignment horizontal="right"/>
    </xf>
    <xf numFmtId="0" fontId="211" fillId="0" borderId="0" xfId="0" applyFont="1" applyAlignment="1">
      <alignment horizontal="left"/>
    </xf>
    <xf numFmtId="166" fontId="206" fillId="0" borderId="2" xfId="0" applyNumberFormat="1" applyFont="1" applyBorder="1"/>
    <xf numFmtId="166" fontId="206" fillId="0" borderId="27" xfId="0" applyNumberFormat="1" applyFont="1" applyBorder="1"/>
    <xf numFmtId="166" fontId="210" fillId="29" borderId="0" xfId="124" applyNumberFormat="1" applyFont="1" applyFill="1" applyAlignment="1">
      <alignment horizontal="right"/>
    </xf>
    <xf numFmtId="171" fontId="210" fillId="0" borderId="0" xfId="124" applyNumberFormat="1" applyFont="1" applyFill="1" applyAlignment="1">
      <alignment horizontal="right"/>
    </xf>
    <xf numFmtId="171" fontId="210" fillId="0" borderId="8" xfId="124" applyNumberFormat="1" applyFont="1" applyFill="1" applyBorder="1" applyAlignment="1">
      <alignment horizontal="right"/>
    </xf>
    <xf numFmtId="43" fontId="206" fillId="0" borderId="0" xfId="124" applyFont="1" applyFill="1" applyAlignment="1">
      <alignment horizontal="left"/>
    </xf>
    <xf numFmtId="167" fontId="206" fillId="0" borderId="8" xfId="387" applyNumberFormat="1" applyFont="1" applyFill="1" applyBorder="1"/>
    <xf numFmtId="167" fontId="205" fillId="0" borderId="0" xfId="387" applyNumberFormat="1" applyFont="1" applyFill="1" applyAlignment="1">
      <alignment horizontal="right"/>
    </xf>
    <xf numFmtId="167" fontId="205" fillId="0" borderId="8" xfId="387" applyNumberFormat="1" applyFont="1" applyFill="1" applyBorder="1" applyAlignment="1">
      <alignment horizontal="right"/>
    </xf>
    <xf numFmtId="43" fontId="205" fillId="0" borderId="2" xfId="124" applyFont="1" applyFill="1" applyBorder="1"/>
    <xf numFmtId="9" fontId="205" fillId="31" borderId="0" xfId="387" applyFont="1" applyFill="1"/>
    <xf numFmtId="0" fontId="204" fillId="30" borderId="0" xfId="351" applyFont="1" applyFill="1"/>
    <xf numFmtId="0" fontId="203" fillId="30" borderId="24" xfId="351" applyFont="1" applyFill="1" applyBorder="1" applyAlignment="1">
      <alignment horizontal="left" vertical="top"/>
    </xf>
    <xf numFmtId="43" fontId="203" fillId="30" borderId="24" xfId="0" applyNumberFormat="1" applyFont="1" applyFill="1" applyBorder="1" applyAlignment="1">
      <alignment horizontal="center"/>
    </xf>
    <xf numFmtId="43" fontId="203" fillId="30" borderId="28" xfId="0" applyNumberFormat="1" applyFont="1" applyFill="1" applyBorder="1" applyAlignment="1">
      <alignment horizontal="center"/>
    </xf>
    <xf numFmtId="0" fontId="205" fillId="0" borderId="0" xfId="351" applyFont="1"/>
    <xf numFmtId="0" fontId="205" fillId="0" borderId="0" xfId="577" applyFont="1" applyAlignment="1">
      <alignment horizontal="left"/>
    </xf>
    <xf numFmtId="37" fontId="205" fillId="31" borderId="0" xfId="124" applyNumberFormat="1" applyFont="1" applyFill="1" applyAlignment="1">
      <alignment horizontal="center"/>
    </xf>
    <xf numFmtId="37" fontId="205" fillId="0" borderId="8" xfId="124" applyNumberFormat="1" applyFont="1" applyBorder="1" applyAlignment="1">
      <alignment horizontal="center"/>
    </xf>
    <xf numFmtId="0" fontId="205" fillId="0" borderId="0" xfId="577" quotePrefix="1" applyFont="1" applyAlignment="1">
      <alignment horizontal="left"/>
    </xf>
    <xf numFmtId="37" fontId="205" fillId="31" borderId="0" xfId="577" applyNumberFormat="1" applyFont="1" applyFill="1" applyAlignment="1">
      <alignment horizontal="center"/>
    </xf>
    <xf numFmtId="37" fontId="205" fillId="0" borderId="27" xfId="124" applyNumberFormat="1" applyFont="1" applyBorder="1" applyAlignment="1">
      <alignment horizontal="center"/>
    </xf>
    <xf numFmtId="0" fontId="204" fillId="0" borderId="0" xfId="0" applyFont="1"/>
    <xf numFmtId="166" fontId="205" fillId="31" borderId="2" xfId="387" applyNumberFormat="1" applyFont="1" applyFill="1" applyBorder="1"/>
    <xf numFmtId="166" fontId="205" fillId="0" borderId="27" xfId="124" applyNumberFormat="1" applyFont="1" applyFill="1" applyBorder="1" applyAlignment="1">
      <alignment horizontal="center" vertical="top"/>
    </xf>
    <xf numFmtId="0" fontId="203" fillId="30" borderId="0" xfId="0" applyFont="1" applyFill="1"/>
    <xf numFmtId="175" fontId="205" fillId="31" borderId="0" xfId="0" applyNumberFormat="1" applyFont="1" applyFill="1"/>
    <xf numFmtId="43" fontId="205" fillId="31" borderId="0" xfId="0" applyNumberFormat="1" applyFont="1" applyFill="1"/>
    <xf numFmtId="167" fontId="205" fillId="31" borderId="20" xfId="387" applyNumberFormat="1" applyFont="1" applyFill="1" applyBorder="1" applyAlignment="1">
      <alignment horizontal="right"/>
    </xf>
    <xf numFmtId="167" fontId="205" fillId="0" borderId="20" xfId="387" applyNumberFormat="1" applyFont="1" applyFill="1" applyBorder="1" applyAlignment="1">
      <alignment horizontal="right"/>
    </xf>
    <xf numFmtId="39" fontId="205" fillId="31" borderId="0" xfId="0" applyNumberFormat="1" applyFont="1" applyFill="1" applyAlignment="1">
      <alignment horizontal="right"/>
    </xf>
    <xf numFmtId="167" fontId="205" fillId="0" borderId="20" xfId="387" applyNumberFormat="1" applyFont="1" applyBorder="1" applyAlignment="1">
      <alignment horizontal="right"/>
    </xf>
    <xf numFmtId="167" fontId="206" fillId="0" borderId="20" xfId="387" applyNumberFormat="1" applyFont="1" applyBorder="1" applyAlignment="1">
      <alignment horizontal="right"/>
    </xf>
    <xf numFmtId="172" fontId="205" fillId="0" borderId="0" xfId="0" applyNumberFormat="1" applyFont="1" applyAlignment="1">
      <alignment horizontal="right"/>
    </xf>
    <xf numFmtId="43" fontId="203" fillId="30" borderId="24" xfId="0" applyNumberFormat="1" applyFont="1" applyFill="1" applyBorder="1" applyAlignment="1">
      <alignment horizontal="left" vertical="top" indent="3"/>
    </xf>
    <xf numFmtId="43" fontId="205" fillId="0" borderId="8" xfId="387" applyNumberFormat="1" applyFont="1" applyFill="1" applyBorder="1"/>
    <xf numFmtId="166" fontId="205" fillId="29" borderId="0" xfId="124" applyNumberFormat="1" applyFont="1" applyFill="1"/>
    <xf numFmtId="41" fontId="205" fillId="29" borderId="0" xfId="0" applyNumberFormat="1" applyFont="1" applyFill="1"/>
    <xf numFmtId="166" fontId="206" fillId="31" borderId="0" xfId="124" applyNumberFormat="1" applyFont="1" applyFill="1"/>
    <xf numFmtId="0" fontId="203" fillId="0" borderId="9" xfId="0" applyFont="1" applyBorder="1" applyAlignment="1">
      <alignment horizontal="left" vertical="top" indent="3"/>
    </xf>
    <xf numFmtId="1" fontId="203" fillId="0" borderId="9" xfId="0" applyNumberFormat="1" applyFont="1" applyBorder="1" applyAlignment="1">
      <alignment horizontal="left" vertical="top" indent="3"/>
    </xf>
    <xf numFmtId="1" fontId="203" fillId="0" borderId="29" xfId="0" applyNumberFormat="1" applyFont="1" applyBorder="1" applyAlignment="1">
      <alignment horizontal="left" vertical="top" indent="3"/>
    </xf>
    <xf numFmtId="167" fontId="206" fillId="0" borderId="29" xfId="387" applyNumberFormat="1" applyFont="1" applyFill="1" applyBorder="1"/>
    <xf numFmtId="0" fontId="203" fillId="30" borderId="4" xfId="0" applyFont="1" applyFill="1" applyBorder="1" applyAlignment="1">
      <alignment horizontal="left" vertical="top"/>
    </xf>
    <xf numFmtId="0" fontId="203" fillId="30" borderId="4" xfId="0" applyFont="1" applyFill="1" applyBorder="1" applyAlignment="1">
      <alignment horizontal="left" vertical="top" indent="3"/>
    </xf>
    <xf numFmtId="1" fontId="203" fillId="30" borderId="4" xfId="0" applyNumberFormat="1" applyFont="1" applyFill="1" applyBorder="1" applyAlignment="1">
      <alignment horizontal="left" vertical="top" indent="3"/>
    </xf>
    <xf numFmtId="1" fontId="203" fillId="30" borderId="18" xfId="0" applyNumberFormat="1" applyFont="1" applyFill="1" applyBorder="1" applyAlignment="1">
      <alignment horizontal="left" vertical="top" indent="3"/>
    </xf>
    <xf numFmtId="9" fontId="205" fillId="0" borderId="0" xfId="387" applyFont="1" applyFill="1" applyAlignment="1">
      <alignment horizontal="left"/>
    </xf>
    <xf numFmtId="43" fontId="205" fillId="0" borderId="8" xfId="0" applyNumberFormat="1" applyFont="1" applyBorder="1"/>
    <xf numFmtId="176" fontId="206" fillId="0" borderId="0" xfId="0" applyNumberFormat="1" applyFont="1"/>
    <xf numFmtId="176" fontId="206" fillId="0" borderId="8" xfId="0" applyNumberFormat="1" applyFont="1" applyBorder="1"/>
    <xf numFmtId="176" fontId="206" fillId="0" borderId="8" xfId="134" applyNumberFormat="1" applyFont="1" applyFill="1" applyBorder="1"/>
    <xf numFmtId="37" fontId="205" fillId="29" borderId="0" xfId="0" applyNumberFormat="1" applyFont="1" applyFill="1"/>
    <xf numFmtId="166" fontId="207" fillId="0" borderId="0" xfId="124" applyNumberFormat="1" applyFont="1" applyFill="1"/>
    <xf numFmtId="0" fontId="205" fillId="29" borderId="0" xfId="0" applyFont="1" applyFill="1"/>
    <xf numFmtId="43" fontId="205" fillId="0" borderId="0" xfId="0" applyNumberFormat="1" applyFont="1"/>
    <xf numFmtId="0" fontId="201" fillId="0" borderId="0" xfId="0" applyFont="1"/>
    <xf numFmtId="43" fontId="201" fillId="31" borderId="0" xfId="124" applyFont="1" applyFill="1" applyAlignment="1">
      <alignment horizontal="right"/>
    </xf>
    <xf numFmtId="43" fontId="201" fillId="0" borderId="0" xfId="124" applyFont="1" applyAlignment="1">
      <alignment horizontal="right"/>
    </xf>
    <xf numFmtId="166" fontId="201" fillId="0" borderId="0" xfId="124" applyNumberFormat="1" applyFont="1"/>
    <xf numFmtId="0" fontId="212" fillId="0" borderId="0" xfId="0" applyFont="1"/>
    <xf numFmtId="43" fontId="212" fillId="0" borderId="0" xfId="124" applyFont="1"/>
    <xf numFmtId="37" fontId="201" fillId="31" borderId="0" xfId="0" applyNumberFormat="1" applyFont="1" applyFill="1"/>
    <xf numFmtId="43" fontId="201" fillId="0" borderId="0" xfId="124" applyFont="1"/>
    <xf numFmtId="0" fontId="213" fillId="32" borderId="0" xfId="578" applyFont="1" applyFill="1" applyAlignment="1">
      <alignment horizontal="left" vertical="center"/>
    </xf>
    <xf numFmtId="43" fontId="214" fillId="32" borderId="0" xfId="124" applyFont="1" applyFill="1" applyBorder="1" applyAlignment="1">
      <alignment horizontal="right" vertical="center"/>
    </xf>
    <xf numFmtId="166" fontId="214" fillId="32" borderId="0" xfId="124" applyNumberFormat="1" applyFont="1" applyFill="1" applyBorder="1" applyAlignment="1">
      <alignment horizontal="right" vertical="center"/>
    </xf>
    <xf numFmtId="43" fontId="201" fillId="0" borderId="0" xfId="0" applyNumberFormat="1" applyFont="1"/>
    <xf numFmtId="9" fontId="201" fillId="0" borderId="0" xfId="387" applyFont="1"/>
    <xf numFmtId="0" fontId="201" fillId="0" borderId="0" xfId="0" applyFont="1" applyAlignment="1">
      <alignment horizontal="right"/>
    </xf>
    <xf numFmtId="41" fontId="205" fillId="29" borderId="0" xfId="134" applyFont="1" applyFill="1"/>
    <xf numFmtId="173" fontId="214" fillId="32" borderId="0" xfId="124" applyNumberFormat="1" applyFont="1" applyFill="1" applyBorder="1" applyAlignment="1">
      <alignment horizontal="right" vertical="center"/>
    </xf>
    <xf numFmtId="0" fontId="205" fillId="29" borderId="0" xfId="351" applyFont="1" applyFill="1" applyAlignment="1">
      <alignment horizontal="left"/>
    </xf>
    <xf numFmtId="167" fontId="205" fillId="29" borderId="0" xfId="387" applyNumberFormat="1" applyFont="1" applyFill="1" applyAlignment="1">
      <alignment horizontal="center"/>
    </xf>
    <xf numFmtId="167" fontId="205" fillId="29" borderId="8" xfId="387" applyNumberFormat="1" applyFont="1" applyFill="1" applyBorder="1" applyAlignment="1">
      <alignment horizontal="center"/>
    </xf>
    <xf numFmtId="174" fontId="211" fillId="0" borderId="0" xfId="0" applyNumberFormat="1" applyFont="1"/>
    <xf numFmtId="174" fontId="211" fillId="0" borderId="8" xfId="0" applyNumberFormat="1" applyFont="1" applyBorder="1"/>
    <xf numFmtId="174" fontId="211" fillId="31" borderId="0" xfId="0" applyNumberFormat="1" applyFont="1" applyFill="1"/>
    <xf numFmtId="0" fontId="215" fillId="0" borderId="0" xfId="0" applyFont="1"/>
    <xf numFmtId="39" fontId="201" fillId="0" borderId="0" xfId="0" applyNumberFormat="1" applyFont="1"/>
    <xf numFmtId="9" fontId="214" fillId="32" borderId="0" xfId="387" applyFont="1" applyFill="1" applyBorder="1" applyAlignment="1">
      <alignment horizontal="right" vertical="center"/>
    </xf>
    <xf numFmtId="9" fontId="201" fillId="0" borderId="0" xfId="0" applyNumberFormat="1" applyFont="1"/>
    <xf numFmtId="9" fontId="205" fillId="0" borderId="8" xfId="0" applyNumberFormat="1" applyFont="1" applyBorder="1"/>
    <xf numFmtId="41" fontId="207" fillId="31" borderId="0" xfId="134" applyFont="1" applyFill="1"/>
    <xf numFmtId="167" fontId="206" fillId="0" borderId="0" xfId="0" applyNumberFormat="1" applyFont="1"/>
    <xf numFmtId="41" fontId="207" fillId="29" borderId="0" xfId="134" applyFont="1" applyFill="1"/>
    <xf numFmtId="0" fontId="205" fillId="29" borderId="2" xfId="0" applyFont="1" applyFill="1" applyBorder="1"/>
    <xf numFmtId="166" fontId="206" fillId="29" borderId="0" xfId="124" applyNumberFormat="1" applyFont="1" applyFill="1" applyBorder="1" applyAlignment="1">
      <alignment horizontal="center" vertical="top"/>
    </xf>
    <xf numFmtId="168" fontId="201" fillId="0" borderId="0" xfId="0" applyNumberFormat="1" applyFont="1"/>
    <xf numFmtId="173" fontId="213" fillId="29" borderId="0" xfId="124" applyNumberFormat="1" applyFont="1" applyFill="1" applyBorder="1" applyAlignment="1">
      <alignment horizontal="right" vertical="center"/>
    </xf>
    <xf numFmtId="0" fontId="201" fillId="0" borderId="0" xfId="578" applyFont="1"/>
    <xf numFmtId="41" fontId="206" fillId="29" borderId="2" xfId="134" applyFont="1" applyFill="1" applyBorder="1"/>
    <xf numFmtId="41" fontId="207" fillId="18" borderId="0" xfId="134" applyFont="1" applyFill="1"/>
    <xf numFmtId="166" fontId="207" fillId="0" borderId="0" xfId="0" applyNumberFormat="1" applyFont="1"/>
    <xf numFmtId="9" fontId="205" fillId="0" borderId="4" xfId="387" applyFont="1" applyBorder="1"/>
    <xf numFmtId="10" fontId="205" fillId="0" borderId="0" xfId="387" applyNumberFormat="1" applyFont="1" applyFill="1"/>
    <xf numFmtId="173" fontId="201" fillId="29" borderId="0" xfId="578" applyNumberFormat="1" applyFont="1" applyFill="1"/>
    <xf numFmtId="0" fontId="201" fillId="0" borderId="0" xfId="578" applyFont="1" applyAlignment="1">
      <alignment horizontal="right"/>
    </xf>
    <xf numFmtId="167" fontId="201" fillId="0" borderId="0" xfId="578" applyNumberFormat="1" applyFont="1" applyAlignment="1">
      <alignment horizontal="right"/>
    </xf>
    <xf numFmtId="167" fontId="201" fillId="0" borderId="0" xfId="387" applyNumberFormat="1" applyFont="1"/>
    <xf numFmtId="43" fontId="201" fillId="0" borderId="0" xfId="578" applyNumberFormat="1" applyFont="1"/>
    <xf numFmtId="9" fontId="201" fillId="0" borderId="0" xfId="578" applyNumberFormat="1" applyFont="1"/>
    <xf numFmtId="8" fontId="201" fillId="0" borderId="0" xfId="578" applyNumberFormat="1" applyFont="1"/>
    <xf numFmtId="166" fontId="205" fillId="29" borderId="0" xfId="124" applyNumberFormat="1" applyFont="1" applyFill="1" applyBorder="1"/>
    <xf numFmtId="41" fontId="205" fillId="0" borderId="29" xfId="134" applyFont="1" applyFill="1" applyBorder="1"/>
    <xf numFmtId="166" fontId="205" fillId="0" borderId="0" xfId="387" applyNumberFormat="1" applyFont="1" applyFill="1" applyBorder="1"/>
    <xf numFmtId="167" fontId="205" fillId="31" borderId="0" xfId="387" applyNumberFormat="1" applyFont="1" applyFill="1" applyBorder="1"/>
    <xf numFmtId="167" fontId="205" fillId="0" borderId="0" xfId="387" applyNumberFormat="1" applyFont="1" applyBorder="1"/>
    <xf numFmtId="41" fontId="205" fillId="0" borderId="27" xfId="134" applyFont="1" applyFill="1" applyBorder="1"/>
    <xf numFmtId="166" fontId="205" fillId="29" borderId="2" xfId="0" applyNumberFormat="1" applyFont="1" applyFill="1" applyBorder="1"/>
    <xf numFmtId="166" fontId="205" fillId="29" borderId="0" xfId="124" applyNumberFormat="1" applyFont="1" applyFill="1" applyBorder="1" applyAlignment="1">
      <alignment horizontal="center" vertical="top"/>
    </xf>
    <xf numFmtId="166" fontId="205" fillId="29" borderId="8" xfId="124" applyNumberFormat="1" applyFont="1" applyFill="1" applyBorder="1" applyAlignment="1">
      <alignment horizontal="center" vertical="top"/>
    </xf>
    <xf numFmtId="168" fontId="214" fillId="32" borderId="0" xfId="124" applyNumberFormat="1" applyFont="1" applyFill="1" applyBorder="1" applyAlignment="1">
      <alignment horizontal="right" vertical="center"/>
    </xf>
    <xf numFmtId="9" fontId="205" fillId="0" borderId="0" xfId="387" applyFont="1" applyBorder="1"/>
    <xf numFmtId="166" fontId="205" fillId="0" borderId="0" xfId="124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167" fontId="205" fillId="0" borderId="18" xfId="387" applyNumberFormat="1" applyFont="1" applyBorder="1"/>
    <xf numFmtId="43" fontId="205" fillId="0" borderId="0" xfId="124" applyFont="1"/>
    <xf numFmtId="43" fontId="216" fillId="0" borderId="29" xfId="124" applyFont="1" applyFill="1" applyBorder="1" applyAlignment="1">
      <alignment horizontal="left" vertical="top" indent="3"/>
    </xf>
    <xf numFmtId="3" fontId="205" fillId="0" borderId="0" xfId="0" applyNumberFormat="1" applyFont="1"/>
    <xf numFmtId="166" fontId="207" fillId="31" borderId="0" xfId="134" applyNumberFormat="1" applyFont="1" applyFill="1"/>
    <xf numFmtId="9" fontId="205" fillId="0" borderId="0" xfId="0" applyNumberFormat="1" applyFont="1"/>
    <xf numFmtId="0" fontId="217" fillId="30" borderId="24" xfId="0" applyFont="1" applyFill="1" applyBorder="1" applyAlignment="1">
      <alignment horizontal="left" vertical="center"/>
    </xf>
    <xf numFmtId="43" fontId="217" fillId="30" borderId="28" xfId="124" applyFont="1" applyFill="1" applyBorder="1" applyAlignment="1">
      <alignment horizontal="right" vertical="center"/>
    </xf>
    <xf numFmtId="43" fontId="217" fillId="30" borderId="24" xfId="124" applyFont="1" applyFill="1" applyBorder="1" applyAlignment="1">
      <alignment horizontal="right" vertical="center"/>
    </xf>
    <xf numFmtId="0" fontId="218" fillId="0" borderId="0" xfId="0" applyFont="1" applyAlignment="1">
      <alignment horizontal="left" vertical="center"/>
    </xf>
    <xf numFmtId="166" fontId="218" fillId="0" borderId="8" xfId="124" applyNumberFormat="1" applyFont="1" applyFill="1" applyBorder="1" applyAlignment="1">
      <alignment horizontal="right" vertical="center"/>
    </xf>
    <xf numFmtId="166" fontId="218" fillId="31" borderId="0" xfId="124" applyNumberFormat="1" applyFont="1" applyFill="1" applyAlignment="1">
      <alignment horizontal="right" vertical="center"/>
    </xf>
    <xf numFmtId="166" fontId="218" fillId="31" borderId="0" xfId="387" applyNumberFormat="1" applyFont="1" applyFill="1" applyBorder="1" applyAlignment="1">
      <alignment horizontal="right" vertical="center"/>
    </xf>
    <xf numFmtId="41" fontId="218" fillId="0" borderId="8" xfId="134" applyFont="1" applyFill="1" applyBorder="1" applyAlignment="1">
      <alignment horizontal="right" vertical="center"/>
    </xf>
    <xf numFmtId="166" fontId="218" fillId="0" borderId="0" xfId="387" applyNumberFormat="1" applyFont="1" applyFill="1" applyBorder="1" applyAlignment="1">
      <alignment horizontal="right" vertical="center"/>
    </xf>
    <xf numFmtId="167" fontId="218" fillId="0" borderId="8" xfId="387" applyNumberFormat="1" applyFont="1" applyFill="1" applyBorder="1" applyAlignment="1">
      <alignment horizontal="right" vertical="center"/>
    </xf>
    <xf numFmtId="167" fontId="218" fillId="0" borderId="0" xfId="387" applyNumberFormat="1" applyFont="1" applyFill="1" applyAlignment="1">
      <alignment horizontal="right" vertical="center"/>
    </xf>
    <xf numFmtId="167" fontId="218" fillId="31" borderId="0" xfId="387" applyNumberFormat="1" applyFont="1" applyFill="1" applyAlignment="1">
      <alignment horizontal="right" vertical="center"/>
    </xf>
    <xf numFmtId="166" fontId="218" fillId="0" borderId="0" xfId="124" applyNumberFormat="1" applyFont="1" applyFill="1" applyAlignment="1">
      <alignment horizontal="right" vertical="center"/>
    </xf>
    <xf numFmtId="0" fontId="218" fillId="0" borderId="2" xfId="0" applyFont="1" applyBorder="1" applyAlignment="1">
      <alignment horizontal="left" vertical="center"/>
    </xf>
    <xf numFmtId="166" fontId="218" fillId="0" borderId="27" xfId="124" applyNumberFormat="1" applyFont="1" applyFill="1" applyBorder="1" applyAlignment="1">
      <alignment horizontal="right" vertical="center"/>
    </xf>
    <xf numFmtId="166" fontId="218" fillId="0" borderId="2" xfId="124" applyNumberFormat="1" applyFont="1" applyFill="1" applyBorder="1" applyAlignment="1">
      <alignment horizontal="right" vertical="center"/>
    </xf>
    <xf numFmtId="166" fontId="218" fillId="31" borderId="2" xfId="387" applyNumberFormat="1" applyFont="1" applyFill="1" applyBorder="1" applyAlignment="1">
      <alignment horizontal="right" vertical="center"/>
    </xf>
    <xf numFmtId="41" fontId="218" fillId="0" borderId="0" xfId="134" applyFont="1" applyFill="1" applyAlignment="1">
      <alignment horizontal="right" vertical="center"/>
    </xf>
    <xf numFmtId="41" fontId="218" fillId="31" borderId="0" xfId="134" applyFont="1" applyFill="1" applyAlignment="1">
      <alignment horizontal="right" vertical="center"/>
    </xf>
    <xf numFmtId="0" fontId="218" fillId="0" borderId="9" xfId="0" applyFont="1" applyBorder="1" applyAlignment="1">
      <alignment horizontal="left" vertical="center"/>
    </xf>
    <xf numFmtId="41" fontId="218" fillId="0" borderId="29" xfId="134" applyFont="1" applyFill="1" applyBorder="1" applyAlignment="1">
      <alignment horizontal="right" vertical="center"/>
    </xf>
    <xf numFmtId="166" fontId="218" fillId="0" borderId="9" xfId="124" applyNumberFormat="1" applyFont="1" applyFill="1" applyBorder="1" applyAlignment="1">
      <alignment horizontal="right" vertical="center"/>
    </xf>
    <xf numFmtId="9" fontId="218" fillId="0" borderId="8" xfId="387" applyFont="1" applyFill="1" applyBorder="1" applyAlignment="1">
      <alignment horizontal="right" vertical="center"/>
    </xf>
    <xf numFmtId="167" fontId="218" fillId="0" borderId="0" xfId="387" applyNumberFormat="1" applyFont="1" applyFill="1" applyBorder="1" applyAlignment="1">
      <alignment horizontal="right" vertical="center"/>
    </xf>
    <xf numFmtId="167" fontId="218" fillId="31" borderId="0" xfId="387" applyNumberFormat="1" applyFont="1" applyFill="1" applyBorder="1" applyAlignment="1">
      <alignment horizontal="right" vertical="center"/>
    </xf>
    <xf numFmtId="41" fontId="218" fillId="0" borderId="27" xfId="134" applyFont="1" applyFill="1" applyBorder="1" applyAlignment="1">
      <alignment horizontal="right" vertical="center"/>
    </xf>
    <xf numFmtId="166" fontId="218" fillId="0" borderId="2" xfId="0" applyNumberFormat="1" applyFont="1" applyBorder="1" applyAlignment="1">
      <alignment horizontal="right" vertical="center"/>
    </xf>
    <xf numFmtId="0" fontId="219" fillId="0" borderId="0" xfId="0" applyFont="1" applyAlignment="1">
      <alignment horizontal="left" vertical="center"/>
    </xf>
    <xf numFmtId="0" fontId="219" fillId="0" borderId="0" xfId="0" applyFont="1" applyAlignment="1">
      <alignment horizontal="right" vertical="center"/>
    </xf>
    <xf numFmtId="0" fontId="220" fillId="0" borderId="0" xfId="0" applyFont="1" applyAlignment="1">
      <alignment horizontal="left" vertical="center"/>
    </xf>
    <xf numFmtId="166" fontId="220" fillId="0" borderId="8" xfId="124" applyNumberFormat="1" applyFont="1" applyFill="1" applyBorder="1" applyAlignment="1">
      <alignment horizontal="right" vertical="center"/>
    </xf>
    <xf numFmtId="41" fontId="220" fillId="31" borderId="0" xfId="134" applyFont="1" applyFill="1" applyAlignment="1">
      <alignment horizontal="right" vertical="center"/>
    </xf>
    <xf numFmtId="41" fontId="220" fillId="0" borderId="0" xfId="134" applyFont="1" applyFill="1" applyAlignment="1">
      <alignment horizontal="right" vertical="center"/>
    </xf>
    <xf numFmtId="166" fontId="220" fillId="31" borderId="0" xfId="134" applyNumberFormat="1" applyFont="1" applyFill="1" applyAlignment="1">
      <alignment horizontal="right" vertical="center"/>
    </xf>
    <xf numFmtId="167" fontId="218" fillId="0" borderId="27" xfId="387" applyNumberFormat="1" applyFont="1" applyBorder="1" applyAlignment="1">
      <alignment horizontal="right" vertical="center"/>
    </xf>
    <xf numFmtId="167" fontId="218" fillId="0" borderId="2" xfId="387" applyNumberFormat="1" applyFont="1" applyFill="1" applyBorder="1" applyAlignment="1">
      <alignment horizontal="right" vertical="center"/>
    </xf>
    <xf numFmtId="1" fontId="217" fillId="30" borderId="28" xfId="0" applyNumberFormat="1" applyFont="1" applyFill="1" applyBorder="1" applyAlignment="1">
      <alignment horizontal="right" vertical="center"/>
    </xf>
    <xf numFmtId="1" fontId="217" fillId="30" borderId="33" xfId="0" applyNumberFormat="1" applyFont="1" applyFill="1" applyBorder="1" applyAlignment="1">
      <alignment horizontal="right" vertical="center"/>
    </xf>
    <xf numFmtId="1" fontId="217" fillId="30" borderId="0" xfId="0" applyNumberFormat="1" applyFont="1" applyFill="1" applyAlignment="1">
      <alignment horizontal="right" vertical="center"/>
    </xf>
    <xf numFmtId="1" fontId="217" fillId="30" borderId="34" xfId="0" applyNumberFormat="1" applyFont="1" applyFill="1" applyBorder="1" applyAlignment="1">
      <alignment horizontal="right" vertical="center"/>
    </xf>
    <xf numFmtId="0" fontId="221" fillId="0" borderId="0" xfId="0" applyFont="1" applyAlignment="1">
      <alignment horizontal="left" vertical="center"/>
    </xf>
    <xf numFmtId="166" fontId="222" fillId="0" borderId="8" xfId="124" applyNumberFormat="1" applyFont="1" applyFill="1" applyBorder="1" applyAlignment="1">
      <alignment horizontal="right" vertical="center"/>
    </xf>
    <xf numFmtId="166" fontId="222" fillId="0" borderId="20" xfId="124" applyNumberFormat="1" applyFont="1" applyFill="1" applyBorder="1" applyAlignment="1">
      <alignment horizontal="right" vertical="center"/>
    </xf>
    <xf numFmtId="166" fontId="222" fillId="0" borderId="0" xfId="124" applyNumberFormat="1" applyFont="1" applyFill="1" applyBorder="1" applyAlignment="1">
      <alignment horizontal="right" vertical="center"/>
    </xf>
    <xf numFmtId="166" fontId="222" fillId="0" borderId="5" xfId="124" applyNumberFormat="1" applyFont="1" applyFill="1" applyBorder="1" applyAlignment="1">
      <alignment horizontal="right" vertical="center"/>
    </xf>
    <xf numFmtId="166" fontId="223" fillId="0" borderId="8" xfId="124" applyNumberFormat="1" applyFont="1" applyFill="1" applyBorder="1" applyAlignment="1">
      <alignment horizontal="right" vertical="center"/>
    </xf>
    <xf numFmtId="166" fontId="218" fillId="31" borderId="20" xfId="124" applyNumberFormat="1" applyFont="1" applyFill="1" applyBorder="1" applyAlignment="1">
      <alignment horizontal="right" vertical="center"/>
    </xf>
    <xf numFmtId="166" fontId="218" fillId="31" borderId="0" xfId="124" applyNumberFormat="1" applyFont="1" applyFill="1" applyBorder="1" applyAlignment="1">
      <alignment horizontal="right" vertical="center"/>
    </xf>
    <xf numFmtId="166" fontId="223" fillId="0" borderId="0" xfId="124" applyNumberFormat="1" applyFont="1" applyFill="1" applyBorder="1" applyAlignment="1">
      <alignment horizontal="right" vertical="center"/>
    </xf>
    <xf numFmtId="166" fontId="223" fillId="0" borderId="5" xfId="124" applyNumberFormat="1" applyFont="1" applyFill="1" applyBorder="1" applyAlignment="1">
      <alignment horizontal="right" vertical="center"/>
    </xf>
    <xf numFmtId="166" fontId="218" fillId="0" borderId="20" xfId="124" applyNumberFormat="1" applyFont="1" applyFill="1" applyBorder="1" applyAlignment="1">
      <alignment horizontal="right" vertical="center"/>
    </xf>
    <xf numFmtId="166" fontId="218" fillId="0" borderId="0" xfId="124" applyNumberFormat="1" applyFont="1" applyFill="1" applyBorder="1" applyAlignment="1">
      <alignment horizontal="right" vertical="center"/>
    </xf>
    <xf numFmtId="166" fontId="223" fillId="0" borderId="20" xfId="124" applyNumberFormat="1" applyFont="1" applyFill="1" applyBorder="1" applyAlignment="1">
      <alignment horizontal="right" vertical="center"/>
    </xf>
    <xf numFmtId="0" fontId="224" fillId="0" borderId="0" xfId="0" applyFont="1" applyAlignment="1">
      <alignment horizontal="left" vertical="center"/>
    </xf>
    <xf numFmtId="167" fontId="224" fillId="0" borderId="8" xfId="387" applyNumberFormat="1" applyFont="1" applyFill="1" applyBorder="1" applyAlignment="1">
      <alignment horizontal="right" vertical="center"/>
    </xf>
    <xf numFmtId="167" fontId="224" fillId="0" borderId="20" xfId="387" applyNumberFormat="1" applyFont="1" applyFill="1" applyBorder="1" applyAlignment="1">
      <alignment horizontal="right" vertical="center"/>
    </xf>
    <xf numFmtId="167" fontId="224" fillId="0" borderId="0" xfId="387" applyNumberFormat="1" applyFont="1" applyFill="1" applyBorder="1" applyAlignment="1">
      <alignment horizontal="right" vertical="center"/>
    </xf>
    <xf numFmtId="167" fontId="224" fillId="0" borderId="5" xfId="387" applyNumberFormat="1" applyFont="1" applyFill="1" applyBorder="1" applyAlignment="1">
      <alignment horizontal="right" vertical="center"/>
    </xf>
    <xf numFmtId="9" fontId="225" fillId="0" borderId="0" xfId="387" applyFont="1" applyFill="1" applyAlignment="1">
      <alignment horizontal="left" vertical="center"/>
    </xf>
    <xf numFmtId="167" fontId="225" fillId="0" borderId="8" xfId="387" applyNumberFormat="1" applyFont="1" applyFill="1" applyBorder="1" applyAlignment="1">
      <alignment horizontal="right" vertical="center"/>
    </xf>
    <xf numFmtId="167" fontId="225" fillId="0" borderId="20" xfId="387" applyNumberFormat="1" applyFont="1" applyFill="1" applyBorder="1" applyAlignment="1">
      <alignment horizontal="right" vertical="center"/>
    </xf>
    <xf numFmtId="167" fontId="225" fillId="0" borderId="0" xfId="387" applyNumberFormat="1" applyFont="1" applyFill="1" applyBorder="1" applyAlignment="1">
      <alignment horizontal="right" vertical="center"/>
    </xf>
    <xf numFmtId="167" fontId="225" fillId="0" borderId="5" xfId="387" applyNumberFormat="1" applyFont="1" applyFill="1" applyBorder="1" applyAlignment="1">
      <alignment horizontal="right" vertical="center"/>
    </xf>
    <xf numFmtId="166" fontId="223" fillId="31" borderId="20" xfId="124" applyNumberFormat="1" applyFont="1" applyFill="1" applyBorder="1" applyAlignment="1">
      <alignment horizontal="right" vertical="center"/>
    </xf>
    <xf numFmtId="166" fontId="223" fillId="31" borderId="0" xfId="124" applyNumberFormat="1" applyFont="1" applyFill="1" applyBorder="1" applyAlignment="1">
      <alignment horizontal="right" vertical="center"/>
    </xf>
    <xf numFmtId="167" fontId="225" fillId="31" borderId="20" xfId="387" applyNumberFormat="1" applyFont="1" applyFill="1" applyBorder="1" applyAlignment="1">
      <alignment horizontal="right" vertical="center"/>
    </xf>
    <xf numFmtId="167" fontId="225" fillId="31" borderId="0" xfId="387" applyNumberFormat="1" applyFont="1" applyFill="1" applyBorder="1" applyAlignment="1">
      <alignment horizontal="right" vertical="center"/>
    </xf>
    <xf numFmtId="166" fontId="222" fillId="31" borderId="20" xfId="124" applyNumberFormat="1" applyFont="1" applyFill="1" applyBorder="1" applyAlignment="1">
      <alignment horizontal="right" vertical="center"/>
    </xf>
    <xf numFmtId="166" fontId="222" fillId="31" borderId="0" xfId="124" applyNumberFormat="1" applyFont="1" applyFill="1" applyBorder="1" applyAlignment="1">
      <alignment horizontal="right" vertical="center"/>
    </xf>
    <xf numFmtId="166" fontId="222" fillId="31" borderId="5" xfId="124" applyNumberFormat="1" applyFont="1" applyFill="1" applyBorder="1" applyAlignment="1">
      <alignment horizontal="right" vertical="center"/>
    </xf>
    <xf numFmtId="167" fontId="224" fillId="31" borderId="20" xfId="387" applyNumberFormat="1" applyFont="1" applyFill="1" applyBorder="1" applyAlignment="1">
      <alignment horizontal="right" vertical="center"/>
    </xf>
    <xf numFmtId="167" fontId="224" fillId="31" borderId="0" xfId="387" applyNumberFormat="1" applyFont="1" applyFill="1" applyBorder="1" applyAlignment="1">
      <alignment horizontal="right" vertical="center"/>
    </xf>
    <xf numFmtId="0" fontId="225" fillId="0" borderId="0" xfId="0" applyFont="1" applyAlignment="1">
      <alignment horizontal="left" vertical="center"/>
    </xf>
    <xf numFmtId="0" fontId="221" fillId="0" borderId="2" xfId="0" applyFont="1" applyBorder="1" applyAlignment="1">
      <alignment horizontal="left" vertical="center"/>
    </xf>
    <xf numFmtId="166" fontId="221" fillId="0" borderId="27" xfId="0" applyNumberFormat="1" applyFont="1" applyBorder="1" applyAlignment="1">
      <alignment horizontal="right" vertical="center"/>
    </xf>
    <xf numFmtId="166" fontId="221" fillId="0" borderId="6" xfId="0" applyNumberFormat="1" applyFont="1" applyBorder="1" applyAlignment="1">
      <alignment horizontal="right" vertical="center"/>
    </xf>
    <xf numFmtId="166" fontId="221" fillId="0" borderId="2" xfId="0" applyNumberFormat="1" applyFont="1" applyBorder="1" applyAlignment="1">
      <alignment horizontal="right" vertical="center"/>
    </xf>
    <xf numFmtId="166" fontId="221" fillId="0" borderId="32" xfId="0" applyNumberFormat="1" applyFont="1" applyBorder="1" applyAlignment="1">
      <alignment horizontal="right" vertical="center"/>
    </xf>
    <xf numFmtId="9" fontId="222" fillId="0" borderId="8" xfId="387" applyFont="1" applyFill="1" applyBorder="1" applyAlignment="1">
      <alignment horizontal="right" vertical="center"/>
    </xf>
    <xf numFmtId="9" fontId="222" fillId="0" borderId="20" xfId="387" applyFont="1" applyFill="1" applyBorder="1" applyAlignment="1">
      <alignment horizontal="right" vertical="center"/>
    </xf>
    <xf numFmtId="9" fontId="222" fillId="0" borderId="0" xfId="387" applyFont="1" applyFill="1" applyBorder="1" applyAlignment="1">
      <alignment horizontal="right" vertical="center"/>
    </xf>
    <xf numFmtId="9" fontId="222" fillId="0" borderId="5" xfId="387" applyFont="1" applyFill="1" applyBorder="1" applyAlignment="1">
      <alignment horizontal="right" vertical="center"/>
    </xf>
    <xf numFmtId="43" fontId="218" fillId="0" borderId="0" xfId="387" applyNumberFormat="1" applyFont="1" applyFill="1" applyAlignment="1">
      <alignment horizontal="left" vertical="center"/>
    </xf>
    <xf numFmtId="9" fontId="223" fillId="0" borderId="8" xfId="387" applyFont="1" applyFill="1" applyBorder="1" applyAlignment="1">
      <alignment horizontal="right" vertical="center"/>
    </xf>
    <xf numFmtId="9" fontId="223" fillId="0" borderId="20" xfId="387" applyFont="1" applyFill="1" applyBorder="1" applyAlignment="1">
      <alignment horizontal="right" vertical="center"/>
    </xf>
    <xf numFmtId="9" fontId="223" fillId="0" borderId="0" xfId="387" applyFont="1" applyFill="1" applyBorder="1" applyAlignment="1">
      <alignment horizontal="right" vertical="center"/>
    </xf>
    <xf numFmtId="9" fontId="223" fillId="0" borderId="5" xfId="387" applyFont="1" applyFill="1" applyBorder="1" applyAlignment="1">
      <alignment horizontal="right" vertical="center"/>
    </xf>
    <xf numFmtId="9" fontId="221" fillId="0" borderId="2" xfId="387" applyFont="1" applyFill="1" applyBorder="1" applyAlignment="1">
      <alignment horizontal="left" vertical="center"/>
    </xf>
    <xf numFmtId="43" fontId="222" fillId="0" borderId="27" xfId="124" applyFont="1" applyFill="1" applyBorder="1" applyAlignment="1">
      <alignment horizontal="right" vertical="center"/>
    </xf>
    <xf numFmtId="43" fontId="222" fillId="0" borderId="6" xfId="124" applyFont="1" applyFill="1" applyBorder="1" applyAlignment="1">
      <alignment horizontal="right" vertical="center"/>
    </xf>
    <xf numFmtId="43" fontId="222" fillId="0" borderId="2" xfId="124" applyFont="1" applyFill="1" applyBorder="1" applyAlignment="1">
      <alignment horizontal="right" vertical="center"/>
    </xf>
    <xf numFmtId="43" fontId="222" fillId="0" borderId="32" xfId="124" applyFont="1" applyFill="1" applyBorder="1" applyAlignment="1">
      <alignment horizontal="right" vertical="center"/>
    </xf>
    <xf numFmtId="4" fontId="205" fillId="0" borderId="0" xfId="387" applyNumberFormat="1" applyFont="1" applyFill="1" applyBorder="1"/>
    <xf numFmtId="167" fontId="205" fillId="0" borderId="0" xfId="0" applyNumberFormat="1" applyFont="1"/>
    <xf numFmtId="321" fontId="216" fillId="0" borderId="9" xfId="124" applyNumberFormat="1" applyFont="1" applyFill="1" applyBorder="1" applyAlignment="1">
      <alignment horizontal="left" vertical="top" indent="3"/>
    </xf>
    <xf numFmtId="10" fontId="216" fillId="0" borderId="9" xfId="387" applyNumberFormat="1" applyFont="1" applyFill="1" applyBorder="1" applyAlignment="1">
      <alignment horizontal="left" vertical="top" indent="3"/>
    </xf>
    <xf numFmtId="169" fontId="201" fillId="0" borderId="0" xfId="124" applyNumberFormat="1" applyFont="1"/>
    <xf numFmtId="4" fontId="205" fillId="0" borderId="36" xfId="0" applyNumberFormat="1" applyFont="1" applyBorder="1" applyAlignment="1">
      <alignment horizontal="center"/>
    </xf>
    <xf numFmtId="4" fontId="205" fillId="0" borderId="37" xfId="0" applyNumberFormat="1" applyFont="1" applyBorder="1" applyAlignment="1">
      <alignment horizontal="center"/>
    </xf>
    <xf numFmtId="9" fontId="205" fillId="0" borderId="29" xfId="0" applyNumberFormat="1" applyFont="1" applyBorder="1" applyAlignment="1">
      <alignment horizontal="center"/>
    </xf>
    <xf numFmtId="185" fontId="205" fillId="0" borderId="0" xfId="0" applyNumberFormat="1" applyFont="1" applyAlignment="1">
      <alignment horizontal="center"/>
    </xf>
    <xf numFmtId="4" fontId="205" fillId="0" borderId="8" xfId="0" applyNumberFormat="1" applyFont="1" applyBorder="1"/>
    <xf numFmtId="0" fontId="205" fillId="0" borderId="0" xfId="0" applyFont="1" applyAlignment="1">
      <alignment horizontal="center"/>
    </xf>
    <xf numFmtId="0" fontId="205" fillId="0" borderId="27" xfId="0" applyFont="1" applyBorder="1" applyAlignment="1">
      <alignment horizontal="center"/>
    </xf>
    <xf numFmtId="166" fontId="205" fillId="29" borderId="0" xfId="387" applyNumberFormat="1" applyFont="1" applyFill="1" applyBorder="1"/>
    <xf numFmtId="167" fontId="208" fillId="29" borderId="0" xfId="387" applyNumberFormat="1" applyFont="1" applyFill="1" applyAlignment="1">
      <alignment horizontal="right"/>
    </xf>
    <xf numFmtId="166" fontId="206" fillId="29" borderId="0" xfId="0" applyNumberFormat="1" applyFont="1" applyFill="1"/>
    <xf numFmtId="166" fontId="207" fillId="29" borderId="0" xfId="134" applyNumberFormat="1" applyFont="1" applyFill="1"/>
    <xf numFmtId="3" fontId="207" fillId="0" borderId="0" xfId="0" applyNumberFormat="1" applyFont="1"/>
    <xf numFmtId="3" fontId="207" fillId="31" borderId="0" xfId="134" applyNumberFormat="1" applyFont="1" applyFill="1"/>
    <xf numFmtId="167" fontId="205" fillId="29" borderId="0" xfId="387" applyNumberFormat="1" applyFont="1" applyFill="1" applyBorder="1"/>
    <xf numFmtId="0" fontId="211" fillId="0" borderId="0" xfId="0" applyFont="1"/>
    <xf numFmtId="185" fontId="205" fillId="0" borderId="8" xfId="387" applyNumberFormat="1" applyFont="1" applyFill="1" applyBorder="1"/>
    <xf numFmtId="167" fontId="205" fillId="0" borderId="0" xfId="124" applyNumberFormat="1" applyFont="1" applyFill="1"/>
    <xf numFmtId="183" fontId="205" fillId="0" borderId="4" xfId="0" applyNumberFormat="1" applyFont="1" applyBorder="1"/>
    <xf numFmtId="4" fontId="205" fillId="0" borderId="0" xfId="387" applyNumberFormat="1" applyFont="1"/>
    <xf numFmtId="4" fontId="205" fillId="0" borderId="0" xfId="0" applyNumberFormat="1" applyFont="1"/>
    <xf numFmtId="0" fontId="208" fillId="0" borderId="0" xfId="387" applyNumberFormat="1" applyFont="1" applyFill="1"/>
    <xf numFmtId="3" fontId="201" fillId="0" borderId="0" xfId="0" applyNumberFormat="1" applyFont="1"/>
    <xf numFmtId="9" fontId="205" fillId="0" borderId="27" xfId="387" applyFont="1" applyFill="1" applyBorder="1"/>
    <xf numFmtId="10" fontId="205" fillId="0" borderId="0" xfId="387" applyNumberFormat="1" applyFont="1" applyFill="1" applyBorder="1"/>
    <xf numFmtId="167" fontId="205" fillId="0" borderId="35" xfId="387" applyNumberFormat="1" applyFont="1" applyFill="1" applyBorder="1"/>
    <xf numFmtId="10" fontId="205" fillId="0" borderId="8" xfId="387" applyNumberFormat="1" applyFont="1" applyFill="1" applyBorder="1"/>
    <xf numFmtId="167" fontId="205" fillId="29" borderId="0" xfId="387" applyNumberFormat="1" applyFont="1" applyFill="1"/>
    <xf numFmtId="43" fontId="205" fillId="29" borderId="0" xfId="0" applyNumberFormat="1" applyFont="1" applyFill="1"/>
    <xf numFmtId="0" fontId="217" fillId="30" borderId="39" xfId="0" applyFont="1" applyFill="1" applyBorder="1" applyAlignment="1">
      <alignment vertical="center"/>
    </xf>
    <xf numFmtId="0" fontId="217" fillId="30" borderId="39" xfId="0" applyFont="1" applyFill="1" applyBorder="1" applyAlignment="1">
      <alignment horizontal="center" vertical="center" wrapText="1"/>
    </xf>
    <xf numFmtId="0" fontId="218" fillId="0" borderId="0" xfId="0" applyFont="1" applyAlignment="1">
      <alignment vertical="center"/>
    </xf>
    <xf numFmtId="17" fontId="218" fillId="0" borderId="0" xfId="0" applyNumberFormat="1" applyFont="1" applyAlignment="1">
      <alignment horizontal="center" vertical="center"/>
    </xf>
    <xf numFmtId="3" fontId="218" fillId="0" borderId="0" xfId="0" applyNumberFormat="1" applyFont="1" applyAlignment="1">
      <alignment horizontal="center" vertical="center"/>
    </xf>
    <xf numFmtId="167" fontId="218" fillId="0" borderId="0" xfId="0" applyNumberFormat="1" applyFont="1" applyAlignment="1">
      <alignment horizontal="center" vertical="center"/>
    </xf>
    <xf numFmtId="0" fontId="218" fillId="0" borderId="38" xfId="0" applyFont="1" applyBorder="1" applyAlignment="1">
      <alignment vertical="center"/>
    </xf>
    <xf numFmtId="17" fontId="218" fillId="0" borderId="38" xfId="0" applyNumberFormat="1" applyFont="1" applyBorder="1" applyAlignment="1">
      <alignment horizontal="center" vertical="center"/>
    </xf>
    <xf numFmtId="3" fontId="218" fillId="0" borderId="38" xfId="0" applyNumberFormat="1" applyFont="1" applyBorder="1" applyAlignment="1">
      <alignment horizontal="center" vertical="center"/>
    </xf>
    <xf numFmtId="167" fontId="218" fillId="0" borderId="38" xfId="0" applyNumberFormat="1" applyFont="1" applyBorder="1" applyAlignment="1">
      <alignment horizontal="center" vertical="center"/>
    </xf>
    <xf numFmtId="0" fontId="217" fillId="33" borderId="39" xfId="0" applyFont="1" applyFill="1" applyBorder="1"/>
    <xf numFmtId="3" fontId="217" fillId="33" borderId="39" xfId="0" applyNumberFormat="1" applyFont="1" applyFill="1" applyBorder="1" applyAlignment="1">
      <alignment horizontal="center"/>
    </xf>
    <xf numFmtId="167" fontId="217" fillId="33" borderId="39" xfId="0" applyNumberFormat="1" applyFont="1" applyFill="1" applyBorder="1" applyAlignment="1">
      <alignment horizontal="center"/>
    </xf>
    <xf numFmtId="0" fontId="218" fillId="0" borderId="0" xfId="0" applyFont="1" applyAlignment="1">
      <alignment horizontal="center" vertical="center"/>
    </xf>
    <xf numFmtId="4" fontId="205" fillId="0" borderId="8" xfId="0" applyNumberFormat="1" applyFont="1" applyBorder="1" applyAlignment="1">
      <alignment horizontal="center"/>
    </xf>
    <xf numFmtId="9" fontId="205" fillId="0" borderId="0" xfId="124" applyNumberFormat="1" applyFont="1" applyFill="1"/>
    <xf numFmtId="0" fontId="217" fillId="33" borderId="39" xfId="0" applyFont="1" applyFill="1" applyBorder="1" applyAlignment="1">
      <alignment horizontal="center"/>
    </xf>
    <xf numFmtId="0" fontId="217" fillId="30" borderId="39" xfId="0" applyFont="1" applyFill="1" applyBorder="1" applyAlignment="1">
      <alignment horizontal="left" vertical="center"/>
    </xf>
    <xf numFmtId="0" fontId="217" fillId="33" borderId="39" xfId="0" applyFont="1" applyFill="1" applyBorder="1" applyAlignment="1">
      <alignment horizontal="left"/>
    </xf>
    <xf numFmtId="3" fontId="218" fillId="0" borderId="0" xfId="0" applyNumberFormat="1" applyFont="1" applyAlignment="1">
      <alignment vertical="center"/>
    </xf>
    <xf numFmtId="9" fontId="218" fillId="0" borderId="0" xfId="0" applyNumberFormat="1" applyFont="1" applyAlignment="1">
      <alignment vertical="center"/>
    </xf>
    <xf numFmtId="3" fontId="205" fillId="29" borderId="0" xfId="0" applyNumberFormat="1" applyFont="1" applyFill="1"/>
    <xf numFmtId="3" fontId="207" fillId="29" borderId="0" xfId="0" applyNumberFormat="1" applyFont="1" applyFill="1"/>
    <xf numFmtId="166" fontId="201" fillId="0" borderId="0" xfId="0" applyNumberFormat="1" applyFont="1"/>
    <xf numFmtId="167" fontId="205" fillId="29" borderId="20" xfId="387" applyNumberFormat="1" applyFont="1" applyFill="1" applyBorder="1" applyAlignment="1">
      <alignment horizontal="right"/>
    </xf>
    <xf numFmtId="41" fontId="205" fillId="0" borderId="4" xfId="0" applyNumberFormat="1" applyFont="1" applyBorder="1"/>
    <xf numFmtId="4" fontId="205" fillId="0" borderId="0" xfId="124" applyNumberFormat="1" applyFont="1" applyFill="1"/>
    <xf numFmtId="3" fontId="205" fillId="0" borderId="0" xfId="124" applyNumberFormat="1" applyFont="1" applyFill="1"/>
    <xf numFmtId="166" fontId="205" fillId="0" borderId="0" xfId="387" applyNumberFormat="1" applyFont="1" applyFill="1"/>
    <xf numFmtId="3" fontId="205" fillId="0" borderId="0" xfId="387" applyNumberFormat="1" applyFont="1" applyFill="1"/>
    <xf numFmtId="168" fontId="206" fillId="0" borderId="29" xfId="124" applyNumberFormat="1" applyFont="1" applyFill="1" applyBorder="1" applyAlignment="1">
      <alignment horizontal="left" vertical="top" indent="3"/>
    </xf>
    <xf numFmtId="168" fontId="203" fillId="0" borderId="9" xfId="0" applyNumberFormat="1" applyFont="1" applyBorder="1" applyAlignment="1">
      <alignment horizontal="left" vertical="top" indent="3"/>
    </xf>
    <xf numFmtId="9" fontId="205" fillId="0" borderId="4" xfId="0" applyNumberFormat="1" applyFont="1" applyBorder="1"/>
    <xf numFmtId="4" fontId="205" fillId="0" borderId="0" xfId="387" applyNumberFormat="1" applyFont="1" applyFill="1"/>
    <xf numFmtId="166" fontId="205" fillId="29" borderId="0" xfId="124" applyNumberFormat="1" applyFont="1" applyFill="1" applyBorder="1" applyAlignment="1">
      <alignment horizontal="right" wrapText="1"/>
    </xf>
    <xf numFmtId="166" fontId="205" fillId="0" borderId="4" xfId="0" applyNumberFormat="1" applyFont="1" applyBorder="1"/>
    <xf numFmtId="167" fontId="205" fillId="0" borderId="8" xfId="0" applyNumberFormat="1" applyFont="1" applyBorder="1"/>
    <xf numFmtId="9" fontId="205" fillId="0" borderId="9" xfId="0" applyNumberFormat="1" applyFont="1" applyBorder="1" applyAlignment="1">
      <alignment horizontal="left" vertical="top" indent="3"/>
    </xf>
    <xf numFmtId="169" fontId="201" fillId="29" borderId="0" xfId="124" applyNumberFormat="1" applyFont="1" applyFill="1"/>
    <xf numFmtId="3" fontId="205" fillId="0" borderId="0" xfId="387" applyNumberFormat="1" applyFont="1" applyFill="1" applyBorder="1"/>
    <xf numFmtId="4" fontId="205" fillId="0" borderId="4" xfId="0" applyNumberFormat="1" applyFont="1" applyBorder="1"/>
    <xf numFmtId="171" fontId="210" fillId="0" borderId="35" xfId="124" applyNumberFormat="1" applyFont="1" applyFill="1" applyBorder="1" applyAlignment="1">
      <alignment horizontal="right"/>
    </xf>
    <xf numFmtId="166" fontId="209" fillId="31" borderId="0" xfId="124" quotePrefix="1" applyNumberFormat="1" applyFont="1" applyFill="1" applyAlignment="1">
      <alignment horizontal="right"/>
    </xf>
    <xf numFmtId="171" fontId="210" fillId="0" borderId="27" xfId="124" applyNumberFormat="1" applyFont="1" applyFill="1" applyBorder="1" applyAlignment="1">
      <alignment horizontal="right"/>
    </xf>
    <xf numFmtId="173" fontId="205" fillId="29" borderId="8" xfId="0" applyNumberFormat="1" applyFont="1" applyFill="1" applyBorder="1"/>
    <xf numFmtId="9" fontId="228" fillId="0" borderId="9" xfId="0" applyNumberFormat="1" applyFont="1" applyBorder="1" applyAlignment="1">
      <alignment horizontal="left" vertical="top" indent="3"/>
    </xf>
    <xf numFmtId="0" fontId="205" fillId="0" borderId="35" xfId="577" applyFont="1" applyBorder="1" applyAlignment="1">
      <alignment horizontal="left"/>
    </xf>
    <xf numFmtId="37" fontId="205" fillId="31" borderId="35" xfId="577" applyNumberFormat="1" applyFont="1" applyFill="1" applyBorder="1" applyAlignment="1">
      <alignment horizontal="center"/>
    </xf>
    <xf numFmtId="0" fontId="205" fillId="0" borderId="35" xfId="351" applyFont="1" applyBorder="1"/>
    <xf numFmtId="0" fontId="205" fillId="0" borderId="0" xfId="351" applyFont="1" applyAlignment="1">
      <alignment horizontal="left"/>
    </xf>
    <xf numFmtId="3" fontId="205" fillId="29" borderId="8" xfId="0" applyNumberFormat="1" applyFont="1" applyFill="1" applyBorder="1"/>
    <xf numFmtId="0" fontId="205" fillId="29" borderId="8" xfId="0" applyFont="1" applyFill="1" applyBorder="1"/>
    <xf numFmtId="167" fontId="205" fillId="29" borderId="8" xfId="0" applyNumberFormat="1" applyFont="1" applyFill="1" applyBorder="1"/>
    <xf numFmtId="10" fontId="205" fillId="29" borderId="0" xfId="0" applyNumberFormat="1" applyFont="1" applyFill="1"/>
    <xf numFmtId="3" fontId="205" fillId="0" borderId="8" xfId="387" applyNumberFormat="1" applyFont="1" applyFill="1" applyBorder="1"/>
    <xf numFmtId="172" fontId="216" fillId="0" borderId="9" xfId="0" applyNumberFormat="1" applyFont="1" applyBorder="1" applyAlignment="1">
      <alignment horizontal="left" vertical="top" indent="3"/>
    </xf>
    <xf numFmtId="9" fontId="205" fillId="0" borderId="0" xfId="387" applyFont="1" applyFill="1" applyAlignment="1">
      <alignment horizontal="right"/>
    </xf>
    <xf numFmtId="0" fontId="205" fillId="29" borderId="8" xfId="0" applyFont="1" applyFill="1" applyBorder="1" applyAlignment="1">
      <alignment horizontal="right"/>
    </xf>
    <xf numFmtId="166" fontId="205" fillId="0" borderId="0" xfId="124" applyNumberFormat="1" applyFont="1"/>
    <xf numFmtId="10" fontId="205" fillId="0" borderId="0" xfId="0" applyNumberFormat="1" applyFont="1"/>
    <xf numFmtId="167" fontId="216" fillId="0" borderId="9" xfId="387" applyNumberFormat="1" applyFont="1" applyBorder="1" applyAlignment="1">
      <alignment horizontal="left" vertical="top" indent="3"/>
    </xf>
    <xf numFmtId="166" fontId="205" fillId="34" borderId="0" xfId="124" applyNumberFormat="1" applyFont="1" applyFill="1" applyBorder="1" applyAlignment="1">
      <alignment horizontal="right" wrapText="1"/>
    </xf>
  </cellXfs>
  <cellStyles count="582">
    <cellStyle name="&quot;X&quot; Men" xfId="1" xr:uid="{00000000-0005-0000-0000-000000000000}"/>
    <cellStyle name="%" xfId="2" xr:uid="{00000000-0005-0000-0000-000001000000}"/>
    <cellStyle name="******************************************" xfId="3" xr:uid="{00000000-0005-0000-0000-000002000000}"/>
    <cellStyle name=";;;" xfId="4" xr:uid="{00000000-0005-0000-0000-000003000000}"/>
    <cellStyle name="\" xfId="5" xr:uid="{00000000-0005-0000-0000-000004000000}"/>
    <cellStyle name="\_bluebirdacdil13" xfId="6" xr:uid="{00000000-0005-0000-0000-000005000000}"/>
    <cellStyle name="\_data" xfId="7" xr:uid="{00000000-0005-0000-0000-000006000000}"/>
    <cellStyle name="\_ecomps7w" xfId="8" xr:uid="{00000000-0005-0000-0000-000007000000}"/>
    <cellStyle name="\_equitycomps8" xfId="9" xr:uid="{00000000-0005-0000-0000-000008000000}"/>
    <cellStyle name="\_equitycomps9" xfId="10" xr:uid="{00000000-0005-0000-0000-000009000000}"/>
    <cellStyle name="\_houston Isabel" xfId="11" xr:uid="{00000000-0005-0000-0000-00000A000000}"/>
    <cellStyle name="\_hybrid2" xfId="12" xr:uid="{00000000-0005-0000-0000-00000B000000}"/>
    <cellStyle name="\_ITXCcomps" xfId="13" xr:uid="{00000000-0005-0000-0000-00000C000000}"/>
    <cellStyle name="\_newcomps16" xfId="14" xr:uid="{00000000-0005-0000-0000-00000D000000}"/>
    <cellStyle name="\_ravenpitch3" xfId="15" xr:uid="{00000000-0005-0000-0000-00000E000000}"/>
    <cellStyle name="\_ravenpitch32" xfId="16" xr:uid="{00000000-0005-0000-0000-00000F000000}"/>
    <cellStyle name="]_x000a__x000a_Extension=conv.dll_x000a__x000a_MS-DOS Tools Extentions=C:\DOS\MSTOOLS.DLL_x000a__x000a__x000a__x000a_[Settings]_x000a__x000a_UNDELETE.DLL=C:\DOS\MSTOOLS.DLL_x000a__x000a_W" xfId="17" xr:uid="{00000000-0005-0000-0000-000010000000}"/>
    <cellStyle name="_Banks KADS" xfId="18" xr:uid="{00000000-0005-0000-0000-000011000000}"/>
    <cellStyle name="_Book5" xfId="19" xr:uid="{00000000-0005-0000-0000-000012000000}"/>
    <cellStyle name="_Cabernet Valuation Backup" xfId="20" xr:uid="{00000000-0005-0000-0000-000013000000}"/>
    <cellStyle name="_Citadel Summary sheet" xfId="21" xr:uid="{00000000-0005-0000-0000-000014000000}"/>
    <cellStyle name="_CSFB MergerCon D-CMS 5 18 02" xfId="22" xr:uid="{00000000-0005-0000-0000-000015000000}"/>
    <cellStyle name="_Def. and Validation Checks " xfId="23" xr:uid="{00000000-0005-0000-0000-000016000000}"/>
    <cellStyle name="_Energy" xfId="24" xr:uid="{00000000-0005-0000-0000-000017000000}"/>
    <cellStyle name="_ere_KADS_Core_Items" xfId="25" xr:uid="{00000000-0005-0000-0000-000018000000}"/>
    <cellStyle name="_ere_KADS_Full_Upload_Items" xfId="26" xr:uid="{00000000-0005-0000-0000-000019000000}"/>
    <cellStyle name="_Europe" xfId="27" xr:uid="{00000000-0005-0000-0000-00001A000000}"/>
    <cellStyle name="_KADS Upload Template" xfId="28" xr:uid="{00000000-0005-0000-0000-00001B000000}"/>
    <cellStyle name="_New Layout_WIP" xfId="29" xr:uid="{00000000-0005-0000-0000-00001C000000}"/>
    <cellStyle name="_Rating Agency Analysis v2" xfId="30" xr:uid="{00000000-0005-0000-0000-00001D000000}"/>
    <cellStyle name="_Research DB Report Spec" xfId="31" xr:uid="{00000000-0005-0000-0000-00001E000000}"/>
    <cellStyle name="_Semco Model 5-03-03_v2" xfId="32" xr:uid="{00000000-0005-0000-0000-00001F000000}"/>
    <cellStyle name="_Semco Model 5-03-03_v21" xfId="33" xr:uid="{00000000-0005-0000-0000-000020000000}"/>
    <cellStyle name="_Semco Model 7-21-03" xfId="34" xr:uid="{00000000-0005-0000-0000-000021000000}"/>
    <cellStyle name="_Semco Model 8-11-03" xfId="35" xr:uid="{00000000-0005-0000-0000-000022000000}"/>
    <cellStyle name="_Sheet1" xfId="36" xr:uid="{00000000-0005-0000-0000-000023000000}"/>
    <cellStyle name="_Sheet2" xfId="37" xr:uid="{00000000-0005-0000-0000-000024000000}"/>
    <cellStyle name="_usr_KADS_Core_Items" xfId="38" xr:uid="{00000000-0005-0000-0000-000025000000}"/>
    <cellStyle name="_WACC DLJ" xfId="39" xr:uid="{00000000-0005-0000-0000-000026000000}"/>
    <cellStyle name="_XOM model" xfId="40" xr:uid="{00000000-0005-0000-0000-000027000000}"/>
    <cellStyle name="“ü—Í—“" xfId="41" xr:uid="{00000000-0005-0000-0000-000028000000}"/>
    <cellStyle name="£ BP" xfId="43" xr:uid="{00000000-0005-0000-0000-000029000000}"/>
    <cellStyle name="¥ JY" xfId="44" xr:uid="{00000000-0005-0000-0000-00002A000000}"/>
    <cellStyle name="=C:\WINNT35\SYSTEM32\COMMAND.COM" xfId="42" xr:uid="{00000000-0005-0000-0000-00002B000000}"/>
    <cellStyle name="•W€_GE 3 MINIMUM" xfId="47" xr:uid="{00000000-0005-0000-0000-00002C000000}"/>
    <cellStyle name="•W_GE 3 MINIMUM" xfId="46" xr:uid="{00000000-0005-0000-0000-00002D000000}"/>
    <cellStyle name="ÊÝ [0.00]_COMPANY" xfId="229" xr:uid="{00000000-0005-0000-0000-00002E000000}"/>
    <cellStyle name="ÊÝ_COMPANY" xfId="230" xr:uid="{00000000-0005-0000-0000-00002F000000}"/>
    <cellStyle name="W_GTParent" xfId="550" xr:uid="{00000000-0005-0000-0000-000030000000}"/>
    <cellStyle name="0" xfId="48" xr:uid="{00000000-0005-0000-0000-000031000000}"/>
    <cellStyle name="0%" xfId="49" xr:uid="{00000000-0005-0000-0000-000032000000}"/>
    <cellStyle name="0.0" xfId="50" xr:uid="{00000000-0005-0000-0000-000033000000}"/>
    <cellStyle name="0.0 x" xfId="51" xr:uid="{00000000-0005-0000-0000-000034000000}"/>
    <cellStyle name="0.0%" xfId="52" xr:uid="{00000000-0005-0000-0000-000035000000}"/>
    <cellStyle name="0.0_BPCitigroupWIP" xfId="53" xr:uid="{00000000-0005-0000-0000-000036000000}"/>
    <cellStyle name="0.00" xfId="54" xr:uid="{00000000-0005-0000-0000-000037000000}"/>
    <cellStyle name="0.00%" xfId="55" xr:uid="{00000000-0005-0000-0000-000038000000}"/>
    <cellStyle name="0.00_BPCitigroupWIP" xfId="56" xr:uid="{00000000-0005-0000-0000-000039000000}"/>
    <cellStyle name="0_BPCitigroupWIP" xfId="57" xr:uid="{00000000-0005-0000-0000-00003A000000}"/>
    <cellStyle name="0_New Layout_WIP" xfId="58" xr:uid="{00000000-0005-0000-0000-00003B000000}"/>
    <cellStyle name="0_RDSCitigroupWIP" xfId="59" xr:uid="{00000000-0005-0000-0000-00003C000000}"/>
    <cellStyle name="0_rdshell_E&amp;P_analysis" xfId="60" xr:uid="{00000000-0005-0000-0000-00003D000000}"/>
    <cellStyle name="0_TotalCitigroupWIP" xfId="61" xr:uid="{00000000-0005-0000-0000-00003E000000}"/>
    <cellStyle name="0_TotalCitigroupWIP_old" xfId="62" xr:uid="{00000000-0005-0000-0000-00003F000000}"/>
    <cellStyle name="0_TotalCitigroupWIP_Q104" xfId="63" xr:uid="{00000000-0005-0000-0000-000040000000}"/>
    <cellStyle name="000" xfId="64" xr:uid="{00000000-0005-0000-0000-000041000000}"/>
    <cellStyle name="752131" xfId="65" xr:uid="{00000000-0005-0000-0000-000042000000}"/>
    <cellStyle name="Actual" xfId="66" xr:uid="{00000000-0005-0000-0000-000043000000}"/>
    <cellStyle name="Actual data" xfId="67" xr:uid="{00000000-0005-0000-0000-000044000000}"/>
    <cellStyle name="Actual Date" xfId="68" xr:uid="{00000000-0005-0000-0000-000045000000}"/>
    <cellStyle name="Actual year" xfId="69" xr:uid="{00000000-0005-0000-0000-000046000000}"/>
    <cellStyle name="adj_share" xfId="70" xr:uid="{00000000-0005-0000-0000-000047000000}"/>
    <cellStyle name="AFE" xfId="71" xr:uid="{00000000-0005-0000-0000-000048000000}"/>
    <cellStyle name="Afjusted" xfId="72" xr:uid="{00000000-0005-0000-0000-000049000000}"/>
    <cellStyle name="ales" xfId="73" xr:uid="{00000000-0005-0000-0000-00004A000000}"/>
    <cellStyle name="arial" xfId="74" xr:uid="{00000000-0005-0000-0000-00004B000000}"/>
    <cellStyle name="Arial 10" xfId="75" xr:uid="{00000000-0005-0000-0000-00004C000000}"/>
    <cellStyle name="Arial 12" xfId="76" xr:uid="{00000000-0005-0000-0000-00004D000000}"/>
    <cellStyle name="Arial6Bold" xfId="77" xr:uid="{00000000-0005-0000-0000-00004E000000}"/>
    <cellStyle name="Arial8Bold" xfId="78" xr:uid="{00000000-0005-0000-0000-00004F000000}"/>
    <cellStyle name="Arial8Italic" xfId="79" xr:uid="{00000000-0005-0000-0000-000050000000}"/>
    <cellStyle name="ArialNormal" xfId="80" xr:uid="{00000000-0005-0000-0000-000051000000}"/>
    <cellStyle name="Array" xfId="81" xr:uid="{00000000-0005-0000-0000-000052000000}"/>
    <cellStyle name="Array Enter" xfId="82" xr:uid="{00000000-0005-0000-0000-000053000000}"/>
    <cellStyle name="Array_Banks KADS" xfId="83" xr:uid="{00000000-0005-0000-0000-000054000000}"/>
    <cellStyle name="Auto" xfId="84" xr:uid="{00000000-0005-0000-0000-000055000000}"/>
    <cellStyle name="Basis points" xfId="85" xr:uid="{00000000-0005-0000-0000-000056000000}"/>
    <cellStyle name="BLACK" xfId="86" xr:uid="{00000000-0005-0000-0000-000057000000}"/>
    <cellStyle name="BlackStrike" xfId="87" xr:uid="{00000000-0005-0000-0000-000058000000}"/>
    <cellStyle name="BlackText" xfId="88" xr:uid="{00000000-0005-0000-0000-000059000000}"/>
    <cellStyle name="Blank" xfId="89" xr:uid="{00000000-0005-0000-0000-00005A000000}"/>
    <cellStyle name="Blue" xfId="90" xr:uid="{00000000-0005-0000-0000-00005B000000}"/>
    <cellStyle name="blue$00" xfId="91" xr:uid="{00000000-0005-0000-0000-00005C000000}"/>
    <cellStyle name="blue_New Layout_WIP" xfId="92" xr:uid="{00000000-0005-0000-0000-00005D000000}"/>
    <cellStyle name="BLuedashZero" xfId="93" xr:uid="{00000000-0005-0000-0000-00005E000000}"/>
    <cellStyle name="Bold/Border" xfId="94" xr:uid="{00000000-0005-0000-0000-00005F000000}"/>
    <cellStyle name="BoldText" xfId="95" xr:uid="{00000000-0005-0000-0000-000060000000}"/>
    <cellStyle name="borde thin" xfId="96" xr:uid="{00000000-0005-0000-0000-000061000000}"/>
    <cellStyle name="Border" xfId="97" xr:uid="{00000000-0005-0000-0000-000062000000}"/>
    <cellStyle name="Border Heavy" xfId="98" xr:uid="{00000000-0005-0000-0000-000063000000}"/>
    <cellStyle name="Border Thin" xfId="99" xr:uid="{00000000-0005-0000-0000-000064000000}"/>
    <cellStyle name="border think" xfId="100" xr:uid="{00000000-0005-0000-0000-000065000000}"/>
    <cellStyle name="border tihn" xfId="101" xr:uid="{00000000-0005-0000-0000-000066000000}"/>
    <cellStyle name="bordert thin" xfId="102" xr:uid="{00000000-0005-0000-0000-000067000000}"/>
    <cellStyle name="British Pound" xfId="103" xr:uid="{00000000-0005-0000-0000-000068000000}"/>
    <cellStyle name="BritPound" xfId="104" xr:uid="{00000000-0005-0000-0000-000069000000}"/>
    <cellStyle name="Bullet" xfId="105" xr:uid="{00000000-0005-0000-0000-00006A000000}"/>
    <cellStyle name="C10_2001 Figs Black" xfId="106" xr:uid="{00000000-0005-0000-0000-00006B000000}"/>
    <cellStyle name="Case" xfId="107" xr:uid="{00000000-0005-0000-0000-00006C000000}"/>
    <cellStyle name="Category Title" xfId="108" xr:uid="{00000000-0005-0000-0000-00006D000000}"/>
    <cellStyle name="CComma" xfId="109" xr:uid="{00000000-0005-0000-0000-00006E000000}"/>
    <cellStyle name="CComma (0)" xfId="110" xr:uid="{00000000-0005-0000-0000-00006F000000}"/>
    <cellStyle name="CCurrency (0)" xfId="111" xr:uid="{00000000-0005-0000-0000-000070000000}"/>
    <cellStyle name="center" xfId="112" xr:uid="{00000000-0005-0000-0000-000071000000}"/>
    <cellStyle name="Changeable" xfId="113" xr:uid="{00000000-0005-0000-0000-000072000000}"/>
    <cellStyle name="Co. Names" xfId="114" xr:uid="{00000000-0005-0000-0000-000073000000}"/>
    <cellStyle name="COL HEADINGS" xfId="115" xr:uid="{00000000-0005-0000-0000-000074000000}"/>
    <cellStyle name="Colhead_left" xfId="116" xr:uid="{00000000-0005-0000-0000-000075000000}"/>
    <cellStyle name="ColHeading" xfId="117" xr:uid="{00000000-0005-0000-0000-000076000000}"/>
    <cellStyle name="colheadleft" xfId="118" xr:uid="{00000000-0005-0000-0000-000079000000}"/>
    <cellStyle name="colheadright" xfId="119" xr:uid="{00000000-0005-0000-0000-00007A000000}"/>
    <cellStyle name="Column Headings" xfId="120" xr:uid="{00000000-0005-0000-0000-00007B000000}"/>
    <cellStyle name="ColumnHeading" xfId="121" xr:uid="{00000000-0005-0000-0000-00007C000000}"/>
    <cellStyle name="coma" xfId="122" xr:uid="{00000000-0005-0000-0000-00007D000000}"/>
    <cellStyle name="comm" xfId="123" xr:uid="{00000000-0005-0000-0000-00007E000000}"/>
    <cellStyle name="Comma" xfId="124" builtinId="3"/>
    <cellStyle name="Comma  - Style1" xfId="125" xr:uid="{00000000-0005-0000-0000-000080000000}"/>
    <cellStyle name="Comma  - Style2" xfId="126" xr:uid="{00000000-0005-0000-0000-000081000000}"/>
    <cellStyle name="Comma  - Style3" xfId="127" xr:uid="{00000000-0005-0000-0000-000082000000}"/>
    <cellStyle name="Comma  - Style4" xfId="128" xr:uid="{00000000-0005-0000-0000-000083000000}"/>
    <cellStyle name="Comma  - Style5" xfId="129" xr:uid="{00000000-0005-0000-0000-000084000000}"/>
    <cellStyle name="Comma  - Style6" xfId="130" xr:uid="{00000000-0005-0000-0000-000085000000}"/>
    <cellStyle name="Comma  - Style7" xfId="131" xr:uid="{00000000-0005-0000-0000-000086000000}"/>
    <cellStyle name="Comma  - Style8" xfId="132" xr:uid="{00000000-0005-0000-0000-000087000000}"/>
    <cellStyle name="Comma (1)" xfId="133" xr:uid="{00000000-0005-0000-0000-000088000000}"/>
    <cellStyle name="Comma [0]" xfId="134" builtinId="6"/>
    <cellStyle name="Comma [1]" xfId="135" xr:uid="{00000000-0005-0000-0000-00008A000000}"/>
    <cellStyle name="Comma [2]" xfId="136" xr:uid="{00000000-0005-0000-0000-00008B000000}"/>
    <cellStyle name="Comma [3]" xfId="137" xr:uid="{00000000-0005-0000-0000-00008C000000}"/>
    <cellStyle name="Comma 0" xfId="138" xr:uid="{00000000-0005-0000-0000-00008D000000}"/>
    <cellStyle name="Comma 0*" xfId="139" xr:uid="{00000000-0005-0000-0000-00008E000000}"/>
    <cellStyle name="Comma 0_Dealist" xfId="140" xr:uid="{00000000-0005-0000-0000-00008F000000}"/>
    <cellStyle name="Comma 1" xfId="141" xr:uid="{00000000-0005-0000-0000-000090000000}"/>
    <cellStyle name="Comma 1 Btons" xfId="142" xr:uid="{00000000-0005-0000-0000-000091000000}"/>
    <cellStyle name="Comma 1 Tcf" xfId="143" xr:uid="{00000000-0005-0000-0000-000092000000}"/>
    <cellStyle name="Comma 1_Book2" xfId="144" xr:uid="{00000000-0005-0000-0000-000093000000}"/>
    <cellStyle name="Comma 2" xfId="145" xr:uid="{00000000-0005-0000-0000-000094000000}"/>
    <cellStyle name="Comma 2*" xfId="146" xr:uid="{00000000-0005-0000-0000-000095000000}"/>
    <cellStyle name="Comma 2_ATG" xfId="147" xr:uid="{00000000-0005-0000-0000-000096000000}"/>
    <cellStyle name="Comma 3*" xfId="148" xr:uid="{00000000-0005-0000-0000-000097000000}"/>
    <cellStyle name="Comma dash" xfId="149" xr:uid="{00000000-0005-0000-0000-000098000000}"/>
    <cellStyle name="Comma(xxx)" xfId="150" xr:uid="{00000000-0005-0000-0000-000099000000}"/>
    <cellStyle name="Comma*" xfId="151" xr:uid="{00000000-0005-0000-0000-00009A000000}"/>
    <cellStyle name="Comma0" xfId="152" xr:uid="{00000000-0005-0000-0000-00009B000000}"/>
    <cellStyle name="Comma2" xfId="153" xr:uid="{00000000-0005-0000-0000-00009C000000}"/>
    <cellStyle name="comman" xfId="154" xr:uid="{00000000-0005-0000-0000-00009D000000}"/>
    <cellStyle name="Comma-Rounded" xfId="155" xr:uid="{00000000-0005-0000-0000-00009E000000}"/>
    <cellStyle name="commas" xfId="156" xr:uid="{00000000-0005-0000-0000-00009F000000}"/>
    <cellStyle name="Company" xfId="157" xr:uid="{00000000-0005-0000-0000-0000A0000000}"/>
    <cellStyle name="Company name" xfId="158" xr:uid="{00000000-0005-0000-0000-0000A1000000}"/>
    <cellStyle name="Company_cusLUPA" xfId="580" xr:uid="{00000000-0005-0000-0000-0000A2000000}"/>
    <cellStyle name="CompanyName" xfId="159" xr:uid="{00000000-0005-0000-0000-0000A3000000}"/>
    <cellStyle name="Comps" xfId="160" xr:uid="{00000000-0005-0000-0000-0000A4000000}"/>
    <cellStyle name="CountryTitle" xfId="161" xr:uid="{00000000-0005-0000-0000-0000A5000000}"/>
    <cellStyle name="Cover" xfId="162" xr:uid="{00000000-0005-0000-0000-0000A6000000}"/>
    <cellStyle name="Cover Date" xfId="163" xr:uid="{00000000-0005-0000-0000-0000A7000000}"/>
    <cellStyle name="Cover Subtitle" xfId="164" xr:uid="{00000000-0005-0000-0000-0000A8000000}"/>
    <cellStyle name="Cover Title" xfId="165" xr:uid="{00000000-0005-0000-0000-0000A9000000}"/>
    <cellStyle name="Coverage" xfId="166" xr:uid="{00000000-0005-0000-0000-0000AA000000}"/>
    <cellStyle name="Cur" xfId="167" xr:uid="{00000000-0005-0000-0000-0000AB000000}"/>
    <cellStyle name="CurRatio" xfId="168" xr:uid="{00000000-0005-0000-0000-0000AC000000}"/>
    <cellStyle name="Currency" xfId="169" builtinId="4"/>
    <cellStyle name="Currency ($)" xfId="170" xr:uid="{00000000-0005-0000-0000-0000AE000000}"/>
    <cellStyle name="Currency (£)" xfId="171" xr:uid="{00000000-0005-0000-0000-0000AF000000}"/>
    <cellStyle name="Currency (B)" xfId="172" xr:uid="{00000000-0005-0000-0000-0000B0000000}"/>
    <cellStyle name="Currency [1]" xfId="173" xr:uid="{00000000-0005-0000-0000-0000B1000000}"/>
    <cellStyle name="Currency [2]" xfId="174" xr:uid="{00000000-0005-0000-0000-0000B2000000}"/>
    <cellStyle name="Currency [3]" xfId="175" xr:uid="{00000000-0005-0000-0000-0000B3000000}"/>
    <cellStyle name="Currency 0" xfId="176" xr:uid="{00000000-0005-0000-0000-0000B4000000}"/>
    <cellStyle name="Currency 1" xfId="177" xr:uid="{00000000-0005-0000-0000-0000B5000000}"/>
    <cellStyle name="Currency 2" xfId="178" xr:uid="{00000000-0005-0000-0000-0000B6000000}"/>
    <cellStyle name="Currency 2*" xfId="179" xr:uid="{00000000-0005-0000-0000-0000B7000000}"/>
    <cellStyle name="Currency 2_Assump" xfId="180" xr:uid="{00000000-0005-0000-0000-0000B8000000}"/>
    <cellStyle name="Currency 3" xfId="181" xr:uid="{00000000-0005-0000-0000-0000B9000000}"/>
    <cellStyle name="Currency 3*" xfId="182" xr:uid="{00000000-0005-0000-0000-0000BA000000}"/>
    <cellStyle name="Currency Per Share" xfId="183" xr:uid="{00000000-0005-0000-0000-0000BB000000}"/>
    <cellStyle name="Currency(1)" xfId="184" xr:uid="{00000000-0005-0000-0000-0000BC000000}"/>
    <cellStyle name="Currency*" xfId="185" xr:uid="{00000000-0005-0000-0000-0000BD000000}"/>
    <cellStyle name="Currency0" xfId="186" xr:uid="{00000000-0005-0000-0000-0000BE000000}"/>
    <cellStyle name="Currency2_bl" xfId="187" xr:uid="{00000000-0005-0000-0000-0000BF000000}"/>
    <cellStyle name="Currency-Rounded" xfId="188" xr:uid="{00000000-0005-0000-0000-0000C0000000}"/>
    <cellStyle name="Currsmall" xfId="189" xr:uid="{00000000-0005-0000-0000-0000C1000000}"/>
    <cellStyle name="CustomStyle1" xfId="190" xr:uid="{00000000-0005-0000-0000-0000C2000000}"/>
    <cellStyle name="CustomStyle25" xfId="191" xr:uid="{00000000-0005-0000-0000-0000C3000000}"/>
    <cellStyle name="d_yield" xfId="192" xr:uid="{00000000-0005-0000-0000-0000C4000000}"/>
    <cellStyle name="DARK" xfId="193" xr:uid="{00000000-0005-0000-0000-0000C5000000}"/>
    <cellStyle name="Dash" xfId="194" xr:uid="{00000000-0005-0000-0000-0000C6000000}"/>
    <cellStyle name="Data Link" xfId="195" xr:uid="{00000000-0005-0000-0000-0000C7000000}"/>
    <cellStyle name="DATASTYLE" xfId="196" xr:uid="{00000000-0005-0000-0000-0000C8000000}"/>
    <cellStyle name="Date" xfId="197" xr:uid="{00000000-0005-0000-0000-0000C9000000}"/>
    <cellStyle name="Date + Time" xfId="198" xr:uid="{00000000-0005-0000-0000-0000CA000000}"/>
    <cellStyle name="Date Aligned" xfId="199" xr:uid="{00000000-0005-0000-0000-0000CB000000}"/>
    <cellStyle name="Date Aligned*" xfId="200" xr:uid="{00000000-0005-0000-0000-0000CC000000}"/>
    <cellStyle name="Date Aligned_Assump" xfId="201" xr:uid="{00000000-0005-0000-0000-0000CD000000}"/>
    <cellStyle name="Date_3YRPLAN3" xfId="202" xr:uid="{00000000-0005-0000-0000-0000CE000000}"/>
    <cellStyle name="Date1" xfId="203" xr:uid="{00000000-0005-0000-0000-0000CF000000}"/>
    <cellStyle name="Date2" xfId="204" xr:uid="{00000000-0005-0000-0000-0000D0000000}"/>
    <cellStyle name="Dec_0" xfId="205" xr:uid="{00000000-0005-0000-0000-0000D1000000}"/>
    <cellStyle name="Decimal1" xfId="206" xr:uid="{00000000-0005-0000-0000-0000D2000000}"/>
    <cellStyle name="Decimal2" xfId="207" xr:uid="{00000000-0005-0000-0000-0000D3000000}"/>
    <cellStyle name="Dezimal [0]_Compiling Utility Macros" xfId="208" xr:uid="{00000000-0005-0000-0000-0000D4000000}"/>
    <cellStyle name="Dezimal_BackSheet" xfId="209" xr:uid="{00000000-0005-0000-0000-0000D5000000}"/>
    <cellStyle name="DOH" xfId="210" xr:uid="{00000000-0005-0000-0000-0000D6000000}"/>
    <cellStyle name="Dollar" xfId="211" xr:uid="{00000000-0005-0000-0000-0000D7000000}"/>
    <cellStyle name="Dollar1" xfId="212" xr:uid="{00000000-0005-0000-0000-0000D8000000}"/>
    <cellStyle name="Dollar1Blue" xfId="213" xr:uid="{00000000-0005-0000-0000-0000D9000000}"/>
    <cellStyle name="Dollar2" xfId="214" xr:uid="{00000000-0005-0000-0000-0000DA000000}"/>
    <cellStyle name="Dollars" xfId="215" xr:uid="{00000000-0005-0000-0000-0000DB000000}"/>
    <cellStyle name="Dotted Line" xfId="216" xr:uid="{00000000-0005-0000-0000-0000DC000000}"/>
    <cellStyle name="Double Accounting" xfId="217" xr:uid="{00000000-0005-0000-0000-0000DD000000}"/>
    <cellStyle name="Download" xfId="218" xr:uid="{00000000-0005-0000-0000-0000DE000000}"/>
    <cellStyle name="Driver" xfId="219" xr:uid="{00000000-0005-0000-0000-0000DF000000}"/>
    <cellStyle name="Entry" xfId="220" xr:uid="{00000000-0005-0000-0000-0000E0000000}"/>
    <cellStyle name="eps" xfId="221" xr:uid="{00000000-0005-0000-0000-0000E1000000}"/>
    <cellStyle name="eps$" xfId="222" xr:uid="{00000000-0005-0000-0000-0000E2000000}"/>
    <cellStyle name="eps$A" xfId="223" xr:uid="{00000000-0005-0000-0000-0000E3000000}"/>
    <cellStyle name="eps$E" xfId="224" xr:uid="{00000000-0005-0000-0000-0000E4000000}"/>
    <cellStyle name="epsA" xfId="225" xr:uid="{00000000-0005-0000-0000-0000E5000000}"/>
    <cellStyle name="epsE" xfId="226" xr:uid="{00000000-0005-0000-0000-0000E6000000}"/>
    <cellStyle name="Euro" xfId="227" xr:uid="{00000000-0005-0000-0000-0000E7000000}"/>
    <cellStyle name="ExchRate" xfId="228" xr:uid="{00000000-0005-0000-0000-0000E8000000}"/>
    <cellStyle name="F3" xfId="231" xr:uid="{00000000-0005-0000-0000-0000E9000000}"/>
    <cellStyle name="F5" xfId="232" xr:uid="{00000000-0005-0000-0000-0000EA000000}"/>
    <cellStyle name="F6" xfId="233" xr:uid="{00000000-0005-0000-0000-0000EB000000}"/>
    <cellStyle name="F7" xfId="234" xr:uid="{00000000-0005-0000-0000-0000EC000000}"/>
    <cellStyle name="factsheet" xfId="235" xr:uid="{00000000-0005-0000-0000-0000ED000000}"/>
    <cellStyle name="FAS Col Title" xfId="236" xr:uid="{00000000-0005-0000-0000-0000EE000000}"/>
    <cellStyle name="FAS Number" xfId="237" xr:uid="{00000000-0005-0000-0000-0000EF000000}"/>
    <cellStyle name="FAS_Invisible" xfId="238" xr:uid="{00000000-0005-0000-0000-0000F0000000}"/>
    <cellStyle name="Financial" xfId="239" xr:uid="{00000000-0005-0000-0000-0000F1000000}"/>
    <cellStyle name="Fixed" xfId="240" xr:uid="{00000000-0005-0000-0000-0000F2000000}"/>
    <cellStyle name="Fixed 1" xfId="241" xr:uid="{00000000-0005-0000-0000-0000F3000000}"/>
    <cellStyle name="Fixed 2" xfId="242" xr:uid="{00000000-0005-0000-0000-0000F4000000}"/>
    <cellStyle name="Fixed 3" xfId="243" xr:uid="{00000000-0005-0000-0000-0000F5000000}"/>
    <cellStyle name="Fixed_ATG" xfId="244" xr:uid="{00000000-0005-0000-0000-0000F6000000}"/>
    <cellStyle name="Fixlong" xfId="245" xr:uid="{00000000-0005-0000-0000-0000F7000000}"/>
    <cellStyle name="Footer SBILogo1" xfId="246" xr:uid="{00000000-0005-0000-0000-0000F8000000}"/>
    <cellStyle name="Footer SBILogo2" xfId="247" xr:uid="{00000000-0005-0000-0000-0000F9000000}"/>
    <cellStyle name="footnoe" xfId="248" xr:uid="{00000000-0005-0000-0000-0000FA000000}"/>
    <cellStyle name="Footnote" xfId="249" xr:uid="{00000000-0005-0000-0000-0000FB000000}"/>
    <cellStyle name="Footnote Reference" xfId="250" xr:uid="{00000000-0005-0000-0000-0000FC000000}"/>
    <cellStyle name="Footnote_Banks KADS" xfId="251" xr:uid="{00000000-0005-0000-0000-0000FD000000}"/>
    <cellStyle name="Footnotes" xfId="252" xr:uid="{00000000-0005-0000-0000-0000FE000000}"/>
    <cellStyle name="Forecast" xfId="253" xr:uid="{00000000-0005-0000-0000-0000FF000000}"/>
    <cellStyle name="ForecastData" xfId="254" xr:uid="{00000000-0005-0000-0000-000000010000}"/>
    <cellStyle name="Formula" xfId="255" xr:uid="{00000000-0005-0000-0000-000001010000}"/>
    <cellStyle name="fourdecplace" xfId="256" xr:uid="{00000000-0005-0000-0000-000002010000}"/>
    <cellStyle name="General" xfId="257" xr:uid="{00000000-0005-0000-0000-000003010000}"/>
    <cellStyle name="Global" xfId="258" xr:uid="{00000000-0005-0000-0000-000004010000}"/>
    <cellStyle name="Green" xfId="259" xr:uid="{00000000-0005-0000-0000-000005010000}"/>
    <cellStyle name="Grey" xfId="260" xr:uid="{00000000-0005-0000-0000-000006010000}"/>
    <cellStyle name="Growth" xfId="261" xr:uid="{00000000-0005-0000-0000-000007010000}"/>
    <cellStyle name="H 2" xfId="262" xr:uid="{00000000-0005-0000-0000-000008010000}"/>
    <cellStyle name="H I D E" xfId="263" xr:uid="{00000000-0005-0000-0000-000009010000}"/>
    <cellStyle name="Hard Percent" xfId="264" xr:uid="{00000000-0005-0000-0000-00000A010000}"/>
    <cellStyle name="head1" xfId="265" xr:uid="{00000000-0005-0000-0000-00000B010000}"/>
    <cellStyle name="head2" xfId="266" xr:uid="{00000000-0005-0000-0000-00000C010000}"/>
    <cellStyle name="Header" xfId="267" xr:uid="{00000000-0005-0000-0000-00000D010000}"/>
    <cellStyle name="Header Draft Stamp" xfId="268" xr:uid="{00000000-0005-0000-0000-00000E010000}"/>
    <cellStyle name="Header_Citizens-ALLTEL" xfId="269" xr:uid="{00000000-0005-0000-0000-00000F010000}"/>
    <cellStyle name="Header1" xfId="270" xr:uid="{00000000-0005-0000-0000-000010010000}"/>
    <cellStyle name="Header2" xfId="271" xr:uid="{00000000-0005-0000-0000-000011010000}"/>
    <cellStyle name="Heading" xfId="272" xr:uid="{00000000-0005-0000-0000-000012010000}"/>
    <cellStyle name="Heading 1 Above" xfId="273" xr:uid="{00000000-0005-0000-0000-000013010000}"/>
    <cellStyle name="Heading 1+" xfId="274" xr:uid="{00000000-0005-0000-0000-000014010000}"/>
    <cellStyle name="Heading 2 Below" xfId="275" xr:uid="{00000000-0005-0000-0000-000015010000}"/>
    <cellStyle name="Heading 2+" xfId="276" xr:uid="{00000000-0005-0000-0000-000016010000}"/>
    <cellStyle name="Heading 3+" xfId="277" xr:uid="{00000000-0005-0000-0000-000017010000}"/>
    <cellStyle name="Heading Bar" xfId="278" xr:uid="{00000000-0005-0000-0000-000018010000}"/>
    <cellStyle name="Heading Left" xfId="279" xr:uid="{00000000-0005-0000-0000-000019010000}"/>
    <cellStyle name="Heading Right" xfId="280" xr:uid="{00000000-0005-0000-0000-00001A010000}"/>
    <cellStyle name="Heading1" xfId="281" xr:uid="{00000000-0005-0000-0000-00001B010000}"/>
    <cellStyle name="Heading2" xfId="282" xr:uid="{00000000-0005-0000-0000-00001C010000}"/>
    <cellStyle name="HeadingS" xfId="283" xr:uid="{00000000-0005-0000-0000-00001D010000}"/>
    <cellStyle name="Hidden" xfId="284" xr:uid="{00000000-0005-0000-0000-00001E010000}"/>
    <cellStyle name="HIGHLIGHT" xfId="285" xr:uid="{00000000-0005-0000-0000-00001F010000}"/>
    <cellStyle name="Historic" xfId="286" xr:uid="{00000000-0005-0000-0000-000020010000}"/>
    <cellStyle name="HistoricData" xfId="287" xr:uid="{00000000-0005-0000-0000-000021010000}"/>
    <cellStyle name="Hyperlink seguido" xfId="576" xr:uid="{00000000-0005-0000-0000-000022010000}"/>
    <cellStyle name="IncomeStatement" xfId="288" xr:uid="{00000000-0005-0000-0000-000024010000}"/>
    <cellStyle name="Input (%)" xfId="289" xr:uid="{00000000-0005-0000-0000-000025010000}"/>
    <cellStyle name="Input [yellow]" xfId="290" xr:uid="{00000000-0005-0000-0000-000026010000}"/>
    <cellStyle name="Input Currency" xfId="291" xr:uid="{00000000-0005-0000-0000-000027010000}"/>
    <cellStyle name="Input Currency 2" xfId="292" xr:uid="{00000000-0005-0000-0000-000028010000}"/>
    <cellStyle name="Input Multiple" xfId="293" xr:uid="{00000000-0005-0000-0000-000029010000}"/>
    <cellStyle name="Input Percent" xfId="294" xr:uid="{00000000-0005-0000-0000-00002A010000}"/>
    <cellStyle name="Input0" xfId="295" xr:uid="{00000000-0005-0000-0000-00002B010000}"/>
    <cellStyle name="Input1" xfId="296" xr:uid="{00000000-0005-0000-0000-00002C010000}"/>
    <cellStyle name="Input2" xfId="297" xr:uid="{00000000-0005-0000-0000-00002D010000}"/>
    <cellStyle name="Integer" xfId="298" xr:uid="{00000000-0005-0000-0000-00002E010000}"/>
    <cellStyle name="Italic" xfId="299" xr:uid="{00000000-0005-0000-0000-00002F010000}"/>
    <cellStyle name="Item" xfId="300" xr:uid="{00000000-0005-0000-0000-000030010000}"/>
    <cellStyle name="ItemTypeClass" xfId="301" xr:uid="{00000000-0005-0000-0000-000031010000}"/>
    <cellStyle name="KP_Normal" xfId="302" xr:uid="{00000000-0005-0000-0000-000032010000}"/>
    <cellStyle name="Lable8Left" xfId="303" xr:uid="{00000000-0005-0000-0000-000033010000}"/>
    <cellStyle name="Large Page Heading" xfId="304" xr:uid="{00000000-0005-0000-0000-000034010000}"/>
    <cellStyle name="LEVERS69" xfId="305" xr:uid="{00000000-0005-0000-0000-000035010000}"/>
    <cellStyle name="LineItem" xfId="306" xr:uid="{00000000-0005-0000-0000-000036010000}"/>
    <cellStyle name="Link" xfId="307" xr:uid="{00000000-0005-0000-0000-000037010000}"/>
    <cellStyle name="lou" xfId="308" xr:uid="{00000000-0005-0000-0000-000038010000}"/>
    <cellStyle name="m" xfId="309" xr:uid="{00000000-0005-0000-0000-000039010000}"/>
    <cellStyle name="m$" xfId="310" xr:uid="{00000000-0005-0000-0000-00003A010000}"/>
    <cellStyle name="m/d/yy" xfId="311" xr:uid="{00000000-0005-0000-0000-00003B010000}"/>
    <cellStyle name="MacroCode" xfId="312" xr:uid="{00000000-0005-0000-0000-00003C010000}"/>
    <cellStyle name="Mainhead" xfId="313" xr:uid="{00000000-0005-0000-0000-00003D010000}"/>
    <cellStyle name="Margins" xfId="314" xr:uid="{00000000-0005-0000-0000-00003E010000}"/>
    <cellStyle name="Migliaia (0)_ACTUAL 31-12-95" xfId="315" xr:uid="{00000000-0005-0000-0000-00003F010000}"/>
    <cellStyle name="Migliaia_ACTUAL 30-06-95.XLS" xfId="316" xr:uid="{00000000-0005-0000-0000-000040010000}"/>
    <cellStyle name="Mike" xfId="317" xr:uid="{00000000-0005-0000-0000-000041010000}"/>
    <cellStyle name="Milliers [0]_55 96" xfId="318" xr:uid="{00000000-0005-0000-0000-000042010000}"/>
    <cellStyle name="Milliers_55 96" xfId="319" xr:uid="{00000000-0005-0000-0000-000043010000}"/>
    <cellStyle name="Millions" xfId="320" xr:uid="{00000000-0005-0000-0000-000044010000}"/>
    <cellStyle name="mm" xfId="321" xr:uid="{00000000-0005-0000-0000-000045010000}"/>
    <cellStyle name="Model" xfId="322" xr:uid="{00000000-0005-0000-0000-000046010000}"/>
    <cellStyle name="Models" xfId="323" xr:uid="{00000000-0005-0000-0000-000047010000}"/>
    <cellStyle name="Moeda [0]_Bow_Acq" xfId="324" xr:uid="{00000000-0005-0000-0000-000048010000}"/>
    <cellStyle name="Moeda Z0]_Módulo1" xfId="325" xr:uid="{00000000-0005-0000-0000-000049010000}"/>
    <cellStyle name="Moeda_Bow_Acq" xfId="326" xr:uid="{00000000-0005-0000-0000-00004A010000}"/>
    <cellStyle name="Monétaire [0]_55 96" xfId="327" xr:uid="{00000000-0005-0000-0000-00004B010000}"/>
    <cellStyle name="Monétaire_55 96" xfId="328" xr:uid="{00000000-0005-0000-0000-00004C010000}"/>
    <cellStyle name="Multiple" xfId="329" xr:uid="{00000000-0005-0000-0000-00004D010000}"/>
    <cellStyle name="Multiple [0]" xfId="330" xr:uid="{00000000-0005-0000-0000-00004E010000}"/>
    <cellStyle name="Multiple [1]" xfId="331" xr:uid="{00000000-0005-0000-0000-00004F010000}"/>
    <cellStyle name="Multiple_3YRPLAN3" xfId="332" xr:uid="{00000000-0005-0000-0000-000050010000}"/>
    <cellStyle name="MultipleBelow" xfId="333" xr:uid="{00000000-0005-0000-0000-000051010000}"/>
    <cellStyle name="multiples" xfId="334" xr:uid="{00000000-0005-0000-0000-000052010000}"/>
    <cellStyle name="multipoles" xfId="335" xr:uid="{00000000-0005-0000-0000-000053010000}"/>
    <cellStyle name="no dec" xfId="336" xr:uid="{00000000-0005-0000-0000-000054010000}"/>
    <cellStyle name="No zero - 1dp" xfId="337" xr:uid="{00000000-0005-0000-0000-000055010000}"/>
    <cellStyle name="No zero - percent" xfId="338" xr:uid="{00000000-0005-0000-0000-000056010000}"/>
    <cellStyle name="nobuild" xfId="339" xr:uid="{00000000-0005-0000-0000-000057010000}"/>
    <cellStyle name="norma" xfId="340" xr:uid="{00000000-0005-0000-0000-000058010000}"/>
    <cellStyle name="Normaali_Layo9704" xfId="341" xr:uid="{00000000-0005-0000-0000-000059010000}"/>
    <cellStyle name="Normal" xfId="0" builtinId="0"/>
    <cellStyle name="Normal - Style1" xfId="342" xr:uid="{00000000-0005-0000-0000-00005B010000}"/>
    <cellStyle name="Normal (%)" xfId="343" xr:uid="{00000000-0005-0000-0000-00005C010000}"/>
    <cellStyle name="Normal (£m)" xfId="344" xr:uid="{00000000-0005-0000-0000-00005D010000}"/>
    <cellStyle name="Normal (B)" xfId="345" xr:uid="{00000000-0005-0000-0000-00005E010000}"/>
    <cellStyle name="Normal (G)" xfId="346" xr:uid="{00000000-0005-0000-0000-00005F010000}"/>
    <cellStyle name="Normal (No)" xfId="347" xr:uid="{00000000-0005-0000-0000-000060010000}"/>
    <cellStyle name="Normal (x)" xfId="348" xr:uid="{00000000-0005-0000-0000-000061010000}"/>
    <cellStyle name="Normal [1]" xfId="349" xr:uid="{00000000-0005-0000-0000-000062010000}"/>
    <cellStyle name="Normal [2]" xfId="350" xr:uid="{00000000-0005-0000-0000-000063010000}"/>
    <cellStyle name="Normal 2" xfId="578" xr:uid="{00000000-0005-0000-0000-000064010000}"/>
    <cellStyle name="Normal 3" xfId="581" xr:uid="{3D2C419A-D28C-4E1B-99DF-250A3816439C}"/>
    <cellStyle name="Normal_GFSA3 Model 2T06" xfId="351" xr:uid="{00000000-0005-0000-0000-000066010000}"/>
    <cellStyle name="Normal_Perdigão-valuation (2T06 after)" xfId="577" xr:uid="{00000000-0005-0000-0000-000067010000}"/>
    <cellStyle name="Normale_ACTUAL 30-06-95.XLS" xfId="352" xr:uid="{00000000-0005-0000-0000-000069010000}"/>
    <cellStyle name="NormalHelv" xfId="353" xr:uid="{00000000-0005-0000-0000-00006A010000}"/>
    <cellStyle name="NormalItalic" xfId="354" xr:uid="{00000000-0005-0000-0000-00006B010000}"/>
    <cellStyle name="Notes" xfId="355" xr:uid="{00000000-0005-0000-0000-00006C010000}"/>
    <cellStyle name="Num0Un" xfId="356" xr:uid="{00000000-0005-0000-0000-00006D010000}"/>
    <cellStyle name="Num1" xfId="357" xr:uid="{00000000-0005-0000-0000-00006E010000}"/>
    <cellStyle name="Num1Blue" xfId="358" xr:uid="{00000000-0005-0000-0000-00006F010000}"/>
    <cellStyle name="Num2" xfId="359" xr:uid="{00000000-0005-0000-0000-000070010000}"/>
    <cellStyle name="Num2Un" xfId="360" xr:uid="{00000000-0005-0000-0000-000071010000}"/>
    <cellStyle name="Number" xfId="361" xr:uid="{00000000-0005-0000-0000-000072010000}"/>
    <cellStyle name="Numbers" xfId="362" xr:uid="{00000000-0005-0000-0000-000073010000}"/>
    <cellStyle name="Numbers - Bold" xfId="363" xr:uid="{00000000-0005-0000-0000-000074010000}"/>
    <cellStyle name="Numbers - Bold - Italic" xfId="364" xr:uid="{00000000-0005-0000-0000-000075010000}"/>
    <cellStyle name="Numbers_NewOUtput" xfId="365" xr:uid="{00000000-0005-0000-0000-000076010000}"/>
    <cellStyle name="Œ…‹æØ‚è [0.00]_GE 3 MINIMUM" xfId="366" xr:uid="{00000000-0005-0000-0000-000077010000}"/>
    <cellStyle name="Œ…‹æØ‚è_GE 3 MINIMUM" xfId="367" xr:uid="{00000000-0005-0000-0000-000078010000}"/>
    <cellStyle name="Onedec" xfId="368" xr:uid="{00000000-0005-0000-0000-000079010000}"/>
    <cellStyle name="OSW_ColumnLabels" xfId="369" xr:uid="{00000000-0005-0000-0000-00007A010000}"/>
    <cellStyle name="outh America" xfId="370" xr:uid="{00000000-0005-0000-0000-00007B010000}"/>
    <cellStyle name="Output Amounts" xfId="371" xr:uid="{00000000-0005-0000-0000-00007C010000}"/>
    <cellStyle name="OUTPUT COLUMN HEADINGS" xfId="372" xr:uid="{00000000-0005-0000-0000-00007D010000}"/>
    <cellStyle name="Output Line Items" xfId="373" xr:uid="{00000000-0005-0000-0000-00007E010000}"/>
    <cellStyle name="OUTPUT REPORT HEADING" xfId="374" xr:uid="{00000000-0005-0000-0000-00007F010000}"/>
    <cellStyle name="OUTPUT REPORT TITLE" xfId="375" xr:uid="{00000000-0005-0000-0000-000080010000}"/>
    <cellStyle name="P&amp;L Numbers" xfId="376" xr:uid="{00000000-0005-0000-0000-000081010000}"/>
    <cellStyle name="Page header" xfId="377" xr:uid="{00000000-0005-0000-0000-000082010000}"/>
    <cellStyle name="Page Heading" xfId="378" xr:uid="{00000000-0005-0000-0000-000083010000}"/>
    <cellStyle name="Page Heading Large" xfId="379" xr:uid="{00000000-0005-0000-0000-000084010000}"/>
    <cellStyle name="Page Heading Small" xfId="380" xr:uid="{00000000-0005-0000-0000-000085010000}"/>
    <cellStyle name="Page Number" xfId="381" xr:uid="{00000000-0005-0000-0000-000086010000}"/>
    <cellStyle name="pct_sub" xfId="382" xr:uid="{00000000-0005-0000-0000-000087010000}"/>
    <cellStyle name="pe" xfId="383" xr:uid="{00000000-0005-0000-0000-000088010000}"/>
    <cellStyle name="PEG" xfId="384" xr:uid="{00000000-0005-0000-0000-000089010000}"/>
    <cellStyle name="Pence" xfId="385" xr:uid="{00000000-0005-0000-0000-00008A010000}"/>
    <cellStyle name="Perc1" xfId="386" xr:uid="{00000000-0005-0000-0000-00008B010000}"/>
    <cellStyle name="Percent" xfId="387" builtinId="5"/>
    <cellStyle name="Percent (.xx)" xfId="388" xr:uid="{00000000-0005-0000-0000-00008D010000}"/>
    <cellStyle name="Percent (M)" xfId="389" xr:uid="{00000000-0005-0000-0000-00008E010000}"/>
    <cellStyle name="Percent [1]" xfId="390" xr:uid="{00000000-0005-0000-0000-00008F010000}"/>
    <cellStyle name="Percent [2]" xfId="391" xr:uid="{00000000-0005-0000-0000-000090010000}"/>
    <cellStyle name="Percent 1" xfId="392" xr:uid="{00000000-0005-0000-0000-000091010000}"/>
    <cellStyle name="Percent 2" xfId="393" xr:uid="{00000000-0005-0000-0000-000092010000}"/>
    <cellStyle name="Percent 3" xfId="394" xr:uid="{00000000-0005-0000-0000-000093010000}"/>
    <cellStyle name="Percent 4" xfId="575" xr:uid="{00000000-0005-0000-0000-000094010000}"/>
    <cellStyle name="percent had" xfId="395" xr:uid="{00000000-0005-0000-0000-000095010000}"/>
    <cellStyle name="percent har" xfId="396" xr:uid="{00000000-0005-0000-0000-000096010000}"/>
    <cellStyle name="Percent Hard" xfId="397" xr:uid="{00000000-0005-0000-0000-000097010000}"/>
    <cellStyle name="Percent(.x)" xfId="398" xr:uid="{00000000-0005-0000-0000-000098010000}"/>
    <cellStyle name="Percent*" xfId="399" xr:uid="{00000000-0005-0000-0000-000099010000}"/>
    <cellStyle name="Percent0" xfId="400" xr:uid="{00000000-0005-0000-0000-00009A010000}"/>
    <cellStyle name="Percent1" xfId="401" xr:uid="{00000000-0005-0000-0000-00009B010000}"/>
    <cellStyle name="Percent1(-)" xfId="402" xr:uid="{00000000-0005-0000-0000-00009C010000}"/>
    <cellStyle name="Percent1_CompCo Analysis" xfId="403" xr:uid="{00000000-0005-0000-0000-00009D010000}"/>
    <cellStyle name="Percent1Blue" xfId="404" xr:uid="{00000000-0005-0000-0000-00009E010000}"/>
    <cellStyle name="Percent2" xfId="405" xr:uid="{00000000-0005-0000-0000-00009F010000}"/>
    <cellStyle name="Percent2Blue" xfId="406" xr:uid="{00000000-0005-0000-0000-0000A0010000}"/>
    <cellStyle name="Percentage" xfId="407" xr:uid="{00000000-0005-0000-0000-0000A1010000}"/>
    <cellStyle name="PercentChange" xfId="408" xr:uid="{00000000-0005-0000-0000-0000A2010000}"/>
    <cellStyle name="perecent" xfId="409" xr:uid="{00000000-0005-0000-0000-0000A3010000}"/>
    <cellStyle name="Perlong" xfId="410" xr:uid="{00000000-0005-0000-0000-0000A4010000}"/>
    <cellStyle name="Pilkku_Layo9704" xfId="411" xr:uid="{00000000-0005-0000-0000-0000A5010000}"/>
    <cellStyle name="Price" xfId="412" xr:uid="{00000000-0005-0000-0000-0000A6010000}"/>
    <cellStyle name="PriceUn" xfId="413" xr:uid="{00000000-0005-0000-0000-0000A7010000}"/>
    <cellStyle name="Private" xfId="414" xr:uid="{00000000-0005-0000-0000-0000A8010000}"/>
    <cellStyle name="Private1" xfId="415" xr:uid="{00000000-0005-0000-0000-0000A9010000}"/>
    <cellStyle name="PROJECT" xfId="416" xr:uid="{00000000-0005-0000-0000-0000AA010000}"/>
    <cellStyle name="PROJECT R" xfId="417" xr:uid="{00000000-0005-0000-0000-0000AB010000}"/>
    <cellStyle name="PROJECT_Banks KADS" xfId="418" xr:uid="{00000000-0005-0000-0000-0000AC010000}"/>
    <cellStyle name="Purple" xfId="419" xr:uid="{00000000-0005-0000-0000-0000AD010000}"/>
    <cellStyle name="Pyör. luku_Layo9704" xfId="420" xr:uid="{00000000-0005-0000-0000-0000AE010000}"/>
    <cellStyle name="Pyör. valuutta_Layo9704" xfId="421" xr:uid="{00000000-0005-0000-0000-0000AF010000}"/>
    <cellStyle name="r" xfId="422" xr:uid="{00000000-0005-0000-0000-0000B0010000}"/>
    <cellStyle name="r_Semco Model 8-11-03" xfId="423" xr:uid="{00000000-0005-0000-0000-0000B1010000}"/>
    <cellStyle name="range" xfId="424" xr:uid="{00000000-0005-0000-0000-0000B2010000}"/>
    <cellStyle name="Rate" xfId="425" xr:uid="{00000000-0005-0000-0000-0000B3010000}"/>
    <cellStyle name="RatioX" xfId="426" xr:uid="{00000000-0005-0000-0000-0000B4010000}"/>
    <cellStyle name="RED" xfId="427" xr:uid="{00000000-0005-0000-0000-0000B5010000}"/>
    <cellStyle name="Red Text" xfId="428" xr:uid="{00000000-0005-0000-0000-0000B6010000}"/>
    <cellStyle name="Reference" xfId="429" xr:uid="{00000000-0005-0000-0000-0000B7010000}"/>
    <cellStyle name="Restruct" xfId="430" xr:uid="{00000000-0005-0000-0000-0000B8010000}"/>
    <cellStyle name="Result" xfId="431" xr:uid="{00000000-0005-0000-0000-0000B9010000}"/>
    <cellStyle name="Results % 3 dp" xfId="432" xr:uid="{00000000-0005-0000-0000-0000BA010000}"/>
    <cellStyle name="Results 3 dp" xfId="433" xr:uid="{00000000-0005-0000-0000-0000BB010000}"/>
    <cellStyle name="Right" xfId="434" xr:uid="{00000000-0005-0000-0000-0000BC010000}"/>
    <cellStyle name="Row Headings" xfId="435" xr:uid="{00000000-0005-0000-0000-0000BD010000}"/>
    <cellStyle name="SB_Normal" xfId="436" xr:uid="{00000000-0005-0000-0000-0000BE010000}"/>
    <cellStyle name="ScotchRule" xfId="437" xr:uid="{00000000-0005-0000-0000-0000BF010000}"/>
    <cellStyle name="ScripFactor" xfId="438" xr:uid="{00000000-0005-0000-0000-0000C0010000}"/>
    <cellStyle name="SectionHeading" xfId="439" xr:uid="{00000000-0005-0000-0000-0000C1010000}"/>
    <cellStyle name="Shaded" xfId="440" xr:uid="{00000000-0005-0000-0000-0000C2010000}"/>
    <cellStyle name="ShadedCells_Database" xfId="441" xr:uid="{00000000-0005-0000-0000-0000C3010000}"/>
    <cellStyle name="shaed" xfId="442" xr:uid="{00000000-0005-0000-0000-0000C4010000}"/>
    <cellStyle name="Share" xfId="443" xr:uid="{00000000-0005-0000-0000-0000C5010000}"/>
    <cellStyle name="Shares" xfId="444" xr:uid="{00000000-0005-0000-0000-0000C6010000}"/>
    <cellStyle name="Sheet Title" xfId="445" xr:uid="{00000000-0005-0000-0000-0000C7010000}"/>
    <cellStyle name="Single Accounting" xfId="446" xr:uid="{00000000-0005-0000-0000-0000C8010000}"/>
    <cellStyle name="Small Page Heading" xfId="447" xr:uid="{00000000-0005-0000-0000-0000C9010000}"/>
    <cellStyle name="Source" xfId="448" xr:uid="{00000000-0005-0000-0000-0000CA010000}"/>
    <cellStyle name="SS1000" xfId="449" xr:uid="{00000000-0005-0000-0000-0000CB010000}"/>
    <cellStyle name="Standard_Anpassen der Amortisation" xfId="450" xr:uid="{00000000-0005-0000-0000-0000CC010000}"/>
    <cellStyle name="Style 1" xfId="451" xr:uid="{00000000-0005-0000-0000-0000CD010000}"/>
    <cellStyle name="Style 2" xfId="45" xr:uid="{00000000-0005-0000-0000-0000CE010000}"/>
    <cellStyle name="Style D" xfId="452" xr:uid="{00000000-0005-0000-0000-0000CF010000}"/>
    <cellStyle name="Style D green" xfId="453" xr:uid="{00000000-0005-0000-0000-0000D0010000}"/>
    <cellStyle name="Style D_BPCitigroupWIP" xfId="454" xr:uid="{00000000-0005-0000-0000-0000D1010000}"/>
    <cellStyle name="Style E" xfId="455" xr:uid="{00000000-0005-0000-0000-0000D2010000}"/>
    <cellStyle name="Style G" xfId="456" xr:uid="{00000000-0005-0000-0000-0000D3010000}"/>
    <cellStyle name="Sub Category Title" xfId="457" xr:uid="{00000000-0005-0000-0000-0000D4010000}"/>
    <cellStyle name="Sub total" xfId="458" xr:uid="{00000000-0005-0000-0000-0000D5010000}"/>
    <cellStyle name="Subhead" xfId="459" xr:uid="{00000000-0005-0000-0000-0000D6010000}"/>
    <cellStyle name="SubHeading" xfId="460" xr:uid="{00000000-0005-0000-0000-0000D7010000}"/>
    <cellStyle name="Subscribers" xfId="461" xr:uid="{00000000-0005-0000-0000-0000D8010000}"/>
    <cellStyle name="Subtitle" xfId="462" xr:uid="{00000000-0005-0000-0000-0000D9010000}"/>
    <cellStyle name="SubTotal" xfId="463" xr:uid="{00000000-0005-0000-0000-0000DA010000}"/>
    <cellStyle name="Summary" xfId="464" xr:uid="{00000000-0005-0000-0000-0000DB010000}"/>
    <cellStyle name="SymbolBlue" xfId="465" xr:uid="{00000000-0005-0000-0000-0000DC010000}"/>
    <cellStyle name="t" xfId="466" xr:uid="{00000000-0005-0000-0000-0000DD010000}"/>
    <cellStyle name="Table Col Head" xfId="467" xr:uid="{00000000-0005-0000-0000-0000DE010000}"/>
    <cellStyle name="table column heading" xfId="468" xr:uid="{00000000-0005-0000-0000-0000DF010000}"/>
    <cellStyle name="Table end" xfId="469" xr:uid="{00000000-0005-0000-0000-0000E0010000}"/>
    <cellStyle name="Table head" xfId="470" xr:uid="{00000000-0005-0000-0000-0000E1010000}"/>
    <cellStyle name="Table Head Aligned" xfId="471" xr:uid="{00000000-0005-0000-0000-0000E2010000}"/>
    <cellStyle name="Table Head Blue" xfId="472" xr:uid="{00000000-0005-0000-0000-0000E3010000}"/>
    <cellStyle name="Table Head Green" xfId="473" xr:uid="{00000000-0005-0000-0000-0000E4010000}"/>
    <cellStyle name="Table Head_BPCitigroupWIP" xfId="474" xr:uid="{00000000-0005-0000-0000-0000E5010000}"/>
    <cellStyle name="Table Source" xfId="475" xr:uid="{00000000-0005-0000-0000-0000E6010000}"/>
    <cellStyle name="Table Sub Head" xfId="476" xr:uid="{00000000-0005-0000-0000-0000E7010000}"/>
    <cellStyle name="Table Sub Heading" xfId="477" xr:uid="{00000000-0005-0000-0000-0000E8010000}"/>
    <cellStyle name="Table Text" xfId="478" xr:uid="{00000000-0005-0000-0000-0000E9010000}"/>
    <cellStyle name="Table Title" xfId="479" xr:uid="{00000000-0005-0000-0000-0000EA010000}"/>
    <cellStyle name="Table Units" xfId="480" xr:uid="{00000000-0005-0000-0000-0000EB010000}"/>
    <cellStyle name="Table_Header_Units" xfId="481" xr:uid="{00000000-0005-0000-0000-0000EC010000}"/>
    <cellStyle name="TableBase" xfId="482" xr:uid="{00000000-0005-0000-0000-0000ED010000}"/>
    <cellStyle name="TableBody" xfId="483" xr:uid="{00000000-0005-0000-0000-0000EE010000}"/>
    <cellStyle name="TableBodyR" xfId="484" xr:uid="{00000000-0005-0000-0000-0000EF010000}"/>
    <cellStyle name="TableColHeads" xfId="485" xr:uid="{00000000-0005-0000-0000-0000F0010000}"/>
    <cellStyle name="TableColumnHeading" xfId="486" xr:uid="{00000000-0005-0000-0000-0000F1010000}"/>
    <cellStyle name="TableHead" xfId="487" xr:uid="{00000000-0005-0000-0000-0000F2010000}"/>
    <cellStyle name="TableName" xfId="488" xr:uid="{00000000-0005-0000-0000-0000F3010000}"/>
    <cellStyle name="TableSubTitleItalic" xfId="489" xr:uid="{00000000-0005-0000-0000-0000F4010000}"/>
    <cellStyle name="TableText" xfId="490" xr:uid="{00000000-0005-0000-0000-0000F5010000}"/>
    <cellStyle name="TableTitle" xfId="491" xr:uid="{00000000-0005-0000-0000-0000F6010000}"/>
    <cellStyle name="tcn" xfId="492" xr:uid="{00000000-0005-0000-0000-0000F7010000}"/>
    <cellStyle name="Terms" xfId="493" xr:uid="{00000000-0005-0000-0000-0000F8010000}"/>
    <cellStyle name="Text" xfId="494" xr:uid="{00000000-0005-0000-0000-0000F9010000}"/>
    <cellStyle name="Text 1" xfId="495" xr:uid="{00000000-0005-0000-0000-0000FA010000}"/>
    <cellStyle name="Text 2" xfId="496" xr:uid="{00000000-0005-0000-0000-0000FB010000}"/>
    <cellStyle name="Text 8" xfId="497" xr:uid="{00000000-0005-0000-0000-0000FC010000}"/>
    <cellStyle name="Text Head 1" xfId="498" xr:uid="{00000000-0005-0000-0000-0000FD010000}"/>
    <cellStyle name="Text Head 2" xfId="499" xr:uid="{00000000-0005-0000-0000-0000FE010000}"/>
    <cellStyle name="Text Indent 1" xfId="500" xr:uid="{00000000-0005-0000-0000-0000FF010000}"/>
    <cellStyle name="Text Indent 2" xfId="501" xr:uid="{00000000-0005-0000-0000-000000020000}"/>
    <cellStyle name="threedecplace" xfId="502" xr:uid="{00000000-0005-0000-0000-000001020000}"/>
    <cellStyle name="Time" xfId="503" xr:uid="{00000000-0005-0000-0000-000002020000}"/>
    <cellStyle name="Times" xfId="504" xr:uid="{00000000-0005-0000-0000-000003020000}"/>
    <cellStyle name="Times 10" xfId="505" xr:uid="{00000000-0005-0000-0000-000004020000}"/>
    <cellStyle name="Times 12" xfId="506" xr:uid="{00000000-0005-0000-0000-000005020000}"/>
    <cellStyle name="TIMES 9" xfId="507" xr:uid="{00000000-0005-0000-0000-000006020000}"/>
    <cellStyle name="Title - PROJECT" xfId="508" xr:uid="{00000000-0005-0000-0000-000007020000}"/>
    <cellStyle name="Title - Underline" xfId="509" xr:uid="{00000000-0005-0000-0000-000008020000}"/>
    <cellStyle name="Title II" xfId="510" xr:uid="{00000000-0005-0000-0000-000009020000}"/>
    <cellStyle name="Title Row" xfId="511" xr:uid="{00000000-0005-0000-0000-00000A020000}"/>
    <cellStyle name="title1" xfId="512" xr:uid="{00000000-0005-0000-0000-00000B020000}"/>
    <cellStyle name="Title10" xfId="513" xr:uid="{00000000-0005-0000-0000-00000C020000}"/>
    <cellStyle name="title2" xfId="514" xr:uid="{00000000-0005-0000-0000-00000D020000}"/>
    <cellStyle name="Title8" xfId="515" xr:uid="{00000000-0005-0000-0000-00000E020000}"/>
    <cellStyle name="Title8Left" xfId="516" xr:uid="{00000000-0005-0000-0000-00000F020000}"/>
    <cellStyle name="TitleCenter" xfId="517" xr:uid="{00000000-0005-0000-0000-000010020000}"/>
    <cellStyle name="TitleLeft" xfId="518" xr:uid="{00000000-0005-0000-0000-000011020000}"/>
    <cellStyle name="Titles" xfId="519" xr:uid="{00000000-0005-0000-0000-000012020000}"/>
    <cellStyle name="Titles - Col. Headings" xfId="520" xr:uid="{00000000-0005-0000-0000-000013020000}"/>
    <cellStyle name="Titles - Other" xfId="521" xr:uid="{00000000-0005-0000-0000-000014020000}"/>
    <cellStyle name="Titles_cusLUPA" xfId="579" xr:uid="{00000000-0005-0000-0000-000015020000}"/>
    <cellStyle name="tn" xfId="522" xr:uid="{00000000-0005-0000-0000-000017020000}"/>
    <cellStyle name="TOC 1" xfId="523" xr:uid="{00000000-0005-0000-0000-000018020000}"/>
    <cellStyle name="TOC 2" xfId="524" xr:uid="{00000000-0005-0000-0000-000019020000}"/>
    <cellStyle name="tom" xfId="525" xr:uid="{00000000-0005-0000-0000-00001A020000}"/>
    <cellStyle name="TopGrey" xfId="526" xr:uid="{00000000-0005-0000-0000-00001B020000}"/>
    <cellStyle name="topline" xfId="527" xr:uid="{00000000-0005-0000-0000-00001C020000}"/>
    <cellStyle name="Total Currency" xfId="528" xr:uid="{00000000-0005-0000-0000-00001D020000}"/>
    <cellStyle name="Total Normal" xfId="529" xr:uid="{00000000-0005-0000-0000-00001E020000}"/>
    <cellStyle name="Totals" xfId="530" xr:uid="{00000000-0005-0000-0000-00001F020000}"/>
    <cellStyle name="Totals [2]" xfId="531" xr:uid="{00000000-0005-0000-0000-000020020000}"/>
    <cellStyle name="TransVal" xfId="532" xr:uid="{00000000-0005-0000-0000-000021020000}"/>
    <cellStyle name="twodecplace" xfId="533" xr:uid="{00000000-0005-0000-0000-000022020000}"/>
    <cellStyle name="Twodig" xfId="534" xr:uid="{00000000-0005-0000-0000-000023020000}"/>
    <cellStyle name="Ugly" xfId="535" xr:uid="{00000000-0005-0000-0000-000024020000}"/>
    <cellStyle name="Underline" xfId="536" xr:uid="{00000000-0005-0000-0000-000025020000}"/>
    <cellStyle name="UnderlineNormal" xfId="537" xr:uid="{00000000-0005-0000-0000-000026020000}"/>
    <cellStyle name="UNLocked" xfId="538" xr:uid="{00000000-0005-0000-0000-000027020000}"/>
    <cellStyle name="Unprot" xfId="539" xr:uid="{00000000-0005-0000-0000-000028020000}"/>
    <cellStyle name="Unprot$" xfId="540" xr:uid="{00000000-0005-0000-0000-000029020000}"/>
    <cellStyle name="Unprotect" xfId="541" xr:uid="{00000000-0005-0000-0000-00002A020000}"/>
    <cellStyle name="Update" xfId="542" xr:uid="{00000000-0005-0000-0000-00002B020000}"/>
    <cellStyle name="Upload Only" xfId="543" xr:uid="{00000000-0005-0000-0000-00002C020000}"/>
    <cellStyle name="Validation" xfId="544" xr:uid="{00000000-0005-0000-0000-00002D020000}"/>
    <cellStyle name="Valuation Bold" xfId="545" xr:uid="{00000000-0005-0000-0000-00002E020000}"/>
    <cellStyle name="Valuta" xfId="546" xr:uid="{00000000-0005-0000-0000-00002F020000}"/>
    <cellStyle name="Valuta (0)_ACTUAL 31-12-95" xfId="547" xr:uid="{00000000-0005-0000-0000-000030020000}"/>
    <cellStyle name="Valuta_ACTUAL 31-12-95" xfId="548" xr:uid="{00000000-0005-0000-0000-000031020000}"/>
    <cellStyle name="Valuutta_Layo9704" xfId="549" xr:uid="{00000000-0005-0000-0000-000032020000}"/>
    <cellStyle name="Währung [0]_Compiling Utility Macros" xfId="551" xr:uid="{00000000-0005-0000-0000-000033020000}"/>
    <cellStyle name="Währung_BackSheet" xfId="552" xr:uid="{00000000-0005-0000-0000-000034020000}"/>
    <cellStyle name="White" xfId="553" xr:uid="{00000000-0005-0000-0000-000035020000}"/>
    <cellStyle name="WhitePattern" xfId="554" xr:uid="{00000000-0005-0000-0000-000036020000}"/>
    <cellStyle name="WhitePattern1" xfId="555" xr:uid="{00000000-0005-0000-0000-000037020000}"/>
    <cellStyle name="WhiteText" xfId="556" xr:uid="{00000000-0005-0000-0000-000038020000}"/>
    <cellStyle name="WingdingsBlack" xfId="557" xr:uid="{00000000-0005-0000-0000-000039020000}"/>
    <cellStyle name="WingdingsRed" xfId="558" xr:uid="{00000000-0005-0000-0000-00003A020000}"/>
    <cellStyle name="WingdingsWhite" xfId="559" xr:uid="{00000000-0005-0000-0000-00003B020000}"/>
    <cellStyle name="WP" xfId="560" xr:uid="{00000000-0005-0000-0000-00003C020000}"/>
    <cellStyle name="Wrap" xfId="561" xr:uid="{00000000-0005-0000-0000-00003D020000}"/>
    <cellStyle name="wt'd avg fee" xfId="562" xr:uid="{00000000-0005-0000-0000-00003E020000}"/>
    <cellStyle name="x Men" xfId="563" xr:uid="{00000000-0005-0000-0000-00003F020000}"/>
    <cellStyle name="Year" xfId="564" xr:uid="{00000000-0005-0000-0000-000040020000}"/>
    <cellStyle name="years" xfId="565" xr:uid="{00000000-0005-0000-0000-000041020000}"/>
    <cellStyle name="Yen" xfId="566" xr:uid="{00000000-0005-0000-0000-000042020000}"/>
    <cellStyle name="yer" xfId="567" xr:uid="{00000000-0005-0000-0000-000043020000}"/>
    <cellStyle name="YesNo" xfId="568" xr:uid="{00000000-0005-0000-0000-000044020000}"/>
    <cellStyle name="Zero" xfId="569" xr:uid="{00000000-0005-0000-0000-000045020000}"/>
    <cellStyle name="桁区切り [0.00]_Hoshino" xfId="570" xr:uid="{00000000-0005-0000-0000-000046020000}"/>
    <cellStyle name="桁区切り_Hoshino" xfId="571" xr:uid="{00000000-0005-0000-0000-000047020000}"/>
    <cellStyle name="標準_3G" xfId="572" xr:uid="{00000000-0005-0000-0000-000048020000}"/>
    <cellStyle name="通貨 [0.00]_Hoshino" xfId="573" xr:uid="{00000000-0005-0000-0000-000049020000}"/>
    <cellStyle name="通貨_Hoshino" xfId="574" xr:uid="{00000000-0005-0000-0000-00004A02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D0E2D"/>
      <rgbColor rgb="00008000"/>
      <rgbColor rgb="00003868"/>
      <rgbColor rgb="00808000"/>
      <rgbColor rgb="00808080"/>
      <rgbColor rgb="00E3DFDB"/>
      <rgbColor rgb="00C0C0C0"/>
      <rgbColor rgb="0091867E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3DDB8"/>
      <rgbColor rgb="00FFE9A8"/>
      <rgbColor rgb="00B2C2D1"/>
      <rgbColor rgb="00FF99CC"/>
      <rgbColor rgb="00DDDDDD"/>
      <rgbColor rgb="00FFCC99"/>
      <rgbColor rgb="003366FF"/>
      <rgbColor rgb="0033CCCC"/>
      <rgbColor rgb="0099CC00"/>
      <rgbColor rgb="00FFCC00"/>
      <rgbColor rgb="00FF9900"/>
      <rgbColor rgb="00FF6600"/>
      <rgbColor rgb="005F5F5F"/>
      <rgbColor rgb="00969696"/>
      <rgbColor rgb="00003366"/>
      <rgbColor rgb="00339966"/>
      <rgbColor rgb="00003300"/>
      <rgbColor rgb="00333300"/>
      <rgbColor rgb="00993300"/>
      <rgbColor rgb="00B2B2B2"/>
      <rgbColor rgb="00292929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'Balance Sheet'!$A$177</c:f>
              <c:strCache>
                <c:ptCount val="1"/>
              </c:strCache>
            </c:strRef>
          </c:tx>
          <c:spPr>
            <a:solidFill>
              <a:srgbClr val="002B55"/>
            </a:solidFill>
            <a:ln>
              <a:noFill/>
              <a:prstDash val="solid"/>
            </a:ln>
          </c:spPr>
          <c:invertIfNegative val="0"/>
          <c:cat>
            <c:multiLvlStrRef>
              <c:f>('Balance Sheet'!$AW$3:$AX$3,'Balance Sheet'!$AZ$3:$BA$3)</c:f>
            </c:multiLvlStrRef>
          </c:cat>
          <c:val>
            <c:numRef>
              <c:f>('Balance Sheet'!$AW$177:$AX$177,'Balance Sheet'!$AZ$177:$BA$177)</c:f>
            </c:numRef>
          </c:val>
          <c:extLst>
            <c:ext xmlns:c16="http://schemas.microsoft.com/office/drawing/2014/chart" uri="{C3380CC4-5D6E-409C-BE32-E72D297353CC}">
              <c16:uniqueId val="{00000000-4368-4D02-95DF-814BDCCCD963}"/>
            </c:ext>
          </c:extLst>
        </c:ser>
        <c:ser>
          <c:idx val="0"/>
          <c:order val="1"/>
          <c:tx>
            <c:strRef>
              <c:f>'Balance Sheet'!$A$176</c:f>
              <c:strCache>
                <c:ptCount val="1"/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multiLvlStrRef>
              <c:f>('Balance Sheet'!$AW$3:$AX$3,'Balance Sheet'!$AZ$3:$BA$3)</c:f>
            </c:multiLvlStrRef>
          </c:cat>
          <c:val>
            <c:numRef>
              <c:f>('Balance Sheet'!$AW$176:$AX$176,'Balance Sheet'!$AZ$176:$BA$176)</c:f>
            </c:numRef>
          </c:val>
          <c:extLst>
            <c:ext xmlns:c16="http://schemas.microsoft.com/office/drawing/2014/chart" uri="{C3380CC4-5D6E-409C-BE32-E72D297353CC}">
              <c16:uniqueId val="{00000001-4368-4D02-95DF-814BDCCCD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2886400"/>
        <c:axId val="295121280"/>
      </c:barChart>
      <c:lineChart>
        <c:grouping val="standard"/>
        <c:varyColors val="0"/>
        <c:ser>
          <c:idx val="2"/>
          <c:order val="2"/>
          <c:tx>
            <c:strRef>
              <c:f>'Balance Sheet'!$A$180</c:f>
              <c:strCache>
                <c:ptCount val="1"/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('Balance Sheet'!$AW$180:$AX$180,'Balance Sheet'!$AZ$180:$BA$180)</c:f>
            </c:numRef>
          </c:val>
          <c:smooth val="0"/>
          <c:extLst>
            <c:ext xmlns:c16="http://schemas.microsoft.com/office/drawing/2014/chart" uri="{C3380CC4-5D6E-409C-BE32-E72D297353CC}">
              <c16:uniqueId val="{00000002-4368-4D02-95DF-814BDCCCD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984384"/>
        <c:axId val="295123584"/>
      </c:lineChart>
      <c:catAx>
        <c:axId val="29288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95121280"/>
        <c:crosses val="autoZero"/>
        <c:auto val="1"/>
        <c:lblAlgn val="ctr"/>
        <c:lblOffset val="100"/>
        <c:noMultiLvlLbl val="0"/>
      </c:catAx>
      <c:valAx>
        <c:axId val="295121280"/>
        <c:scaling>
          <c:orientation val="minMax"/>
          <c:max val="42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92886400"/>
        <c:crosses val="autoZero"/>
        <c:crossBetween val="between"/>
        <c:majorUnit val="70"/>
      </c:valAx>
      <c:valAx>
        <c:axId val="295123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97984384"/>
        <c:crosses val="max"/>
        <c:crossBetween val="between"/>
      </c:valAx>
      <c:catAx>
        <c:axId val="297984384"/>
        <c:scaling>
          <c:orientation val="minMax"/>
        </c:scaling>
        <c:delete val="1"/>
        <c:axPos val="b"/>
        <c:majorTickMark val="out"/>
        <c:minorTickMark val="none"/>
        <c:tickLblPos val="nextTo"/>
        <c:crossAx val="295123584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3.8350193044850052E-2"/>
          <c:y val="0.88941474582812474"/>
          <c:w val="0.91451226768885874"/>
          <c:h val="8.1294100100404845E-2"/>
        </c:manualLayout>
      </c:layout>
      <c:overlay val="0"/>
      <c:spPr>
        <a:effectLst/>
      </c:spPr>
      <c:txPr>
        <a:bodyPr/>
        <a:lstStyle/>
        <a:p>
          <a:pPr>
            <a:defRPr sz="950" b="0" i="0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732728818478"/>
          <c:y val="4.3302104511504527E-2"/>
          <c:w val="0.8398990325560679"/>
          <c:h val="0.8138009506005304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2B55"/>
              </a:solidFill>
              <a:prstDash val="solid"/>
            </a:ln>
          </c:spPr>
          <c:marker>
            <c:symbol val="none"/>
          </c:marker>
          <c:cat>
            <c:multiLvlStrRef>
              <c:f>(Forecasts!$AP$3:$AS$3,Forecasts!$AU$3:$AX$3,Forecasts!$AZ$3:$BA$3)</c:f>
            </c:multiLvlStrRef>
          </c:cat>
          <c:val>
            <c:numRef>
              <c:f>(Forecasts!$AP$13:$AS$13,Forecasts!$AU$13:$AX$13,Forecasts!$AZ$13:$BA$13)</c:f>
            </c:numRef>
          </c:val>
          <c:smooth val="0"/>
          <c:extLst>
            <c:ext xmlns:c16="http://schemas.microsoft.com/office/drawing/2014/chart" uri="{C3380CC4-5D6E-409C-BE32-E72D297353CC}">
              <c16:uniqueId val="{00000000-5FCC-4A5C-9EB8-901B890D7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76320"/>
        <c:axId val="299959808"/>
      </c:lineChart>
      <c:catAx>
        <c:axId val="29957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99959808"/>
        <c:crosses val="autoZero"/>
        <c:auto val="1"/>
        <c:lblAlgn val="ctr"/>
        <c:lblOffset val="100"/>
        <c:noMultiLvlLbl val="0"/>
      </c:catAx>
      <c:valAx>
        <c:axId val="299959808"/>
        <c:scaling>
          <c:orientation val="minMax"/>
          <c:max val="150000"/>
          <c:min val="8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99576320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732728818478"/>
          <c:y val="4.3302104511504527E-2"/>
          <c:w val="0.8398990325560679"/>
          <c:h val="0.81380095060053048"/>
        </c:manualLayout>
      </c:layout>
      <c:barChart>
        <c:barDir val="col"/>
        <c:grouping val="clustered"/>
        <c:varyColors val="0"/>
        <c:ser>
          <c:idx val="0"/>
          <c:order val="0"/>
          <c:tx>
            <c:v>Cancelations</c:v>
          </c:tx>
          <c:invertIfNegative val="0"/>
          <c:cat>
            <c:multiLvlStrRef>
              <c:f>(Forecasts!$AU$3:$AX$3,Forecasts!$AZ$3:$BA$3)</c:f>
            </c:multiLvlStrRef>
          </c:cat>
          <c:val>
            <c:numRef>
              <c:f>(Forecasts!$AU$19:$AX$19,Forecasts!$AZ$19:$BA$19)</c:f>
            </c:numRef>
          </c:val>
          <c:extLst>
            <c:ext xmlns:c16="http://schemas.microsoft.com/office/drawing/2014/chart" uri="{C3380CC4-5D6E-409C-BE32-E72D297353CC}">
              <c16:uniqueId val="{00000000-B74A-451A-A631-F1FF0F5B0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124288"/>
        <c:axId val="306126208"/>
      </c:barChart>
      <c:lineChart>
        <c:grouping val="standard"/>
        <c:varyColors val="0"/>
        <c:ser>
          <c:idx val="1"/>
          <c:order val="1"/>
          <c:tx>
            <c:v>% of receivables</c:v>
          </c:tx>
          <c:marker>
            <c:symbol val="none"/>
          </c:marker>
          <c:cat>
            <c:multiLvlStrRef>
              <c:f>(Forecasts!$AU$3:$AX$3,Forecasts!$AZ$3:$BA$3)</c:f>
            </c:multiLvlStrRef>
          </c:cat>
          <c:val>
            <c:numRef>
              <c:f>(Forecasts!$AU$20:$AX$20,Forecasts!$AZ$20:$BA$20)</c:f>
            </c:numRef>
          </c:val>
          <c:smooth val="0"/>
          <c:extLst>
            <c:ext xmlns:c16="http://schemas.microsoft.com/office/drawing/2014/chart" uri="{C3380CC4-5D6E-409C-BE32-E72D297353CC}">
              <c16:uniqueId val="{00000001-B74A-451A-A631-F1FF0F5B0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523520"/>
        <c:axId val="306521984"/>
      </c:lineChart>
      <c:catAx>
        <c:axId val="30612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6126208"/>
        <c:crosses val="autoZero"/>
        <c:auto val="1"/>
        <c:lblAlgn val="ctr"/>
        <c:lblOffset val="100"/>
        <c:noMultiLvlLbl val="0"/>
      </c:catAx>
      <c:valAx>
        <c:axId val="306126208"/>
        <c:scaling>
          <c:orientation val="minMax"/>
          <c:max val="420000"/>
          <c:min val="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6124288"/>
        <c:crosses val="autoZero"/>
        <c:crossBetween val="between"/>
        <c:majorUnit val="70000"/>
        <c:dispUnits>
          <c:builtInUnit val="thousands"/>
        </c:dispUnits>
      </c:valAx>
      <c:valAx>
        <c:axId val="30652198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crossAx val="306523520"/>
        <c:crosses val="max"/>
        <c:crossBetween val="between"/>
      </c:valAx>
      <c:catAx>
        <c:axId val="306523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6521984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06757114963716"/>
          <c:y val="6.8046164232364259E-2"/>
          <c:w val="0.86393242885036259"/>
          <c:h val="0.7608963974012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B55"/>
            </a:solidFill>
            <a:ln>
              <a:solidFill>
                <a:srgbClr val="002B55"/>
              </a:solidFill>
              <a:prstDash val="solid"/>
            </a:ln>
          </c:spPr>
          <c:invertIfNegative val="0"/>
          <c:cat>
            <c:strRef>
              <c:f>'Cash Flow'!$AJ$3:$BN$3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'Cash Flow'!$AJ$23:$BN$23</c:f>
              <c:numCache>
                <c:formatCode>_(* #,##0_);_(* \(#,##0\);_(* "-"??_);_(@_)</c:formatCode>
                <c:ptCount val="7"/>
                <c:pt idx="0">
                  <c:v>-142882.14199999999</c:v>
                </c:pt>
                <c:pt idx="1">
                  <c:v>-25405.57400000003</c:v>
                </c:pt>
                <c:pt idx="2">
                  <c:v>3858.4290000000765</c:v>
                </c:pt>
                <c:pt idx="3">
                  <c:v>19810.36499999994</c:v>
                </c:pt>
                <c:pt idx="4">
                  <c:v>66811</c:v>
                </c:pt>
                <c:pt idx="5">
                  <c:v>78288</c:v>
                </c:pt>
                <c:pt idx="6">
                  <c:v>124896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2-43B9-816D-8135EB26F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410624"/>
        <c:axId val="390412160"/>
      </c:barChart>
      <c:catAx>
        <c:axId val="390410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90412160"/>
        <c:crosses val="autoZero"/>
        <c:auto val="1"/>
        <c:lblAlgn val="ctr"/>
        <c:lblOffset val="100"/>
        <c:noMultiLvlLbl val="0"/>
      </c:catAx>
      <c:valAx>
        <c:axId val="3904121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90410624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622" l="0.70000000000000062" r="0.70000000000000062" t="0.750000000000006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06757114963716"/>
          <c:y val="6.8046164232364259E-2"/>
          <c:w val="0.86393242885036259"/>
          <c:h val="0.7608963974012962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002B55"/>
              </a:solidFill>
              <a:prstDash val="solid"/>
            </a:ln>
          </c:spPr>
          <c:marker>
            <c:symbol val="none"/>
          </c:marker>
          <c:cat>
            <c:strRef>
              <c:f>'Cash Flow'!$AJ$3:$BN$3</c:f>
              <c:strCache>
                <c:ptCount val="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</c:strCache>
            </c:strRef>
          </c:cat>
          <c:val>
            <c:numRef>
              <c:f>'Cash Flow'!$AJ$24:$BN$24</c:f>
              <c:numCache>
                <c:formatCode>0%</c:formatCode>
                <c:ptCount val="7"/>
                <c:pt idx="0">
                  <c:v>0.61409020045743101</c:v>
                </c:pt>
                <c:pt idx="1">
                  <c:v>0.54208161194401272</c:v>
                </c:pt>
                <c:pt idx="2">
                  <c:v>7.6688431766405385E-2</c:v>
                </c:pt>
                <c:pt idx="3">
                  <c:v>4.7098555817124181E-2</c:v>
                </c:pt>
                <c:pt idx="4">
                  <c:v>1.7599958453043591E-2</c:v>
                </c:pt>
                <c:pt idx="5">
                  <c:v>7.7316412741577467E-2</c:v>
                </c:pt>
                <c:pt idx="6">
                  <c:v>0.19185031716073733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34-4898-9F72-F002E5671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317120"/>
        <c:axId val="444068224"/>
      </c:lineChart>
      <c:catAx>
        <c:axId val="427317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44068224"/>
        <c:crosses val="autoZero"/>
        <c:auto val="1"/>
        <c:lblAlgn val="ctr"/>
        <c:lblOffset val="100"/>
        <c:noMultiLvlLbl val="0"/>
      </c:catAx>
      <c:valAx>
        <c:axId val="4440682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27317120"/>
        <c:crosses val="autoZero"/>
        <c:crossBetween val="between"/>
      </c:valAx>
    </c:plotArea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000000000000644" l="0.70000000000000062" r="0.70000000000000062" t="0.750000000000006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4" name="Picture 1" descr="cid:image001.jpg@01CD1268.003EB2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4" name="Picture 1" descr="cid:image001.jpg@01CD1268.003EB2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5" name="Picture 1" descr="cid:image001.jpg@01CD1268.003EB22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523875</xdr:colOff>
      <xdr:row>182</xdr:row>
      <xdr:rowOff>38100</xdr:rowOff>
    </xdr:from>
    <xdr:to>
      <xdr:col>52</xdr:col>
      <xdr:colOff>573405</xdr:colOff>
      <xdr:row>198</xdr:row>
      <xdr:rowOff>48768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6" name="Picture 1" descr="cid:image001.jpg@01CD1268.003EB22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50</xdr:col>
      <xdr:colOff>390526</xdr:colOff>
      <xdr:row>68</xdr:row>
      <xdr:rowOff>66675</xdr:rowOff>
    </xdr:from>
    <xdr:to>
      <xdr:col>55</xdr:col>
      <xdr:colOff>240348</xdr:colOff>
      <xdr:row>80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419100</xdr:colOff>
      <xdr:row>83</xdr:row>
      <xdr:rowOff>85725</xdr:rowOff>
    </xdr:from>
    <xdr:to>
      <xdr:col>55</xdr:col>
      <xdr:colOff>268922</xdr:colOff>
      <xdr:row>95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3" name="Picture 1" descr="cid:image001.jpg@01CD1268.003EB22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2009775</xdr:colOff>
      <xdr:row>35</xdr:row>
      <xdr:rowOff>28575</xdr:rowOff>
    </xdr:from>
    <xdr:to>
      <xdr:col>45</xdr:col>
      <xdr:colOff>526097</xdr:colOff>
      <xdr:row>48</xdr:row>
      <xdr:rowOff>100393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48</xdr:row>
      <xdr:rowOff>0</xdr:rowOff>
    </xdr:from>
    <xdr:to>
      <xdr:col>45</xdr:col>
      <xdr:colOff>564197</xdr:colOff>
      <xdr:row>60</xdr:row>
      <xdr:rowOff>119443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1019174</xdr:colOff>
      <xdr:row>0</xdr:row>
      <xdr:rowOff>370091</xdr:rowOff>
    </xdr:to>
    <xdr:pic>
      <xdr:nvPicPr>
        <xdr:cNvPr id="2" name="Picture 1" descr="cid:image001.jpg@01CD1268.003EB22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147</xdr:col>
      <xdr:colOff>0</xdr:colOff>
      <xdr:row>29</xdr:row>
      <xdr:rowOff>28575</xdr:rowOff>
    </xdr:from>
    <xdr:to>
      <xdr:col>147</xdr:col>
      <xdr:colOff>0</xdr:colOff>
      <xdr:row>35</xdr:row>
      <xdr:rowOff>152400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600-0000020C0000}"/>
            </a:ext>
          </a:extLst>
        </xdr:cNvPr>
        <xdr:cNvSpPr txBox="1">
          <a:spLocks noChangeArrowheads="1"/>
        </xdr:cNvSpPr>
      </xdr:nvSpPr>
      <xdr:spPr bwMode="auto">
        <a:xfrm>
          <a:off x="21336000" y="3562350"/>
          <a:ext cx="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147</xdr:col>
      <xdr:colOff>0</xdr:colOff>
      <xdr:row>45</xdr:row>
      <xdr:rowOff>3510</xdr:rowOff>
    </xdr:from>
    <xdr:to>
      <xdr:col>147</xdr:col>
      <xdr:colOff>0</xdr:colOff>
      <xdr:row>46</xdr:row>
      <xdr:rowOff>155302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600-0000040C0000}"/>
            </a:ext>
          </a:extLst>
        </xdr:cNvPr>
        <xdr:cNvSpPr txBox="1">
          <a:spLocks noChangeArrowheads="1"/>
        </xdr:cNvSpPr>
      </xdr:nvSpPr>
      <xdr:spPr bwMode="auto">
        <a:xfrm>
          <a:off x="21336000" y="6629400"/>
          <a:ext cx="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147</xdr:col>
      <xdr:colOff>0</xdr:colOff>
      <xdr:row>29</xdr:row>
      <xdr:rowOff>28575</xdr:rowOff>
    </xdr:from>
    <xdr:to>
      <xdr:col>147</xdr:col>
      <xdr:colOff>0</xdr:colOff>
      <xdr:row>35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1336000" y="3562350"/>
          <a:ext cx="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147</xdr:col>
      <xdr:colOff>0</xdr:colOff>
      <xdr:row>45</xdr:row>
      <xdr:rowOff>3510</xdr:rowOff>
    </xdr:from>
    <xdr:to>
      <xdr:col>147</xdr:col>
      <xdr:colOff>0</xdr:colOff>
      <xdr:row>46</xdr:row>
      <xdr:rowOff>155302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21336000" y="6629400"/>
          <a:ext cx="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137</xdr:col>
      <xdr:colOff>0</xdr:colOff>
      <xdr:row>17</xdr:row>
      <xdr:rowOff>0</xdr:rowOff>
    </xdr:from>
    <xdr:to>
      <xdr:col>137</xdr:col>
      <xdr:colOff>0</xdr:colOff>
      <xdr:row>20</xdr:row>
      <xdr:rowOff>152400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17049750" y="2486025"/>
          <a:ext cx="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137</xdr:col>
      <xdr:colOff>0</xdr:colOff>
      <xdr:row>35</xdr:row>
      <xdr:rowOff>28575</xdr:rowOff>
    </xdr:from>
    <xdr:to>
      <xdr:col>137</xdr:col>
      <xdr:colOff>0</xdr:colOff>
      <xdr:row>37</xdr:row>
      <xdr:rowOff>152400</xdr:rowOff>
    </xdr:to>
    <xdr:sp macro="" textlink="">
      <xdr:nvSpPr>
        <xdr:cNvPr id="8" name="Text Box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17049750" y="5267325"/>
          <a:ext cx="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137</xdr:col>
      <xdr:colOff>0</xdr:colOff>
      <xdr:row>17</xdr:row>
      <xdr:rowOff>0</xdr:rowOff>
    </xdr:from>
    <xdr:to>
      <xdr:col>137</xdr:col>
      <xdr:colOff>0</xdr:colOff>
      <xdr:row>20</xdr:row>
      <xdr:rowOff>152400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17049750" y="2486025"/>
          <a:ext cx="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137</xdr:col>
      <xdr:colOff>0</xdr:colOff>
      <xdr:row>31</xdr:row>
      <xdr:rowOff>3510</xdr:rowOff>
    </xdr:from>
    <xdr:to>
      <xdr:col>137</xdr:col>
      <xdr:colOff>0</xdr:colOff>
      <xdr:row>32</xdr:row>
      <xdr:rowOff>155302</xdr:rowOff>
    </xdr:to>
    <xdr:sp macro="" textlink="">
      <xdr:nvSpPr>
        <xdr:cNvPr id="10" name="Text Box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17049750" y="4594560"/>
          <a:ext cx="0" cy="313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137</xdr:col>
      <xdr:colOff>0</xdr:colOff>
      <xdr:row>31</xdr:row>
      <xdr:rowOff>3510</xdr:rowOff>
    </xdr:from>
    <xdr:to>
      <xdr:col>137</xdr:col>
      <xdr:colOff>0</xdr:colOff>
      <xdr:row>32</xdr:row>
      <xdr:rowOff>155302</xdr:rowOff>
    </xdr:to>
    <xdr:sp macro="" textlink="">
      <xdr:nvSpPr>
        <xdr:cNvPr id="11" name="Text Box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17049750" y="4594560"/>
          <a:ext cx="0" cy="313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13" name="Picture 1" descr="cid:image001.jpg@01CD1268.003EB220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mbauva, Gustavo" id="{838EECC2-1AF9-4161-9F53-8E82F3F45ABA}" userId="S::Gustavo.Cambauva@btgpactual.com::57b87f58-ce76-49d1-8a03-0d85f47a301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44" dT="2026-01-05T12:43:45.00" personId="{838EECC2-1AF9-4161-9F53-8E82F3F45ABA}" id="{BCAFFEA9-5CD3-4FB5-8AB5-CF98AB166280}">
    <text>Follow-on offer (100% primary, to distribute proceeds in the form of dividends).
16,172,506 new shares @ R$35.50/share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50"/>
  <sheetViews>
    <sheetView zoomScaleNormal="100" workbookViewId="0">
      <pane xSplit="1" ySplit="9" topLeftCell="CH10" activePane="bottomRight" state="frozen"/>
      <selection activeCell="AU21" sqref="AU21"/>
      <selection pane="topRight" activeCell="AU21" sqref="AU21"/>
      <selection pane="bottomLeft" activeCell="AU21" sqref="AU21"/>
      <selection pane="bottomRight" activeCell="DI6" sqref="DI6"/>
    </sheetView>
  </sheetViews>
  <sheetFormatPr defaultColWidth="10.7109375" defaultRowHeight="12.75" outlineLevelRow="1" outlineLevelCol="1"/>
  <cols>
    <col min="1" max="1" width="30.7109375" style="1" customWidth="1"/>
    <col min="2" max="5" width="10.7109375" style="1" hidden="1" customWidth="1" outlineLevel="1" collapsed="1"/>
    <col min="6" max="6" width="10.7109375" style="2" hidden="1" customWidth="1" collapsed="1"/>
    <col min="7" max="10" width="10.7109375" style="1" hidden="1" customWidth="1" outlineLevel="1" collapsed="1"/>
    <col min="11" max="11" width="10.7109375" style="2" hidden="1" customWidth="1" collapsed="1"/>
    <col min="12" max="13" width="10.7109375" style="1" hidden="1" customWidth="1" outlineLevel="1" collapsed="1"/>
    <col min="14" max="15" width="10.7109375" style="1" hidden="1" customWidth="1" outlineLevel="1"/>
    <col min="16" max="16" width="10.7109375" style="2" hidden="1" customWidth="1" collapsed="1"/>
    <col min="17" max="20" width="10.7109375" style="1" hidden="1" customWidth="1" outlineLevel="1"/>
    <col min="21" max="21" width="10.7109375" style="2" customWidth="1" collapsed="1"/>
    <col min="22" max="25" width="10.7109375" style="1" hidden="1" customWidth="1" outlineLevel="1"/>
    <col min="26" max="26" width="10.7109375" style="2" customWidth="1" collapsed="1"/>
    <col min="27" max="30" width="10.7109375" style="1" hidden="1" customWidth="1" outlineLevel="1"/>
    <col min="31" max="31" width="10.7109375" style="2" customWidth="1" collapsed="1"/>
    <col min="32" max="35" width="10.7109375" style="1" hidden="1" customWidth="1" outlineLevel="1"/>
    <col min="36" max="36" width="10.7109375" style="2" customWidth="1" collapsed="1"/>
    <col min="37" max="40" width="10.7109375" style="1" hidden="1" customWidth="1" outlineLevel="1"/>
    <col min="41" max="41" width="10.7109375" style="2" customWidth="1" collapsed="1"/>
    <col min="42" max="45" width="10.7109375" style="1" hidden="1" customWidth="1" outlineLevel="1"/>
    <col min="46" max="46" width="10.7109375" style="2" customWidth="1" collapsed="1"/>
    <col min="47" max="50" width="10.7109375" style="1" hidden="1" customWidth="1" outlineLevel="1"/>
    <col min="51" max="51" width="10.7109375" style="2" customWidth="1" collapsed="1"/>
    <col min="52" max="55" width="10.7109375" style="1" hidden="1" customWidth="1" outlineLevel="1"/>
    <col min="56" max="56" width="10.7109375" style="2" customWidth="1" collapsed="1"/>
    <col min="57" max="60" width="10.7109375" style="1" hidden="1" customWidth="1" outlineLevel="1"/>
    <col min="61" max="61" width="10.7109375" style="2" customWidth="1" collapsed="1"/>
    <col min="62" max="65" width="10.7109375" style="1" hidden="1" customWidth="1" outlineLevel="1"/>
    <col min="66" max="66" width="10.7109375" style="2" customWidth="1" collapsed="1"/>
    <col min="67" max="70" width="10.7109375" style="1" hidden="1" customWidth="1" outlineLevel="1"/>
    <col min="71" max="71" width="10.7109375" style="2" customWidth="1" collapsed="1"/>
    <col min="72" max="75" width="10.7109375" style="1" hidden="1" customWidth="1" outlineLevel="1"/>
    <col min="76" max="76" width="10.7109375" style="2" customWidth="1" collapsed="1"/>
    <col min="77" max="80" width="10.7109375" style="1" hidden="1" customWidth="1" outlineLevel="1"/>
    <col min="81" max="81" width="10.7109375" style="2" customWidth="1" collapsed="1"/>
    <col min="82" max="85" width="10.7109375" style="1" hidden="1" customWidth="1" outlineLevel="1"/>
    <col min="86" max="86" width="10.7109375" style="2" customWidth="1" collapsed="1"/>
    <col min="87" max="90" width="10.7109375" style="1" hidden="1" customWidth="1" outlineLevel="1"/>
    <col min="91" max="91" width="10.7109375" style="1" collapsed="1"/>
    <col min="92" max="95" width="10.7109375" style="1" hidden="1" customWidth="1" outlineLevel="1"/>
    <col min="96" max="96" width="10.7109375" style="1" collapsed="1"/>
    <col min="97" max="100" width="10.7109375" style="1" hidden="1" customWidth="1" outlineLevel="1"/>
    <col min="101" max="101" width="10.7109375" style="1" collapsed="1"/>
    <col min="102" max="105" width="10.7109375" style="1" hidden="1" customWidth="1" outlineLevel="1"/>
    <col min="106" max="106" width="10.7109375" style="1" collapsed="1"/>
    <col min="107" max="110" width="10.7109375" style="1" customWidth="1" outlineLevel="1"/>
    <col min="111" max="111" width="10.7109375" style="1"/>
    <col min="112" max="115" width="10.7109375" style="1" customWidth="1" outlineLevel="1"/>
    <col min="116" max="116" width="10.7109375" style="1"/>
    <col min="117" max="120" width="10.7109375" style="1" hidden="1" customWidth="1" outlineLevel="1"/>
    <col min="121" max="121" width="10.7109375" style="1" collapsed="1"/>
    <col min="122" max="125" width="10.7109375" style="1" hidden="1" customWidth="1" outlineLevel="1"/>
    <col min="126" max="126" width="10.7109375" style="1" collapsed="1"/>
    <col min="127" max="130" width="10.7109375" style="1" hidden="1" customWidth="1" outlineLevel="1"/>
    <col min="131" max="131" width="10.7109375" style="1" collapsed="1"/>
    <col min="132" max="135" width="10.7109375" style="1" hidden="1" customWidth="1" outlineLevel="1"/>
    <col min="136" max="136" width="10.7109375" style="1" collapsed="1"/>
    <col min="137" max="16384" width="10.7109375" style="1"/>
  </cols>
  <sheetData>
    <row r="1" spans="1:136" ht="30" customHeight="1"/>
    <row r="2" spans="1:136" outlineLevel="1">
      <c r="A2" s="3" t="str">
        <f ca="1">DCF!$A$2</f>
        <v>Cury - TP: R$48</v>
      </c>
    </row>
    <row r="3" spans="1:136" s="199" customFormat="1" ht="13.5" customHeight="1" thickBot="1">
      <c r="A3" s="200" t="s">
        <v>75</v>
      </c>
      <c r="B3" s="201" t="str">
        <f t="shared" ref="B3:BM3" si="0">B4&amp;RIGHT(B5,2)&amp;B6</f>
        <v>1Q04</v>
      </c>
      <c r="C3" s="201" t="str">
        <f t="shared" si="0"/>
        <v>2Q04</v>
      </c>
      <c r="D3" s="201" t="str">
        <f t="shared" si="0"/>
        <v>3Q04</v>
      </c>
      <c r="E3" s="201" t="str">
        <f t="shared" si="0"/>
        <v>4Q04</v>
      </c>
      <c r="F3" s="202" t="str">
        <f t="shared" si="0"/>
        <v>2004</v>
      </c>
      <c r="G3" s="201" t="str">
        <f t="shared" si="0"/>
        <v>1Q05</v>
      </c>
      <c r="H3" s="201" t="str">
        <f t="shared" si="0"/>
        <v>2Q05</v>
      </c>
      <c r="I3" s="201" t="str">
        <f t="shared" si="0"/>
        <v>3Q05</v>
      </c>
      <c r="J3" s="201" t="str">
        <f t="shared" si="0"/>
        <v>4Q05</v>
      </c>
      <c r="K3" s="202" t="str">
        <f t="shared" si="0"/>
        <v>2005</v>
      </c>
      <c r="L3" s="201" t="str">
        <f t="shared" si="0"/>
        <v>1Q06</v>
      </c>
      <c r="M3" s="201" t="str">
        <f t="shared" si="0"/>
        <v>2Q06</v>
      </c>
      <c r="N3" s="201" t="str">
        <f t="shared" si="0"/>
        <v>3Q06</v>
      </c>
      <c r="O3" s="201" t="str">
        <f t="shared" si="0"/>
        <v>4Q06</v>
      </c>
      <c r="P3" s="202" t="str">
        <f t="shared" si="0"/>
        <v>2006</v>
      </c>
      <c r="Q3" s="201" t="str">
        <f t="shared" si="0"/>
        <v>1Q07</v>
      </c>
      <c r="R3" s="201" t="str">
        <f t="shared" si="0"/>
        <v>2Q07</v>
      </c>
      <c r="S3" s="201" t="str">
        <f t="shared" si="0"/>
        <v>3Q07</v>
      </c>
      <c r="T3" s="201" t="str">
        <f t="shared" si="0"/>
        <v>4Q07</v>
      </c>
      <c r="U3" s="202" t="str">
        <f t="shared" si="0"/>
        <v>2007</v>
      </c>
      <c r="V3" s="201" t="str">
        <f t="shared" si="0"/>
        <v>1Q08</v>
      </c>
      <c r="W3" s="201" t="str">
        <f t="shared" si="0"/>
        <v>2Q08</v>
      </c>
      <c r="X3" s="201" t="str">
        <f t="shared" si="0"/>
        <v>3Q08</v>
      </c>
      <c r="Y3" s="201" t="str">
        <f t="shared" si="0"/>
        <v>4Q08</v>
      </c>
      <c r="Z3" s="202" t="str">
        <f t="shared" si="0"/>
        <v>2008</v>
      </c>
      <c r="AA3" s="201" t="str">
        <f t="shared" si="0"/>
        <v>1Q09</v>
      </c>
      <c r="AB3" s="201" t="str">
        <f t="shared" si="0"/>
        <v>2Q09</v>
      </c>
      <c r="AC3" s="201" t="str">
        <f t="shared" si="0"/>
        <v>3Q09</v>
      </c>
      <c r="AD3" s="201" t="str">
        <f t="shared" si="0"/>
        <v>4Q09</v>
      </c>
      <c r="AE3" s="202" t="str">
        <f t="shared" si="0"/>
        <v>2009</v>
      </c>
      <c r="AF3" s="201" t="str">
        <f t="shared" si="0"/>
        <v>1Q10</v>
      </c>
      <c r="AG3" s="201" t="str">
        <f t="shared" si="0"/>
        <v>2Q10</v>
      </c>
      <c r="AH3" s="201" t="str">
        <f t="shared" si="0"/>
        <v>3Q10</v>
      </c>
      <c r="AI3" s="201" t="str">
        <f t="shared" si="0"/>
        <v>4Q10</v>
      </c>
      <c r="AJ3" s="202" t="str">
        <f t="shared" si="0"/>
        <v>2010</v>
      </c>
      <c r="AK3" s="201" t="str">
        <f t="shared" si="0"/>
        <v>1Q11</v>
      </c>
      <c r="AL3" s="201" t="str">
        <f t="shared" si="0"/>
        <v>2Q11</v>
      </c>
      <c r="AM3" s="201" t="str">
        <f t="shared" si="0"/>
        <v>3Q11</v>
      </c>
      <c r="AN3" s="201" t="str">
        <f t="shared" si="0"/>
        <v>4Q11</v>
      </c>
      <c r="AO3" s="202" t="str">
        <f t="shared" si="0"/>
        <v>2011</v>
      </c>
      <c r="AP3" s="201" t="str">
        <f t="shared" si="0"/>
        <v>1Q12</v>
      </c>
      <c r="AQ3" s="201" t="str">
        <f t="shared" si="0"/>
        <v>2Q12</v>
      </c>
      <c r="AR3" s="201" t="str">
        <f t="shared" si="0"/>
        <v>3Q12</v>
      </c>
      <c r="AS3" s="201" t="str">
        <f t="shared" si="0"/>
        <v>4Q12</v>
      </c>
      <c r="AT3" s="202" t="str">
        <f t="shared" si="0"/>
        <v>2012</v>
      </c>
      <c r="AU3" s="201" t="str">
        <f t="shared" si="0"/>
        <v>1Q13</v>
      </c>
      <c r="AV3" s="201" t="str">
        <f t="shared" si="0"/>
        <v>2Q13</v>
      </c>
      <c r="AW3" s="201" t="str">
        <f t="shared" si="0"/>
        <v>3Q13</v>
      </c>
      <c r="AX3" s="201" t="str">
        <f t="shared" si="0"/>
        <v>4Q13</v>
      </c>
      <c r="AY3" s="202" t="str">
        <f t="shared" si="0"/>
        <v>2013</v>
      </c>
      <c r="AZ3" s="201" t="str">
        <f t="shared" si="0"/>
        <v>1Q14</v>
      </c>
      <c r="BA3" s="201" t="str">
        <f t="shared" si="0"/>
        <v>2Q14</v>
      </c>
      <c r="BB3" s="201" t="str">
        <f t="shared" si="0"/>
        <v>3Q14</v>
      </c>
      <c r="BC3" s="201" t="str">
        <f t="shared" si="0"/>
        <v>4Q14</v>
      </c>
      <c r="BD3" s="202" t="str">
        <f t="shared" si="0"/>
        <v>2014</v>
      </c>
      <c r="BE3" s="201" t="str">
        <f t="shared" si="0"/>
        <v>1Q15</v>
      </c>
      <c r="BF3" s="201" t="str">
        <f t="shared" si="0"/>
        <v>2Q15</v>
      </c>
      <c r="BG3" s="201" t="str">
        <f t="shared" si="0"/>
        <v>3Q15</v>
      </c>
      <c r="BH3" s="201" t="str">
        <f t="shared" si="0"/>
        <v>4Q15</v>
      </c>
      <c r="BI3" s="202" t="str">
        <f t="shared" si="0"/>
        <v>2015</v>
      </c>
      <c r="BJ3" s="201" t="str">
        <f t="shared" si="0"/>
        <v>1Q16</v>
      </c>
      <c r="BK3" s="201" t="str">
        <f t="shared" si="0"/>
        <v>2Q16</v>
      </c>
      <c r="BL3" s="201" t="str">
        <f t="shared" si="0"/>
        <v>3Q16</v>
      </c>
      <c r="BM3" s="201" t="str">
        <f t="shared" si="0"/>
        <v>4Q16</v>
      </c>
      <c r="BN3" s="202" t="str">
        <f t="shared" ref="BN3:DY3" si="1">BN4&amp;RIGHT(BN5,2)&amp;BN6</f>
        <v>2016</v>
      </c>
      <c r="BO3" s="201" t="str">
        <f t="shared" si="1"/>
        <v>1Q17</v>
      </c>
      <c r="BP3" s="201" t="str">
        <f t="shared" si="1"/>
        <v>2Q17</v>
      </c>
      <c r="BQ3" s="201" t="str">
        <f t="shared" si="1"/>
        <v>3Q17</v>
      </c>
      <c r="BR3" s="201" t="str">
        <f t="shared" si="1"/>
        <v>4Q17</v>
      </c>
      <c r="BS3" s="202" t="str">
        <f t="shared" si="1"/>
        <v>2017</v>
      </c>
      <c r="BT3" s="201" t="str">
        <f t="shared" si="1"/>
        <v>1Q18</v>
      </c>
      <c r="BU3" s="201" t="str">
        <f t="shared" si="1"/>
        <v>2Q18</v>
      </c>
      <c r="BV3" s="201" t="str">
        <f t="shared" si="1"/>
        <v>3Q18</v>
      </c>
      <c r="BW3" s="201" t="str">
        <f t="shared" si="1"/>
        <v>4Q18</v>
      </c>
      <c r="BX3" s="202" t="str">
        <f t="shared" si="1"/>
        <v>2018</v>
      </c>
      <c r="BY3" s="201" t="str">
        <f t="shared" si="1"/>
        <v>1Q19</v>
      </c>
      <c r="BZ3" s="201" t="str">
        <f t="shared" si="1"/>
        <v>2Q19</v>
      </c>
      <c r="CA3" s="201" t="str">
        <f t="shared" si="1"/>
        <v>3Q19</v>
      </c>
      <c r="CB3" s="201" t="str">
        <f t="shared" si="1"/>
        <v>4Q19</v>
      </c>
      <c r="CC3" s="202" t="str">
        <f t="shared" si="1"/>
        <v>2019</v>
      </c>
      <c r="CD3" s="201" t="str">
        <f t="shared" si="1"/>
        <v>1Q20</v>
      </c>
      <c r="CE3" s="201" t="str">
        <f t="shared" si="1"/>
        <v>2Q20</v>
      </c>
      <c r="CF3" s="201" t="str">
        <f t="shared" si="1"/>
        <v>3Q20</v>
      </c>
      <c r="CG3" s="201" t="str">
        <f t="shared" si="1"/>
        <v>4Q20</v>
      </c>
      <c r="CH3" s="202" t="str">
        <f t="shared" si="1"/>
        <v>2020</v>
      </c>
      <c r="CI3" s="201" t="str">
        <f t="shared" si="1"/>
        <v>1Q21</v>
      </c>
      <c r="CJ3" s="201" t="str">
        <f t="shared" si="1"/>
        <v>2Q21</v>
      </c>
      <c r="CK3" s="201" t="str">
        <f t="shared" si="1"/>
        <v>3Q21</v>
      </c>
      <c r="CL3" s="201" t="str">
        <f t="shared" si="1"/>
        <v>4Q21</v>
      </c>
      <c r="CM3" s="202" t="str">
        <f t="shared" si="1"/>
        <v>2021</v>
      </c>
      <c r="CN3" s="201" t="str">
        <f t="shared" si="1"/>
        <v>1Q22</v>
      </c>
      <c r="CO3" s="201" t="str">
        <f t="shared" si="1"/>
        <v>2Q22</v>
      </c>
      <c r="CP3" s="201" t="str">
        <f t="shared" si="1"/>
        <v>3Q22</v>
      </c>
      <c r="CQ3" s="201" t="str">
        <f t="shared" si="1"/>
        <v>4Q22</v>
      </c>
      <c r="CR3" s="202" t="str">
        <f t="shared" si="1"/>
        <v>2022</v>
      </c>
      <c r="CS3" s="201" t="str">
        <f t="shared" si="1"/>
        <v>1Q23</v>
      </c>
      <c r="CT3" s="201" t="str">
        <f t="shared" si="1"/>
        <v>2Q23</v>
      </c>
      <c r="CU3" s="201" t="str">
        <f t="shared" si="1"/>
        <v>3Q23</v>
      </c>
      <c r="CV3" s="201" t="str">
        <f t="shared" si="1"/>
        <v>4Q23</v>
      </c>
      <c r="CW3" s="202" t="str">
        <f t="shared" si="1"/>
        <v>2023</v>
      </c>
      <c r="CX3" s="201" t="str">
        <f t="shared" si="1"/>
        <v>1Q24</v>
      </c>
      <c r="CY3" s="201" t="str">
        <f t="shared" si="1"/>
        <v>2Q24</v>
      </c>
      <c r="CZ3" s="201" t="str">
        <f t="shared" si="1"/>
        <v>3Q24</v>
      </c>
      <c r="DA3" s="201" t="str">
        <f t="shared" si="1"/>
        <v>4Q24</v>
      </c>
      <c r="DB3" s="202" t="str">
        <f t="shared" si="1"/>
        <v>2024</v>
      </c>
      <c r="DC3" s="201" t="str">
        <f t="shared" si="1"/>
        <v>1Q25</v>
      </c>
      <c r="DD3" s="201" t="str">
        <f t="shared" si="1"/>
        <v>2Q25</v>
      </c>
      <c r="DE3" s="201" t="str">
        <f t="shared" si="1"/>
        <v>3Q25</v>
      </c>
      <c r="DF3" s="201" t="str">
        <f t="shared" si="1"/>
        <v>4Q25</v>
      </c>
      <c r="DG3" s="202" t="str">
        <f t="shared" si="1"/>
        <v>2025</v>
      </c>
      <c r="DH3" s="201" t="str">
        <f t="shared" si="1"/>
        <v>1Q26</v>
      </c>
      <c r="DI3" s="201" t="str">
        <f t="shared" si="1"/>
        <v>2Q26</v>
      </c>
      <c r="DJ3" s="201" t="str">
        <f t="shared" si="1"/>
        <v>3Q26E</v>
      </c>
      <c r="DK3" s="201" t="str">
        <f t="shared" si="1"/>
        <v>4Q26E</v>
      </c>
      <c r="DL3" s="202" t="str">
        <f t="shared" si="1"/>
        <v>2026E</v>
      </c>
      <c r="DM3" s="201" t="str">
        <f t="shared" si="1"/>
        <v>1Q27E</v>
      </c>
      <c r="DN3" s="201" t="str">
        <f t="shared" si="1"/>
        <v>2Q27E</v>
      </c>
      <c r="DO3" s="201" t="str">
        <f t="shared" si="1"/>
        <v>3Q27E</v>
      </c>
      <c r="DP3" s="201" t="str">
        <f t="shared" si="1"/>
        <v>4Q27E</v>
      </c>
      <c r="DQ3" s="202" t="str">
        <f t="shared" si="1"/>
        <v>2027E</v>
      </c>
      <c r="DR3" s="201" t="str">
        <f t="shared" si="1"/>
        <v>1Q28E</v>
      </c>
      <c r="DS3" s="201" t="str">
        <f t="shared" si="1"/>
        <v>2Q28E</v>
      </c>
      <c r="DT3" s="201" t="str">
        <f t="shared" si="1"/>
        <v>3Q28E</v>
      </c>
      <c r="DU3" s="201" t="str">
        <f t="shared" si="1"/>
        <v>4Q28E</v>
      </c>
      <c r="DV3" s="202" t="str">
        <f t="shared" si="1"/>
        <v>2028E</v>
      </c>
      <c r="DW3" s="201" t="str">
        <f t="shared" si="1"/>
        <v>1Q29E</v>
      </c>
      <c r="DX3" s="201" t="str">
        <f t="shared" si="1"/>
        <v>2Q29E</v>
      </c>
      <c r="DY3" s="201" t="str">
        <f t="shared" si="1"/>
        <v>3Q29E</v>
      </c>
      <c r="DZ3" s="201" t="str">
        <f t="shared" ref="DZ3:EF3" si="2">DZ4&amp;RIGHT(DZ5,2)&amp;DZ6</f>
        <v>4Q29E</v>
      </c>
      <c r="EA3" s="202" t="str">
        <f t="shared" si="2"/>
        <v>2029E</v>
      </c>
      <c r="EB3" s="201" t="str">
        <f t="shared" si="2"/>
        <v>1Q30E</v>
      </c>
      <c r="EC3" s="201" t="str">
        <f t="shared" si="2"/>
        <v>2Q30E</v>
      </c>
      <c r="ED3" s="201" t="str">
        <f t="shared" si="2"/>
        <v>3Q30E</v>
      </c>
      <c r="EE3" s="201" t="str">
        <f t="shared" si="2"/>
        <v>4Q30E</v>
      </c>
      <c r="EF3" s="202" t="str">
        <f t="shared" si="2"/>
        <v>2030E</v>
      </c>
    </row>
    <row r="4" spans="1:136" s="203" customFormat="1" ht="13.5" customHeight="1">
      <c r="A4" s="204" t="s">
        <v>167</v>
      </c>
      <c r="B4" s="205" t="s">
        <v>168</v>
      </c>
      <c r="C4" s="205" t="s">
        <v>169</v>
      </c>
      <c r="D4" s="205" t="s">
        <v>170</v>
      </c>
      <c r="E4" s="205" t="s">
        <v>171</v>
      </c>
      <c r="F4" s="206">
        <v>20</v>
      </c>
      <c r="G4" s="205" t="s">
        <v>168</v>
      </c>
      <c r="H4" s="205" t="s">
        <v>169</v>
      </c>
      <c r="I4" s="205" t="s">
        <v>170</v>
      </c>
      <c r="J4" s="205" t="s">
        <v>171</v>
      </c>
      <c r="K4" s="206">
        <v>20</v>
      </c>
      <c r="L4" s="205" t="s">
        <v>168</v>
      </c>
      <c r="M4" s="205" t="s">
        <v>169</v>
      </c>
      <c r="N4" s="205" t="s">
        <v>170</v>
      </c>
      <c r="O4" s="205" t="s">
        <v>171</v>
      </c>
      <c r="P4" s="206">
        <v>20</v>
      </c>
      <c r="Q4" s="205" t="s">
        <v>168</v>
      </c>
      <c r="R4" s="205" t="s">
        <v>169</v>
      </c>
      <c r="S4" s="205" t="s">
        <v>170</v>
      </c>
      <c r="T4" s="205" t="s">
        <v>171</v>
      </c>
      <c r="U4" s="206">
        <v>20</v>
      </c>
      <c r="V4" s="205" t="s">
        <v>168</v>
      </c>
      <c r="W4" s="205" t="s">
        <v>169</v>
      </c>
      <c r="X4" s="205" t="s">
        <v>170</v>
      </c>
      <c r="Y4" s="205" t="s">
        <v>171</v>
      </c>
      <c r="Z4" s="206">
        <v>20</v>
      </c>
      <c r="AA4" s="205" t="s">
        <v>168</v>
      </c>
      <c r="AB4" s="205" t="s">
        <v>169</v>
      </c>
      <c r="AC4" s="205" t="s">
        <v>170</v>
      </c>
      <c r="AD4" s="205" t="s">
        <v>171</v>
      </c>
      <c r="AE4" s="206">
        <v>20</v>
      </c>
      <c r="AF4" s="205" t="s">
        <v>168</v>
      </c>
      <c r="AG4" s="205" t="s">
        <v>169</v>
      </c>
      <c r="AH4" s="205" t="s">
        <v>170</v>
      </c>
      <c r="AI4" s="205" t="s">
        <v>171</v>
      </c>
      <c r="AJ4" s="206">
        <v>20</v>
      </c>
      <c r="AK4" s="205" t="s">
        <v>168</v>
      </c>
      <c r="AL4" s="205" t="s">
        <v>169</v>
      </c>
      <c r="AM4" s="205" t="s">
        <v>170</v>
      </c>
      <c r="AN4" s="205" t="s">
        <v>171</v>
      </c>
      <c r="AO4" s="206">
        <v>20</v>
      </c>
      <c r="AP4" s="205" t="s">
        <v>168</v>
      </c>
      <c r="AQ4" s="205" t="s">
        <v>169</v>
      </c>
      <c r="AR4" s="205" t="s">
        <v>170</v>
      </c>
      <c r="AS4" s="205" t="s">
        <v>171</v>
      </c>
      <c r="AT4" s="206">
        <v>20</v>
      </c>
      <c r="AU4" s="205" t="s">
        <v>168</v>
      </c>
      <c r="AV4" s="205" t="s">
        <v>169</v>
      </c>
      <c r="AW4" s="205" t="s">
        <v>170</v>
      </c>
      <c r="AX4" s="205" t="s">
        <v>171</v>
      </c>
      <c r="AY4" s="206">
        <v>20</v>
      </c>
      <c r="AZ4" s="205" t="s">
        <v>168</v>
      </c>
      <c r="BA4" s="205" t="s">
        <v>169</v>
      </c>
      <c r="BB4" s="205" t="s">
        <v>170</v>
      </c>
      <c r="BC4" s="205" t="s">
        <v>171</v>
      </c>
      <c r="BD4" s="206">
        <v>20</v>
      </c>
      <c r="BE4" s="205" t="s">
        <v>168</v>
      </c>
      <c r="BF4" s="205" t="s">
        <v>169</v>
      </c>
      <c r="BG4" s="205" t="s">
        <v>170</v>
      </c>
      <c r="BH4" s="205" t="s">
        <v>171</v>
      </c>
      <c r="BI4" s="206">
        <v>20</v>
      </c>
      <c r="BJ4" s="205" t="s">
        <v>168</v>
      </c>
      <c r="BK4" s="205" t="s">
        <v>169</v>
      </c>
      <c r="BL4" s="205" t="s">
        <v>170</v>
      </c>
      <c r="BM4" s="205" t="s">
        <v>171</v>
      </c>
      <c r="BN4" s="206">
        <v>20</v>
      </c>
      <c r="BO4" s="205" t="s">
        <v>168</v>
      </c>
      <c r="BP4" s="205" t="s">
        <v>169</v>
      </c>
      <c r="BQ4" s="205" t="s">
        <v>170</v>
      </c>
      <c r="BR4" s="205" t="s">
        <v>171</v>
      </c>
      <c r="BS4" s="206">
        <v>20</v>
      </c>
      <c r="BT4" s="205" t="s">
        <v>168</v>
      </c>
      <c r="BU4" s="205" t="s">
        <v>169</v>
      </c>
      <c r="BV4" s="205" t="s">
        <v>170</v>
      </c>
      <c r="BW4" s="205" t="s">
        <v>171</v>
      </c>
      <c r="BX4" s="206">
        <v>20</v>
      </c>
      <c r="BY4" s="205" t="s">
        <v>168</v>
      </c>
      <c r="BZ4" s="205" t="s">
        <v>169</v>
      </c>
      <c r="CA4" s="205" t="s">
        <v>170</v>
      </c>
      <c r="CB4" s="205" t="s">
        <v>171</v>
      </c>
      <c r="CC4" s="206">
        <v>20</v>
      </c>
      <c r="CD4" s="205" t="s">
        <v>168</v>
      </c>
      <c r="CE4" s="205" t="s">
        <v>169</v>
      </c>
      <c r="CF4" s="205" t="s">
        <v>170</v>
      </c>
      <c r="CG4" s="205" t="s">
        <v>171</v>
      </c>
      <c r="CH4" s="206">
        <v>20</v>
      </c>
      <c r="CI4" s="205" t="s">
        <v>168</v>
      </c>
      <c r="CJ4" s="205" t="s">
        <v>169</v>
      </c>
      <c r="CK4" s="205" t="s">
        <v>170</v>
      </c>
      <c r="CL4" s="205" t="s">
        <v>171</v>
      </c>
      <c r="CM4" s="206">
        <v>20</v>
      </c>
      <c r="CN4" s="205" t="s">
        <v>168</v>
      </c>
      <c r="CO4" s="205" t="s">
        <v>169</v>
      </c>
      <c r="CP4" s="205" t="s">
        <v>170</v>
      </c>
      <c r="CQ4" s="205" t="s">
        <v>171</v>
      </c>
      <c r="CR4" s="206">
        <v>20</v>
      </c>
      <c r="CS4" s="205" t="s">
        <v>168</v>
      </c>
      <c r="CT4" s="205" t="s">
        <v>169</v>
      </c>
      <c r="CU4" s="205" t="s">
        <v>170</v>
      </c>
      <c r="CV4" s="205" t="s">
        <v>171</v>
      </c>
      <c r="CW4" s="206">
        <v>20</v>
      </c>
      <c r="CX4" s="205" t="s">
        <v>168</v>
      </c>
      <c r="CY4" s="205" t="s">
        <v>169</v>
      </c>
      <c r="CZ4" s="205" t="s">
        <v>170</v>
      </c>
      <c r="DA4" s="205" t="s">
        <v>171</v>
      </c>
      <c r="DB4" s="206">
        <v>20</v>
      </c>
      <c r="DC4" s="205" t="s">
        <v>168</v>
      </c>
      <c r="DD4" s="205" t="s">
        <v>169</v>
      </c>
      <c r="DE4" s="205" t="s">
        <v>170</v>
      </c>
      <c r="DF4" s="205" t="s">
        <v>171</v>
      </c>
      <c r="DG4" s="206">
        <v>20</v>
      </c>
      <c r="DH4" s="205" t="s">
        <v>168</v>
      </c>
      <c r="DI4" s="205" t="s">
        <v>169</v>
      </c>
      <c r="DJ4" s="205" t="s">
        <v>170</v>
      </c>
      <c r="DK4" s="205" t="s">
        <v>171</v>
      </c>
      <c r="DL4" s="206">
        <v>20</v>
      </c>
      <c r="DM4" s="205" t="s">
        <v>168</v>
      </c>
      <c r="DN4" s="205" t="s">
        <v>169</v>
      </c>
      <c r="DO4" s="205" t="s">
        <v>170</v>
      </c>
      <c r="DP4" s="205" t="s">
        <v>171</v>
      </c>
      <c r="DQ4" s="206">
        <v>20</v>
      </c>
      <c r="DR4" s="205" t="s">
        <v>168</v>
      </c>
      <c r="DS4" s="205" t="s">
        <v>169</v>
      </c>
      <c r="DT4" s="205" t="s">
        <v>170</v>
      </c>
      <c r="DU4" s="205" t="s">
        <v>171</v>
      </c>
      <c r="DV4" s="206">
        <v>20</v>
      </c>
      <c r="DW4" s="205" t="s">
        <v>168</v>
      </c>
      <c r="DX4" s="205" t="s">
        <v>169</v>
      </c>
      <c r="DY4" s="205" t="s">
        <v>170</v>
      </c>
      <c r="DZ4" s="205" t="s">
        <v>171</v>
      </c>
      <c r="EA4" s="206">
        <v>20</v>
      </c>
      <c r="EB4" s="205" t="s">
        <v>168</v>
      </c>
      <c r="EC4" s="205" t="s">
        <v>169</v>
      </c>
      <c r="ED4" s="205" t="s">
        <v>170</v>
      </c>
      <c r="EE4" s="205" t="s">
        <v>171</v>
      </c>
      <c r="EF4" s="206">
        <v>20</v>
      </c>
    </row>
    <row r="5" spans="1:136" s="203" customFormat="1" ht="13.5" customHeight="1">
      <c r="A5" s="204" t="s">
        <v>172</v>
      </c>
      <c r="B5" s="205">
        <v>2004</v>
      </c>
      <c r="C5" s="205">
        <v>2004</v>
      </c>
      <c r="D5" s="205">
        <v>2004</v>
      </c>
      <c r="E5" s="205">
        <v>2004</v>
      </c>
      <c r="F5" s="206">
        <f>E5</f>
        <v>2004</v>
      </c>
      <c r="G5" s="205">
        <f>B5+1</f>
        <v>2005</v>
      </c>
      <c r="H5" s="205">
        <f>C5+1</f>
        <v>2005</v>
      </c>
      <c r="I5" s="205">
        <f>D5+1</f>
        <v>2005</v>
      </c>
      <c r="J5" s="205">
        <f>E5+1</f>
        <v>2005</v>
      </c>
      <c r="K5" s="206">
        <f>J5</f>
        <v>2005</v>
      </c>
      <c r="L5" s="205">
        <f>G5+1</f>
        <v>2006</v>
      </c>
      <c r="M5" s="205">
        <f>H5+1</f>
        <v>2006</v>
      </c>
      <c r="N5" s="205">
        <f>I5+1</f>
        <v>2006</v>
      </c>
      <c r="O5" s="205">
        <f>J5+1</f>
        <v>2006</v>
      </c>
      <c r="P5" s="206">
        <f>O5</f>
        <v>2006</v>
      </c>
      <c r="Q5" s="205">
        <f>L5+1</f>
        <v>2007</v>
      </c>
      <c r="R5" s="205">
        <f>M5+1</f>
        <v>2007</v>
      </c>
      <c r="S5" s="205">
        <f>N5+1</f>
        <v>2007</v>
      </c>
      <c r="T5" s="205">
        <f>O5+1</f>
        <v>2007</v>
      </c>
      <c r="U5" s="206">
        <f>T5</f>
        <v>2007</v>
      </c>
      <c r="V5" s="205">
        <f>Q5+1</f>
        <v>2008</v>
      </c>
      <c r="W5" s="205">
        <f>R5+1</f>
        <v>2008</v>
      </c>
      <c r="X5" s="205">
        <f>S5+1</f>
        <v>2008</v>
      </c>
      <c r="Y5" s="205">
        <f>T5+1</f>
        <v>2008</v>
      </c>
      <c r="Z5" s="206">
        <f>Y5</f>
        <v>2008</v>
      </c>
      <c r="AA5" s="205">
        <f>V5+1</f>
        <v>2009</v>
      </c>
      <c r="AB5" s="205">
        <f>W5+1</f>
        <v>2009</v>
      </c>
      <c r="AC5" s="205">
        <f>X5+1</f>
        <v>2009</v>
      </c>
      <c r="AD5" s="205">
        <f>Y5+1</f>
        <v>2009</v>
      </c>
      <c r="AE5" s="206">
        <f>AD5</f>
        <v>2009</v>
      </c>
      <c r="AF5" s="205">
        <f>AA5+1</f>
        <v>2010</v>
      </c>
      <c r="AG5" s="205">
        <f>AB5+1</f>
        <v>2010</v>
      </c>
      <c r="AH5" s="205">
        <f>AC5+1</f>
        <v>2010</v>
      </c>
      <c r="AI5" s="205">
        <f>AD5+1</f>
        <v>2010</v>
      </c>
      <c r="AJ5" s="206">
        <f>AI5</f>
        <v>2010</v>
      </c>
      <c r="AK5" s="205">
        <f>AF5+1</f>
        <v>2011</v>
      </c>
      <c r="AL5" s="205">
        <f>AG5+1</f>
        <v>2011</v>
      </c>
      <c r="AM5" s="205">
        <f>AH5+1</f>
        <v>2011</v>
      </c>
      <c r="AN5" s="205">
        <f>AI5+1</f>
        <v>2011</v>
      </c>
      <c r="AO5" s="206">
        <f>AN5</f>
        <v>2011</v>
      </c>
      <c r="AP5" s="205">
        <f t="shared" ref="AP5:DA5" si="3">AK5+1</f>
        <v>2012</v>
      </c>
      <c r="AQ5" s="205">
        <f t="shared" si="3"/>
        <v>2012</v>
      </c>
      <c r="AR5" s="205">
        <f t="shared" si="3"/>
        <v>2012</v>
      </c>
      <c r="AS5" s="205">
        <f t="shared" si="3"/>
        <v>2012</v>
      </c>
      <c r="AT5" s="206">
        <f t="shared" si="3"/>
        <v>2012</v>
      </c>
      <c r="AU5" s="205">
        <f t="shared" si="3"/>
        <v>2013</v>
      </c>
      <c r="AV5" s="205">
        <f t="shared" si="3"/>
        <v>2013</v>
      </c>
      <c r="AW5" s="205">
        <f t="shared" si="3"/>
        <v>2013</v>
      </c>
      <c r="AX5" s="205">
        <f t="shared" si="3"/>
        <v>2013</v>
      </c>
      <c r="AY5" s="206">
        <f t="shared" si="3"/>
        <v>2013</v>
      </c>
      <c r="AZ5" s="205">
        <f t="shared" si="3"/>
        <v>2014</v>
      </c>
      <c r="BA5" s="205">
        <f t="shared" si="3"/>
        <v>2014</v>
      </c>
      <c r="BB5" s="205">
        <f t="shared" si="3"/>
        <v>2014</v>
      </c>
      <c r="BC5" s="205">
        <f t="shared" si="3"/>
        <v>2014</v>
      </c>
      <c r="BD5" s="206">
        <f t="shared" si="3"/>
        <v>2014</v>
      </c>
      <c r="BE5" s="205">
        <f t="shared" si="3"/>
        <v>2015</v>
      </c>
      <c r="BF5" s="205">
        <f t="shared" si="3"/>
        <v>2015</v>
      </c>
      <c r="BG5" s="205">
        <f t="shared" si="3"/>
        <v>2015</v>
      </c>
      <c r="BH5" s="205">
        <f t="shared" si="3"/>
        <v>2015</v>
      </c>
      <c r="BI5" s="206">
        <f t="shared" si="3"/>
        <v>2015</v>
      </c>
      <c r="BJ5" s="205">
        <f t="shared" si="3"/>
        <v>2016</v>
      </c>
      <c r="BK5" s="205">
        <f t="shared" si="3"/>
        <v>2016</v>
      </c>
      <c r="BL5" s="205">
        <f t="shared" si="3"/>
        <v>2016</v>
      </c>
      <c r="BM5" s="205">
        <f t="shared" si="3"/>
        <v>2016</v>
      </c>
      <c r="BN5" s="206">
        <f t="shared" si="3"/>
        <v>2016</v>
      </c>
      <c r="BO5" s="205">
        <f t="shared" si="3"/>
        <v>2017</v>
      </c>
      <c r="BP5" s="205">
        <f t="shared" si="3"/>
        <v>2017</v>
      </c>
      <c r="BQ5" s="205">
        <f t="shared" si="3"/>
        <v>2017</v>
      </c>
      <c r="BR5" s="205">
        <f t="shared" si="3"/>
        <v>2017</v>
      </c>
      <c r="BS5" s="206">
        <f t="shared" si="3"/>
        <v>2017</v>
      </c>
      <c r="BT5" s="205">
        <f t="shared" si="3"/>
        <v>2018</v>
      </c>
      <c r="BU5" s="205">
        <f t="shared" si="3"/>
        <v>2018</v>
      </c>
      <c r="BV5" s="205">
        <f t="shared" si="3"/>
        <v>2018</v>
      </c>
      <c r="BW5" s="205">
        <f t="shared" si="3"/>
        <v>2018</v>
      </c>
      <c r="BX5" s="206">
        <f t="shared" si="3"/>
        <v>2018</v>
      </c>
      <c r="BY5" s="205">
        <f t="shared" si="3"/>
        <v>2019</v>
      </c>
      <c r="BZ5" s="205">
        <f t="shared" si="3"/>
        <v>2019</v>
      </c>
      <c r="CA5" s="205">
        <f t="shared" si="3"/>
        <v>2019</v>
      </c>
      <c r="CB5" s="205">
        <f t="shared" si="3"/>
        <v>2019</v>
      </c>
      <c r="CC5" s="206">
        <f t="shared" si="3"/>
        <v>2019</v>
      </c>
      <c r="CD5" s="205">
        <f t="shared" si="3"/>
        <v>2020</v>
      </c>
      <c r="CE5" s="205">
        <f t="shared" si="3"/>
        <v>2020</v>
      </c>
      <c r="CF5" s="205">
        <f t="shared" si="3"/>
        <v>2020</v>
      </c>
      <c r="CG5" s="205">
        <f t="shared" si="3"/>
        <v>2020</v>
      </c>
      <c r="CH5" s="206">
        <f t="shared" si="3"/>
        <v>2020</v>
      </c>
      <c r="CI5" s="205">
        <f t="shared" si="3"/>
        <v>2021</v>
      </c>
      <c r="CJ5" s="205">
        <f t="shared" si="3"/>
        <v>2021</v>
      </c>
      <c r="CK5" s="205">
        <f t="shared" si="3"/>
        <v>2021</v>
      </c>
      <c r="CL5" s="205">
        <f t="shared" si="3"/>
        <v>2021</v>
      </c>
      <c r="CM5" s="206">
        <f t="shared" si="3"/>
        <v>2021</v>
      </c>
      <c r="CN5" s="205">
        <f t="shared" si="3"/>
        <v>2022</v>
      </c>
      <c r="CO5" s="205">
        <f t="shared" si="3"/>
        <v>2022</v>
      </c>
      <c r="CP5" s="205">
        <f t="shared" si="3"/>
        <v>2022</v>
      </c>
      <c r="CQ5" s="205">
        <f t="shared" si="3"/>
        <v>2022</v>
      </c>
      <c r="CR5" s="206">
        <f t="shared" si="3"/>
        <v>2022</v>
      </c>
      <c r="CS5" s="205">
        <f t="shared" si="3"/>
        <v>2023</v>
      </c>
      <c r="CT5" s="205">
        <f t="shared" si="3"/>
        <v>2023</v>
      </c>
      <c r="CU5" s="205">
        <f t="shared" si="3"/>
        <v>2023</v>
      </c>
      <c r="CV5" s="205">
        <f t="shared" si="3"/>
        <v>2023</v>
      </c>
      <c r="CW5" s="206">
        <f t="shared" si="3"/>
        <v>2023</v>
      </c>
      <c r="CX5" s="205">
        <f t="shared" si="3"/>
        <v>2024</v>
      </c>
      <c r="CY5" s="205">
        <f t="shared" si="3"/>
        <v>2024</v>
      </c>
      <c r="CZ5" s="205">
        <f t="shared" si="3"/>
        <v>2024</v>
      </c>
      <c r="DA5" s="205">
        <f t="shared" si="3"/>
        <v>2024</v>
      </c>
      <c r="DB5" s="206">
        <f t="shared" ref="DB5:EF5" si="4">CW5+1</f>
        <v>2024</v>
      </c>
      <c r="DC5" s="205">
        <f t="shared" si="4"/>
        <v>2025</v>
      </c>
      <c r="DD5" s="205">
        <f t="shared" si="4"/>
        <v>2025</v>
      </c>
      <c r="DE5" s="205">
        <f t="shared" si="4"/>
        <v>2025</v>
      </c>
      <c r="DF5" s="205">
        <f t="shared" si="4"/>
        <v>2025</v>
      </c>
      <c r="DG5" s="206">
        <f t="shared" si="4"/>
        <v>2025</v>
      </c>
      <c r="DH5" s="205">
        <f t="shared" si="4"/>
        <v>2026</v>
      </c>
      <c r="DI5" s="205">
        <f t="shared" si="4"/>
        <v>2026</v>
      </c>
      <c r="DJ5" s="205">
        <f t="shared" si="4"/>
        <v>2026</v>
      </c>
      <c r="DK5" s="205">
        <f t="shared" si="4"/>
        <v>2026</v>
      </c>
      <c r="DL5" s="206">
        <f t="shared" si="4"/>
        <v>2026</v>
      </c>
      <c r="DM5" s="205">
        <f t="shared" si="4"/>
        <v>2027</v>
      </c>
      <c r="DN5" s="205">
        <f t="shared" si="4"/>
        <v>2027</v>
      </c>
      <c r="DO5" s="205">
        <f t="shared" si="4"/>
        <v>2027</v>
      </c>
      <c r="DP5" s="205">
        <f t="shared" si="4"/>
        <v>2027</v>
      </c>
      <c r="DQ5" s="206">
        <f t="shared" si="4"/>
        <v>2027</v>
      </c>
      <c r="DR5" s="205">
        <f t="shared" si="4"/>
        <v>2028</v>
      </c>
      <c r="DS5" s="205">
        <f t="shared" si="4"/>
        <v>2028</v>
      </c>
      <c r="DT5" s="205">
        <f t="shared" si="4"/>
        <v>2028</v>
      </c>
      <c r="DU5" s="205">
        <f t="shared" si="4"/>
        <v>2028</v>
      </c>
      <c r="DV5" s="206">
        <f t="shared" si="4"/>
        <v>2028</v>
      </c>
      <c r="DW5" s="205">
        <f t="shared" si="4"/>
        <v>2029</v>
      </c>
      <c r="DX5" s="205">
        <f t="shared" si="4"/>
        <v>2029</v>
      </c>
      <c r="DY5" s="205">
        <f t="shared" si="4"/>
        <v>2029</v>
      </c>
      <c r="DZ5" s="205">
        <f t="shared" si="4"/>
        <v>2029</v>
      </c>
      <c r="EA5" s="206">
        <f t="shared" si="4"/>
        <v>2029</v>
      </c>
      <c r="EB5" s="205">
        <f t="shared" si="4"/>
        <v>2030</v>
      </c>
      <c r="EC5" s="205">
        <f t="shared" si="4"/>
        <v>2030</v>
      </c>
      <c r="ED5" s="205">
        <f t="shared" si="4"/>
        <v>2030</v>
      </c>
      <c r="EE5" s="205">
        <f t="shared" si="4"/>
        <v>2030</v>
      </c>
      <c r="EF5" s="206">
        <f t="shared" si="4"/>
        <v>2030</v>
      </c>
    </row>
    <row r="6" spans="1:136" s="203" customFormat="1" ht="13.5" customHeight="1">
      <c r="A6" s="207" t="s">
        <v>173</v>
      </c>
      <c r="B6" s="208"/>
      <c r="C6" s="208"/>
      <c r="D6" s="208"/>
      <c r="E6" s="208"/>
      <c r="F6" s="206"/>
      <c r="G6" s="208"/>
      <c r="H6" s="208"/>
      <c r="I6" s="208"/>
      <c r="J6" s="208"/>
      <c r="K6" s="206"/>
      <c r="L6" s="208"/>
      <c r="M6" s="208"/>
      <c r="N6" s="208"/>
      <c r="O6" s="208"/>
      <c r="P6" s="206"/>
      <c r="Q6" s="208"/>
      <c r="R6" s="208"/>
      <c r="S6" s="208"/>
      <c r="T6" s="208"/>
      <c r="U6" s="206"/>
      <c r="V6" s="208"/>
      <c r="W6" s="208"/>
      <c r="X6" s="208"/>
      <c r="Y6" s="208"/>
      <c r="Z6" s="206"/>
      <c r="AA6" s="208"/>
      <c r="AB6" s="208"/>
      <c r="AC6" s="208"/>
      <c r="AD6" s="208"/>
      <c r="AE6" s="206"/>
      <c r="AF6" s="208"/>
      <c r="AG6" s="208"/>
      <c r="AH6" s="208"/>
      <c r="AI6" s="208"/>
      <c r="AJ6" s="206"/>
      <c r="AK6" s="208"/>
      <c r="AL6" s="208"/>
      <c r="AM6" s="208"/>
      <c r="AN6" s="208"/>
      <c r="AO6" s="206"/>
      <c r="AP6" s="208"/>
      <c r="AQ6" s="208"/>
      <c r="AR6" s="208"/>
      <c r="AS6" s="208"/>
      <c r="AT6" s="206"/>
      <c r="AU6" s="208"/>
      <c r="AV6" s="208"/>
      <c r="AW6" s="208"/>
      <c r="AX6" s="208"/>
      <c r="AY6" s="206"/>
      <c r="AZ6" s="208"/>
      <c r="BA6" s="208"/>
      <c r="BB6" s="208"/>
      <c r="BC6" s="208"/>
      <c r="BD6" s="206"/>
      <c r="BE6" s="208"/>
      <c r="BF6" s="208"/>
      <c r="BG6" s="208"/>
      <c r="BH6" s="208"/>
      <c r="BI6" s="206"/>
      <c r="BJ6" s="208"/>
      <c r="BK6" s="208"/>
      <c r="BL6" s="208"/>
      <c r="BM6" s="208"/>
      <c r="BN6" s="206"/>
      <c r="BO6" s="208"/>
      <c r="BP6" s="208"/>
      <c r="BQ6" s="208"/>
      <c r="BR6" s="208"/>
      <c r="BS6" s="206"/>
      <c r="BT6" s="208"/>
      <c r="BU6" s="208"/>
      <c r="BV6" s="208"/>
      <c r="BW6" s="208"/>
      <c r="BX6" s="206"/>
      <c r="BY6" s="208"/>
      <c r="BZ6" s="208"/>
      <c r="CA6" s="208"/>
      <c r="CB6" s="208"/>
      <c r="CC6" s="206"/>
      <c r="CD6" s="208"/>
      <c r="CE6" s="208"/>
      <c r="CF6" s="208"/>
      <c r="CG6" s="208"/>
      <c r="CH6" s="206"/>
      <c r="CI6" s="208"/>
      <c r="CJ6" s="208"/>
      <c r="CK6" s="208"/>
      <c r="CL6" s="208"/>
      <c r="CM6" s="206"/>
      <c r="CN6" s="208"/>
      <c r="CO6" s="208"/>
      <c r="CP6" s="208"/>
      <c r="CQ6" s="208"/>
      <c r="CR6" s="206"/>
      <c r="CS6" s="208"/>
      <c r="CT6" s="208"/>
      <c r="CU6" s="208"/>
      <c r="CV6" s="208"/>
      <c r="CW6" s="206"/>
      <c r="CX6" s="208"/>
      <c r="CY6" s="208"/>
      <c r="CZ6" s="208"/>
      <c r="DA6" s="208"/>
      <c r="DB6" s="206"/>
      <c r="DC6" s="208"/>
      <c r="DD6" s="208"/>
      <c r="DE6" s="208"/>
      <c r="DF6" s="208"/>
      <c r="DG6" s="206"/>
      <c r="DH6" s="208"/>
      <c r="DI6" s="208"/>
      <c r="DJ6" s="208" t="s">
        <v>174</v>
      </c>
      <c r="DK6" s="208" t="s">
        <v>174</v>
      </c>
      <c r="DL6" s="206" t="s">
        <v>174</v>
      </c>
      <c r="DM6" s="208" t="s">
        <v>174</v>
      </c>
      <c r="DN6" s="208" t="s">
        <v>174</v>
      </c>
      <c r="DO6" s="208" t="s">
        <v>174</v>
      </c>
      <c r="DP6" s="208" t="s">
        <v>174</v>
      </c>
      <c r="DQ6" s="206" t="s">
        <v>174</v>
      </c>
      <c r="DR6" s="208" t="s">
        <v>174</v>
      </c>
      <c r="DS6" s="208" t="s">
        <v>174</v>
      </c>
      <c r="DT6" s="208" t="s">
        <v>174</v>
      </c>
      <c r="DU6" s="208" t="s">
        <v>174</v>
      </c>
      <c r="DV6" s="206" t="s">
        <v>174</v>
      </c>
      <c r="DW6" s="208" t="s">
        <v>174</v>
      </c>
      <c r="DX6" s="208" t="s">
        <v>174</v>
      </c>
      <c r="DY6" s="208" t="s">
        <v>174</v>
      </c>
      <c r="DZ6" s="208" t="s">
        <v>174</v>
      </c>
      <c r="EA6" s="206" t="s">
        <v>174</v>
      </c>
      <c r="EB6" s="208" t="s">
        <v>174</v>
      </c>
      <c r="EC6" s="208" t="s">
        <v>174</v>
      </c>
      <c r="ED6" s="208" t="s">
        <v>174</v>
      </c>
      <c r="EE6" s="208" t="s">
        <v>174</v>
      </c>
      <c r="EF6" s="206" t="s">
        <v>174</v>
      </c>
    </row>
    <row r="7" spans="1:136" s="483" customFormat="1" ht="13.5" customHeight="1">
      <c r="A7" s="481" t="s">
        <v>175</v>
      </c>
      <c r="B7" s="482">
        <v>91</v>
      </c>
      <c r="C7" s="482">
        <v>91</v>
      </c>
      <c r="D7" s="482">
        <v>92</v>
      </c>
      <c r="E7" s="482">
        <v>92</v>
      </c>
      <c r="F7" s="209">
        <f>SUM(B7:E7)</f>
        <v>366</v>
      </c>
      <c r="G7" s="482">
        <v>90</v>
      </c>
      <c r="H7" s="482">
        <v>91</v>
      </c>
      <c r="I7" s="482">
        <v>92</v>
      </c>
      <c r="J7" s="482">
        <v>92</v>
      </c>
      <c r="K7" s="209">
        <f>SUM(G7:J7)</f>
        <v>365</v>
      </c>
      <c r="L7" s="482">
        <v>90</v>
      </c>
      <c r="M7" s="482">
        <v>91</v>
      </c>
      <c r="N7" s="482">
        <v>92</v>
      </c>
      <c r="O7" s="482">
        <v>92</v>
      </c>
      <c r="P7" s="209">
        <f>SUM(L7:O7)</f>
        <v>365</v>
      </c>
      <c r="Q7" s="482">
        <v>90</v>
      </c>
      <c r="R7" s="482">
        <v>91</v>
      </c>
      <c r="S7" s="482">
        <v>92</v>
      </c>
      <c r="T7" s="482">
        <v>92</v>
      </c>
      <c r="U7" s="209">
        <f>SUM(Q7:T7)</f>
        <v>365</v>
      </c>
      <c r="V7" s="482">
        <v>91</v>
      </c>
      <c r="W7" s="482">
        <v>91</v>
      </c>
      <c r="X7" s="482">
        <v>92</v>
      </c>
      <c r="Y7" s="482">
        <v>92</v>
      </c>
      <c r="Z7" s="209">
        <f>SUM(V7:Y7)</f>
        <v>366</v>
      </c>
      <c r="AA7" s="482">
        <v>90</v>
      </c>
      <c r="AB7" s="482">
        <v>91</v>
      </c>
      <c r="AC7" s="482">
        <v>92</v>
      </c>
      <c r="AD7" s="482">
        <v>92</v>
      </c>
      <c r="AE7" s="209">
        <f>SUM(AA7:AD7)</f>
        <v>365</v>
      </c>
      <c r="AF7" s="482">
        <v>90</v>
      </c>
      <c r="AG7" s="482">
        <v>91</v>
      </c>
      <c r="AH7" s="482">
        <v>92</v>
      </c>
      <c r="AI7" s="482">
        <v>92</v>
      </c>
      <c r="AJ7" s="209">
        <f>SUM(AF7:AI7)</f>
        <v>365</v>
      </c>
      <c r="AK7" s="482">
        <v>90</v>
      </c>
      <c r="AL7" s="482">
        <v>91</v>
      </c>
      <c r="AM7" s="482">
        <v>92</v>
      </c>
      <c r="AN7" s="482">
        <v>92</v>
      </c>
      <c r="AO7" s="209">
        <f>SUM(AK7:AN7)</f>
        <v>365</v>
      </c>
      <c r="AP7" s="482">
        <v>90</v>
      </c>
      <c r="AQ7" s="482">
        <v>91</v>
      </c>
      <c r="AR7" s="482">
        <v>92</v>
      </c>
      <c r="AS7" s="482">
        <v>92</v>
      </c>
      <c r="AT7" s="209">
        <v>366</v>
      </c>
      <c r="AU7" s="482">
        <v>90</v>
      </c>
      <c r="AV7" s="482">
        <v>91</v>
      </c>
      <c r="AW7" s="482">
        <v>92</v>
      </c>
      <c r="AX7" s="482">
        <v>92</v>
      </c>
      <c r="AY7" s="209">
        <f>SUM(AU7:AX7)</f>
        <v>365</v>
      </c>
      <c r="AZ7" s="482">
        <v>90</v>
      </c>
      <c r="BA7" s="482">
        <v>91</v>
      </c>
      <c r="BB7" s="482">
        <v>92</v>
      </c>
      <c r="BC7" s="482">
        <v>92</v>
      </c>
      <c r="BD7" s="209">
        <f>SUM(AZ7:BC7)</f>
        <v>365</v>
      </c>
      <c r="BE7" s="482">
        <v>90</v>
      </c>
      <c r="BF7" s="482">
        <v>91</v>
      </c>
      <c r="BG7" s="482">
        <v>92</v>
      </c>
      <c r="BH7" s="482">
        <v>92</v>
      </c>
      <c r="BI7" s="209">
        <f>SUM(BE7:BH7)</f>
        <v>365</v>
      </c>
      <c r="BJ7" s="482">
        <v>90</v>
      </c>
      <c r="BK7" s="482">
        <v>91</v>
      </c>
      <c r="BL7" s="482">
        <v>92</v>
      </c>
      <c r="BM7" s="482">
        <v>92</v>
      </c>
      <c r="BN7" s="209">
        <f>SUM(BJ7:BM7)</f>
        <v>365</v>
      </c>
      <c r="BO7" s="482">
        <v>90</v>
      </c>
      <c r="BP7" s="482">
        <v>91</v>
      </c>
      <c r="BQ7" s="482">
        <v>92</v>
      </c>
      <c r="BR7" s="482">
        <v>92</v>
      </c>
      <c r="BS7" s="209">
        <f>SUM(BO7:BR7)</f>
        <v>365</v>
      </c>
      <c r="BT7" s="482">
        <v>90</v>
      </c>
      <c r="BU7" s="482">
        <v>91</v>
      </c>
      <c r="BV7" s="482">
        <v>92</v>
      </c>
      <c r="BW7" s="482">
        <v>92</v>
      </c>
      <c r="BX7" s="209">
        <f>SUM(BT7:BW7)</f>
        <v>365</v>
      </c>
      <c r="BY7" s="482">
        <v>90</v>
      </c>
      <c r="BZ7" s="482">
        <v>91</v>
      </c>
      <c r="CA7" s="482">
        <v>92</v>
      </c>
      <c r="CB7" s="482">
        <v>92</v>
      </c>
      <c r="CC7" s="209">
        <f>SUM(BY7:CB7)</f>
        <v>365</v>
      </c>
      <c r="CD7" s="482">
        <v>90</v>
      </c>
      <c r="CE7" s="482">
        <v>91</v>
      </c>
      <c r="CF7" s="482">
        <v>92</v>
      </c>
      <c r="CG7" s="482">
        <v>92</v>
      </c>
      <c r="CH7" s="209">
        <f>SUM(CD7:CG7)</f>
        <v>365</v>
      </c>
      <c r="CI7" s="482">
        <v>90</v>
      </c>
      <c r="CJ7" s="482">
        <v>91</v>
      </c>
      <c r="CK7" s="482">
        <v>92</v>
      </c>
      <c r="CL7" s="482">
        <v>92</v>
      </c>
      <c r="CM7" s="209">
        <f>SUM(CI7:CL7)</f>
        <v>365</v>
      </c>
      <c r="CN7" s="482">
        <v>90</v>
      </c>
      <c r="CO7" s="482">
        <v>91</v>
      </c>
      <c r="CP7" s="482">
        <v>92</v>
      </c>
      <c r="CQ7" s="482">
        <v>92</v>
      </c>
      <c r="CR7" s="209">
        <f>SUM(CN7:CQ7)</f>
        <v>365</v>
      </c>
      <c r="CS7" s="482">
        <v>90</v>
      </c>
      <c r="CT7" s="482">
        <v>91</v>
      </c>
      <c r="CU7" s="482">
        <v>92</v>
      </c>
      <c r="CV7" s="482">
        <v>92</v>
      </c>
      <c r="CW7" s="209">
        <f>SUM(CS7:CV7)</f>
        <v>365</v>
      </c>
      <c r="CX7" s="482">
        <v>90</v>
      </c>
      <c r="CY7" s="482">
        <v>91</v>
      </c>
      <c r="CZ7" s="482">
        <v>92</v>
      </c>
      <c r="DA7" s="482">
        <v>92</v>
      </c>
      <c r="DB7" s="209">
        <f>SUM(CX7:DA7)</f>
        <v>365</v>
      </c>
      <c r="DC7" s="482">
        <v>90</v>
      </c>
      <c r="DD7" s="482">
        <v>91</v>
      </c>
      <c r="DE7" s="482">
        <v>92</v>
      </c>
      <c r="DF7" s="482">
        <v>92</v>
      </c>
      <c r="DG7" s="209">
        <f>SUM(DC7:DF7)</f>
        <v>365</v>
      </c>
      <c r="DH7" s="482">
        <v>90</v>
      </c>
      <c r="DI7" s="482">
        <v>91</v>
      </c>
      <c r="DJ7" s="482">
        <v>92</v>
      </c>
      <c r="DK7" s="482">
        <v>92</v>
      </c>
      <c r="DL7" s="209">
        <f>SUM(DH7:DK7)</f>
        <v>365</v>
      </c>
      <c r="DM7" s="482">
        <v>90</v>
      </c>
      <c r="DN7" s="482">
        <v>91</v>
      </c>
      <c r="DO7" s="482">
        <v>92</v>
      </c>
      <c r="DP7" s="482">
        <v>92</v>
      </c>
      <c r="DQ7" s="209">
        <f>SUM(DM7:DP7)</f>
        <v>365</v>
      </c>
      <c r="DR7" s="482">
        <v>90</v>
      </c>
      <c r="DS7" s="482">
        <v>91</v>
      </c>
      <c r="DT7" s="482">
        <v>92</v>
      </c>
      <c r="DU7" s="482">
        <v>92</v>
      </c>
      <c r="DV7" s="209">
        <f>SUM(DR7:DU7)</f>
        <v>365</v>
      </c>
      <c r="DW7" s="482">
        <v>90</v>
      </c>
      <c r="DX7" s="482">
        <v>91</v>
      </c>
      <c r="DY7" s="482">
        <v>92</v>
      </c>
      <c r="DZ7" s="482">
        <v>92</v>
      </c>
      <c r="EA7" s="209">
        <f>SUM(DW7:DZ7)</f>
        <v>365</v>
      </c>
      <c r="EB7" s="482">
        <v>90</v>
      </c>
      <c r="EC7" s="482">
        <v>91</v>
      </c>
      <c r="ED7" s="482">
        <v>92</v>
      </c>
      <c r="EE7" s="482">
        <v>92</v>
      </c>
      <c r="EF7" s="209">
        <f>SUM(EB7:EE7)</f>
        <v>365</v>
      </c>
    </row>
    <row r="8" spans="1:136" s="203" customFormat="1" ht="13.5" customHeight="1">
      <c r="A8" s="484"/>
      <c r="B8" s="14"/>
      <c r="C8" s="14"/>
      <c r="D8" s="14"/>
      <c r="E8" s="14"/>
      <c r="F8" s="11"/>
      <c r="G8" s="14"/>
      <c r="H8" s="14"/>
      <c r="I8" s="14"/>
      <c r="J8" s="14"/>
      <c r="K8" s="11"/>
      <c r="L8" s="14"/>
      <c r="M8" s="14"/>
      <c r="N8" s="14"/>
      <c r="O8" s="14"/>
      <c r="P8" s="11"/>
      <c r="Q8" s="14"/>
      <c r="R8" s="14"/>
      <c r="S8" s="14"/>
      <c r="T8" s="14"/>
      <c r="U8" s="11"/>
      <c r="V8" s="14"/>
      <c r="W8" s="14"/>
      <c r="X8" s="14"/>
      <c r="Y8" s="14"/>
      <c r="Z8" s="11"/>
      <c r="AA8" s="14"/>
      <c r="AB8" s="14"/>
      <c r="AC8" s="14"/>
      <c r="AD8" s="14"/>
      <c r="AE8" s="11"/>
      <c r="AF8" s="14"/>
      <c r="AG8" s="14"/>
      <c r="AH8" s="14"/>
      <c r="AI8" s="14"/>
      <c r="AJ8" s="11"/>
      <c r="AK8" s="14"/>
      <c r="AL8" s="14"/>
      <c r="AM8" s="14"/>
      <c r="AN8" s="14"/>
      <c r="AO8" s="11"/>
      <c r="AP8" s="14"/>
      <c r="AQ8" s="14"/>
      <c r="AR8" s="14"/>
      <c r="AS8" s="14"/>
      <c r="AT8" s="11"/>
      <c r="AU8" s="14"/>
      <c r="AV8" s="14"/>
      <c r="AW8" s="14"/>
      <c r="AX8" s="14"/>
      <c r="AY8" s="11"/>
      <c r="AZ8" s="14"/>
      <c r="BA8" s="14"/>
      <c r="BB8" s="14"/>
      <c r="BC8" s="14"/>
      <c r="BD8" s="11"/>
      <c r="BE8" s="14"/>
      <c r="BF8" s="14"/>
      <c r="BG8" s="14"/>
      <c r="BH8" s="14"/>
      <c r="BI8" s="11"/>
      <c r="BJ8" s="14"/>
      <c r="BK8" s="14"/>
      <c r="BL8" s="14"/>
      <c r="BM8" s="14"/>
      <c r="BN8" s="11"/>
      <c r="BO8" s="14"/>
      <c r="BP8" s="14"/>
      <c r="BQ8" s="14"/>
      <c r="BR8" s="14"/>
      <c r="BS8" s="11"/>
      <c r="BT8" s="14"/>
      <c r="BU8" s="14"/>
      <c r="BV8" s="14"/>
      <c r="BW8" s="14"/>
      <c r="BX8" s="11"/>
      <c r="BY8" s="14"/>
      <c r="BZ8" s="14"/>
      <c r="CA8" s="14"/>
      <c r="CB8" s="14"/>
      <c r="CC8" s="11"/>
      <c r="CD8" s="14"/>
      <c r="CE8" s="14"/>
      <c r="CF8" s="14"/>
      <c r="CG8" s="14"/>
      <c r="CH8" s="11"/>
      <c r="CI8" s="14"/>
      <c r="CJ8" s="14"/>
      <c r="CK8" s="14"/>
      <c r="CL8" s="14"/>
      <c r="CM8" s="11"/>
      <c r="CN8" s="14"/>
      <c r="CO8" s="14"/>
      <c r="CP8" s="14"/>
      <c r="CQ8" s="14"/>
      <c r="CR8" s="11"/>
      <c r="CS8" s="14"/>
      <c r="CT8" s="14"/>
      <c r="CU8" s="14"/>
      <c r="CV8" s="14"/>
      <c r="CW8" s="11"/>
      <c r="CX8" s="14"/>
      <c r="CY8" s="14"/>
      <c r="CZ8" s="14"/>
      <c r="DA8" s="14"/>
      <c r="DB8" s="11"/>
      <c r="DC8" s="14"/>
      <c r="DD8" s="14"/>
      <c r="DE8" s="14"/>
      <c r="DF8" s="14"/>
      <c r="DG8" s="11"/>
      <c r="DH8" s="14"/>
      <c r="DI8" s="14"/>
      <c r="DJ8" s="14"/>
      <c r="DK8" s="14"/>
      <c r="DL8" s="11"/>
      <c r="DM8" s="14"/>
      <c r="DN8" s="14"/>
      <c r="DO8" s="14"/>
      <c r="DP8" s="14"/>
      <c r="DQ8" s="11"/>
      <c r="DR8" s="14"/>
      <c r="DS8" s="14"/>
      <c r="DT8" s="14"/>
      <c r="DU8" s="14"/>
      <c r="DV8" s="11"/>
      <c r="DW8" s="14"/>
      <c r="DX8" s="14"/>
      <c r="DY8" s="14"/>
      <c r="DZ8" s="14"/>
      <c r="EA8" s="11"/>
      <c r="EB8" s="14"/>
      <c r="EC8" s="14"/>
      <c r="ED8" s="14"/>
      <c r="EE8" s="14"/>
      <c r="EF8" s="11"/>
    </row>
    <row r="9" spans="1:136" s="8" customFormat="1" ht="13.5" thickBot="1">
      <c r="A9" s="4"/>
      <c r="B9" s="5" t="str">
        <f t="shared" ref="B9:BM9" si="5">B$3</f>
        <v>1Q04</v>
      </c>
      <c r="C9" s="5" t="str">
        <f t="shared" si="5"/>
        <v>2Q04</v>
      </c>
      <c r="D9" s="5" t="str">
        <f t="shared" si="5"/>
        <v>3Q04</v>
      </c>
      <c r="E9" s="5" t="str">
        <f t="shared" si="5"/>
        <v>4Q04</v>
      </c>
      <c r="F9" s="6" t="str">
        <f t="shared" si="5"/>
        <v>2004</v>
      </c>
      <c r="G9" s="5" t="str">
        <f t="shared" si="5"/>
        <v>1Q05</v>
      </c>
      <c r="H9" s="5" t="str">
        <f t="shared" si="5"/>
        <v>2Q05</v>
      </c>
      <c r="I9" s="5" t="str">
        <f t="shared" si="5"/>
        <v>3Q05</v>
      </c>
      <c r="J9" s="5" t="str">
        <f t="shared" si="5"/>
        <v>4Q05</v>
      </c>
      <c r="K9" s="6" t="str">
        <f t="shared" si="5"/>
        <v>2005</v>
      </c>
      <c r="L9" s="5" t="str">
        <f t="shared" si="5"/>
        <v>1Q06</v>
      </c>
      <c r="M9" s="5" t="str">
        <f t="shared" si="5"/>
        <v>2Q06</v>
      </c>
      <c r="N9" s="5" t="str">
        <f t="shared" si="5"/>
        <v>3Q06</v>
      </c>
      <c r="O9" s="7" t="str">
        <f t="shared" si="5"/>
        <v>4Q06</v>
      </c>
      <c r="P9" s="6" t="str">
        <f t="shared" si="5"/>
        <v>2006</v>
      </c>
      <c r="Q9" s="5" t="str">
        <f t="shared" si="5"/>
        <v>1Q07</v>
      </c>
      <c r="R9" s="5" t="str">
        <f t="shared" si="5"/>
        <v>2Q07</v>
      </c>
      <c r="S9" s="5" t="str">
        <f t="shared" si="5"/>
        <v>3Q07</v>
      </c>
      <c r="T9" s="7" t="str">
        <f t="shared" si="5"/>
        <v>4Q07</v>
      </c>
      <c r="U9" s="6" t="str">
        <f t="shared" si="5"/>
        <v>2007</v>
      </c>
      <c r="V9" s="5" t="str">
        <f t="shared" si="5"/>
        <v>1Q08</v>
      </c>
      <c r="W9" s="5" t="str">
        <f t="shared" si="5"/>
        <v>2Q08</v>
      </c>
      <c r="X9" s="5" t="str">
        <f t="shared" si="5"/>
        <v>3Q08</v>
      </c>
      <c r="Y9" s="7" t="str">
        <f t="shared" si="5"/>
        <v>4Q08</v>
      </c>
      <c r="Z9" s="6" t="str">
        <f t="shared" si="5"/>
        <v>2008</v>
      </c>
      <c r="AA9" s="5" t="str">
        <f t="shared" si="5"/>
        <v>1Q09</v>
      </c>
      <c r="AB9" s="5" t="str">
        <f t="shared" si="5"/>
        <v>2Q09</v>
      </c>
      <c r="AC9" s="5" t="str">
        <f t="shared" si="5"/>
        <v>3Q09</v>
      </c>
      <c r="AD9" s="7" t="str">
        <f t="shared" si="5"/>
        <v>4Q09</v>
      </c>
      <c r="AE9" s="6" t="str">
        <f t="shared" si="5"/>
        <v>2009</v>
      </c>
      <c r="AF9" s="5" t="str">
        <f t="shared" si="5"/>
        <v>1Q10</v>
      </c>
      <c r="AG9" s="5" t="str">
        <f t="shared" si="5"/>
        <v>2Q10</v>
      </c>
      <c r="AH9" s="5" t="str">
        <f t="shared" si="5"/>
        <v>3Q10</v>
      </c>
      <c r="AI9" s="7" t="str">
        <f t="shared" si="5"/>
        <v>4Q10</v>
      </c>
      <c r="AJ9" s="6" t="str">
        <f t="shared" si="5"/>
        <v>2010</v>
      </c>
      <c r="AK9" s="5" t="str">
        <f t="shared" si="5"/>
        <v>1Q11</v>
      </c>
      <c r="AL9" s="5" t="str">
        <f t="shared" si="5"/>
        <v>2Q11</v>
      </c>
      <c r="AM9" s="5" t="str">
        <f t="shared" si="5"/>
        <v>3Q11</v>
      </c>
      <c r="AN9" s="7" t="str">
        <f t="shared" si="5"/>
        <v>4Q11</v>
      </c>
      <c r="AO9" s="6" t="str">
        <f t="shared" si="5"/>
        <v>2011</v>
      </c>
      <c r="AP9" s="5" t="str">
        <f t="shared" si="5"/>
        <v>1Q12</v>
      </c>
      <c r="AQ9" s="5" t="str">
        <f t="shared" si="5"/>
        <v>2Q12</v>
      </c>
      <c r="AR9" s="5" t="str">
        <f t="shared" si="5"/>
        <v>3Q12</v>
      </c>
      <c r="AS9" s="7" t="str">
        <f t="shared" si="5"/>
        <v>4Q12</v>
      </c>
      <c r="AT9" s="6" t="str">
        <f t="shared" si="5"/>
        <v>2012</v>
      </c>
      <c r="AU9" s="5" t="str">
        <f t="shared" si="5"/>
        <v>1Q13</v>
      </c>
      <c r="AV9" s="5" t="str">
        <f t="shared" si="5"/>
        <v>2Q13</v>
      </c>
      <c r="AW9" s="5" t="str">
        <f t="shared" si="5"/>
        <v>3Q13</v>
      </c>
      <c r="AX9" s="7" t="str">
        <f t="shared" si="5"/>
        <v>4Q13</v>
      </c>
      <c r="AY9" s="6" t="str">
        <f t="shared" si="5"/>
        <v>2013</v>
      </c>
      <c r="AZ9" s="5" t="str">
        <f t="shared" si="5"/>
        <v>1Q14</v>
      </c>
      <c r="BA9" s="5" t="str">
        <f t="shared" si="5"/>
        <v>2Q14</v>
      </c>
      <c r="BB9" s="5" t="str">
        <f t="shared" si="5"/>
        <v>3Q14</v>
      </c>
      <c r="BC9" s="7" t="str">
        <f t="shared" si="5"/>
        <v>4Q14</v>
      </c>
      <c r="BD9" s="6" t="str">
        <f t="shared" si="5"/>
        <v>2014</v>
      </c>
      <c r="BE9" s="5" t="str">
        <f t="shared" si="5"/>
        <v>1Q15</v>
      </c>
      <c r="BF9" s="5" t="str">
        <f t="shared" si="5"/>
        <v>2Q15</v>
      </c>
      <c r="BG9" s="5" t="str">
        <f t="shared" si="5"/>
        <v>3Q15</v>
      </c>
      <c r="BH9" s="7" t="str">
        <f t="shared" si="5"/>
        <v>4Q15</v>
      </c>
      <c r="BI9" s="6" t="str">
        <f t="shared" si="5"/>
        <v>2015</v>
      </c>
      <c r="BJ9" s="5" t="str">
        <f t="shared" si="5"/>
        <v>1Q16</v>
      </c>
      <c r="BK9" s="5" t="str">
        <f t="shared" si="5"/>
        <v>2Q16</v>
      </c>
      <c r="BL9" s="5" t="str">
        <f t="shared" si="5"/>
        <v>3Q16</v>
      </c>
      <c r="BM9" s="7" t="str">
        <f t="shared" si="5"/>
        <v>4Q16</v>
      </c>
      <c r="BN9" s="6" t="str">
        <f t="shared" ref="BN9:DY9" si="6">BN$3</f>
        <v>2016</v>
      </c>
      <c r="BO9" s="5" t="str">
        <f t="shared" si="6"/>
        <v>1Q17</v>
      </c>
      <c r="BP9" s="5" t="str">
        <f t="shared" si="6"/>
        <v>2Q17</v>
      </c>
      <c r="BQ9" s="5" t="str">
        <f t="shared" si="6"/>
        <v>3Q17</v>
      </c>
      <c r="BR9" s="7" t="str">
        <f t="shared" si="6"/>
        <v>4Q17</v>
      </c>
      <c r="BS9" s="6" t="str">
        <f t="shared" si="6"/>
        <v>2017</v>
      </c>
      <c r="BT9" s="5" t="str">
        <f t="shared" si="6"/>
        <v>1Q18</v>
      </c>
      <c r="BU9" s="5" t="str">
        <f t="shared" si="6"/>
        <v>2Q18</v>
      </c>
      <c r="BV9" s="5" t="str">
        <f t="shared" si="6"/>
        <v>3Q18</v>
      </c>
      <c r="BW9" s="7" t="str">
        <f t="shared" si="6"/>
        <v>4Q18</v>
      </c>
      <c r="BX9" s="6" t="str">
        <f t="shared" si="6"/>
        <v>2018</v>
      </c>
      <c r="BY9" s="5" t="str">
        <f t="shared" si="6"/>
        <v>1Q19</v>
      </c>
      <c r="BZ9" s="5" t="str">
        <f t="shared" si="6"/>
        <v>2Q19</v>
      </c>
      <c r="CA9" s="5" t="str">
        <f t="shared" si="6"/>
        <v>3Q19</v>
      </c>
      <c r="CB9" s="7" t="str">
        <f t="shared" si="6"/>
        <v>4Q19</v>
      </c>
      <c r="CC9" s="6" t="str">
        <f t="shared" si="6"/>
        <v>2019</v>
      </c>
      <c r="CD9" s="5" t="str">
        <f t="shared" si="6"/>
        <v>1Q20</v>
      </c>
      <c r="CE9" s="5" t="str">
        <f t="shared" si="6"/>
        <v>2Q20</v>
      </c>
      <c r="CF9" s="5" t="str">
        <f t="shared" si="6"/>
        <v>3Q20</v>
      </c>
      <c r="CG9" s="7" t="str">
        <f t="shared" si="6"/>
        <v>4Q20</v>
      </c>
      <c r="CH9" s="6" t="str">
        <f t="shared" si="6"/>
        <v>2020</v>
      </c>
      <c r="CI9" s="5" t="str">
        <f t="shared" si="6"/>
        <v>1Q21</v>
      </c>
      <c r="CJ9" s="5" t="str">
        <f t="shared" si="6"/>
        <v>2Q21</v>
      </c>
      <c r="CK9" s="5" t="str">
        <f t="shared" si="6"/>
        <v>3Q21</v>
      </c>
      <c r="CL9" s="7" t="str">
        <f t="shared" si="6"/>
        <v>4Q21</v>
      </c>
      <c r="CM9" s="6" t="str">
        <f t="shared" si="6"/>
        <v>2021</v>
      </c>
      <c r="CN9" s="5" t="str">
        <f t="shared" si="6"/>
        <v>1Q22</v>
      </c>
      <c r="CO9" s="5" t="str">
        <f t="shared" si="6"/>
        <v>2Q22</v>
      </c>
      <c r="CP9" s="5" t="str">
        <f t="shared" si="6"/>
        <v>3Q22</v>
      </c>
      <c r="CQ9" s="7" t="str">
        <f t="shared" si="6"/>
        <v>4Q22</v>
      </c>
      <c r="CR9" s="6" t="str">
        <f t="shared" si="6"/>
        <v>2022</v>
      </c>
      <c r="CS9" s="5" t="str">
        <f t="shared" si="6"/>
        <v>1Q23</v>
      </c>
      <c r="CT9" s="5" t="str">
        <f t="shared" si="6"/>
        <v>2Q23</v>
      </c>
      <c r="CU9" s="5" t="str">
        <f t="shared" si="6"/>
        <v>3Q23</v>
      </c>
      <c r="CV9" s="7" t="str">
        <f t="shared" si="6"/>
        <v>4Q23</v>
      </c>
      <c r="CW9" s="6" t="str">
        <f t="shared" si="6"/>
        <v>2023</v>
      </c>
      <c r="CX9" s="5" t="str">
        <f t="shared" si="6"/>
        <v>1Q24</v>
      </c>
      <c r="CY9" s="5" t="str">
        <f t="shared" si="6"/>
        <v>2Q24</v>
      </c>
      <c r="CZ9" s="5" t="str">
        <f t="shared" si="6"/>
        <v>3Q24</v>
      </c>
      <c r="DA9" s="7" t="str">
        <f t="shared" si="6"/>
        <v>4Q24</v>
      </c>
      <c r="DB9" s="6" t="str">
        <f t="shared" si="6"/>
        <v>2024</v>
      </c>
      <c r="DC9" s="5" t="str">
        <f t="shared" si="6"/>
        <v>1Q25</v>
      </c>
      <c r="DD9" s="5" t="str">
        <f t="shared" si="6"/>
        <v>2Q25</v>
      </c>
      <c r="DE9" s="5" t="str">
        <f t="shared" si="6"/>
        <v>3Q25</v>
      </c>
      <c r="DF9" s="7" t="str">
        <f t="shared" si="6"/>
        <v>4Q25</v>
      </c>
      <c r="DG9" s="6" t="str">
        <f t="shared" si="6"/>
        <v>2025</v>
      </c>
      <c r="DH9" s="5" t="str">
        <f t="shared" si="6"/>
        <v>1Q26</v>
      </c>
      <c r="DI9" s="5" t="str">
        <f t="shared" si="6"/>
        <v>2Q26</v>
      </c>
      <c r="DJ9" s="5" t="str">
        <f t="shared" si="6"/>
        <v>3Q26E</v>
      </c>
      <c r="DK9" s="7" t="str">
        <f t="shared" si="6"/>
        <v>4Q26E</v>
      </c>
      <c r="DL9" s="6" t="str">
        <f t="shared" si="6"/>
        <v>2026E</v>
      </c>
      <c r="DM9" s="5" t="str">
        <f t="shared" si="6"/>
        <v>1Q27E</v>
      </c>
      <c r="DN9" s="5" t="str">
        <f t="shared" si="6"/>
        <v>2Q27E</v>
      </c>
      <c r="DO9" s="5" t="str">
        <f t="shared" si="6"/>
        <v>3Q27E</v>
      </c>
      <c r="DP9" s="7" t="str">
        <f t="shared" si="6"/>
        <v>4Q27E</v>
      </c>
      <c r="DQ9" s="6" t="str">
        <f t="shared" si="6"/>
        <v>2027E</v>
      </c>
      <c r="DR9" s="5" t="str">
        <f t="shared" si="6"/>
        <v>1Q28E</v>
      </c>
      <c r="DS9" s="5" t="str">
        <f t="shared" si="6"/>
        <v>2Q28E</v>
      </c>
      <c r="DT9" s="5" t="str">
        <f t="shared" si="6"/>
        <v>3Q28E</v>
      </c>
      <c r="DU9" s="7" t="str">
        <f t="shared" si="6"/>
        <v>4Q28E</v>
      </c>
      <c r="DV9" s="6" t="str">
        <f t="shared" si="6"/>
        <v>2028E</v>
      </c>
      <c r="DW9" s="5" t="str">
        <f t="shared" si="6"/>
        <v>1Q29E</v>
      </c>
      <c r="DX9" s="5" t="str">
        <f t="shared" si="6"/>
        <v>2Q29E</v>
      </c>
      <c r="DY9" s="5" t="str">
        <f t="shared" si="6"/>
        <v>3Q29E</v>
      </c>
      <c r="DZ9" s="7" t="str">
        <f t="shared" ref="DZ9:EF9" si="7">DZ$3</f>
        <v>4Q29E</v>
      </c>
      <c r="EA9" s="6" t="str">
        <f t="shared" si="7"/>
        <v>2029E</v>
      </c>
      <c r="EB9" s="5" t="str">
        <f t="shared" si="7"/>
        <v>1Q30E</v>
      </c>
      <c r="EC9" s="5" t="str">
        <f t="shared" si="7"/>
        <v>2Q30E</v>
      </c>
      <c r="ED9" s="5" t="str">
        <f t="shared" si="7"/>
        <v>3Q30E</v>
      </c>
      <c r="EE9" s="7" t="str">
        <f t="shared" si="7"/>
        <v>4Q30E</v>
      </c>
      <c r="EF9" s="6" t="str">
        <f t="shared" si="7"/>
        <v>2030E</v>
      </c>
    </row>
    <row r="10" spans="1:136">
      <c r="A10" s="484" t="s">
        <v>64</v>
      </c>
      <c r="B10" s="10">
        <v>1.862507571168992E-2</v>
      </c>
      <c r="C10" s="10">
        <v>3.497862417411568E-2</v>
      </c>
      <c r="D10" s="10">
        <v>4.6182358899209186E-2</v>
      </c>
      <c r="E10" s="10">
        <v>5.690444955805507E-2</v>
      </c>
      <c r="F10" s="11">
        <v>5.690444955805507E-2</v>
      </c>
      <c r="G10" s="10">
        <v>5.083989891482088E-2</v>
      </c>
      <c r="H10" s="10">
        <v>4.011766178495435E-2</v>
      </c>
      <c r="I10" s="10">
        <v>3.5368516458616606E-2</v>
      </c>
      <c r="J10" s="10">
        <v>3.1478278563434881E-2</v>
      </c>
      <c r="K10" s="11">
        <v>3.1478278563434881E-2</v>
      </c>
      <c r="L10" s="10">
        <v>3.5123173615180914E-2</v>
      </c>
      <c r="M10" s="10">
        <v>3.2874019696331747E-2</v>
      </c>
      <c r="N10" s="10">
        <v>3.5871316873246961E-2</v>
      </c>
      <c r="O10" s="10">
        <v>3.9296141402982654E-2</v>
      </c>
      <c r="P10" s="11">
        <v>3.9296141402982654E-2</v>
      </c>
      <c r="Q10" s="10">
        <v>4.1838308506276567E-2</v>
      </c>
      <c r="R10" s="10">
        <v>5.276137952462312E-2</v>
      </c>
      <c r="S10" s="10">
        <v>5.5890600391810263E-2</v>
      </c>
      <c r="T10" s="10">
        <v>6.0872371118366075E-2</v>
      </c>
      <c r="U10" s="11">
        <v>6.0872371118366075E-2</v>
      </c>
      <c r="V10" s="10">
        <v>6.3938235514579222E-2</v>
      </c>
      <c r="W10" s="10">
        <v>6.3785438916865056E-2</v>
      </c>
      <c r="X10" s="10">
        <v>6.6447176949941733E-2</v>
      </c>
      <c r="Y10" s="10">
        <v>5.1439408849367707E-2</v>
      </c>
      <c r="Z10" s="11">
        <v>5.1439408849367707E-2</v>
      </c>
      <c r="AA10" s="10">
        <v>2.9907002958996731E-2</v>
      </c>
      <c r="AB10" s="10">
        <v>9.432817187147835E-3</v>
      </c>
      <c r="AC10" s="10">
        <v>-1.0336181753057283E-2</v>
      </c>
      <c r="AD10" s="10">
        <v>-1.7527141544432245E-3</v>
      </c>
      <c r="AE10" s="11">
        <v>-1.7527141544432245E-3</v>
      </c>
      <c r="AF10" s="10">
        <v>9.2714293988523058E-2</v>
      </c>
      <c r="AG10" s="10">
        <v>9.1562714084863384E-2</v>
      </c>
      <c r="AH10" s="10">
        <v>6.7385174121558977E-2</v>
      </c>
      <c r="AI10" s="10">
        <v>5.036758875035563E-2</v>
      </c>
      <c r="AJ10" s="11">
        <v>7.4999999999999997E-2</v>
      </c>
      <c r="AK10" s="10">
        <v>4.235653966354147E-2</v>
      </c>
      <c r="AL10" s="10">
        <v>3.3143580012650276E-2</v>
      </c>
      <c r="AM10" s="10">
        <v>2.1219663970130753E-2</v>
      </c>
      <c r="AN10" s="10">
        <v>1.3664596273291751E-2</v>
      </c>
      <c r="AO10" s="11">
        <v>2.7325092432441078E-2</v>
      </c>
      <c r="AP10" s="10">
        <v>7.9730000000000009E-3</v>
      </c>
      <c r="AQ10" s="10">
        <v>5.5089999999999991E-3</v>
      </c>
      <c r="AR10" s="10">
        <v>9.444000000000001E-3</v>
      </c>
      <c r="AS10" s="10">
        <v>1.8249999999999999E-2</v>
      </c>
      <c r="AT10" s="11">
        <v>0.01</v>
      </c>
      <c r="AU10" s="10">
        <v>1.89E-2</v>
      </c>
      <c r="AV10" s="10">
        <v>3.4599999999999999E-2</v>
      </c>
      <c r="AW10" s="10">
        <v>2.4300000000000002E-2</v>
      </c>
      <c r="AX10" s="10">
        <v>2.1700000000000001E-2</v>
      </c>
      <c r="AY10" s="11">
        <v>2.5000000000000001E-2</v>
      </c>
      <c r="AZ10" s="10">
        <v>1.9099999999999999E-2</v>
      </c>
      <c r="BA10" s="10">
        <v>4.0000000000000001E-3</v>
      </c>
      <c r="BB10" s="10">
        <v>1.1000000000000001E-2</v>
      </c>
      <c r="BC10" s="10">
        <v>0.01</v>
      </c>
      <c r="BD10" s="11">
        <v>1.4458388757159213E-3</v>
      </c>
      <c r="BE10" s="10">
        <v>-8.1656208432130603E-3</v>
      </c>
      <c r="BF10" s="10">
        <v>-1.7777080562142042E-2</v>
      </c>
      <c r="BG10" s="10">
        <v>-2.7388540281071024E-2</v>
      </c>
      <c r="BH10" s="10">
        <v>-3.7000000000000005E-2</v>
      </c>
      <c r="BI10" s="11">
        <v>-3.7000000000000005E-2</v>
      </c>
      <c r="BJ10" s="10">
        <v>-3.4750000000000003E-2</v>
      </c>
      <c r="BK10" s="10">
        <v>-3.2500000000000001E-2</v>
      </c>
      <c r="BL10" s="10">
        <v>-3.0249999999999999E-2</v>
      </c>
      <c r="BM10" s="10">
        <v>-2.7999999999999997E-2</v>
      </c>
      <c r="BN10" s="11">
        <v>-2.7999999999999997E-2</v>
      </c>
      <c r="BO10" s="10">
        <v>5.0000000000000001E-3</v>
      </c>
      <c r="BP10" s="10">
        <v>5.0000000000000001E-3</v>
      </c>
      <c r="BQ10" s="10">
        <v>5.0000000000000001E-3</v>
      </c>
      <c r="BR10" s="10">
        <v>5.0000000000000001E-3</v>
      </c>
      <c r="BS10" s="11">
        <v>0.01</v>
      </c>
      <c r="BT10" s="10">
        <v>3.2837896492345919E-3</v>
      </c>
      <c r="BU10" s="10">
        <v>3.2837896492345919E-3</v>
      </c>
      <c r="BV10" s="10">
        <v>3.2837896492345919E-3</v>
      </c>
      <c r="BW10" s="10">
        <v>3.2837896492345919E-3</v>
      </c>
      <c r="BX10" s="11">
        <v>1.32E-2</v>
      </c>
      <c r="BY10" s="10">
        <v>2.7387284930973088E-3</v>
      </c>
      <c r="BZ10" s="10">
        <v>2.7387284930973088E-3</v>
      </c>
      <c r="CA10" s="10">
        <v>2.7387284930973088E-3</v>
      </c>
      <c r="CB10" s="10">
        <v>2.7387284930973088E-3</v>
      </c>
      <c r="CC10" s="11">
        <v>1.0999999999999999E-2</v>
      </c>
      <c r="CD10" s="10">
        <v>-0.01</v>
      </c>
      <c r="CE10" s="10">
        <v>-0.01</v>
      </c>
      <c r="CF10" s="10">
        <v>-0.01</v>
      </c>
      <c r="CG10" s="10">
        <v>-0.01</v>
      </c>
      <c r="CH10" s="11">
        <v>-4.1000000000000002E-2</v>
      </c>
      <c r="CI10" s="10">
        <v>0.03</v>
      </c>
      <c r="CJ10" s="10">
        <v>0.03</v>
      </c>
      <c r="CK10" s="10">
        <v>0.03</v>
      </c>
      <c r="CL10" s="10">
        <v>0.03</v>
      </c>
      <c r="CM10" s="11">
        <v>4.5999999999999999E-2</v>
      </c>
      <c r="CN10" s="10">
        <v>0.02</v>
      </c>
      <c r="CO10" s="10">
        <v>0.02</v>
      </c>
      <c r="CP10" s="10">
        <v>0.02</v>
      </c>
      <c r="CQ10" s="10">
        <v>0.02</v>
      </c>
      <c r="CR10" s="11">
        <v>0.03</v>
      </c>
      <c r="CS10" s="10">
        <v>0.02</v>
      </c>
      <c r="CT10" s="10">
        <v>0.02</v>
      </c>
      <c r="CU10" s="10">
        <v>0.02</v>
      </c>
      <c r="CV10" s="10">
        <v>0.02</v>
      </c>
      <c r="CW10" s="11">
        <v>2.9000000000000001E-2</v>
      </c>
      <c r="CX10" s="10">
        <v>0.02</v>
      </c>
      <c r="CY10" s="10">
        <v>0.02</v>
      </c>
      <c r="CZ10" s="10">
        <v>0.02</v>
      </c>
      <c r="DA10" s="10">
        <v>0.02</v>
      </c>
      <c r="DB10" s="11">
        <v>3.4000000000000002E-2</v>
      </c>
      <c r="DC10" s="10">
        <v>0.02</v>
      </c>
      <c r="DD10" s="10">
        <v>0.02</v>
      </c>
      <c r="DE10" s="10">
        <v>0.02</v>
      </c>
      <c r="DF10" s="10">
        <v>0.02</v>
      </c>
      <c r="DG10" s="11">
        <v>2.0000000000000018E-2</v>
      </c>
      <c r="DH10" s="10">
        <v>0.02</v>
      </c>
      <c r="DI10" s="10">
        <v>0.02</v>
      </c>
      <c r="DJ10" s="10">
        <v>0.02</v>
      </c>
      <c r="DK10" s="10">
        <v>0.02</v>
      </c>
      <c r="DL10" s="11">
        <v>2.0000000000000018E-2</v>
      </c>
      <c r="DM10" s="10">
        <v>0.02</v>
      </c>
      <c r="DN10" s="10">
        <v>0.02</v>
      </c>
      <c r="DO10" s="10">
        <v>0.02</v>
      </c>
      <c r="DP10" s="10">
        <v>0.02</v>
      </c>
      <c r="DQ10" s="11">
        <v>2.0000000000000018E-2</v>
      </c>
      <c r="DR10" s="10">
        <v>0.02</v>
      </c>
      <c r="DS10" s="10">
        <v>0.02</v>
      </c>
      <c r="DT10" s="10">
        <v>0.02</v>
      </c>
      <c r="DU10" s="10">
        <v>0.02</v>
      </c>
      <c r="DV10" s="11">
        <v>2.0000000000000018E-2</v>
      </c>
      <c r="DW10" s="10">
        <v>0.02</v>
      </c>
      <c r="DX10" s="10">
        <v>0.02</v>
      </c>
      <c r="DY10" s="10">
        <v>0.02</v>
      </c>
      <c r="DZ10" s="10">
        <v>0.02</v>
      </c>
      <c r="EA10" s="11">
        <v>2.0000000000000018E-2</v>
      </c>
      <c r="EB10" s="10">
        <v>0.02</v>
      </c>
      <c r="EC10" s="10">
        <v>0.02</v>
      </c>
      <c r="ED10" s="10">
        <v>0.02</v>
      </c>
      <c r="EE10" s="10">
        <v>0.02</v>
      </c>
      <c r="EF10" s="11">
        <v>2.0000000000000018E-2</v>
      </c>
    </row>
    <row r="11" spans="1:136">
      <c r="A11" s="484" t="s">
        <v>76</v>
      </c>
      <c r="B11" s="12">
        <v>2.9085999999999999</v>
      </c>
      <c r="C11" s="12">
        <v>3.1074999999999999</v>
      </c>
      <c r="D11" s="12">
        <v>2.8586</v>
      </c>
      <c r="E11" s="12">
        <v>2.6543999999999999</v>
      </c>
      <c r="F11" s="13">
        <v>2.6543999999999999</v>
      </c>
      <c r="G11" s="12">
        <v>2.6661999999999999</v>
      </c>
      <c r="H11" s="12">
        <v>2.3504</v>
      </c>
      <c r="I11" s="12">
        <v>2.2222</v>
      </c>
      <c r="J11" s="12">
        <v>2.3407</v>
      </c>
      <c r="K11" s="13">
        <v>2.3407</v>
      </c>
      <c r="L11" s="12">
        <v>2.1724000000000001</v>
      </c>
      <c r="M11" s="12">
        <v>2.1642999999999999</v>
      </c>
      <c r="N11" s="12">
        <v>2.1741999999999999</v>
      </c>
      <c r="O11" s="12">
        <v>2.1379999999999999</v>
      </c>
      <c r="P11" s="13">
        <v>2.1379999999999999</v>
      </c>
      <c r="Q11" s="12">
        <v>2.0503999999999998</v>
      </c>
      <c r="R11" s="12">
        <v>1.9261999999999999</v>
      </c>
      <c r="S11" s="12">
        <v>1.8389</v>
      </c>
      <c r="T11" s="12">
        <v>1.7713000000000001</v>
      </c>
      <c r="U11" s="13">
        <v>1.7713000000000001</v>
      </c>
      <c r="V11" s="12">
        <v>1.7491000000000001</v>
      </c>
      <c r="W11" s="12">
        <v>1.5919000000000001</v>
      </c>
      <c r="X11" s="12">
        <v>1.9142999999999999</v>
      </c>
      <c r="Y11" s="12">
        <v>2.3370000000000002</v>
      </c>
      <c r="Z11" s="13">
        <v>2.3370000000000002</v>
      </c>
      <c r="AA11" s="12">
        <v>2.3151999999999999</v>
      </c>
      <c r="AB11" s="12">
        <v>1.9516</v>
      </c>
      <c r="AC11" s="12">
        <v>1.7781</v>
      </c>
      <c r="AD11" s="12">
        <v>1.7412000000000001</v>
      </c>
      <c r="AE11" s="13">
        <v>1.7412000000000001</v>
      </c>
      <c r="AF11" s="12">
        <v>1.7810000000000001</v>
      </c>
      <c r="AG11" s="12">
        <v>1.8014999999999999</v>
      </c>
      <c r="AH11" s="12">
        <v>1.6941999999999999</v>
      </c>
      <c r="AI11" s="12">
        <v>1.7161</v>
      </c>
      <c r="AJ11" s="13">
        <v>1.6661999999999999</v>
      </c>
      <c r="AK11" s="12">
        <v>1.6317999999999999</v>
      </c>
      <c r="AL11" s="12">
        <v>1.5632999999999999</v>
      </c>
      <c r="AM11" s="12">
        <v>1.8793</v>
      </c>
      <c r="AN11" s="12">
        <v>1.8668</v>
      </c>
      <c r="AO11" s="13">
        <v>1.8757999999999999</v>
      </c>
      <c r="AP11" s="12">
        <v>1.82</v>
      </c>
      <c r="AQ11" s="12">
        <v>2.02</v>
      </c>
      <c r="AR11" s="12">
        <v>2.0299999999999998</v>
      </c>
      <c r="AS11" s="12">
        <v>2.04</v>
      </c>
      <c r="AT11" s="13">
        <v>2.04</v>
      </c>
      <c r="AU11" s="12">
        <v>2.0137999999999998</v>
      </c>
      <c r="AV11" s="12">
        <v>2.2155999999999998</v>
      </c>
      <c r="AW11" s="12">
        <v>2.23</v>
      </c>
      <c r="AX11" s="12">
        <v>2.3426</v>
      </c>
      <c r="AY11" s="13">
        <v>2.34</v>
      </c>
      <c r="AZ11" s="12">
        <v>2.2629999999999999</v>
      </c>
      <c r="BA11" s="12">
        <v>2.29</v>
      </c>
      <c r="BB11" s="12">
        <v>2.34</v>
      </c>
      <c r="BC11" s="12">
        <v>2.4</v>
      </c>
      <c r="BD11" s="13">
        <v>2.6562000000000001</v>
      </c>
      <c r="BE11" s="12">
        <v>3.2080000000000002</v>
      </c>
      <c r="BF11" s="12">
        <v>3.1025999999999998</v>
      </c>
      <c r="BG11" s="12">
        <v>3.9729000000000001</v>
      </c>
      <c r="BH11" s="12">
        <v>3.9047999999999998</v>
      </c>
      <c r="BI11" s="13">
        <v>3.7999999523162842</v>
      </c>
      <c r="BJ11" s="12">
        <v>3.5589</v>
      </c>
      <c r="BK11" s="12">
        <v>3.2098</v>
      </c>
      <c r="BL11" s="12">
        <v>3.2462</v>
      </c>
      <c r="BM11" s="12">
        <v>3.2591000000000001</v>
      </c>
      <c r="BN11" s="13">
        <v>3.2591000000000001</v>
      </c>
      <c r="BO11" s="12">
        <v>3.2</v>
      </c>
      <c r="BP11" s="12">
        <v>3.12</v>
      </c>
      <c r="BQ11" s="12">
        <v>3.31</v>
      </c>
      <c r="BR11" s="12">
        <v>3.3079999999999998</v>
      </c>
      <c r="BS11" s="13">
        <v>3.3079999999999998</v>
      </c>
      <c r="BT11" s="12">
        <v>3.3237999999999999</v>
      </c>
      <c r="BU11" s="12">
        <v>3.8557999999999999</v>
      </c>
      <c r="BV11" s="12">
        <v>4.0038999999999998</v>
      </c>
      <c r="BW11" s="12">
        <v>3.88</v>
      </c>
      <c r="BX11" s="13">
        <v>3.88</v>
      </c>
      <c r="BY11" s="12">
        <v>3.9017477950776094</v>
      </c>
      <c r="BZ11" s="12">
        <v>3.9236174887610789</v>
      </c>
      <c r="CA11" s="12">
        <v>3.9456097643045065</v>
      </c>
      <c r="CB11" s="12">
        <v>3.9677253087916995</v>
      </c>
      <c r="CC11" s="13">
        <v>4.0307000000000004</v>
      </c>
      <c r="CD11" s="12">
        <v>5</v>
      </c>
      <c r="CE11" s="12">
        <v>5.0084135653963973</v>
      </c>
      <c r="CF11" s="12">
        <v>5.0168412884093296</v>
      </c>
      <c r="CG11" s="12">
        <v>5.0252831928620045</v>
      </c>
      <c r="CH11" s="13">
        <v>4.8</v>
      </c>
      <c r="CI11" s="12">
        <v>4.8726419796985514</v>
      </c>
      <c r="CJ11" s="12">
        <v>4.9463833046501291</v>
      </c>
      <c r="CK11" s="12">
        <v>5.0212406120663058</v>
      </c>
      <c r="CL11" s="12">
        <v>5.0972307909419854</v>
      </c>
      <c r="CM11" s="13">
        <v>5.5804999999999998</v>
      </c>
      <c r="CN11" s="12">
        <v>5.6316783282881326</v>
      </c>
      <c r="CO11" s="12">
        <v>5.6833260090153601</v>
      </c>
      <c r="CP11" s="12">
        <v>5.7354473465761293</v>
      </c>
      <c r="CQ11" s="12">
        <v>5.7880466848401513</v>
      </c>
      <c r="CR11" s="13">
        <v>5.2176999999999998</v>
      </c>
      <c r="CS11" s="12">
        <v>5.2508591277992398</v>
      </c>
      <c r="CT11" s="12">
        <v>5.2842289859502456</v>
      </c>
      <c r="CU11" s="12">
        <v>5.3178109136704235</v>
      </c>
      <c r="CV11" s="12">
        <v>5.3516062586880739</v>
      </c>
      <c r="CW11" s="13">
        <v>4.8513000000000002</v>
      </c>
      <c r="CX11" s="12">
        <v>4.8845908634638056</v>
      </c>
      <c r="CY11" s="12">
        <v>4.9181101773615499</v>
      </c>
      <c r="CZ11" s="12">
        <v>4.9518595093786377</v>
      </c>
      <c r="DA11" s="12">
        <v>4.9858404379583323</v>
      </c>
      <c r="DB11" s="13">
        <v>6.1923000000000004</v>
      </c>
      <c r="DC11" s="12">
        <v>5.9623333333333335</v>
      </c>
      <c r="DD11" s="12">
        <v>5.7323666666666666</v>
      </c>
      <c r="DE11" s="12">
        <v>5.6173833333333327</v>
      </c>
      <c r="DF11" s="12">
        <v>5.5023999999999997</v>
      </c>
      <c r="DG11" s="13">
        <v>5.5023999999999997</v>
      </c>
      <c r="DH11" s="12">
        <v>5.5291053841950459</v>
      </c>
      <c r="DI11" s="12">
        <v>5.5559403804766374</v>
      </c>
      <c r="DJ11" s="12">
        <v>5.5829056179049239</v>
      </c>
      <c r="DK11" s="12">
        <v>5.6100017285931392</v>
      </c>
      <c r="DL11" s="13">
        <v>5.6100017285931392</v>
      </c>
      <c r="DM11" s="12">
        <v>5.6372293477224202</v>
      </c>
      <c r="DN11" s="12">
        <v>5.6645891135566959</v>
      </c>
      <c r="DO11" s="12">
        <v>5.69208166745765</v>
      </c>
      <c r="DP11" s="12">
        <v>5.7197076538997553</v>
      </c>
      <c r="DQ11" s="13">
        <v>5.7197076538997553</v>
      </c>
      <c r="DR11" s="12">
        <v>5.7474677204853801</v>
      </c>
      <c r="DS11" s="12">
        <v>5.7753625179599712</v>
      </c>
      <c r="DT11" s="12">
        <v>5.8033927002273078</v>
      </c>
      <c r="DU11" s="12">
        <v>5.8315589243648294</v>
      </c>
      <c r="DV11" s="13">
        <v>5.8315589243648294</v>
      </c>
      <c r="DW11" s="12">
        <v>5.8598618506390396</v>
      </c>
      <c r="DX11" s="12">
        <v>5.8883021425209847</v>
      </c>
      <c r="DY11" s="12">
        <v>5.9168804667018042</v>
      </c>
      <c r="DZ11" s="12">
        <v>5.9455974931083615</v>
      </c>
      <c r="EA11" s="13">
        <v>5.9455974931083615</v>
      </c>
      <c r="EB11" s="12">
        <v>5.9744538949189465</v>
      </c>
      <c r="EC11" s="12">
        <v>6.0034503485790589</v>
      </c>
      <c r="ED11" s="12">
        <v>6.0325875338172628</v>
      </c>
      <c r="EE11" s="12">
        <v>6.0618661336611197</v>
      </c>
      <c r="EF11" s="13">
        <v>6.0618661336611197</v>
      </c>
    </row>
    <row r="12" spans="1:136">
      <c r="A12" s="484" t="s">
        <v>65</v>
      </c>
      <c r="B12" s="10">
        <v>6.7146614979924912E-3</v>
      </c>
      <c r="C12" s="10">
        <v>6.8383414701230771E-2</v>
      </c>
      <c r="D12" s="10">
        <v>-8.0096540627514035E-2</v>
      </c>
      <c r="E12" s="10">
        <v>-7.143356887987129E-2</v>
      </c>
      <c r="F12" s="11">
        <v>-8.1268171120033372E-2</v>
      </c>
      <c r="G12" s="10">
        <v>4.4454490657022117E-3</v>
      </c>
      <c r="H12" s="10">
        <v>-0.11844572800240039</v>
      </c>
      <c r="I12" s="10">
        <v>-5.4543907420013693E-2</v>
      </c>
      <c r="J12" s="10">
        <v>5.3325533255332624E-2</v>
      </c>
      <c r="K12" s="11">
        <v>-0.11818113321277879</v>
      </c>
      <c r="L12" s="10">
        <v>-7.1901567907036279E-2</v>
      </c>
      <c r="M12" s="10">
        <v>-3.7285951021912567E-3</v>
      </c>
      <c r="N12" s="10">
        <v>4.5742272328235245E-3</v>
      </c>
      <c r="O12" s="10">
        <v>-1.6649802226106125E-2</v>
      </c>
      <c r="P12" s="11">
        <v>-8.6598026231469283E-2</v>
      </c>
      <c r="Q12" s="10">
        <v>-4.0972871842843817E-2</v>
      </c>
      <c r="R12" s="10">
        <v>-6.0573546625048658E-2</v>
      </c>
      <c r="S12" s="10">
        <v>-4.5322396428200573E-2</v>
      </c>
      <c r="T12" s="10">
        <v>-3.6761107183642339E-2</v>
      </c>
      <c r="U12" s="11">
        <v>-0.17151543498596811</v>
      </c>
      <c r="V12" s="10">
        <v>-1.2533167729915862E-2</v>
      </c>
      <c r="W12" s="10">
        <v>-8.9874792750557431E-2</v>
      </c>
      <c r="X12" s="10">
        <v>0.20252528425152327</v>
      </c>
      <c r="Y12" s="10">
        <v>0.2208117849866793</v>
      </c>
      <c r="Z12" s="11">
        <v>0.31936995427087456</v>
      </c>
      <c r="AA12" s="10">
        <v>-9.3281985451434402E-3</v>
      </c>
      <c r="AB12" s="10">
        <v>-0.15704906703524535</v>
      </c>
      <c r="AC12" s="10">
        <v>-8.8901414224226261E-2</v>
      </c>
      <c r="AD12" s="10">
        <v>-2.075248861143919E-2</v>
      </c>
      <c r="AE12" s="11">
        <v>-0.25494223363286272</v>
      </c>
      <c r="AF12" s="10">
        <v>-6.928735842545386E-3</v>
      </c>
      <c r="AG12" s="10">
        <v>-6.9770781741669285E-3</v>
      </c>
      <c r="AH12" s="10">
        <v>-7.0260998218837356E-3</v>
      </c>
      <c r="AI12" s="10">
        <v>-7.0758152058412183E-3</v>
      </c>
      <c r="AJ12" s="11">
        <v>-2.7714943370181544E-2</v>
      </c>
      <c r="AK12" s="10">
        <v>-4.9123011479517587E-2</v>
      </c>
      <c r="AL12" s="10">
        <v>-4.1978183600931529E-2</v>
      </c>
      <c r="AM12" s="10">
        <v>0.20213650610887224</v>
      </c>
      <c r="AN12" s="10">
        <v>-6.6514127600701967E-3</v>
      </c>
      <c r="AO12" s="11">
        <v>0.12579522266234555</v>
      </c>
      <c r="AP12" s="10">
        <v>-2.5069637883008311E-2</v>
      </c>
      <c r="AQ12" s="10">
        <v>0.10989010989010994</v>
      </c>
      <c r="AR12" s="10">
        <v>4.9504950495049549E-3</v>
      </c>
      <c r="AS12" s="10">
        <v>4.9261083743843415E-3</v>
      </c>
      <c r="AT12" s="11">
        <v>8.753598464655088E-2</v>
      </c>
      <c r="AU12" s="10">
        <v>-1.2843137254902048E-2</v>
      </c>
      <c r="AV12" s="10">
        <v>0.10020856092958597</v>
      </c>
      <c r="AW12" s="10">
        <v>6.4993681169887019E-3</v>
      </c>
      <c r="AX12" s="10">
        <v>5.0493273542600914E-2</v>
      </c>
      <c r="AY12" s="11">
        <v>0.14705882352941169</v>
      </c>
      <c r="AZ12" s="10">
        <v>-3.3979339195765457E-2</v>
      </c>
      <c r="BA12" s="10">
        <v>1.1931064958020432E-2</v>
      </c>
      <c r="BB12" s="10">
        <v>2.1834061135371119E-2</v>
      </c>
      <c r="BC12" s="10">
        <v>2.5641025641025772E-2</v>
      </c>
      <c r="BD12" s="11">
        <v>0.13512820512820523</v>
      </c>
      <c r="BE12" s="10">
        <v>0.33666666666666689</v>
      </c>
      <c r="BF12" s="10">
        <v>-3.2855361596010102E-2</v>
      </c>
      <c r="BG12" s="10">
        <v>0.28050667182363198</v>
      </c>
      <c r="BH12" s="10">
        <v>-1.7141131163633694E-2</v>
      </c>
      <c r="BI12" s="11">
        <v>0.43061514656888944</v>
      </c>
      <c r="BJ12" s="10">
        <v>-8.858328211432076E-2</v>
      </c>
      <c r="BK12" s="10">
        <v>-9.8092107111747984E-2</v>
      </c>
      <c r="BL12" s="10">
        <v>1.1340270421833054E-2</v>
      </c>
      <c r="BM12" s="10">
        <v>3.9738771486661495E-3</v>
      </c>
      <c r="BN12" s="11">
        <v>-0.14234209450096946</v>
      </c>
      <c r="BO12" s="10">
        <v>-1.8133840630848996E-2</v>
      </c>
      <c r="BP12" s="10">
        <v>-2.5000000000000022E-2</v>
      </c>
      <c r="BQ12" s="10">
        <v>6.0897435897435903E-2</v>
      </c>
      <c r="BR12" s="10">
        <v>-6.0422960725081687E-4</v>
      </c>
      <c r="BS12" s="11">
        <v>1.5004142247859731E-2</v>
      </c>
      <c r="BT12" s="10">
        <v>4.7762998790810141E-3</v>
      </c>
      <c r="BU12" s="10">
        <v>0.16005776520849624</v>
      </c>
      <c r="BV12" s="10">
        <v>3.8409668551273368E-2</v>
      </c>
      <c r="BW12" s="10">
        <v>-3.0944828791927836E-2</v>
      </c>
      <c r="BX12" s="11">
        <v>0.17291414752116085</v>
      </c>
      <c r="BY12" s="10">
        <v>5.6051018241261019E-3</v>
      </c>
      <c r="BZ12" s="10">
        <v>5.6051018241261019E-3</v>
      </c>
      <c r="CA12" s="10">
        <v>5.6051018241261019E-3</v>
      </c>
      <c r="CB12" s="10">
        <v>5.6051018241261019E-3</v>
      </c>
      <c r="CC12" s="11">
        <v>3.884020618556705E-2</v>
      </c>
      <c r="CD12" s="10">
        <v>5.6051018241261019E-3</v>
      </c>
      <c r="CE12" s="10">
        <v>5.6051018241261019E-3</v>
      </c>
      <c r="CF12" s="10">
        <v>5.6051018241261019E-3</v>
      </c>
      <c r="CG12" s="10">
        <v>5.6051018241261019E-3</v>
      </c>
      <c r="CH12" s="11">
        <v>0.19086014836132659</v>
      </c>
      <c r="CI12" s="10">
        <v>5.6051018241261019E-3</v>
      </c>
      <c r="CJ12" s="10">
        <v>5.6051018241261019E-3</v>
      </c>
      <c r="CK12" s="10">
        <v>5.6051018241261019E-3</v>
      </c>
      <c r="CL12" s="10">
        <v>5.6051018241261019E-3</v>
      </c>
      <c r="CM12" s="11">
        <v>0.16260416666666666</v>
      </c>
      <c r="CN12" s="10">
        <v>5.6051018241261019E-3</v>
      </c>
      <c r="CO12" s="10">
        <v>5.6051018241261019E-3</v>
      </c>
      <c r="CP12" s="10">
        <v>5.6051018241261019E-3</v>
      </c>
      <c r="CQ12" s="10">
        <v>5.6051018241261019E-3</v>
      </c>
      <c r="CR12" s="11">
        <v>-6.501209569035038E-2</v>
      </c>
      <c r="CS12" s="10">
        <v>5.6051018241261019E-3</v>
      </c>
      <c r="CT12" s="10">
        <v>5.6051018241261019E-3</v>
      </c>
      <c r="CU12" s="10">
        <v>5.6051018241261019E-3</v>
      </c>
      <c r="CV12" s="10">
        <v>5.6051018241261019E-3</v>
      </c>
      <c r="CW12" s="11">
        <v>-7.0222511834716395E-2</v>
      </c>
      <c r="CX12" s="10">
        <v>5.6051018241261019E-3</v>
      </c>
      <c r="CY12" s="10">
        <v>5.6051018241261019E-3</v>
      </c>
      <c r="CZ12" s="10">
        <v>5.6051018241261019E-3</v>
      </c>
      <c r="DA12" s="10">
        <v>5.6051018241261019E-3</v>
      </c>
      <c r="DB12" s="11">
        <v>0.27642075320017323</v>
      </c>
      <c r="DC12" s="10">
        <v>5.6051018241261019E-3</v>
      </c>
      <c r="DD12" s="10">
        <v>5.6051018241261019E-3</v>
      </c>
      <c r="DE12" s="10">
        <v>5.6051018241261019E-3</v>
      </c>
      <c r="DF12" s="10">
        <v>5.6051018241261019E-3</v>
      </c>
      <c r="DG12" s="11">
        <v>-0.11141256076094519</v>
      </c>
      <c r="DH12" s="10">
        <v>5.6051018241261019E-3</v>
      </c>
      <c r="DI12" s="10">
        <v>5.6051018241261019E-3</v>
      </c>
      <c r="DJ12" s="10">
        <v>5.6051018241261019E-3</v>
      </c>
      <c r="DK12" s="10">
        <v>5.6051018241261019E-3</v>
      </c>
      <c r="DL12" s="11">
        <v>1.9555417380259454E-2</v>
      </c>
      <c r="DM12" s="10">
        <v>5.6051018241261019E-3</v>
      </c>
      <c r="DN12" s="10">
        <v>5.6051018241261019E-3</v>
      </c>
      <c r="DO12" s="10">
        <v>5.6051018241261019E-3</v>
      </c>
      <c r="DP12" s="10">
        <v>5.6051018241261019E-3</v>
      </c>
      <c r="DQ12" s="11">
        <v>1.9555417380259454E-2</v>
      </c>
      <c r="DR12" s="10">
        <v>5.6051018241261019E-3</v>
      </c>
      <c r="DS12" s="10">
        <v>5.6051018241261019E-3</v>
      </c>
      <c r="DT12" s="10">
        <v>5.6051018241261019E-3</v>
      </c>
      <c r="DU12" s="10">
        <v>5.6051018241261019E-3</v>
      </c>
      <c r="DV12" s="11">
        <v>1.9555417380259454E-2</v>
      </c>
      <c r="DW12" s="10">
        <v>5.6051018241261019E-3</v>
      </c>
      <c r="DX12" s="10">
        <v>5.6051018241261019E-3</v>
      </c>
      <c r="DY12" s="10">
        <v>5.6051018241261019E-3</v>
      </c>
      <c r="DZ12" s="10">
        <v>5.6051018241261019E-3</v>
      </c>
      <c r="EA12" s="11">
        <v>1.9555417380259676E-2</v>
      </c>
      <c r="EB12" s="10">
        <v>5.6051018241261019E-3</v>
      </c>
      <c r="EC12" s="10">
        <v>5.6051018241261019E-3</v>
      </c>
      <c r="ED12" s="10">
        <v>5.6051018241261019E-3</v>
      </c>
      <c r="EE12" s="10">
        <v>5.6051018241261019E-3</v>
      </c>
      <c r="EF12" s="11">
        <v>1.9555417380259454E-2</v>
      </c>
    </row>
    <row r="13" spans="1:136">
      <c r="A13" s="484" t="s">
        <v>63</v>
      </c>
      <c r="B13" s="12">
        <v>2.8958666666666666</v>
      </c>
      <c r="C13" s="12">
        <v>3.0451666666666668</v>
      </c>
      <c r="D13" s="12">
        <v>2.9769333333333332</v>
      </c>
      <c r="E13" s="12">
        <v>2.7856999999999998</v>
      </c>
      <c r="F13" s="13">
        <v>2.9259166666666667</v>
      </c>
      <c r="G13" s="12">
        <v>2.6651666666666665</v>
      </c>
      <c r="H13" s="12">
        <v>2.4818333333333333</v>
      </c>
      <c r="I13" s="12">
        <v>2.3428333333333331</v>
      </c>
      <c r="J13" s="12">
        <v>2.2509333333333332</v>
      </c>
      <c r="K13" s="13">
        <v>2.4351916666666664</v>
      </c>
      <c r="L13" s="12">
        <v>2.1959333333333335</v>
      </c>
      <c r="M13" s="12">
        <v>2.1852333333333331</v>
      </c>
      <c r="N13" s="12">
        <v>2.1713</v>
      </c>
      <c r="O13" s="12">
        <v>2.1520333333333337</v>
      </c>
      <c r="P13" s="13">
        <v>2.1761250000000003</v>
      </c>
      <c r="Q13" s="12">
        <v>2.1078166666666664</v>
      </c>
      <c r="R13" s="12">
        <v>1.9818333333333333</v>
      </c>
      <c r="S13" s="12">
        <v>1.9161333333333335</v>
      </c>
      <c r="T13" s="12">
        <v>1.7856333333333332</v>
      </c>
      <c r="U13" s="13">
        <v>1.9478541666666667</v>
      </c>
      <c r="V13" s="12">
        <v>1.7365333333333333</v>
      </c>
      <c r="W13" s="12">
        <v>1.6561000000000001</v>
      </c>
      <c r="X13" s="12">
        <v>1.6677666666666668</v>
      </c>
      <c r="Y13" s="12">
        <v>2.2778666666666667</v>
      </c>
      <c r="Z13" s="13">
        <v>1.8345666666666669</v>
      </c>
      <c r="AA13" s="12">
        <v>2.3112999999999997</v>
      </c>
      <c r="AB13" s="12">
        <v>2.0748000000000002</v>
      </c>
      <c r="AC13" s="12">
        <v>1.8659333333333334</v>
      </c>
      <c r="AD13" s="12">
        <v>1.7383666666666666</v>
      </c>
      <c r="AE13" s="13">
        <v>1.9976</v>
      </c>
      <c r="AF13" s="12">
        <v>1.8416333333333332</v>
      </c>
      <c r="AG13" s="12">
        <v>1.813190476190476</v>
      </c>
      <c r="AH13" s="12">
        <v>1.759563636363636</v>
      </c>
      <c r="AI13" s="12">
        <v>1.7133300000000002</v>
      </c>
      <c r="AJ13" s="13">
        <v>1.7593000000000001</v>
      </c>
      <c r="AK13" s="12">
        <v>1.66683064516129</v>
      </c>
      <c r="AL13" s="12">
        <v>1.5953516129032264</v>
      </c>
      <c r="AM13" s="12">
        <v>1.6363953846153851</v>
      </c>
      <c r="AN13" s="12">
        <v>1.8029258064516125</v>
      </c>
      <c r="AO13" s="13">
        <v>1.6746000000000001</v>
      </c>
      <c r="AP13" s="12">
        <v>1.7687873015873015</v>
      </c>
      <c r="AQ13" s="12">
        <v>1.9633</v>
      </c>
      <c r="AR13" s="12">
        <v>2.0278999999999998</v>
      </c>
      <c r="AS13" s="12">
        <v>2.06</v>
      </c>
      <c r="AT13" s="13">
        <v>1.9549968253968255</v>
      </c>
      <c r="AU13" s="12">
        <v>1.9957333333333336</v>
      </c>
      <c r="AV13" s="12">
        <v>2.0700000000000003</v>
      </c>
      <c r="AW13" s="12">
        <v>2.2883</v>
      </c>
      <c r="AX13" s="12">
        <v>2.2765</v>
      </c>
      <c r="AY13" s="13">
        <v>2.1576333333333335</v>
      </c>
      <c r="AZ13" s="12">
        <v>2.3639964913333333</v>
      </c>
      <c r="BA13" s="12">
        <v>2.2688319718766357</v>
      </c>
      <c r="BB13" s="12">
        <v>2.33</v>
      </c>
      <c r="BC13" s="12">
        <v>2.38</v>
      </c>
      <c r="BD13" s="13">
        <v>2.3357071158024922</v>
      </c>
      <c r="BE13" s="12">
        <v>2.8691</v>
      </c>
      <c r="BF13" s="12">
        <v>3.0709</v>
      </c>
      <c r="BG13" s="12">
        <v>3.5398999999999998</v>
      </c>
      <c r="BH13" s="12">
        <v>3.8471000000000002</v>
      </c>
      <c r="BI13" s="13">
        <v>3.3317499999999995</v>
      </c>
      <c r="BJ13" s="12">
        <v>3.6794499761581418</v>
      </c>
      <c r="BK13" s="12">
        <v>3.38435</v>
      </c>
      <c r="BL13" s="12">
        <v>3.2279999999999998</v>
      </c>
      <c r="BM13" s="12">
        <v>3.25265</v>
      </c>
      <c r="BN13" s="13">
        <v>3.3861124940395353</v>
      </c>
      <c r="BO13" s="12">
        <v>3.2295500000000001</v>
      </c>
      <c r="BP13" s="12">
        <v>3.16</v>
      </c>
      <c r="BQ13" s="12">
        <v>3.2149999999999999</v>
      </c>
      <c r="BR13" s="12">
        <v>3.3090000000000002</v>
      </c>
      <c r="BS13" s="13">
        <v>3.2283875000000002</v>
      </c>
      <c r="BT13" s="12">
        <v>3.3159000000000001</v>
      </c>
      <c r="BU13" s="12">
        <v>3.5897999999999999</v>
      </c>
      <c r="BV13" s="12">
        <v>3.9298500000000001</v>
      </c>
      <c r="BW13" s="12">
        <v>3.9419499999999998</v>
      </c>
      <c r="BX13" s="13">
        <v>3.694375</v>
      </c>
      <c r="BY13" s="12">
        <v>3.8908738975388046</v>
      </c>
      <c r="BZ13" s="12">
        <v>3.9126826419193441</v>
      </c>
      <c r="CA13" s="12">
        <v>3.9346136265327925</v>
      </c>
      <c r="CB13" s="12">
        <v>3.9566675365481032</v>
      </c>
      <c r="CC13" s="13">
        <v>3.9237094256347609</v>
      </c>
      <c r="CD13" s="12">
        <v>4.5153499999999998</v>
      </c>
      <c r="CE13" s="12">
        <v>5.0042067826981986</v>
      </c>
      <c r="CF13" s="12">
        <v>5.0126274269028634</v>
      </c>
      <c r="CG13" s="12">
        <v>5.0210622406356666</v>
      </c>
      <c r="CH13" s="13">
        <v>4.8883116125591819</v>
      </c>
      <c r="CI13" s="12">
        <v>4.8363209898492752</v>
      </c>
      <c r="CJ13" s="12">
        <v>4.9095126421743398</v>
      </c>
      <c r="CK13" s="12">
        <v>4.983811958358217</v>
      </c>
      <c r="CL13" s="12">
        <v>5.0592357015041456</v>
      </c>
      <c r="CM13" s="13">
        <v>4.9472203229714946</v>
      </c>
      <c r="CN13" s="12">
        <v>5.6060891641440662</v>
      </c>
      <c r="CO13" s="12">
        <v>5.6575021686517459</v>
      </c>
      <c r="CP13" s="12">
        <v>5.7093866777957452</v>
      </c>
      <c r="CQ13" s="12">
        <v>5.7617470157081403</v>
      </c>
      <c r="CR13" s="13">
        <v>5.6836812565749248</v>
      </c>
      <c r="CS13" s="12">
        <v>5.2342795638996193</v>
      </c>
      <c r="CT13" s="12">
        <v>5.2675440568747423</v>
      </c>
      <c r="CU13" s="12">
        <v>5.3010199498103345</v>
      </c>
      <c r="CV13" s="12">
        <v>5.3347085861792483</v>
      </c>
      <c r="CW13" s="13">
        <v>5.2843880391909863</v>
      </c>
      <c r="CX13" s="12">
        <v>4.8679454317319024</v>
      </c>
      <c r="CY13" s="12">
        <v>4.9013505204126773</v>
      </c>
      <c r="CZ13" s="12">
        <v>4.9349848433700938</v>
      </c>
      <c r="DA13" s="12">
        <v>4.968849973668485</v>
      </c>
      <c r="DB13" s="13">
        <v>4.9182826922957901</v>
      </c>
      <c r="DC13" s="12">
        <v>6.0773166666666665</v>
      </c>
      <c r="DD13" s="12">
        <v>5.8473500000000005</v>
      </c>
      <c r="DE13" s="12">
        <v>5.6748750000000001</v>
      </c>
      <c r="DF13" s="12">
        <v>5.5598916666666662</v>
      </c>
      <c r="DG13" s="13">
        <v>5.7898583333333331</v>
      </c>
      <c r="DH13" s="12">
        <v>5.5157526920975233</v>
      </c>
      <c r="DI13" s="12">
        <v>5.5425228823358417</v>
      </c>
      <c r="DJ13" s="12">
        <v>5.5694229991907811</v>
      </c>
      <c r="DK13" s="12">
        <v>5.596453673249032</v>
      </c>
      <c r="DL13" s="13">
        <v>5.5560380617182936</v>
      </c>
      <c r="DM13" s="12">
        <v>5.6236155381577797</v>
      </c>
      <c r="DN13" s="12">
        <v>5.6509092306395576</v>
      </c>
      <c r="DO13" s="12">
        <v>5.678335390507173</v>
      </c>
      <c r="DP13" s="12">
        <v>5.7058946606787027</v>
      </c>
      <c r="DQ13" s="13">
        <v>5.664688704995803</v>
      </c>
      <c r="DR13" s="12">
        <v>5.7335876871925677</v>
      </c>
      <c r="DS13" s="12">
        <v>5.7614151192226757</v>
      </c>
      <c r="DT13" s="12">
        <v>5.7893776090936395</v>
      </c>
      <c r="DU13" s="12">
        <v>5.8174758122960686</v>
      </c>
      <c r="DV13" s="13">
        <v>5.7754640569512379</v>
      </c>
      <c r="DW13" s="12">
        <v>5.8457103875019349</v>
      </c>
      <c r="DX13" s="12">
        <v>5.8740819965800117</v>
      </c>
      <c r="DY13" s="12">
        <v>5.9025913046113949</v>
      </c>
      <c r="DZ13" s="12">
        <v>5.9312389799050829</v>
      </c>
      <c r="EA13" s="13">
        <v>5.8884056671496054</v>
      </c>
      <c r="EB13" s="12">
        <v>5.9600256940136536</v>
      </c>
      <c r="EC13" s="12">
        <v>5.9889521217490032</v>
      </c>
      <c r="ED13" s="12">
        <v>6.0180189411981608</v>
      </c>
      <c r="EE13" s="12">
        <v>6.0472268337391917</v>
      </c>
      <c r="EF13" s="13">
        <v>6.0035558976750023</v>
      </c>
    </row>
    <row r="14" spans="1:136">
      <c r="A14" s="484" t="s">
        <v>65</v>
      </c>
      <c r="B14" s="10">
        <v>-1.4941498287474042E-3</v>
      </c>
      <c r="C14" s="10">
        <v>5.1556241079239395E-2</v>
      </c>
      <c r="D14" s="10">
        <v>-2.2407093207815754E-2</v>
      </c>
      <c r="E14" s="10">
        <v>-6.4238366103820499E-2</v>
      </c>
      <c r="F14" s="11">
        <v>-4.9497284742036962E-2</v>
      </c>
      <c r="G14" s="10">
        <v>-4.3268597958622035E-2</v>
      </c>
      <c r="H14" s="10">
        <v>-6.8788693640172482E-2</v>
      </c>
      <c r="I14" s="10">
        <v>-5.6006984084346345E-2</v>
      </c>
      <c r="J14" s="10">
        <v>-3.9226008394394163E-2</v>
      </c>
      <c r="K14" s="11">
        <v>-0.16771666998946211</v>
      </c>
      <c r="L14" s="10">
        <v>-2.44343087311929E-2</v>
      </c>
      <c r="M14" s="10">
        <v>-4.8726433710800654E-3</v>
      </c>
      <c r="N14" s="10">
        <v>-6.3761306954253083E-3</v>
      </c>
      <c r="O14" s="10">
        <v>-8.8733324122259871E-3</v>
      </c>
      <c r="P14" s="11">
        <v>-0.10638450772184238</v>
      </c>
      <c r="Q14" s="10">
        <v>-2.0546459937114014E-2</v>
      </c>
      <c r="R14" s="10">
        <v>-5.9769587804125779E-2</v>
      </c>
      <c r="S14" s="10">
        <v>-3.3151122697838598E-2</v>
      </c>
      <c r="T14" s="10">
        <v>-6.8105907730847015E-2</v>
      </c>
      <c r="U14" s="11">
        <v>-0.10489784977119132</v>
      </c>
      <c r="V14" s="10">
        <v>-2.7497246541843157E-2</v>
      </c>
      <c r="W14" s="10">
        <v>-4.6318335380835296E-2</v>
      </c>
      <c r="X14" s="10">
        <v>7.0446631644627278E-3</v>
      </c>
      <c r="Y14" s="10">
        <v>0.36581855975056454</v>
      </c>
      <c r="Z14" s="11">
        <v>-5.8160154871279124E-2</v>
      </c>
      <c r="AA14" s="10">
        <v>1.4677476000936496E-2</v>
      </c>
      <c r="AB14" s="10">
        <v>-0.10232336780166984</v>
      </c>
      <c r="AC14" s="10">
        <v>-0.1006683375104428</v>
      </c>
      <c r="AD14" s="10">
        <v>-6.8366143842223837E-2</v>
      </c>
      <c r="AE14" s="11">
        <v>8.8867489143666933E-2</v>
      </c>
      <c r="AF14" s="10">
        <v>-4.4340070455626712E-2</v>
      </c>
      <c r="AG14" s="10">
        <v>-6.9528229794377783E-3</v>
      </c>
      <c r="AH14" s="10">
        <v>-7.0015031917195492E-3</v>
      </c>
      <c r="AI14" s="10">
        <v>-7.0508698796868385E-3</v>
      </c>
      <c r="AJ14" s="11">
        <v>-0.15792684502872834</v>
      </c>
      <c r="AK14" s="10">
        <v>-2.7139754068807642E-2</v>
      </c>
      <c r="AL14" s="10">
        <v>-4.2883200201270011E-2</v>
      </c>
      <c r="AM14" s="10">
        <v>2.572710077214091E-2</v>
      </c>
      <c r="AN14" s="10">
        <v>0.10176661667581532</v>
      </c>
      <c r="AO14" s="11">
        <v>-4.8144148240777618E-2</v>
      </c>
      <c r="AP14" s="10">
        <v>-1.893505808289464E-2</v>
      </c>
      <c r="AQ14" s="10">
        <v>0.10996952445222985</v>
      </c>
      <c r="AR14" s="10">
        <v>3.2903784444557438E-2</v>
      </c>
      <c r="AS14" s="10">
        <v>1.5829182898565053E-2</v>
      </c>
      <c r="AT14" s="11">
        <v>0.16744107571767919</v>
      </c>
      <c r="AU14" s="10">
        <v>-3.1197411003236142E-2</v>
      </c>
      <c r="AV14" s="10">
        <v>3.7212720470336746E-2</v>
      </c>
      <c r="AW14" s="10">
        <v>0.10545893719806743</v>
      </c>
      <c r="AX14" s="10">
        <v>-5.15666652099811E-3</v>
      </c>
      <c r="AY14" s="11">
        <v>0.10365055600301387</v>
      </c>
      <c r="AZ14" s="10">
        <v>3.8434654659931233E-2</v>
      </c>
      <c r="BA14" s="10">
        <v>-4.0255778638242923E-2</v>
      </c>
      <c r="BB14" s="10">
        <v>2.6960140231438112E-2</v>
      </c>
      <c r="BC14" s="10">
        <v>2.1459227467811148E-2</v>
      </c>
      <c r="BD14" s="11">
        <v>8.2531994532199837E-2</v>
      </c>
      <c r="BE14" s="10">
        <v>0.20550420168067229</v>
      </c>
      <c r="BF14" s="10">
        <v>7.0335645324317797E-2</v>
      </c>
      <c r="BG14" s="10">
        <v>0.15272395714611342</v>
      </c>
      <c r="BH14" s="10">
        <v>8.6782112489053542E-2</v>
      </c>
      <c r="BI14" s="11">
        <v>0.42644168759801504</v>
      </c>
      <c r="BJ14" s="10">
        <v>-4.3578285940541805E-2</v>
      </c>
      <c r="BK14" s="10">
        <v>-8.0202198173724648E-2</v>
      </c>
      <c r="BL14" s="10">
        <v>-4.6197940520336322E-2</v>
      </c>
      <c r="BM14" s="10">
        <v>7.6363073110286006E-3</v>
      </c>
      <c r="BN14" s="11">
        <v>1.6316498548671454E-2</v>
      </c>
      <c r="BO14" s="10">
        <v>-7.1019015264476293E-3</v>
      </c>
      <c r="BP14" s="10">
        <v>-2.1535508042916152E-2</v>
      </c>
      <c r="BQ14" s="10">
        <v>1.7405063291139111E-2</v>
      </c>
      <c r="BR14" s="10">
        <v>2.9237947122861652E-2</v>
      </c>
      <c r="BS14" s="11">
        <v>-4.6579962809024655E-2</v>
      </c>
      <c r="BT14" s="10">
        <v>2.7107185862911498E-2</v>
      </c>
      <c r="BU14" s="10">
        <v>8.2602008504478297E-2</v>
      </c>
      <c r="BV14" s="10">
        <v>9.4726725722881655E-2</v>
      </c>
      <c r="BW14" s="10">
        <v>3.0789979261294231E-3</v>
      </c>
      <c r="BX14" s="11">
        <v>0.14434063444986078</v>
      </c>
      <c r="BY14" s="10">
        <v>3.0789979261294231E-3</v>
      </c>
      <c r="BZ14" s="10">
        <v>3.0789979261294231E-3</v>
      </c>
      <c r="CA14" s="10">
        <v>3.0789979261294231E-3</v>
      </c>
      <c r="CB14" s="10">
        <v>3.0789979261294231E-3</v>
      </c>
      <c r="CC14" s="11">
        <v>6.2076650484794049E-2</v>
      </c>
      <c r="CD14" s="10">
        <v>3.0789979261294231E-3</v>
      </c>
      <c r="CE14" s="10">
        <v>3.0789979261294231E-3</v>
      </c>
      <c r="CF14" s="10">
        <v>3.0789979261294231E-3</v>
      </c>
      <c r="CG14" s="10">
        <v>3.0789979261294231E-3</v>
      </c>
      <c r="CH14" s="11">
        <v>0.24583935309337335</v>
      </c>
      <c r="CI14" s="10">
        <v>3.0789979261294231E-3</v>
      </c>
      <c r="CJ14" s="10">
        <v>3.0789979261294231E-3</v>
      </c>
      <c r="CK14" s="10">
        <v>3.0789979261294231E-3</v>
      </c>
      <c r="CL14" s="10">
        <v>3.0789979261294231E-3</v>
      </c>
      <c r="CM14" s="11">
        <v>1.2050931912966245E-2</v>
      </c>
      <c r="CN14" s="10">
        <v>3.0789979261294231E-3</v>
      </c>
      <c r="CO14" s="10">
        <v>3.0789979261294231E-3</v>
      </c>
      <c r="CP14" s="10">
        <v>3.0789979261294231E-3</v>
      </c>
      <c r="CQ14" s="10">
        <v>3.0789979261294231E-3</v>
      </c>
      <c r="CR14" s="11">
        <v>0.1488635810666874</v>
      </c>
      <c r="CS14" s="10">
        <v>3.0789979261294231E-3</v>
      </c>
      <c r="CT14" s="10">
        <v>3.0789979261294231E-3</v>
      </c>
      <c r="CU14" s="10">
        <v>3.0789979261294231E-3</v>
      </c>
      <c r="CV14" s="10">
        <v>3.0789979261294231E-3</v>
      </c>
      <c r="CW14" s="11">
        <v>-7.0252570360456623E-2</v>
      </c>
      <c r="CX14" s="10">
        <v>3.0789979261294231E-3</v>
      </c>
      <c r="CY14" s="10">
        <v>3.0789979261294231E-3</v>
      </c>
      <c r="CZ14" s="10">
        <v>3.0789979261294231E-3</v>
      </c>
      <c r="DA14" s="10">
        <v>3.0789979261294231E-3</v>
      </c>
      <c r="DB14" s="11">
        <v>-6.9280557025718559E-2</v>
      </c>
      <c r="DC14" s="10">
        <v>3.0789979261294231E-3</v>
      </c>
      <c r="DD14" s="10">
        <v>3.0789979261294231E-3</v>
      </c>
      <c r="DE14" s="10">
        <v>3.0789979261294231E-3</v>
      </c>
      <c r="DF14" s="10">
        <v>3.0789979261294231E-3</v>
      </c>
      <c r="DG14" s="11">
        <v>0.1772113755077187</v>
      </c>
      <c r="DH14" s="10">
        <v>3.0789979261294231E-3</v>
      </c>
      <c r="DI14" s="10">
        <v>3.0789979261294231E-3</v>
      </c>
      <c r="DJ14" s="10">
        <v>3.0789979261294231E-3</v>
      </c>
      <c r="DK14" s="10">
        <v>3.0789979261294231E-3</v>
      </c>
      <c r="DL14" s="11">
        <v>-4.0384454705720718E-2</v>
      </c>
      <c r="DM14" s="10">
        <v>3.0789979261294231E-3</v>
      </c>
      <c r="DN14" s="10">
        <v>3.0789979261294231E-3</v>
      </c>
      <c r="DO14" s="10">
        <v>3.0789979261294231E-3</v>
      </c>
      <c r="DP14" s="10">
        <v>3.0789979261294231E-3</v>
      </c>
      <c r="DQ14" s="11">
        <v>1.9555417380259454E-2</v>
      </c>
      <c r="DR14" s="10">
        <v>3.0789979261294231E-3</v>
      </c>
      <c r="DS14" s="10">
        <v>3.0789979261294231E-3</v>
      </c>
      <c r="DT14" s="10">
        <v>3.0789979261294231E-3</v>
      </c>
      <c r="DU14" s="10">
        <v>3.0789979261294231E-3</v>
      </c>
      <c r="DV14" s="11">
        <v>1.9555417380259454E-2</v>
      </c>
      <c r="DW14" s="10">
        <v>3.0789979261294231E-3</v>
      </c>
      <c r="DX14" s="10">
        <v>3.0789979261294231E-3</v>
      </c>
      <c r="DY14" s="10">
        <v>3.0789979261294231E-3</v>
      </c>
      <c r="DZ14" s="10">
        <v>3.0789979261294231E-3</v>
      </c>
      <c r="EA14" s="11">
        <v>1.9555417380259454E-2</v>
      </c>
      <c r="EB14" s="10">
        <v>3.0789979261294231E-3</v>
      </c>
      <c r="EC14" s="10">
        <v>3.0789979261294231E-3</v>
      </c>
      <c r="ED14" s="10">
        <v>3.0789979261294231E-3</v>
      </c>
      <c r="EE14" s="10">
        <v>3.0789979261294231E-3</v>
      </c>
      <c r="EF14" s="11">
        <v>1.9555417380259676E-2</v>
      </c>
    </row>
    <row r="15" spans="1:136">
      <c r="A15" s="484" t="s">
        <v>77</v>
      </c>
      <c r="B15" s="10">
        <v>2.7238816135999988E-2</v>
      </c>
      <c r="C15" s="10">
        <v>3.9508457438000244E-2</v>
      </c>
      <c r="D15" s="10">
        <v>3.253549275799994E-2</v>
      </c>
      <c r="E15" s="10">
        <v>1.9621756652000055E-2</v>
      </c>
      <c r="F15" s="11">
        <v>0.12419987276349853</v>
      </c>
      <c r="G15" s="10">
        <v>1.5470449449999757E-2</v>
      </c>
      <c r="H15" s="10">
        <v>1.9530032479999626E-3</v>
      </c>
      <c r="I15" s="10">
        <v>-1.5125547129999806E-2</v>
      </c>
      <c r="J15" s="10">
        <v>9.9229976000001496E-3</v>
      </c>
      <c r="K15" s="11">
        <v>1.2007603039307924E-2</v>
      </c>
      <c r="L15" s="10">
        <v>6.9795278840001362E-3</v>
      </c>
      <c r="M15" s="10">
        <v>7.0809202999999599E-3</v>
      </c>
      <c r="N15" s="10">
        <v>8.422629313999952E-3</v>
      </c>
      <c r="O15" s="10">
        <v>1.5474402800000231E-2</v>
      </c>
      <c r="P15" s="11">
        <v>3.8476259957920922E-2</v>
      </c>
      <c r="Q15" s="10">
        <v>1.1139725899999675E-2</v>
      </c>
      <c r="R15" s="10">
        <v>3.40224041599968E-3</v>
      </c>
      <c r="S15" s="10">
        <v>2.5690333975999735E-2</v>
      </c>
      <c r="T15" s="10">
        <v>3.5379965119999968E-2</v>
      </c>
      <c r="U15" s="11">
        <v>7.7462737333541476E-2</v>
      </c>
      <c r="V15" s="10">
        <v>2.3778077498000094E-2</v>
      </c>
      <c r="W15" s="10">
        <v>4.336868958200002E-2</v>
      </c>
      <c r="X15" s="10">
        <v>1.5459458048000085E-2</v>
      </c>
      <c r="Y15" s="10">
        <v>1.2319511587999932E-2</v>
      </c>
      <c r="Z15" s="11">
        <v>9.805431279728416E-2</v>
      </c>
      <c r="AA15" s="10">
        <v>-9.1980353439999885E-3</v>
      </c>
      <c r="AB15" s="10">
        <v>-3.1967510500000573E-3</v>
      </c>
      <c r="AC15" s="10">
        <v>-3.7176349840001288E-3</v>
      </c>
      <c r="AD15" s="10">
        <v>-1.1034013000001952E-3</v>
      </c>
      <c r="AE15" s="11">
        <v>-1.7122753570905869E-2</v>
      </c>
      <c r="AF15" s="10">
        <v>2.7745178796000136E-2</v>
      </c>
      <c r="AG15" s="10">
        <v>2.835900885500009E-2</v>
      </c>
      <c r="AH15" s="10">
        <v>2.0817482825000067E-2</v>
      </c>
      <c r="AI15" s="10">
        <v>3.1817200504999699E-2</v>
      </c>
      <c r="AJ15" s="11">
        <v>0.113</v>
      </c>
      <c r="AK15" s="10">
        <v>2.4312626443201424E-2</v>
      </c>
      <c r="AL15" s="10">
        <v>6.9680367870716964E-3</v>
      </c>
      <c r="AM15" s="10">
        <v>9.7144444229142479E-3</v>
      </c>
      <c r="AN15" s="10">
        <v>9.1198891198891463E-3</v>
      </c>
      <c r="AO15" s="11">
        <v>5.0968130206239914E-2</v>
      </c>
      <c r="AP15" s="10">
        <v>6.1573960596046362E-3</v>
      </c>
      <c r="AQ15" s="10">
        <v>2.5570914344997364E-2</v>
      </c>
      <c r="AR15" s="10">
        <v>3.7862168714000166E-2</v>
      </c>
      <c r="AS15" s="10">
        <v>6.6992595919999065E-3</v>
      </c>
      <c r="AT15" s="11">
        <v>7.8200000000000006E-2</v>
      </c>
      <c r="AU15" s="10">
        <v>8.3999999999999995E-3</v>
      </c>
      <c r="AV15" s="10">
        <v>9.0000000000000011E-3</v>
      </c>
      <c r="AW15" s="10">
        <v>1.9199999999999998E-2</v>
      </c>
      <c r="AX15" s="10">
        <v>1.7600000000000001E-2</v>
      </c>
      <c r="AY15" s="11">
        <v>5.5E-2</v>
      </c>
      <c r="AZ15" s="10">
        <v>2.5462164607999771E-2</v>
      </c>
      <c r="BA15" s="10">
        <v>0</v>
      </c>
      <c r="BB15" s="10">
        <v>1.3999999999999999E-2</v>
      </c>
      <c r="BC15" s="10">
        <v>1.2E-2</v>
      </c>
      <c r="BD15" s="11">
        <v>3.6900000000000002E-2</v>
      </c>
      <c r="BE15" s="10">
        <v>2.0221661095999988E-2</v>
      </c>
      <c r="BF15" s="10">
        <v>2.2654151398999955E-2</v>
      </c>
      <c r="BG15" s="10">
        <v>1.9311653539999973E-2</v>
      </c>
      <c r="BH15" s="10">
        <v>3.9455777671999925E-2</v>
      </c>
      <c r="BI15" s="11">
        <v>0.107</v>
      </c>
      <c r="BJ15" s="10">
        <v>2.9665631624325117E-2</v>
      </c>
      <c r="BK15" s="10">
        <v>2.8562254760769124E-2</v>
      </c>
      <c r="BL15" s="10">
        <v>5.1997257825602272E-3</v>
      </c>
      <c r="BM15" s="10">
        <v>6.7134119051168728E-3</v>
      </c>
      <c r="BN15" s="11">
        <v>7.1729082528960486E-2</v>
      </c>
      <c r="BO15" s="10">
        <v>-1.3025427170976211E-3</v>
      </c>
      <c r="BP15" s="10">
        <v>-1.3025427170976211E-3</v>
      </c>
      <c r="BQ15" s="10">
        <v>-1.3025427170976211E-3</v>
      </c>
      <c r="BR15" s="10">
        <v>-1.3025427170976211E-3</v>
      </c>
      <c r="BS15" s="11">
        <v>-5.1999999999999998E-3</v>
      </c>
      <c r="BT15" s="10">
        <v>1.8244601098569957E-2</v>
      </c>
      <c r="BU15" s="10">
        <v>1.8244601098569957E-2</v>
      </c>
      <c r="BV15" s="10">
        <v>1.8244601098569957E-2</v>
      </c>
      <c r="BW15" s="10">
        <v>1.8244601098569957E-2</v>
      </c>
      <c r="BX15" s="11">
        <v>7.4999999999999997E-2</v>
      </c>
      <c r="BY15" s="10">
        <v>1.7813112157422095E-2</v>
      </c>
      <c r="BZ15" s="10">
        <v>1.7813112157422095E-2</v>
      </c>
      <c r="CA15" s="10">
        <v>1.7813112157422095E-2</v>
      </c>
      <c r="CB15" s="10">
        <v>1.7813112157422095E-2</v>
      </c>
      <c r="CC15" s="11">
        <v>7.3178999999999994E-2</v>
      </c>
      <c r="CD15" s="10">
        <v>5.341377657257973E-2</v>
      </c>
      <c r="CE15" s="10">
        <v>5.341377657257973E-2</v>
      </c>
      <c r="CF15" s="10">
        <v>5.341377657257973E-2</v>
      </c>
      <c r="CG15" s="10">
        <v>5.341377657257973E-2</v>
      </c>
      <c r="CH15" s="11">
        <v>0.23139100000000001</v>
      </c>
      <c r="CI15" s="10">
        <v>4.1760502519797571E-2</v>
      </c>
      <c r="CJ15" s="10">
        <v>4.1760502519797571E-2</v>
      </c>
      <c r="CK15" s="10">
        <v>4.1760502519797571E-2</v>
      </c>
      <c r="CL15" s="10">
        <v>4.1760502519797571E-2</v>
      </c>
      <c r="CM15" s="11">
        <v>0.17780000000000001</v>
      </c>
      <c r="CN15" s="10">
        <v>1.3355073097137016E-2</v>
      </c>
      <c r="CO15" s="10">
        <v>1.3355073097137016E-2</v>
      </c>
      <c r="CP15" s="10">
        <v>1.3355073097137016E-2</v>
      </c>
      <c r="CQ15" s="10">
        <v>1.3355073097137016E-2</v>
      </c>
      <c r="CR15" s="11">
        <v>5.45E-2</v>
      </c>
      <c r="CS15" s="10">
        <v>-8.0466017478438845E-3</v>
      </c>
      <c r="CT15" s="10">
        <v>-8.0466017478438845E-3</v>
      </c>
      <c r="CU15" s="10">
        <v>-8.0466017478438845E-3</v>
      </c>
      <c r="CV15" s="10">
        <v>-8.0466017478438845E-3</v>
      </c>
      <c r="CW15" s="11">
        <v>-3.1800000000000002E-2</v>
      </c>
      <c r="CX15" s="10">
        <v>1.5963658044387596E-2</v>
      </c>
      <c r="CY15" s="10">
        <v>1.5963658044387596E-2</v>
      </c>
      <c r="CZ15" s="10">
        <v>1.5963658044387596E-2</v>
      </c>
      <c r="DA15" s="10">
        <v>1.5963658044387596E-2</v>
      </c>
      <c r="DB15" s="11">
        <v>6.54E-2</v>
      </c>
      <c r="DC15" s="10">
        <v>-2.6353997057481093E-3</v>
      </c>
      <c r="DD15" s="10">
        <v>-2.6353997057481093E-3</v>
      </c>
      <c r="DE15" s="10">
        <v>-2.6353997057481093E-3</v>
      </c>
      <c r="DF15" s="10">
        <v>-2.6353997057481093E-3</v>
      </c>
      <c r="DG15" s="11">
        <v>-1.0500000000000001E-2</v>
      </c>
      <c r="DH15" s="10">
        <v>1.1064990499148664E-2</v>
      </c>
      <c r="DI15" s="10">
        <v>1.1064990499148664E-2</v>
      </c>
      <c r="DJ15" s="10">
        <v>1.1064990499148664E-2</v>
      </c>
      <c r="DK15" s="10">
        <v>1.1064990499148664E-2</v>
      </c>
      <c r="DL15" s="11">
        <v>4.4999999999999998E-2</v>
      </c>
      <c r="DM15" s="10">
        <v>1.1064990499148664E-2</v>
      </c>
      <c r="DN15" s="10">
        <v>1.1064990499148664E-2</v>
      </c>
      <c r="DO15" s="10">
        <v>1.1064990499148664E-2</v>
      </c>
      <c r="DP15" s="10">
        <v>1.1064990499148664E-2</v>
      </c>
      <c r="DQ15" s="11">
        <v>4.4999999999999998E-2</v>
      </c>
      <c r="DR15" s="10">
        <v>1.1064990499148664E-2</v>
      </c>
      <c r="DS15" s="10">
        <v>1.1064990499148664E-2</v>
      </c>
      <c r="DT15" s="10">
        <v>1.1064990499148664E-2</v>
      </c>
      <c r="DU15" s="10">
        <v>1.1064990499148664E-2</v>
      </c>
      <c r="DV15" s="11">
        <v>4.4999999999999929E-2</v>
      </c>
      <c r="DW15" s="10">
        <v>1.1064990499148664E-2</v>
      </c>
      <c r="DX15" s="10">
        <v>1.1064990499148664E-2</v>
      </c>
      <c r="DY15" s="10">
        <v>1.1064990499148664E-2</v>
      </c>
      <c r="DZ15" s="10">
        <v>1.1064990499148664E-2</v>
      </c>
      <c r="EA15" s="11">
        <v>4.4999999999999929E-2</v>
      </c>
      <c r="EB15" s="10">
        <v>1.1064990499148664E-2</v>
      </c>
      <c r="EC15" s="10">
        <v>1.1064990499148664E-2</v>
      </c>
      <c r="ED15" s="10">
        <v>1.1064990499148664E-2</v>
      </c>
      <c r="EE15" s="10">
        <v>1.1064990499148664E-2</v>
      </c>
      <c r="EF15" s="11">
        <v>4.4999999999999929E-2</v>
      </c>
    </row>
    <row r="16" spans="1:136">
      <c r="A16" s="484" t="s">
        <v>61</v>
      </c>
      <c r="B16" s="10">
        <v>1.8510967891999908E-2</v>
      </c>
      <c r="C16" s="10">
        <v>1.5981483977000055E-2</v>
      </c>
      <c r="D16" s="10">
        <v>1.9415797207000152E-2</v>
      </c>
      <c r="E16" s="10">
        <v>2.0027801095999775E-2</v>
      </c>
      <c r="F16" s="11">
        <v>7.6006441380604306E-2</v>
      </c>
      <c r="G16" s="10">
        <v>1.7905798742000156E-2</v>
      </c>
      <c r="H16" s="10">
        <v>1.3439901473999871E-2</v>
      </c>
      <c r="I16" s="10">
        <v>7.7189648750000117E-3</v>
      </c>
      <c r="J16" s="10">
        <v>1.6688198500000251E-2</v>
      </c>
      <c r="K16" s="11">
        <v>5.6897333458586719E-2</v>
      </c>
      <c r="L16" s="10">
        <v>1.4367294016999876E-2</v>
      </c>
      <c r="M16" s="10">
        <v>9.9558558999968128E-4</v>
      </c>
      <c r="N16" s="10">
        <v>4.5059919949999028E-3</v>
      </c>
      <c r="O16" s="10">
        <v>1.1240999104000116E-2</v>
      </c>
      <c r="P16" s="11">
        <v>3.1417749683044116E-2</v>
      </c>
      <c r="Q16" s="10">
        <v>1.2551991632000048E-2</v>
      </c>
      <c r="R16" s="10">
        <v>8.1218595999998922E-3</v>
      </c>
      <c r="S16" s="10">
        <v>8.9240803040000483E-3</v>
      </c>
      <c r="T16" s="10">
        <v>1.4261804360000019E-2</v>
      </c>
      <c r="U16" s="11">
        <v>4.4573304332378605E-2</v>
      </c>
      <c r="V16" s="10">
        <v>1.5176027007999915E-2</v>
      </c>
      <c r="W16" s="10">
        <v>2.0942931530000042E-2</v>
      </c>
      <c r="X16" s="10">
        <v>1.0735938583999793E-2</v>
      </c>
      <c r="Y16" s="10">
        <v>1.0938925359999851E-2</v>
      </c>
      <c r="Z16" s="11">
        <v>5.9023134175254732E-2</v>
      </c>
      <c r="AA16" s="10">
        <v>1.2347052800000036E-2</v>
      </c>
      <c r="AB16" s="10">
        <v>1.3156841215999693E-2</v>
      </c>
      <c r="AC16" s="10">
        <v>6.3129686400000828E-3</v>
      </c>
      <c r="AD16" s="10">
        <v>1.0637052475999997E-2</v>
      </c>
      <c r="AE16" s="11">
        <v>4.3120283296899986E-2</v>
      </c>
      <c r="AF16" s="10">
        <v>2.0638364200000092E-2</v>
      </c>
      <c r="AG16" s="10">
        <v>1.0024510000000042E-2</v>
      </c>
      <c r="AH16" s="10">
        <v>5.0022901799999797E-3</v>
      </c>
      <c r="AI16" s="10">
        <v>2.2262182174999978E-2</v>
      </c>
      <c r="AJ16" s="11">
        <v>5.91E-2</v>
      </c>
      <c r="AK16" s="10">
        <v>2.4396959845301325E-2</v>
      </c>
      <c r="AL16" s="10">
        <v>1.3956003005626494E-2</v>
      </c>
      <c r="AM16" s="10">
        <v>1.0634041376000214E-2</v>
      </c>
      <c r="AN16" s="10">
        <v>1.4569971799999859E-2</v>
      </c>
      <c r="AO16" s="11">
        <v>6.5033527436801686E-2</v>
      </c>
      <c r="AP16" s="10">
        <v>1.2245389616685198E-2</v>
      </c>
      <c r="AQ16" s="10">
        <v>1.0828899898705835E-2</v>
      </c>
      <c r="AR16" s="10">
        <v>1.4165610491000201E-2</v>
      </c>
      <c r="AS16" s="10">
        <v>1.992E-2</v>
      </c>
      <c r="AT16" s="11">
        <v>5.8400000000000001E-2</v>
      </c>
      <c r="AU16" s="10">
        <v>1.94204625199998E-2</v>
      </c>
      <c r="AV16" s="10">
        <v>1.184432291E-2</v>
      </c>
      <c r="AW16" s="10">
        <v>6.1999999999999998E-3</v>
      </c>
      <c r="AX16" s="10">
        <v>2.0400000000000001E-2</v>
      </c>
      <c r="AY16" s="11">
        <v>5.9000000000000004E-2</v>
      </c>
      <c r="AZ16" s="10">
        <v>2.1752379140000055E-2</v>
      </c>
      <c r="BA16" s="10">
        <v>1.54E-2</v>
      </c>
      <c r="BB16" s="10">
        <v>6.6E-3</v>
      </c>
      <c r="BC16" s="10">
        <v>1.9099999999999999E-2</v>
      </c>
      <c r="BD16" s="11">
        <v>6.4100000000000004E-2</v>
      </c>
      <c r="BE16" s="10">
        <v>3.8277996896000088E-2</v>
      </c>
      <c r="BF16" s="10">
        <v>2.2567505066000138E-2</v>
      </c>
      <c r="BG16" s="10">
        <v>1.3859073656000032E-2</v>
      </c>
      <c r="BH16" s="10">
        <v>2.815929507199999E-2</v>
      </c>
      <c r="BI16" s="11">
        <v>0.107</v>
      </c>
      <c r="BJ16" s="10">
        <v>2.6208101489999747E-2</v>
      </c>
      <c r="BK16" s="10">
        <v>1.7496396530000125E-2</v>
      </c>
      <c r="BL16" s="10">
        <v>1.043057830399996E-2</v>
      </c>
      <c r="BM16" s="10">
        <v>7.4178940399998172E-3</v>
      </c>
      <c r="BN16" s="11">
        <v>6.2880550542244951E-2</v>
      </c>
      <c r="BO16" s="10">
        <v>7.294790162107212E-3</v>
      </c>
      <c r="BP16" s="10">
        <v>7.294790162107212E-3</v>
      </c>
      <c r="BQ16" s="10">
        <v>7.294790162107212E-3</v>
      </c>
      <c r="BR16" s="10">
        <v>7.294790162107212E-3</v>
      </c>
      <c r="BS16" s="11">
        <v>2.9499999999999998E-2</v>
      </c>
      <c r="BT16" s="10">
        <v>9.2459756536897864E-3</v>
      </c>
      <c r="BU16" s="10">
        <v>9.2459756536897864E-3</v>
      </c>
      <c r="BV16" s="10">
        <v>9.2459756536897864E-3</v>
      </c>
      <c r="BW16" s="10">
        <v>9.2459756536897864E-3</v>
      </c>
      <c r="BX16" s="11">
        <v>3.7499999999999999E-2</v>
      </c>
      <c r="BY16" s="10">
        <v>1.0605101824125995E-2</v>
      </c>
      <c r="BZ16" s="10">
        <v>1.0605101824125995E-2</v>
      </c>
      <c r="CA16" s="10">
        <v>1.0605101824125995E-2</v>
      </c>
      <c r="CB16" s="10">
        <v>1.0605101824125995E-2</v>
      </c>
      <c r="CC16" s="11">
        <v>4.3099999999999999E-2</v>
      </c>
      <c r="CD16" s="10">
        <v>6.6827130792792566E-3</v>
      </c>
      <c r="CE16" s="10">
        <v>6.6827130792792566E-3</v>
      </c>
      <c r="CF16" s="10">
        <v>6.6827130792792566E-3</v>
      </c>
      <c r="CG16" s="10">
        <v>6.6827130792792566E-3</v>
      </c>
      <c r="CH16" s="11">
        <v>2.7E-2</v>
      </c>
      <c r="CI16" s="10">
        <v>2.0133745770531508E-2</v>
      </c>
      <c r="CJ16" s="10">
        <v>2.0133745770531508E-2</v>
      </c>
      <c r="CK16" s="10">
        <v>2.0133745770531508E-2</v>
      </c>
      <c r="CL16" s="10">
        <v>2.0133745770531508E-2</v>
      </c>
      <c r="CM16" s="11">
        <v>8.3000000000000004E-2</v>
      </c>
      <c r="CN16" s="10">
        <v>1.4170921653638979E-2</v>
      </c>
      <c r="CO16" s="10">
        <v>1.4170921653638979E-2</v>
      </c>
      <c r="CP16" s="10">
        <v>1.4170921653638979E-2</v>
      </c>
      <c r="CQ16" s="10">
        <v>1.4170921653638979E-2</v>
      </c>
      <c r="CR16" s="11">
        <v>5.79E-2</v>
      </c>
      <c r="CS16" s="10">
        <v>1.1355123483381524E-2</v>
      </c>
      <c r="CT16" s="10">
        <v>1.1355123483381524E-2</v>
      </c>
      <c r="CU16" s="10">
        <v>1.1355123483381524E-2</v>
      </c>
      <c r="CV16" s="10">
        <v>1.1355123483381524E-2</v>
      </c>
      <c r="CW16" s="11">
        <v>4.6199999999999998E-2</v>
      </c>
      <c r="CX16" s="10">
        <v>1.1862256191908394E-2</v>
      </c>
      <c r="CY16" s="10">
        <v>1.1862256191908394E-2</v>
      </c>
      <c r="CZ16" s="10">
        <v>1.1862256191908394E-2</v>
      </c>
      <c r="DA16" s="10">
        <v>1.1862256191908394E-2</v>
      </c>
      <c r="DB16" s="11">
        <v>4.8300000000000003E-2</v>
      </c>
      <c r="DC16" s="10">
        <v>1.0483974078512981E-2</v>
      </c>
      <c r="DD16" s="10">
        <v>1.0483974078512981E-2</v>
      </c>
      <c r="DE16" s="10">
        <v>1.0483974078512981E-2</v>
      </c>
      <c r="DF16" s="10">
        <v>1.0483974078512981E-2</v>
      </c>
      <c r="DG16" s="11">
        <v>4.2599999999999999E-2</v>
      </c>
      <c r="DH16" s="10">
        <v>9.8534065489688238E-3</v>
      </c>
      <c r="DI16" s="10">
        <v>9.8534065489688238E-3</v>
      </c>
      <c r="DJ16" s="10">
        <v>9.8534065489688238E-3</v>
      </c>
      <c r="DK16" s="10">
        <v>9.8534065489688238E-3</v>
      </c>
      <c r="DL16" s="11">
        <v>0.04</v>
      </c>
      <c r="DM16" s="10">
        <v>9.8534065489688238E-3</v>
      </c>
      <c r="DN16" s="10">
        <v>9.8534065489688238E-3</v>
      </c>
      <c r="DO16" s="10">
        <v>9.8534065489688238E-3</v>
      </c>
      <c r="DP16" s="10">
        <v>9.8534065489688238E-3</v>
      </c>
      <c r="DQ16" s="11">
        <v>0.04</v>
      </c>
      <c r="DR16" s="10">
        <v>9.8534065489688238E-3</v>
      </c>
      <c r="DS16" s="10">
        <v>9.8534065489688238E-3</v>
      </c>
      <c r="DT16" s="10">
        <v>9.8534065489688238E-3</v>
      </c>
      <c r="DU16" s="10">
        <v>9.8534065489688238E-3</v>
      </c>
      <c r="DV16" s="11">
        <v>3.9999999999999591E-2</v>
      </c>
      <c r="DW16" s="10">
        <v>9.8534065489688238E-3</v>
      </c>
      <c r="DX16" s="10">
        <v>9.8534065489688238E-3</v>
      </c>
      <c r="DY16" s="10">
        <v>9.8534065489688238E-3</v>
      </c>
      <c r="DZ16" s="10">
        <v>9.8534065489688238E-3</v>
      </c>
      <c r="EA16" s="11">
        <v>3.9999999999999591E-2</v>
      </c>
      <c r="EB16" s="10">
        <v>9.8534065489688238E-3</v>
      </c>
      <c r="EC16" s="10">
        <v>9.8534065489688238E-3</v>
      </c>
      <c r="ED16" s="10">
        <v>9.8534065489688238E-3</v>
      </c>
      <c r="EE16" s="10">
        <v>9.8534065489688238E-3</v>
      </c>
      <c r="EF16" s="11">
        <v>3.9999999999999591E-2</v>
      </c>
    </row>
    <row r="17" spans="1:136">
      <c r="A17" s="484" t="s">
        <v>62</v>
      </c>
      <c r="B17" s="10">
        <v>0.1589118702203085</v>
      </c>
      <c r="C17" s="10">
        <v>0.15435041591856646</v>
      </c>
      <c r="D17" s="10">
        <v>0.16350860931365374</v>
      </c>
      <c r="E17" s="10">
        <v>0.16948770718692741</v>
      </c>
      <c r="F17" s="11">
        <v>0.16155113715083846</v>
      </c>
      <c r="G17" s="10">
        <v>0.17782540019002768</v>
      </c>
      <c r="H17" s="10">
        <v>0.19514372014816939</v>
      </c>
      <c r="I17" s="10">
        <v>0.20317558893145771</v>
      </c>
      <c r="J17" s="10">
        <v>0.18389070011910658</v>
      </c>
      <c r="K17" s="11">
        <v>0.18996836971985331</v>
      </c>
      <c r="L17" s="10">
        <v>0.17179576470155444</v>
      </c>
      <c r="M17" s="10">
        <v>0.15115658983834579</v>
      </c>
      <c r="N17" s="10">
        <v>0.14797491700421861</v>
      </c>
      <c r="O17" s="10">
        <v>0.130846630463056</v>
      </c>
      <c r="P17" s="11">
        <v>0.15035162098583843</v>
      </c>
      <c r="Q17" s="10">
        <v>0.12681932801775675</v>
      </c>
      <c r="R17" s="10">
        <v>0.12059149830921911</v>
      </c>
      <c r="S17" s="10">
        <v>0.11615637031205583</v>
      </c>
      <c r="T17" s="10">
        <v>0.10910244685866499</v>
      </c>
      <c r="U17" s="11">
        <v>0.11814874108068496</v>
      </c>
      <c r="V17" s="10">
        <v>0.10734371190714076</v>
      </c>
      <c r="W17" s="10">
        <v>0.11439214283912502</v>
      </c>
      <c r="X17" s="10">
        <v>0.13443412584298642</v>
      </c>
      <c r="Y17" s="10">
        <v>0.13938090464573571</v>
      </c>
      <c r="Z17" s="11">
        <v>0.12380814674295815</v>
      </c>
      <c r="AA17" s="10">
        <v>0.12058907849355149</v>
      </c>
      <c r="AB17" s="10">
        <v>9.8592428443922575E-2</v>
      </c>
      <c r="AC17" s="10">
        <v>8.9903740172401436E-2</v>
      </c>
      <c r="AD17" s="10">
        <v>8.6015280864330856E-2</v>
      </c>
      <c r="AE17" s="11">
        <v>9.8694034553175713E-2</v>
      </c>
      <c r="AF17" s="10">
        <v>8.7499999999999994E-2</v>
      </c>
      <c r="AG17" s="10">
        <v>9.7500000000000003E-2</v>
      </c>
      <c r="AH17" s="10">
        <v>0.1075</v>
      </c>
      <c r="AI17" s="10">
        <v>0.1075</v>
      </c>
      <c r="AJ17" s="11">
        <v>0.1</v>
      </c>
      <c r="AK17" s="10">
        <v>0.11333333333333334</v>
      </c>
      <c r="AL17" s="10">
        <v>0.12012096774193548</v>
      </c>
      <c r="AM17" s="10">
        <v>0.12280769230769231</v>
      </c>
      <c r="AN17" s="10">
        <v>0.11415384615384616</v>
      </c>
      <c r="AO17" s="11">
        <v>0.11708333333333334</v>
      </c>
      <c r="AP17" s="10">
        <v>0.10249999999999999</v>
      </c>
      <c r="AQ17" s="10">
        <v>8.6666666666666656E-2</v>
      </c>
      <c r="AR17" s="10">
        <v>7.6666666666666675E-2</v>
      </c>
      <c r="AS17" s="10">
        <v>7.2499999999999995E-2</v>
      </c>
      <c r="AT17" s="11">
        <v>8.4580000000000002E-2</v>
      </c>
      <c r="AU17" s="10">
        <v>7.2499999999999995E-2</v>
      </c>
      <c r="AV17" s="10">
        <v>7.8333333333333324E-2</v>
      </c>
      <c r="AW17" s="10">
        <v>8.8333333333333333E-2</v>
      </c>
      <c r="AX17" s="10">
        <v>9.8333333333333342E-2</v>
      </c>
      <c r="AY17" s="11">
        <v>8.4399999999999989E-2</v>
      </c>
      <c r="AZ17" s="10">
        <v>0.10666666666666666</v>
      </c>
      <c r="BA17" s="10">
        <v>0.11</v>
      </c>
      <c r="BB17" s="10">
        <v>0.11</v>
      </c>
      <c r="BC17" s="10">
        <v>0.11</v>
      </c>
      <c r="BD17" s="11">
        <v>0.11020833333333334</v>
      </c>
      <c r="BE17" s="10">
        <v>0.1225</v>
      </c>
      <c r="BF17" s="10">
        <v>0.13250000000000001</v>
      </c>
      <c r="BG17" s="10">
        <v>0.14000000000000001</v>
      </c>
      <c r="BH17" s="10">
        <v>0.14249999999999999</v>
      </c>
      <c r="BI17" s="11">
        <v>0.13583333333333333</v>
      </c>
      <c r="BJ17" s="10">
        <v>0.14249999999999999</v>
      </c>
      <c r="BK17" s="10">
        <v>0.14249999999999999</v>
      </c>
      <c r="BL17" s="10">
        <v>0.14249999999999999</v>
      </c>
      <c r="BM17" s="10">
        <v>0.14000000000000001</v>
      </c>
      <c r="BN17" s="11">
        <v>0.14000000000000001</v>
      </c>
      <c r="BO17" s="10">
        <v>0.13</v>
      </c>
      <c r="BP17" s="10">
        <v>0.11250000000000002</v>
      </c>
      <c r="BQ17" s="10">
        <v>9.5000000000000001E-2</v>
      </c>
      <c r="BR17" s="10">
        <v>7.8750000000000014E-2</v>
      </c>
      <c r="BS17" s="11">
        <v>9.5625000000000016E-2</v>
      </c>
      <c r="BT17" s="10">
        <v>6.9166666666666682E-2</v>
      </c>
      <c r="BU17" s="10">
        <v>6.7500000000000004E-2</v>
      </c>
      <c r="BV17" s="10">
        <v>6.5833333333333341E-2</v>
      </c>
      <c r="BW17" s="10">
        <v>6.5000000000000002E-2</v>
      </c>
      <c r="BX17" s="11">
        <v>6.6250000000000003E-2</v>
      </c>
      <c r="BY17" s="10">
        <v>6.25E-2</v>
      </c>
      <c r="BZ17" s="10">
        <v>5.7499999999999996E-2</v>
      </c>
      <c r="CA17" s="10">
        <v>5.2500000000000005E-2</v>
      </c>
      <c r="CB17" s="10">
        <v>4.7500000000000001E-2</v>
      </c>
      <c r="CC17" s="11">
        <v>5.2499999999999991E-2</v>
      </c>
      <c r="CD17" s="10">
        <v>4.1249999999999995E-2</v>
      </c>
      <c r="CE17" s="10">
        <v>3.3750000000000002E-2</v>
      </c>
      <c r="CF17" s="10">
        <v>2.6249999999999999E-2</v>
      </c>
      <c r="CG17" s="10">
        <v>2.2499999999999999E-2</v>
      </c>
      <c r="CH17" s="11">
        <v>2.8124999999999997E-2</v>
      </c>
      <c r="CI17" s="10">
        <v>3.1875000000000001E-2</v>
      </c>
      <c r="CJ17" s="10">
        <v>5.0624999999999996E-2</v>
      </c>
      <c r="CK17" s="10">
        <v>6.9374999999999992E-2</v>
      </c>
      <c r="CL17" s="10">
        <v>8.8125000000000009E-2</v>
      </c>
      <c r="CM17" s="11">
        <v>6.9374999999999992E-2</v>
      </c>
      <c r="CN17" s="10">
        <v>0.1075</v>
      </c>
      <c r="CO17" s="10">
        <v>0.125</v>
      </c>
      <c r="CP17" s="10">
        <v>0.13500000000000001</v>
      </c>
      <c r="CQ17" s="10">
        <v>0.13750000000000001</v>
      </c>
      <c r="CR17" s="11">
        <v>0.13125000000000001</v>
      </c>
      <c r="CS17" s="10">
        <v>0.13500000000000001</v>
      </c>
      <c r="CT17" s="10">
        <v>0.13</v>
      </c>
      <c r="CU17" s="10">
        <v>0.125</v>
      </c>
      <c r="CV17" s="10">
        <v>0.12</v>
      </c>
      <c r="CW17" s="11">
        <v>0.125</v>
      </c>
      <c r="CX17" s="10">
        <v>0.11437499999999999</v>
      </c>
      <c r="CY17" s="10">
        <v>0.108125</v>
      </c>
      <c r="CZ17" s="10">
        <v>0.10625</v>
      </c>
      <c r="DA17" s="10">
        <v>0.11499999999999999</v>
      </c>
      <c r="DB17" s="11">
        <v>0.1115625</v>
      </c>
      <c r="DC17" s="10">
        <v>0.13250000000000001</v>
      </c>
      <c r="DD17" s="10">
        <v>0.14624999999999999</v>
      </c>
      <c r="DE17" s="10">
        <v>0.15</v>
      </c>
      <c r="DF17" s="10">
        <v>0.15</v>
      </c>
      <c r="DG17" s="11">
        <v>0.14812500000000001</v>
      </c>
      <c r="DH17" s="10">
        <v>0.14750000000000002</v>
      </c>
      <c r="DI17" s="10">
        <v>0.14250000000000002</v>
      </c>
      <c r="DJ17" s="10">
        <v>0.13750000000000001</v>
      </c>
      <c r="DK17" s="10">
        <v>0.13250000000000001</v>
      </c>
      <c r="DL17" s="11">
        <v>0.13750000000000001</v>
      </c>
      <c r="DM17" s="10">
        <v>0.13</v>
      </c>
      <c r="DN17" s="10">
        <v>0.13</v>
      </c>
      <c r="DO17" s="10">
        <v>0.13</v>
      </c>
      <c r="DP17" s="10">
        <v>0.13</v>
      </c>
      <c r="DQ17" s="11">
        <v>0.13</v>
      </c>
      <c r="DR17" s="10">
        <v>0.13</v>
      </c>
      <c r="DS17" s="10">
        <v>0.13</v>
      </c>
      <c r="DT17" s="10">
        <v>0.13</v>
      </c>
      <c r="DU17" s="10">
        <v>0.13</v>
      </c>
      <c r="DV17" s="11">
        <v>0.13</v>
      </c>
      <c r="DW17" s="10">
        <v>0.13</v>
      </c>
      <c r="DX17" s="10">
        <v>0.13</v>
      </c>
      <c r="DY17" s="10">
        <v>0.13</v>
      </c>
      <c r="DZ17" s="10">
        <v>0.13</v>
      </c>
      <c r="EA17" s="11">
        <v>0.13</v>
      </c>
      <c r="EB17" s="10">
        <v>0.13</v>
      </c>
      <c r="EC17" s="10">
        <v>0.13</v>
      </c>
      <c r="ED17" s="10">
        <v>0.13</v>
      </c>
      <c r="EE17" s="10">
        <v>0.13</v>
      </c>
      <c r="EF17" s="11">
        <v>0.13</v>
      </c>
    </row>
    <row r="18" spans="1:136" s="242" customFormat="1">
      <c r="A18" s="260" t="s">
        <v>298</v>
      </c>
      <c r="B18" s="261"/>
      <c r="C18" s="261"/>
      <c r="D18" s="261"/>
      <c r="E18" s="261"/>
      <c r="F18" s="262"/>
      <c r="G18" s="261"/>
      <c r="H18" s="261"/>
      <c r="I18" s="261"/>
      <c r="J18" s="261"/>
      <c r="K18" s="262"/>
      <c r="L18" s="261"/>
      <c r="M18" s="261"/>
      <c r="N18" s="261"/>
      <c r="O18" s="261"/>
      <c r="P18" s="262"/>
      <c r="Q18" s="261"/>
      <c r="R18" s="261"/>
      <c r="S18" s="261"/>
      <c r="T18" s="261"/>
      <c r="U18" s="262">
        <f t="shared" ref="U18:Z18" si="8">U15</f>
        <v>7.7462737333541476E-2</v>
      </c>
      <c r="V18" s="261">
        <f t="shared" si="8"/>
        <v>2.3778077498000094E-2</v>
      </c>
      <c r="W18" s="261">
        <f t="shared" si="8"/>
        <v>4.336868958200002E-2</v>
      </c>
      <c r="X18" s="261">
        <f t="shared" si="8"/>
        <v>1.5459458048000085E-2</v>
      </c>
      <c r="Y18" s="261">
        <f t="shared" si="8"/>
        <v>1.2319511587999932E-2</v>
      </c>
      <c r="Z18" s="262">
        <f t="shared" si="8"/>
        <v>9.805431279728416E-2</v>
      </c>
      <c r="AA18" s="261">
        <v>7.0000000000000001E-3</v>
      </c>
      <c r="AB18" s="261">
        <v>8.0000000000000002E-3</v>
      </c>
      <c r="AC18" s="261">
        <v>1.4999999999999999E-2</v>
      </c>
      <c r="AD18" s="261">
        <v>5.0000000000000001E-3</v>
      </c>
      <c r="AE18" s="262">
        <f>AE19</f>
        <v>3.5000000000000003E-2</v>
      </c>
      <c r="AF18" s="261">
        <v>1.0336071339159147E-2</v>
      </c>
      <c r="AG18" s="261">
        <v>1.9679520460659905E-2</v>
      </c>
      <c r="AH18" s="261">
        <v>3.3810946609300618E-2</v>
      </c>
      <c r="AI18" s="261">
        <v>5.4064581990114213E-3</v>
      </c>
      <c r="AJ18" s="262">
        <f>(1+AF18)*(1+AG18)*(1+AH18)*(1+AI18)-1</f>
        <v>7.0809837746331317E-2</v>
      </c>
      <c r="AK18" s="261">
        <v>1.4508921116091367E-2</v>
      </c>
      <c r="AL18" s="261">
        <v>1.77E-2</v>
      </c>
      <c r="AM18" s="261">
        <v>3.7600000000000001E-2</v>
      </c>
      <c r="AN18" s="261">
        <v>5.0000000000000001E-3</v>
      </c>
      <c r="AO18" s="262">
        <f>(1+AK18)*(1+AL18)*(1+AM18)*(1+AN18)-1</f>
        <v>7.6642872633147396E-2</v>
      </c>
      <c r="AP18" s="261">
        <v>1.7256562165380185E-2</v>
      </c>
      <c r="AQ18" s="261">
        <v>1.5616554157031226E-2</v>
      </c>
      <c r="AR18" s="261">
        <v>3.2899999999999999E-2</v>
      </c>
      <c r="AS18" s="261">
        <v>6.8999999999999999E-3</v>
      </c>
      <c r="AT18" s="262">
        <f>(1+AP18)*(1+AQ18)*(1+AR18)*(1+AS18)-1</f>
        <v>7.4496213716175985E-2</v>
      </c>
      <c r="AU18" s="261">
        <v>1.14E-2</v>
      </c>
      <c r="AV18" s="261">
        <v>1.84E-2</v>
      </c>
      <c r="AW18" s="261">
        <v>3.5000000000000003E-2</v>
      </c>
      <c r="AX18" s="261">
        <f>AW15</f>
        <v>1.9199999999999998E-2</v>
      </c>
      <c r="AY18" s="262">
        <f>(1+AU18)*(1+AV18)*(1+AW18)*(1+AX18)-1</f>
        <v>8.6528455550720196E-2</v>
      </c>
      <c r="AZ18" s="261">
        <f>AX15</f>
        <v>1.7600000000000001E-2</v>
      </c>
      <c r="BA18" s="261">
        <f>AZ15*0.8</f>
        <v>2.0369731686399817E-2</v>
      </c>
      <c r="BB18" s="261">
        <v>0.02</v>
      </c>
      <c r="BC18" s="261">
        <f>BB15</f>
        <v>1.3999999999999999E-2</v>
      </c>
      <c r="BD18" s="262">
        <f>(1+AZ18)*(1+BA18)*(1+BB18)*(1+BC18)-1</f>
        <v>7.3922130995769164E-2</v>
      </c>
      <c r="BE18" s="261">
        <f>BC15</f>
        <v>1.2E-2</v>
      </c>
      <c r="BF18" s="261">
        <f>BE15</f>
        <v>2.0221661095999988E-2</v>
      </c>
      <c r="BG18" s="261">
        <f>BF15*1.5</f>
        <v>3.3981227098499933E-2</v>
      </c>
      <c r="BH18" s="261">
        <f>BG15</f>
        <v>1.9311653539999973E-2</v>
      </c>
      <c r="BI18" s="262">
        <f>(1+BE18)*(1+BF18)*(1+BG18)*(1+BH18)-1</f>
        <v>8.8164856718865314E-2</v>
      </c>
      <c r="BJ18" s="261">
        <f>BH15</f>
        <v>3.9455777671999925E-2</v>
      </c>
      <c r="BK18" s="261">
        <f>BJ15</f>
        <v>2.9665631624325117E-2</v>
      </c>
      <c r="BL18" s="261">
        <f>BK15*1.5</f>
        <v>4.2843382141153685E-2</v>
      </c>
      <c r="BM18" s="261">
        <f>BL15</f>
        <v>5.1997257825602272E-3</v>
      </c>
      <c r="BN18" s="262">
        <f>(1+BJ18)*(1+BK18)*(1+BL18)*(1+BM18)-1</f>
        <v>0.12195047166958695</v>
      </c>
      <c r="BO18" s="261">
        <f>BM15</f>
        <v>6.7134119051168728E-3</v>
      </c>
      <c r="BP18" s="261">
        <f>BO15</f>
        <v>-1.3025427170976211E-3</v>
      </c>
      <c r="BQ18" s="261">
        <f>BP15*1.5</f>
        <v>-1.9538140756464317E-3</v>
      </c>
      <c r="BR18" s="261">
        <f>BQ15</f>
        <v>-1.3025427170976211E-3</v>
      </c>
      <c r="BS18" s="262">
        <f>(1+BO18)*(1+BP18)*(1+BQ18)*(1+BR18)-1</f>
        <v>2.1307353183910305E-3</v>
      </c>
      <c r="BT18" s="261">
        <f>BR15</f>
        <v>-1.3025427170976211E-3</v>
      </c>
      <c r="BU18" s="261">
        <f>BT15</f>
        <v>1.8244601098569957E-2</v>
      </c>
      <c r="BV18" s="261">
        <f>BU15*1.5</f>
        <v>2.7366901647854935E-2</v>
      </c>
      <c r="BW18" s="261">
        <f>BV15</f>
        <v>1.8244601098569957E-2</v>
      </c>
      <c r="BX18" s="262">
        <f>(1+BT18)*(1+BU18)*(1+BV18)*(1+BW18)-1</f>
        <v>6.3809211046954584E-2</v>
      </c>
      <c r="BY18" s="261">
        <f>BW15</f>
        <v>1.8244601098569957E-2</v>
      </c>
      <c r="BZ18" s="261">
        <f>BY15</f>
        <v>1.7813112157422095E-2</v>
      </c>
      <c r="CA18" s="261">
        <f>BZ15*1.5</f>
        <v>2.6719668236133143E-2</v>
      </c>
      <c r="CB18" s="261">
        <f>CA15</f>
        <v>1.7813112157422095E-2</v>
      </c>
      <c r="CC18" s="262">
        <f>(1+BY18)*(1+BZ18)*(1+CA18)*(1+CB18)-1</f>
        <v>8.3028987024895029E-2</v>
      </c>
      <c r="CD18" s="261">
        <f>CB15</f>
        <v>1.7813112157422095E-2</v>
      </c>
      <c r="CE18" s="261">
        <f>CD15</f>
        <v>5.341377657257973E-2</v>
      </c>
      <c r="CF18" s="261">
        <f>CE15*1.5</f>
        <v>8.0120664858869595E-2</v>
      </c>
      <c r="CG18" s="261">
        <f>CF15</f>
        <v>5.341377657257973E-2</v>
      </c>
      <c r="CH18" s="262">
        <f>(1+CD18)*(1+CE18)*(1+CF18)*(1+CG18)-1</f>
        <v>0.21993952995460586</v>
      </c>
      <c r="CI18" s="261">
        <f>CG15</f>
        <v>5.341377657257973E-2</v>
      </c>
      <c r="CJ18" s="261">
        <f>CI15</f>
        <v>4.1760502519797571E-2</v>
      </c>
      <c r="CK18" s="261">
        <f>CJ15*1.5</f>
        <v>6.2640753779696356E-2</v>
      </c>
      <c r="CL18" s="261">
        <f>CK15</f>
        <v>4.1760502519797571E-2</v>
      </c>
      <c r="CM18" s="262">
        <f>(1+CI18)*(1+CJ18)*(1+CK18)*(1+CL18)-1</f>
        <v>0.21484602349850501</v>
      </c>
      <c r="CN18" s="261">
        <f>CL15</f>
        <v>4.1760502519797571E-2</v>
      </c>
      <c r="CO18" s="261">
        <f>CN15</f>
        <v>1.3355073097137016E-2</v>
      </c>
      <c r="CP18" s="261">
        <f>CO15*1.5</f>
        <v>2.0032609645705524E-2</v>
      </c>
      <c r="CQ18" s="261">
        <f>CP15</f>
        <v>1.3355073097137016E-2</v>
      </c>
      <c r="CR18" s="262">
        <f>(1+CN18)*(1+CO18)*(1+CP18)*(1+CQ18)-1</f>
        <v>9.1202206702599042E-2</v>
      </c>
      <c r="CS18" s="261">
        <f>CQ15</f>
        <v>1.3355073097137016E-2</v>
      </c>
      <c r="CT18" s="261">
        <f>CS15</f>
        <v>-8.0466017478438845E-3</v>
      </c>
      <c r="CU18" s="261">
        <f>CT15*1.5</f>
        <v>-1.2069902621765827E-2</v>
      </c>
      <c r="CV18" s="261">
        <f>CU15</f>
        <v>-8.0466017478438845E-3</v>
      </c>
      <c r="CW18" s="262">
        <f>(1+CS18)*(1+CT18)*(1+CU18)*(1+CV18)-1</f>
        <v>-1.4922495252635115E-2</v>
      </c>
      <c r="CX18" s="261">
        <f>CV15</f>
        <v>-8.0466017478438845E-3</v>
      </c>
      <c r="CY18" s="261">
        <f>CX15</f>
        <v>1.5963658044387596E-2</v>
      </c>
      <c r="CZ18" s="261">
        <f>CY15*1.5</f>
        <v>2.3945487066581395E-2</v>
      </c>
      <c r="DA18" s="261">
        <f>CZ15</f>
        <v>1.5963658044387596E-2</v>
      </c>
      <c r="DB18" s="262">
        <f>(1+CX18)*(1+CY18)*(1+CZ18)*(1+DA18)-1</f>
        <v>4.8393819519743086E-2</v>
      </c>
      <c r="DC18" s="261">
        <f>DA15</f>
        <v>1.5963658044387596E-2</v>
      </c>
      <c r="DD18" s="261">
        <f>DC15</f>
        <v>-2.6353997057481093E-3</v>
      </c>
      <c r="DE18" s="261">
        <f>DD15*1.5</f>
        <v>-3.953099558622164E-3</v>
      </c>
      <c r="DF18" s="261">
        <f>DE15</f>
        <v>-2.6353997057481093E-3</v>
      </c>
      <c r="DG18" s="262">
        <f>(1+DC18)*(1+DD18)*(1+DE18)*(1+DF18)-1</f>
        <v>6.6207088294265581E-3</v>
      </c>
      <c r="DH18" s="261">
        <f>DF15</f>
        <v>-2.6353997057481093E-3</v>
      </c>
      <c r="DI18" s="261">
        <f>DH15</f>
        <v>1.1064990499148664E-2</v>
      </c>
      <c r="DJ18" s="261">
        <f>DI15*1.5</f>
        <v>1.6597485748722995E-2</v>
      </c>
      <c r="DK18" s="261">
        <f>DJ15</f>
        <v>1.1064990499148664E-2</v>
      </c>
      <c r="DL18" s="262">
        <f>(1+DH18)*(1+DI18)*(1+DJ18)*(1+DK18)-1</f>
        <v>3.6480476836949549E-2</v>
      </c>
      <c r="DM18" s="261">
        <f>DK15</f>
        <v>1.1064990499148664E-2</v>
      </c>
      <c r="DN18" s="261">
        <f>DM15</f>
        <v>1.1064990499148664E-2</v>
      </c>
      <c r="DO18" s="261">
        <f>DN15*1.5</f>
        <v>1.6597485748722995E-2</v>
      </c>
      <c r="DP18" s="261">
        <f>DO15</f>
        <v>1.1064990499148664E-2</v>
      </c>
      <c r="DQ18" s="262">
        <f>(1+DM18)*(1+DN18)*(1+DO18)*(1+DP18)-1</f>
        <v>5.0718185863552367E-2</v>
      </c>
      <c r="DR18" s="261">
        <f>DP15</f>
        <v>1.1064990499148664E-2</v>
      </c>
      <c r="DS18" s="261">
        <f>DR15</f>
        <v>1.1064990499148664E-2</v>
      </c>
      <c r="DT18" s="261">
        <f>DS15*1.5</f>
        <v>1.6597485748722995E-2</v>
      </c>
      <c r="DU18" s="261">
        <f>DT15</f>
        <v>1.1064990499148664E-2</v>
      </c>
      <c r="DV18" s="262">
        <f>(1+DR18)*(1+DS18)*(1+DT18)*(1+DU18)-1</f>
        <v>5.0718185863552367E-2</v>
      </c>
      <c r="DW18" s="261">
        <f>DU15</f>
        <v>1.1064990499148664E-2</v>
      </c>
      <c r="DX18" s="261">
        <f>DW15</f>
        <v>1.1064990499148664E-2</v>
      </c>
      <c r="DY18" s="261">
        <f>DX15*1.5</f>
        <v>1.6597485748722995E-2</v>
      </c>
      <c r="DZ18" s="261">
        <f>DY15</f>
        <v>1.1064990499148664E-2</v>
      </c>
      <c r="EA18" s="262">
        <f>(1+DW18)*(1+DX18)*(1+DY18)*(1+DZ18)-1</f>
        <v>5.0718185863552367E-2</v>
      </c>
      <c r="EB18" s="261">
        <f>DZ15</f>
        <v>1.1064990499148664E-2</v>
      </c>
      <c r="EC18" s="261">
        <f>EB15</f>
        <v>1.1064990499148664E-2</v>
      </c>
      <c r="ED18" s="261">
        <f>EC15*1.5</f>
        <v>1.6597485748722995E-2</v>
      </c>
      <c r="EE18" s="261">
        <f>ED15</f>
        <v>1.1064990499148664E-2</v>
      </c>
      <c r="EF18" s="262">
        <f>(1+EB18)*(1+EC18)*(1+ED18)*(1+EE18)-1</f>
        <v>5.0718185863552367E-2</v>
      </c>
    </row>
    <row r="19" spans="1:136" collapsed="1">
      <c r="A19" s="9"/>
      <c r="B19" s="14" t="e">
        <f>#REF!+#REF!+#REF!+B15</f>
        <v>#REF!</v>
      </c>
      <c r="C19" s="14" t="e">
        <f>#REF!+#REF!+B15+C15</f>
        <v>#REF!</v>
      </c>
      <c r="D19" s="14" t="e">
        <f>#REF!+B15+C15+D15</f>
        <v>#REF!</v>
      </c>
      <c r="E19" s="14">
        <f>B15+C15+D15+E15</f>
        <v>0.11890452298400023</v>
      </c>
      <c r="F19" s="11">
        <f>F15</f>
        <v>0.12419987276349853</v>
      </c>
      <c r="G19" s="14">
        <f>C15+D15+E15+G15</f>
        <v>0.107136156298</v>
      </c>
      <c r="H19" s="14">
        <f>D15+E15+G15+H15</f>
        <v>6.9580702107999715E-2</v>
      </c>
      <c r="I19" s="14">
        <f>E15+G15+H15+I15</f>
        <v>2.1919662219999969E-2</v>
      </c>
      <c r="J19" s="14">
        <f>G15+H15+I15+J15</f>
        <v>1.2220903168000063E-2</v>
      </c>
      <c r="K19" s="11">
        <f>K15</f>
        <v>1.2007603039307924E-2</v>
      </c>
      <c r="L19" s="14">
        <f>H15+I15+J15+L15</f>
        <v>3.7299816020004428E-3</v>
      </c>
      <c r="M19" s="14">
        <f>I15+J15+L15+M15</f>
        <v>8.8578986540004401E-3</v>
      </c>
      <c r="N19" s="14">
        <f>J15+L15+M15+N15</f>
        <v>3.2406075098000198E-2</v>
      </c>
      <c r="O19" s="14">
        <f>L15+M15+N15+O15</f>
        <v>3.7957480298000279E-2</v>
      </c>
      <c r="P19" s="11">
        <f>P15</f>
        <v>3.8476259957920922E-2</v>
      </c>
      <c r="Q19" s="14">
        <f>M15+N15+O15+Q15</f>
        <v>4.2117678313999818E-2</v>
      </c>
      <c r="R19" s="14">
        <f>N15+O15+Q15+R15</f>
        <v>3.8438998429999538E-2</v>
      </c>
      <c r="S19" s="14">
        <f>O15+Q15+R15+S15</f>
        <v>5.5706703091999321E-2</v>
      </c>
      <c r="T19" s="14">
        <f>Q15+R15+S15+T15</f>
        <v>7.5612265411999058E-2</v>
      </c>
      <c r="U19" s="11">
        <f>U15</f>
        <v>7.7462737333541476E-2</v>
      </c>
      <c r="V19" s="14">
        <f>R15+S15+T15+V15</f>
        <v>8.8250617009999477E-2</v>
      </c>
      <c r="W19" s="14">
        <f>S15+T15+V15+W15</f>
        <v>0.12821706617599982</v>
      </c>
      <c r="X19" s="14">
        <f>T15+V15+W15+X15</f>
        <v>0.11798619024800017</v>
      </c>
      <c r="Y19" s="14">
        <f>V15+W15+X15+Y15</f>
        <v>9.4925736716000131E-2</v>
      </c>
      <c r="Z19" s="11">
        <f>Z15</f>
        <v>9.805431279728416E-2</v>
      </c>
      <c r="AA19" s="14">
        <f>W15+X15+Y15+AA15</f>
        <v>6.1949623874000048E-2</v>
      </c>
      <c r="AB19" s="14">
        <v>0.05</v>
      </c>
      <c r="AC19" s="14">
        <v>0.04</v>
      </c>
      <c r="AD19" s="14">
        <v>3.5000000000000003E-2</v>
      </c>
      <c r="AE19" s="262">
        <f>AD19</f>
        <v>3.5000000000000003E-2</v>
      </c>
      <c r="AF19" s="14">
        <f>AB15+AC15+AD15+AF15</f>
        <v>1.9727391461999755E-2</v>
      </c>
      <c r="AG19" s="14">
        <f>AC15+AD15+AF15+AG15</f>
        <v>5.1283151366999902E-2</v>
      </c>
      <c r="AH19" s="14">
        <f>AD15+AF15+AG15+AH15</f>
        <v>7.5818269176000097E-2</v>
      </c>
      <c r="AI19" s="14">
        <f>AF15+AG15+AH15+AI15</f>
        <v>0.10873887098099999</v>
      </c>
      <c r="AJ19" s="11">
        <f>AJ15</f>
        <v>0.113</v>
      </c>
      <c r="AK19" s="14">
        <f>AG15+AH15+AI15+AK15</f>
        <v>0.10530631862820128</v>
      </c>
      <c r="AL19" s="14">
        <f>AH15+AI15+AK15+AL15</f>
        <v>8.3915346560272885E-2</v>
      </c>
      <c r="AM19" s="14">
        <f>AI15+AK15+AL15+AM15</f>
        <v>7.2812308158187067E-2</v>
      </c>
      <c r="AN19" s="14">
        <f>AK15+AL15+AM15+AN15</f>
        <v>5.0114996773076514E-2</v>
      </c>
      <c r="AO19" s="11">
        <f>AO15</f>
        <v>5.0968130206239914E-2</v>
      </c>
      <c r="AP19" s="14">
        <f>AL15+AM15+AN15+AP15</f>
        <v>3.1959766389479727E-2</v>
      </c>
      <c r="AQ19" s="14">
        <f>AM15+AN15+AP15+AQ15</f>
        <v>5.0562643947405395E-2</v>
      </c>
      <c r="AR19" s="14">
        <f>AN15+AP15+AQ15+AR15</f>
        <v>7.8710368238491313E-2</v>
      </c>
      <c r="AS19" s="14">
        <f>AP15+AQ15+AR15+AS15</f>
        <v>7.6289738710602073E-2</v>
      </c>
      <c r="AT19" s="11">
        <f>AT15</f>
        <v>7.8200000000000006E-2</v>
      </c>
      <c r="AU19" s="14">
        <f>AQ15+AR15+AS15+AU15</f>
        <v>7.8532342650997441E-2</v>
      </c>
      <c r="AV19" s="14">
        <f>AR15+AS15+AU15+AV15</f>
        <v>6.1961428306000071E-2</v>
      </c>
      <c r="AW19" s="14">
        <f>AS15+AU15+AV15+AW15</f>
        <v>4.32992595919999E-2</v>
      </c>
      <c r="AX19" s="14">
        <f>AU15+AV15+AW15+AX15</f>
        <v>5.4199999999999998E-2</v>
      </c>
      <c r="AY19" s="11">
        <f>AY15</f>
        <v>5.5E-2</v>
      </c>
      <c r="AZ19" s="14">
        <f>AV15+AW15+AX15+AZ15</f>
        <v>7.1262164607999778E-2</v>
      </c>
      <c r="BA19" s="14">
        <f>AW15+AX15+AZ15+BA15</f>
        <v>6.226216460799977E-2</v>
      </c>
      <c r="BB19" s="14">
        <f>AX15+AZ15+BA15+BB15</f>
        <v>5.7062164607999774E-2</v>
      </c>
      <c r="BC19" s="14">
        <f>AZ15+BA15+BB15+BC15</f>
        <v>5.1462164607999766E-2</v>
      </c>
      <c r="BD19" s="11">
        <f>BD15</f>
        <v>3.6900000000000002E-2</v>
      </c>
      <c r="BE19" s="14">
        <f>BA15+BB15+BC15+BE15</f>
        <v>4.6221661095999983E-2</v>
      </c>
      <c r="BF19" s="14">
        <f>BB15+BC15+BE15+BF15</f>
        <v>6.8875812494999938E-2</v>
      </c>
      <c r="BG19" s="14">
        <f>BC15+BE15+BF15+BG15</f>
        <v>7.4187466034999913E-2</v>
      </c>
      <c r="BH19" s="14">
        <f>BE15+BF15+BG15+BH15</f>
        <v>0.10164324370699984</v>
      </c>
      <c r="BI19" s="11">
        <f>BI15</f>
        <v>0.107</v>
      </c>
      <c r="BJ19" s="14">
        <f>BF15+BG15+BH15+BJ15</f>
        <v>0.11108721423532497</v>
      </c>
      <c r="BK19" s="14">
        <f>BG15+BH15+BJ15+BK15</f>
        <v>0.11699531759709414</v>
      </c>
      <c r="BL19" s="14">
        <f>BH15+BJ15+BK15+BL15</f>
        <v>0.10288338983965439</v>
      </c>
      <c r="BM19" s="14">
        <f>BJ15+BK15+BL15+BM15</f>
        <v>7.0141024072771341E-2</v>
      </c>
      <c r="BN19" s="11">
        <f>BN15</f>
        <v>7.1729082528960486E-2</v>
      </c>
      <c r="BO19" s="14">
        <f>BK15+BL15+BM15+BO15</f>
        <v>3.9172849731348602E-2</v>
      </c>
      <c r="BP19" s="14">
        <f>BL15+BM15+BO15+BP15</f>
        <v>9.3080522534818577E-3</v>
      </c>
      <c r="BQ19" s="14">
        <f>BM15+BO15+BP15+BQ15</f>
        <v>2.8057837538240094E-3</v>
      </c>
      <c r="BR19" s="14">
        <f>BO15+BP15+BQ15+BR15</f>
        <v>-5.2101708683904846E-3</v>
      </c>
      <c r="BS19" s="11">
        <f>BS15</f>
        <v>-5.1999999999999998E-3</v>
      </c>
      <c r="BT19" s="14">
        <f>BP15+BQ15+BR15+BT15</f>
        <v>1.4336972947277093E-2</v>
      </c>
      <c r="BU19" s="14">
        <f>BQ15+BR15+BT15+BU15</f>
        <v>3.3884116762944672E-2</v>
      </c>
      <c r="BV19" s="14">
        <f>BR15+BT15+BU15+BV15</f>
        <v>5.343126057861225E-2</v>
      </c>
      <c r="BW19" s="14">
        <f>BT15+BU15+BV15+BW15</f>
        <v>7.2978404394279828E-2</v>
      </c>
      <c r="BX19" s="11">
        <f>BX15</f>
        <v>7.4999999999999997E-2</v>
      </c>
      <c r="BY19" s="14">
        <f>BU15+BV15+BW15+BY15</f>
        <v>7.2546915453131966E-2</v>
      </c>
      <c r="BZ19" s="14">
        <f>BV15+BW15+BY15+BZ15</f>
        <v>7.2115426511984104E-2</v>
      </c>
      <c r="CA19" s="14">
        <f>BW15+BY15+BZ15+CA15</f>
        <v>7.1683937570836243E-2</v>
      </c>
      <c r="CB19" s="14">
        <f>BY15+BZ15+CA15+CB15</f>
        <v>7.1252448629688381E-2</v>
      </c>
      <c r="CC19" s="11">
        <f>CC15</f>
        <v>7.3178999999999994E-2</v>
      </c>
      <c r="CD19" s="14">
        <f>BZ15+CA15+CB15+CD15</f>
        <v>0.10685311304484602</v>
      </c>
      <c r="CE19" s="14">
        <f>CA15+CB15+CD15+CE15</f>
        <v>0.14245377746000365</v>
      </c>
      <c r="CF19" s="14">
        <f>CB15+CD15+CE15+CF15</f>
        <v>0.17805444187516128</v>
      </c>
      <c r="CG19" s="14">
        <f>CD15+CE15+CF15+CG15</f>
        <v>0.21365510629031892</v>
      </c>
      <c r="CH19" s="11">
        <f>CH15</f>
        <v>0.23139100000000001</v>
      </c>
      <c r="CI19" s="14">
        <f>CE15+CF15+CG15+CI15</f>
        <v>0.20200183223753676</v>
      </c>
      <c r="CJ19" s="14">
        <f>CF15+CG15+CI15+CJ15</f>
        <v>0.1903485581847546</v>
      </c>
      <c r="CK19" s="14">
        <f>CG15+CI15+CJ15+CK15</f>
        <v>0.17869528413197244</v>
      </c>
      <c r="CL19" s="14">
        <f>CI15+CJ15+CK15+CL15</f>
        <v>0.16704201007919028</v>
      </c>
      <c r="CM19" s="11">
        <f>CM15</f>
        <v>0.17780000000000001</v>
      </c>
      <c r="CN19" s="14">
        <f>CJ15+CK15+CL15+CN15</f>
        <v>0.13863658065652973</v>
      </c>
      <c r="CO19" s="14">
        <f>CK15+CL15+CN15+CO15</f>
        <v>0.11023115123386917</v>
      </c>
      <c r="CP19" s="14">
        <f>CL15+CN15+CO15+CP15</f>
        <v>8.1825721811208618E-2</v>
      </c>
      <c r="CQ19" s="14">
        <f>CN15+CO15+CP15+CQ15</f>
        <v>5.3420292388548063E-2</v>
      </c>
      <c r="CR19" s="11">
        <f>CR15</f>
        <v>5.45E-2</v>
      </c>
      <c r="CS19" s="14">
        <f>CO15+CP15+CQ15+CS15</f>
        <v>3.2018617543567163E-2</v>
      </c>
      <c r="CT19" s="14">
        <f>CP15+CQ15+CS15+CT15</f>
        <v>1.0616942698586262E-2</v>
      </c>
      <c r="CU19" s="14">
        <f>CQ15+CS15+CT15+CU15</f>
        <v>-1.0784732146394638E-2</v>
      </c>
      <c r="CV19" s="14">
        <f>CS15+CT15+CU15+CV15</f>
        <v>-3.2186406991375538E-2</v>
      </c>
      <c r="CW19" s="11">
        <f>CW15</f>
        <v>-3.1800000000000002E-2</v>
      </c>
      <c r="CX19" s="14">
        <f>CT15+CU15+CV15+CX15</f>
        <v>-8.1761471991440571E-3</v>
      </c>
      <c r="CY19" s="14">
        <f>CU15+CV15+CX15+CY15</f>
        <v>1.5834112593087424E-2</v>
      </c>
      <c r="CZ19" s="14">
        <f>CV15+CX15+CY15+CZ15</f>
        <v>3.9844372385318905E-2</v>
      </c>
      <c r="DA19" s="14">
        <f>CX15+CY15+CZ15+DA15</f>
        <v>6.3854632177550386E-2</v>
      </c>
      <c r="DB19" s="11">
        <f>DB15</f>
        <v>6.54E-2</v>
      </c>
      <c r="DC19" s="14">
        <f>CY15+CZ15+DA15+DC15</f>
        <v>4.525557442741468E-2</v>
      </c>
      <c r="DD19" s="14">
        <f>CZ15+DA15+DC15+DD15</f>
        <v>2.6656516677278974E-2</v>
      </c>
      <c r="DE19" s="14">
        <f>DA15+DC15+DD15+DE15</f>
        <v>8.0574589271432684E-3</v>
      </c>
      <c r="DF19" s="14">
        <f>DC15+DD15+DE15+DF15</f>
        <v>-1.0541598822992437E-2</v>
      </c>
      <c r="DG19" s="11">
        <f>DG15</f>
        <v>-1.0500000000000001E-2</v>
      </c>
      <c r="DH19" s="14">
        <f>DD15+DE15+DF15+DH15</f>
        <v>3.1587913819043356E-3</v>
      </c>
      <c r="DI19" s="14">
        <f>DE15+DF15+DH15+DI15</f>
        <v>1.6859181586801109E-2</v>
      </c>
      <c r="DJ19" s="14">
        <f>DF15+DH15+DI15+DJ15</f>
        <v>3.0559571791697882E-2</v>
      </c>
      <c r="DK19" s="14">
        <f>DH15+DI15+DJ15+DK15</f>
        <v>4.4259961996594654E-2</v>
      </c>
      <c r="DL19" s="11">
        <f>DL15</f>
        <v>4.4999999999999998E-2</v>
      </c>
      <c r="DM19" s="14">
        <f>DI15+DJ15+DK15+DM15</f>
        <v>4.4259961996594654E-2</v>
      </c>
      <c r="DN19" s="14">
        <f>DJ15+DK15+DM15+DN15</f>
        <v>4.4259961996594654E-2</v>
      </c>
      <c r="DO19" s="14">
        <f>DK15+DM15+DN15+DO15</f>
        <v>4.4259961996594654E-2</v>
      </c>
      <c r="DP19" s="14">
        <f>DM15+DN15+DO15+DP15</f>
        <v>4.4259961996594654E-2</v>
      </c>
      <c r="DQ19" s="11">
        <f>DQ15</f>
        <v>4.4999999999999998E-2</v>
      </c>
      <c r="DR19" s="14">
        <f>DN15+DO15+DP15+DR15</f>
        <v>4.4259961996594654E-2</v>
      </c>
      <c r="DS19" s="14">
        <f>DO15+DP15+DR15+DS15</f>
        <v>4.4259961996594654E-2</v>
      </c>
      <c r="DT19" s="14">
        <f>DP15+DR15+DS15+DT15</f>
        <v>4.4259961996594654E-2</v>
      </c>
      <c r="DU19" s="14">
        <f>DR15+DS15+DT15+DU15</f>
        <v>4.4259961996594654E-2</v>
      </c>
      <c r="DV19" s="11">
        <f>DV15</f>
        <v>4.4999999999999929E-2</v>
      </c>
      <c r="DW19" s="14">
        <f>DS15+DT15+DU15+DW15</f>
        <v>4.4259961996594654E-2</v>
      </c>
      <c r="DX19" s="14">
        <f>DT15+DU15+DW15+DX15</f>
        <v>4.4259961996594654E-2</v>
      </c>
      <c r="DY19" s="14">
        <f>DU15+DW15+DX15+DY15</f>
        <v>4.4259961996594654E-2</v>
      </c>
      <c r="DZ19" s="14">
        <f>DW15+DX15+DY15+DZ15</f>
        <v>4.4259961996594654E-2</v>
      </c>
      <c r="EA19" s="11">
        <f>EA15</f>
        <v>4.4999999999999929E-2</v>
      </c>
      <c r="EB19" s="14">
        <f>DX15+DY15+DZ15+EB15</f>
        <v>4.4259961996594654E-2</v>
      </c>
      <c r="EC19" s="14">
        <f>DY15+DZ15+EB15+EC15</f>
        <v>4.4259961996594654E-2</v>
      </c>
      <c r="ED19" s="14">
        <f>DZ15+EB15+EC15+ED15</f>
        <v>4.4259961996594654E-2</v>
      </c>
      <c r="EE19" s="14">
        <f>EB15+EC15+ED15+EE15</f>
        <v>4.4259961996594654E-2</v>
      </c>
      <c r="EF19" s="11">
        <f>EF15</f>
        <v>4.4999999999999929E-2</v>
      </c>
    </row>
    <row r="20" spans="1:136">
      <c r="A20" s="15"/>
      <c r="B20" s="16"/>
      <c r="C20" s="16"/>
      <c r="D20" s="16"/>
      <c r="E20" s="16"/>
      <c r="F20" s="17"/>
      <c r="G20" s="16"/>
      <c r="H20" s="16"/>
      <c r="I20" s="16"/>
      <c r="J20" s="16"/>
      <c r="K20" s="17"/>
      <c r="L20" s="18"/>
      <c r="M20" s="18"/>
      <c r="N20" s="19"/>
      <c r="O20" s="15"/>
      <c r="P20" s="17"/>
      <c r="Q20" s="3"/>
      <c r="R20" s="18"/>
      <c r="S20" s="3"/>
      <c r="T20" s="3"/>
      <c r="U20" s="17"/>
      <c r="V20" s="3"/>
      <c r="W20" s="3"/>
      <c r="X20" s="3"/>
      <c r="Y20" s="3"/>
      <c r="Z20" s="17"/>
      <c r="AA20" s="3"/>
      <c r="AB20" s="3"/>
      <c r="AC20" s="3"/>
      <c r="AD20" s="3"/>
      <c r="AE20" s="17"/>
      <c r="AF20" s="3"/>
      <c r="AG20" s="3"/>
      <c r="AH20" s="3"/>
      <c r="AI20" s="3"/>
      <c r="AJ20" s="17"/>
      <c r="AK20" s="3"/>
      <c r="AL20" s="3"/>
      <c r="AM20" s="3"/>
      <c r="AN20" s="3"/>
      <c r="AO20" s="17"/>
      <c r="AP20" s="3"/>
      <c r="AQ20" s="3"/>
      <c r="AR20" s="3"/>
      <c r="AS20" s="3"/>
      <c r="AT20" s="17"/>
      <c r="AU20" s="272"/>
      <c r="AV20" s="3"/>
      <c r="AW20" s="3"/>
      <c r="AX20" s="3"/>
      <c r="AY20" s="17"/>
      <c r="AZ20" s="3"/>
      <c r="BA20" s="3"/>
      <c r="BB20" s="3"/>
      <c r="BC20" s="3"/>
      <c r="BD20" s="17"/>
      <c r="BE20" s="3"/>
      <c r="BF20" s="3"/>
      <c r="BG20" s="3"/>
      <c r="BH20" s="3"/>
      <c r="BI20" s="17"/>
      <c r="BJ20" s="3"/>
      <c r="BK20" s="3"/>
      <c r="BL20" s="3"/>
      <c r="BM20" s="3"/>
      <c r="BN20" s="17"/>
      <c r="BO20" s="3"/>
      <c r="BP20" s="3"/>
      <c r="BQ20" s="3"/>
      <c r="BR20" s="3"/>
      <c r="BS20" s="17"/>
      <c r="BT20" s="3"/>
      <c r="BU20" s="3"/>
      <c r="BV20" s="3"/>
      <c r="BW20" s="3"/>
      <c r="BX20" s="17"/>
      <c r="BY20" s="3"/>
      <c r="BZ20" s="3"/>
      <c r="CA20" s="3"/>
      <c r="CB20" s="3"/>
      <c r="CC20" s="17"/>
      <c r="CD20" s="3"/>
      <c r="CE20" s="3"/>
      <c r="CF20" s="3"/>
      <c r="CG20" s="3"/>
      <c r="CH20" s="17"/>
    </row>
    <row r="21" spans="1:136" collapsed="1">
      <c r="A21" s="9"/>
      <c r="B21" s="16"/>
      <c r="C21" s="16"/>
      <c r="D21" s="16"/>
      <c r="E21" s="16"/>
      <c r="F21" s="20"/>
      <c r="G21" s="16"/>
      <c r="H21" s="16"/>
      <c r="I21" s="16"/>
      <c r="J21" s="16"/>
      <c r="K21" s="20"/>
      <c r="L21" s="16"/>
      <c r="M21" s="16"/>
      <c r="N21" s="21"/>
      <c r="O21" s="9"/>
      <c r="P21" s="20"/>
      <c r="R21" s="22"/>
      <c r="U21" s="20"/>
      <c r="Z21" s="20"/>
      <c r="AE21" s="20"/>
      <c r="AJ21" s="20"/>
      <c r="AO21" s="20"/>
      <c r="AT21" s="20"/>
      <c r="AY21" s="20"/>
      <c r="BD21" s="20"/>
      <c r="BI21" s="20"/>
      <c r="BN21" s="20"/>
      <c r="BS21" s="20"/>
      <c r="BX21" s="20"/>
      <c r="CC21" s="20"/>
      <c r="CH21" s="20"/>
    </row>
    <row r="22" spans="1:136">
      <c r="A22" s="9"/>
      <c r="B22" s="16"/>
      <c r="C22" s="16"/>
      <c r="D22" s="16"/>
      <c r="E22" s="16"/>
      <c r="F22" s="20"/>
      <c r="G22" s="16"/>
      <c r="H22" s="16"/>
      <c r="I22" s="16"/>
      <c r="J22" s="16"/>
      <c r="K22" s="20"/>
      <c r="L22" s="16"/>
      <c r="M22" s="16"/>
      <c r="N22" s="21"/>
      <c r="O22" s="9"/>
      <c r="P22" s="20"/>
      <c r="R22" s="22"/>
      <c r="U22" s="20"/>
      <c r="Z22" s="20"/>
      <c r="AE22" s="20"/>
      <c r="AJ22" s="20"/>
      <c r="AO22" s="20"/>
      <c r="AT22" s="20"/>
      <c r="AY22" s="20"/>
      <c r="BD22" s="20"/>
      <c r="BI22" s="20"/>
      <c r="BN22" s="20"/>
      <c r="BS22" s="20"/>
      <c r="BX22" s="20"/>
      <c r="CC22" s="20"/>
      <c r="CH22" s="20"/>
    </row>
    <row r="23" spans="1:136">
      <c r="A23" s="9"/>
      <c r="B23" s="16"/>
      <c r="C23" s="16"/>
      <c r="D23" s="16"/>
      <c r="E23" s="16"/>
      <c r="F23" s="20"/>
      <c r="G23" s="16"/>
      <c r="H23" s="16"/>
      <c r="I23" s="16"/>
      <c r="J23" s="16"/>
      <c r="K23" s="20"/>
      <c r="L23" s="16"/>
      <c r="M23" s="16"/>
      <c r="N23" s="21"/>
      <c r="O23" s="9"/>
      <c r="P23" s="20"/>
      <c r="R23" s="22"/>
      <c r="U23" s="20"/>
      <c r="Z23" s="20"/>
      <c r="AE23" s="20"/>
      <c r="AJ23" s="20"/>
      <c r="AO23" s="20"/>
      <c r="AT23" s="20"/>
      <c r="AY23" s="20"/>
      <c r="BD23" s="20"/>
      <c r="BI23" s="20"/>
      <c r="BN23" s="20"/>
      <c r="BS23" s="20"/>
      <c r="BX23" s="20"/>
      <c r="CC23" s="20"/>
      <c r="CH23" s="20"/>
    </row>
    <row r="24" spans="1:136">
      <c r="A24" s="9"/>
      <c r="B24" s="16"/>
      <c r="C24" s="16"/>
      <c r="D24" s="16"/>
      <c r="E24" s="16"/>
      <c r="F24" s="20"/>
      <c r="G24" s="16"/>
      <c r="H24" s="16"/>
      <c r="I24" s="16"/>
      <c r="J24" s="16"/>
      <c r="K24" s="20"/>
      <c r="L24" s="16"/>
      <c r="M24" s="16"/>
      <c r="N24" s="21"/>
      <c r="O24" s="9"/>
      <c r="P24" s="20"/>
      <c r="R24" s="22"/>
      <c r="U24" s="20"/>
      <c r="Z24" s="20"/>
      <c r="AE24" s="20"/>
      <c r="AJ24" s="20"/>
      <c r="AO24" s="20"/>
      <c r="AT24" s="20"/>
      <c r="AY24" s="20"/>
      <c r="BD24" s="20"/>
      <c r="BI24" s="20"/>
      <c r="BN24" s="20"/>
      <c r="BS24" s="20"/>
      <c r="BX24" s="20"/>
      <c r="CC24" s="20"/>
      <c r="CH24" s="20"/>
    </row>
    <row r="25" spans="1:136">
      <c r="A25" s="9"/>
      <c r="B25" s="16"/>
      <c r="C25" s="16"/>
      <c r="D25" s="16"/>
      <c r="E25" s="16"/>
      <c r="F25" s="20"/>
      <c r="G25" s="16"/>
      <c r="H25" s="16"/>
      <c r="I25" s="16"/>
      <c r="J25" s="16"/>
      <c r="K25" s="20"/>
      <c r="L25" s="16"/>
      <c r="M25" s="16"/>
      <c r="N25" s="21"/>
      <c r="O25" s="9"/>
      <c r="P25" s="20"/>
      <c r="R25" s="22"/>
      <c r="U25" s="20"/>
      <c r="Z25" s="20"/>
      <c r="AE25" s="20"/>
      <c r="AJ25" s="20"/>
      <c r="AO25" s="20"/>
      <c r="AT25" s="20"/>
      <c r="AY25" s="20"/>
      <c r="BD25" s="20"/>
      <c r="BI25" s="20"/>
      <c r="BN25" s="20"/>
      <c r="BS25" s="20"/>
      <c r="BX25" s="20"/>
      <c r="CC25" s="20"/>
      <c r="CH25" s="20"/>
    </row>
    <row r="26" spans="1:136">
      <c r="A26" s="9"/>
      <c r="B26" s="16"/>
      <c r="C26" s="16"/>
      <c r="D26" s="16"/>
      <c r="E26" s="16"/>
      <c r="F26" s="20"/>
      <c r="G26" s="16"/>
      <c r="H26" s="16"/>
      <c r="I26" s="16"/>
      <c r="J26" s="16"/>
      <c r="K26" s="20"/>
      <c r="L26" s="16"/>
      <c r="M26" s="16"/>
      <c r="N26" s="21"/>
      <c r="O26" s="9"/>
      <c r="P26" s="20"/>
      <c r="R26" s="22"/>
      <c r="U26" s="20"/>
      <c r="Z26" s="20"/>
      <c r="AE26" s="20"/>
      <c r="AJ26" s="20"/>
      <c r="AO26" s="20"/>
      <c r="AT26" s="20"/>
      <c r="AY26" s="20"/>
      <c r="BD26" s="20"/>
      <c r="BI26" s="20"/>
      <c r="BN26" s="20"/>
      <c r="BS26" s="20"/>
      <c r="BX26" s="20"/>
      <c r="CC26" s="20"/>
      <c r="CH26" s="20"/>
    </row>
    <row r="27" spans="1:136">
      <c r="A27" s="9"/>
      <c r="B27" s="16"/>
      <c r="C27" s="16"/>
      <c r="D27" s="16"/>
      <c r="E27" s="16"/>
      <c r="F27" s="20"/>
      <c r="G27" s="16"/>
      <c r="H27" s="16"/>
      <c r="I27" s="16"/>
      <c r="J27" s="16"/>
      <c r="K27" s="20"/>
      <c r="L27" s="16"/>
      <c r="M27" s="16"/>
      <c r="N27" s="21"/>
      <c r="O27" s="9"/>
      <c r="P27" s="20"/>
      <c r="R27" s="22"/>
      <c r="U27" s="20"/>
      <c r="Z27" s="20"/>
      <c r="AE27" s="20"/>
      <c r="AJ27" s="20"/>
      <c r="AO27" s="20"/>
      <c r="AT27" s="20"/>
      <c r="AY27" s="20"/>
      <c r="BD27" s="20"/>
      <c r="BI27" s="20"/>
      <c r="BN27" s="20"/>
      <c r="BS27" s="20"/>
      <c r="BX27" s="20"/>
      <c r="CC27" s="20"/>
      <c r="CH27" s="20"/>
    </row>
    <row r="28" spans="1:136">
      <c r="A28" s="9"/>
      <c r="B28" s="16"/>
      <c r="C28" s="16"/>
      <c r="D28" s="16"/>
      <c r="E28" s="16"/>
      <c r="F28" s="20"/>
      <c r="G28" s="16"/>
      <c r="H28" s="16"/>
      <c r="I28" s="16"/>
      <c r="J28" s="16"/>
      <c r="K28" s="20"/>
      <c r="L28" s="16"/>
      <c r="M28" s="16"/>
      <c r="N28" s="21"/>
      <c r="O28" s="9"/>
      <c r="P28" s="20"/>
      <c r="R28" s="22"/>
      <c r="U28" s="20"/>
      <c r="Z28" s="20"/>
      <c r="AE28" s="20"/>
      <c r="AJ28" s="20"/>
      <c r="AO28" s="20"/>
      <c r="AT28" s="20"/>
      <c r="AY28" s="20"/>
      <c r="BD28" s="20"/>
      <c r="BI28" s="20"/>
      <c r="BN28" s="20"/>
      <c r="BS28" s="20"/>
      <c r="BX28" s="20"/>
      <c r="CC28" s="20"/>
      <c r="CH28" s="20"/>
    </row>
    <row r="29" spans="1:136">
      <c r="A29" s="9"/>
      <c r="B29" s="16"/>
      <c r="C29" s="16"/>
      <c r="D29" s="16"/>
      <c r="E29" s="16"/>
      <c r="F29" s="20"/>
      <c r="G29" s="16"/>
      <c r="H29" s="16"/>
      <c r="I29" s="16"/>
      <c r="J29" s="16"/>
      <c r="K29" s="20"/>
      <c r="L29" s="16"/>
      <c r="M29" s="16"/>
      <c r="N29" s="21"/>
      <c r="O29" s="9"/>
      <c r="P29" s="20"/>
      <c r="R29" s="22"/>
      <c r="U29" s="20"/>
      <c r="Z29" s="20"/>
      <c r="AE29" s="20"/>
      <c r="AJ29" s="20"/>
      <c r="AO29" s="20"/>
      <c r="AT29" s="20"/>
      <c r="AY29" s="20"/>
      <c r="BD29" s="20"/>
      <c r="BI29" s="20"/>
      <c r="BN29" s="20"/>
      <c r="BS29" s="20"/>
      <c r="BX29" s="20"/>
      <c r="CC29" s="20"/>
      <c r="CH29" s="20"/>
    </row>
    <row r="30" spans="1:136">
      <c r="A30" s="9"/>
      <c r="B30" s="16"/>
      <c r="C30" s="16"/>
      <c r="D30" s="16"/>
      <c r="E30" s="16"/>
      <c r="F30" s="20"/>
      <c r="G30" s="16"/>
      <c r="H30" s="16"/>
      <c r="I30" s="16"/>
      <c r="J30" s="16"/>
      <c r="K30" s="20"/>
      <c r="L30" s="16"/>
      <c r="M30" s="16"/>
      <c r="N30" s="21"/>
      <c r="O30" s="9"/>
      <c r="P30" s="20"/>
      <c r="R30" s="22"/>
      <c r="U30" s="20"/>
      <c r="Z30" s="20"/>
      <c r="AE30" s="20"/>
      <c r="AJ30" s="20"/>
      <c r="AO30" s="20"/>
      <c r="AT30" s="20"/>
      <c r="AY30" s="20"/>
      <c r="BD30" s="20"/>
      <c r="BI30" s="20"/>
      <c r="BN30" s="20"/>
      <c r="BS30" s="20"/>
      <c r="BX30" s="20"/>
      <c r="CC30" s="20"/>
      <c r="CH30" s="20"/>
    </row>
    <row r="31" spans="1:136">
      <c r="A31" s="9"/>
      <c r="B31" s="16"/>
      <c r="C31" s="16"/>
      <c r="D31" s="16"/>
      <c r="E31" s="16"/>
      <c r="F31" s="20"/>
      <c r="G31" s="16"/>
      <c r="H31" s="16"/>
      <c r="I31" s="16"/>
      <c r="J31" s="16"/>
      <c r="K31" s="20"/>
      <c r="L31" s="16"/>
      <c r="M31" s="16"/>
      <c r="N31" s="21"/>
      <c r="O31" s="9"/>
      <c r="P31" s="20"/>
      <c r="R31" s="22"/>
      <c r="U31" s="20"/>
      <c r="Z31" s="20"/>
      <c r="AE31" s="20"/>
      <c r="AJ31" s="20"/>
      <c r="AO31" s="20"/>
      <c r="AT31" s="20"/>
      <c r="AY31" s="20"/>
      <c r="BD31" s="20"/>
      <c r="BI31" s="20"/>
      <c r="BN31" s="20"/>
      <c r="BS31" s="20"/>
      <c r="BX31" s="20"/>
      <c r="CC31" s="20"/>
      <c r="CH31" s="20"/>
    </row>
    <row r="32" spans="1:136">
      <c r="A32" s="9"/>
      <c r="B32" s="16"/>
      <c r="C32" s="16"/>
      <c r="D32" s="16"/>
      <c r="E32" s="16"/>
      <c r="F32" s="20"/>
      <c r="G32" s="16"/>
      <c r="H32" s="16"/>
      <c r="I32" s="16"/>
      <c r="J32" s="16"/>
      <c r="K32" s="20"/>
      <c r="L32" s="16"/>
      <c r="M32" s="16"/>
      <c r="N32" s="21"/>
      <c r="O32" s="9"/>
      <c r="P32" s="20"/>
      <c r="R32" s="22"/>
      <c r="U32" s="20"/>
      <c r="Z32" s="20"/>
      <c r="AE32" s="20"/>
      <c r="AJ32" s="20"/>
      <c r="AO32" s="20"/>
      <c r="AT32" s="20"/>
      <c r="AY32" s="20"/>
      <c r="BD32" s="20"/>
      <c r="BI32" s="20"/>
      <c r="BN32" s="20"/>
      <c r="BS32" s="20"/>
      <c r="BX32" s="20"/>
      <c r="CC32" s="20"/>
      <c r="CH32" s="20"/>
    </row>
    <row r="33" spans="1:86">
      <c r="A33" s="9"/>
      <c r="B33" s="16"/>
      <c r="C33" s="16"/>
      <c r="D33" s="16"/>
      <c r="E33" s="16"/>
      <c r="F33" s="20"/>
      <c r="G33" s="16"/>
      <c r="H33" s="16"/>
      <c r="I33" s="16"/>
      <c r="J33" s="16"/>
      <c r="K33" s="20"/>
      <c r="L33" s="16"/>
      <c r="M33" s="16"/>
      <c r="N33" s="21"/>
      <c r="O33" s="9"/>
      <c r="P33" s="20"/>
      <c r="R33" s="22"/>
      <c r="U33" s="20"/>
      <c r="Z33" s="20"/>
      <c r="AE33" s="20"/>
      <c r="AJ33" s="20"/>
      <c r="AO33" s="20"/>
      <c r="AT33" s="20"/>
      <c r="AY33" s="20"/>
      <c r="BD33" s="20"/>
      <c r="BI33" s="20"/>
      <c r="BN33" s="20"/>
      <c r="BS33" s="20"/>
      <c r="BX33" s="20"/>
      <c r="CC33" s="20"/>
      <c r="CH33" s="20"/>
    </row>
    <row r="34" spans="1:86">
      <c r="A34" s="15"/>
      <c r="B34" s="16"/>
      <c r="C34" s="16"/>
      <c r="D34" s="16"/>
      <c r="E34" s="16"/>
      <c r="F34" s="23"/>
      <c r="G34" s="16"/>
      <c r="H34" s="16"/>
      <c r="I34" s="16"/>
      <c r="J34" s="16"/>
      <c r="K34" s="23"/>
      <c r="L34" s="18"/>
      <c r="M34" s="18"/>
      <c r="N34" s="24"/>
      <c r="O34" s="9"/>
      <c r="P34" s="23"/>
      <c r="R34" s="25"/>
      <c r="U34" s="23"/>
      <c r="Z34" s="23"/>
      <c r="AE34" s="23"/>
      <c r="AJ34" s="23"/>
      <c r="AO34" s="23"/>
      <c r="AT34" s="23"/>
      <c r="AY34" s="23"/>
      <c r="BD34" s="23"/>
      <c r="BI34" s="23"/>
      <c r="BN34" s="23"/>
      <c r="BS34" s="23"/>
      <c r="BX34" s="23"/>
      <c r="CC34" s="23"/>
      <c r="CH34" s="23"/>
    </row>
    <row r="35" spans="1:86" s="3" customFormat="1" collapsed="1">
      <c r="A35" s="15"/>
      <c r="B35" s="18"/>
      <c r="C35" s="18"/>
      <c r="D35" s="18"/>
      <c r="E35" s="18"/>
      <c r="F35" s="17"/>
      <c r="G35" s="18"/>
      <c r="H35" s="18"/>
      <c r="I35" s="18"/>
      <c r="J35" s="18"/>
      <c r="K35" s="17"/>
      <c r="L35" s="18"/>
      <c r="M35" s="18"/>
      <c r="N35" s="19"/>
      <c r="O35" s="15"/>
      <c r="P35" s="17"/>
      <c r="R35" s="18"/>
      <c r="U35" s="17"/>
      <c r="Z35" s="17"/>
      <c r="AE35" s="17"/>
      <c r="AJ35" s="17"/>
      <c r="AO35" s="17"/>
      <c r="AT35" s="17"/>
      <c r="AY35" s="17"/>
      <c r="BD35" s="17"/>
      <c r="BI35" s="17"/>
      <c r="BN35" s="17"/>
      <c r="BS35" s="17"/>
      <c r="BX35" s="17"/>
      <c r="CC35" s="17"/>
      <c r="CH35" s="17"/>
    </row>
    <row r="36" spans="1:86">
      <c r="A36" s="9"/>
      <c r="B36" s="16"/>
      <c r="C36" s="16"/>
      <c r="D36" s="16"/>
      <c r="E36" s="16"/>
      <c r="F36" s="20"/>
      <c r="G36" s="16"/>
      <c r="H36" s="16"/>
      <c r="I36" s="16"/>
      <c r="J36" s="16"/>
      <c r="K36" s="20"/>
      <c r="L36" s="16"/>
      <c r="M36" s="16"/>
      <c r="N36" s="21"/>
      <c r="O36" s="15"/>
      <c r="P36" s="20"/>
      <c r="R36" s="22"/>
      <c r="U36" s="20"/>
      <c r="Z36" s="20"/>
      <c r="AE36" s="20"/>
      <c r="AJ36" s="20"/>
      <c r="AO36" s="20"/>
      <c r="AT36" s="20"/>
      <c r="AY36" s="20"/>
      <c r="BD36" s="20"/>
      <c r="BI36" s="20"/>
      <c r="BN36" s="20"/>
      <c r="BS36" s="20"/>
      <c r="BX36" s="20"/>
      <c r="CC36" s="20"/>
      <c r="CH36" s="20"/>
    </row>
    <row r="37" spans="1:86">
      <c r="A37" s="9"/>
      <c r="B37" s="16"/>
      <c r="C37" s="16"/>
      <c r="D37" s="16"/>
      <c r="E37" s="16"/>
      <c r="F37" s="20"/>
      <c r="G37" s="16"/>
      <c r="H37" s="16"/>
      <c r="I37" s="16"/>
      <c r="J37" s="16"/>
      <c r="K37" s="20"/>
      <c r="L37" s="16"/>
      <c r="M37" s="16"/>
      <c r="N37" s="21"/>
      <c r="O37" s="9"/>
      <c r="P37" s="20"/>
      <c r="R37" s="22"/>
      <c r="U37" s="20"/>
      <c r="Z37" s="20"/>
      <c r="AE37" s="20"/>
      <c r="AJ37" s="20"/>
      <c r="AO37" s="20"/>
      <c r="AT37" s="20"/>
      <c r="AY37" s="20"/>
      <c r="BD37" s="20"/>
      <c r="BI37" s="20"/>
      <c r="BN37" s="20"/>
      <c r="BS37" s="20"/>
      <c r="BX37" s="20"/>
      <c r="CC37" s="20"/>
      <c r="CH37" s="20"/>
    </row>
    <row r="38" spans="1:86">
      <c r="A38" s="15"/>
      <c r="B38" s="16"/>
      <c r="C38" s="16"/>
      <c r="D38" s="16"/>
      <c r="E38" s="16"/>
      <c r="F38" s="20"/>
      <c r="G38" s="16"/>
      <c r="H38" s="16"/>
      <c r="I38" s="16"/>
      <c r="J38" s="16"/>
      <c r="K38" s="20"/>
      <c r="L38" s="18"/>
      <c r="M38" s="18"/>
      <c r="N38" s="21"/>
      <c r="O38" s="9"/>
      <c r="P38" s="20"/>
      <c r="R38" s="22"/>
      <c r="U38" s="20"/>
      <c r="Z38" s="20"/>
      <c r="AE38" s="20"/>
      <c r="AJ38" s="20"/>
      <c r="AO38" s="20"/>
      <c r="AT38" s="20"/>
      <c r="AY38" s="20"/>
      <c r="BD38" s="20"/>
      <c r="BI38" s="20"/>
      <c r="BN38" s="20"/>
      <c r="BS38" s="20"/>
      <c r="BX38" s="20"/>
      <c r="CC38" s="20"/>
      <c r="CH38" s="20"/>
    </row>
    <row r="39" spans="1:86" collapsed="1">
      <c r="A39" s="15"/>
      <c r="B39" s="16"/>
      <c r="C39" s="16"/>
      <c r="D39" s="16"/>
      <c r="E39" s="16"/>
      <c r="F39" s="26"/>
      <c r="G39" s="16"/>
      <c r="H39" s="16"/>
      <c r="I39" s="16"/>
      <c r="J39" s="16"/>
      <c r="K39" s="26"/>
      <c r="L39" s="18"/>
      <c r="M39" s="18"/>
      <c r="N39" s="19"/>
      <c r="O39" s="9"/>
      <c r="P39" s="26"/>
      <c r="R39" s="16"/>
      <c r="U39" s="26"/>
      <c r="Z39" s="26"/>
      <c r="AE39" s="26"/>
      <c r="AJ39" s="26"/>
      <c r="AO39" s="26"/>
      <c r="AT39" s="26"/>
      <c r="AY39" s="26"/>
      <c r="BD39" s="26"/>
      <c r="BI39" s="26"/>
      <c r="BN39" s="26"/>
      <c r="BS39" s="26"/>
      <c r="BX39" s="26"/>
      <c r="CC39" s="26"/>
      <c r="CH39" s="26"/>
    </row>
    <row r="40" spans="1:86">
      <c r="A40" s="9"/>
      <c r="B40" s="16"/>
      <c r="C40" s="16"/>
      <c r="D40" s="16"/>
      <c r="E40" s="16"/>
      <c r="F40" s="20"/>
      <c r="G40" s="16"/>
      <c r="H40" s="16"/>
      <c r="I40" s="16"/>
      <c r="J40" s="16"/>
      <c r="K40" s="20"/>
      <c r="L40" s="16"/>
      <c r="M40" s="16"/>
      <c r="N40" s="21"/>
      <c r="O40" s="9"/>
      <c r="P40" s="20"/>
      <c r="R40" s="22"/>
      <c r="U40" s="20"/>
      <c r="Z40" s="20"/>
      <c r="AE40" s="20"/>
      <c r="AJ40" s="20"/>
      <c r="AO40" s="20"/>
      <c r="AT40" s="20"/>
      <c r="AY40" s="20"/>
      <c r="BD40" s="20"/>
      <c r="BI40" s="20"/>
      <c r="BN40" s="20"/>
      <c r="BS40" s="20"/>
      <c r="BX40" s="20"/>
      <c r="CC40" s="20"/>
      <c r="CH40" s="20"/>
    </row>
    <row r="41" spans="1:86">
      <c r="A41" s="9"/>
      <c r="B41" s="16"/>
      <c r="C41" s="16"/>
      <c r="D41" s="16"/>
      <c r="E41" s="16"/>
      <c r="F41" s="20"/>
      <c r="G41" s="16"/>
      <c r="H41" s="16"/>
      <c r="I41" s="16"/>
      <c r="J41" s="16"/>
      <c r="K41" s="20"/>
      <c r="L41" s="16"/>
      <c r="M41" s="16"/>
      <c r="N41" s="21"/>
      <c r="O41" s="15"/>
      <c r="P41" s="20"/>
      <c r="R41" s="22"/>
      <c r="U41" s="20"/>
      <c r="Z41" s="20"/>
      <c r="AE41" s="20"/>
      <c r="AJ41" s="20"/>
      <c r="AO41" s="20"/>
      <c r="AT41" s="20"/>
      <c r="AY41" s="20"/>
      <c r="BD41" s="20"/>
      <c r="BI41" s="20"/>
      <c r="BN41" s="20"/>
      <c r="BS41" s="20"/>
      <c r="BX41" s="20"/>
      <c r="CC41" s="20"/>
      <c r="CH41" s="20"/>
    </row>
    <row r="42" spans="1:86">
      <c r="A42" s="9"/>
      <c r="B42" s="16"/>
      <c r="C42" s="16"/>
      <c r="D42" s="16"/>
      <c r="E42" s="16"/>
      <c r="F42" s="26"/>
      <c r="G42" s="16"/>
      <c r="H42" s="16"/>
      <c r="I42" s="16"/>
      <c r="J42" s="16"/>
      <c r="K42" s="26"/>
      <c r="L42" s="16"/>
      <c r="M42" s="16"/>
      <c r="N42" s="21"/>
      <c r="O42" s="9"/>
      <c r="P42" s="26"/>
      <c r="R42" s="16"/>
      <c r="U42" s="26"/>
      <c r="Z42" s="26"/>
      <c r="AE42" s="26"/>
      <c r="AJ42" s="26"/>
      <c r="AO42" s="26"/>
      <c r="AT42" s="26"/>
      <c r="AY42" s="26"/>
      <c r="BD42" s="26"/>
      <c r="BI42" s="26"/>
      <c r="BN42" s="26"/>
      <c r="BS42" s="26"/>
      <c r="BX42" s="26"/>
      <c r="CC42" s="26"/>
      <c r="CH42" s="26"/>
    </row>
    <row r="43" spans="1:86" collapsed="1">
      <c r="A43" s="9"/>
      <c r="B43" s="16"/>
      <c r="C43" s="16"/>
      <c r="D43" s="16"/>
      <c r="E43" s="16"/>
      <c r="F43" s="20"/>
      <c r="G43" s="16"/>
      <c r="H43" s="16"/>
      <c r="I43" s="16"/>
      <c r="J43" s="16"/>
      <c r="K43" s="20"/>
      <c r="L43" s="16"/>
      <c r="M43" s="16"/>
      <c r="N43" s="21"/>
      <c r="O43" s="9"/>
      <c r="P43" s="20"/>
      <c r="R43" s="22"/>
      <c r="U43" s="20"/>
      <c r="Z43" s="20"/>
      <c r="AE43" s="20"/>
      <c r="AJ43" s="20"/>
      <c r="AO43" s="20"/>
      <c r="AT43" s="20"/>
      <c r="AY43" s="20"/>
      <c r="BD43" s="20"/>
      <c r="BI43" s="20"/>
      <c r="BN43" s="20"/>
      <c r="BS43" s="20"/>
      <c r="BX43" s="20"/>
      <c r="CC43" s="20"/>
      <c r="CH43" s="20"/>
    </row>
    <row r="44" spans="1:86">
      <c r="A44" s="9"/>
      <c r="B44" s="16"/>
      <c r="C44" s="16"/>
      <c r="D44" s="16"/>
      <c r="E44" s="16"/>
      <c r="F44" s="20"/>
      <c r="G44" s="16"/>
      <c r="H44" s="16"/>
      <c r="I44" s="16"/>
      <c r="J44" s="16"/>
      <c r="K44" s="20"/>
      <c r="L44" s="16"/>
      <c r="M44" s="16"/>
      <c r="N44" s="24"/>
      <c r="O44" s="9"/>
      <c r="P44" s="20"/>
      <c r="R44" s="22"/>
      <c r="U44" s="20"/>
      <c r="Z44" s="20"/>
      <c r="AE44" s="20"/>
      <c r="AJ44" s="20"/>
      <c r="AO44" s="20"/>
      <c r="AT44" s="20"/>
      <c r="AY44" s="20"/>
      <c r="BD44" s="20"/>
      <c r="BI44" s="20"/>
      <c r="BN44" s="20"/>
      <c r="BS44" s="20"/>
      <c r="BX44" s="20"/>
      <c r="CC44" s="20"/>
      <c r="CH44" s="20"/>
    </row>
    <row r="45" spans="1:86">
      <c r="A45" s="15"/>
      <c r="B45" s="16"/>
      <c r="C45" s="16"/>
      <c r="D45" s="16"/>
      <c r="E45" s="16"/>
      <c r="F45" s="23"/>
      <c r="G45" s="16"/>
      <c r="H45" s="16"/>
      <c r="I45" s="16"/>
      <c r="J45" s="16"/>
      <c r="K45" s="23"/>
      <c r="L45" s="18"/>
      <c r="M45" s="18"/>
      <c r="N45" s="21"/>
      <c r="O45" s="9"/>
      <c r="P45" s="23"/>
      <c r="R45" s="25"/>
      <c r="U45" s="23"/>
      <c r="Z45" s="23"/>
      <c r="AE45" s="23"/>
      <c r="AJ45" s="23"/>
      <c r="AO45" s="23"/>
      <c r="AT45" s="23"/>
      <c r="AY45" s="23"/>
      <c r="BD45" s="23"/>
      <c r="BI45" s="23"/>
      <c r="BN45" s="23"/>
      <c r="BS45" s="23"/>
      <c r="BX45" s="23"/>
      <c r="CC45" s="23"/>
      <c r="CH45" s="23"/>
    </row>
    <row r="46" spans="1:86">
      <c r="A46" s="15"/>
      <c r="B46" s="16"/>
      <c r="C46" s="16"/>
      <c r="D46" s="16"/>
      <c r="E46" s="16"/>
      <c r="F46" s="20"/>
      <c r="G46" s="16"/>
      <c r="H46" s="16"/>
      <c r="I46" s="16"/>
      <c r="J46" s="16"/>
      <c r="K46" s="20"/>
      <c r="L46" s="18"/>
      <c r="M46" s="18"/>
      <c r="N46" s="21"/>
      <c r="O46" s="15"/>
      <c r="P46" s="20"/>
      <c r="R46" s="22"/>
      <c r="U46" s="20"/>
      <c r="V46" s="22"/>
      <c r="W46" s="22"/>
      <c r="X46" s="22"/>
      <c r="Y46" s="22"/>
      <c r="Z46" s="20"/>
      <c r="AA46" s="22"/>
      <c r="AB46" s="22"/>
      <c r="AC46" s="22"/>
      <c r="AD46" s="22"/>
      <c r="AE46" s="20"/>
      <c r="AF46" s="22"/>
      <c r="AG46" s="22"/>
      <c r="AH46" s="22"/>
      <c r="AI46" s="22"/>
      <c r="AJ46" s="20"/>
      <c r="AK46" s="22"/>
      <c r="AL46" s="22"/>
      <c r="AM46" s="22"/>
      <c r="AN46" s="22"/>
      <c r="AO46" s="20"/>
      <c r="AP46" s="22"/>
      <c r="AQ46" s="22"/>
      <c r="AR46" s="22"/>
      <c r="AS46" s="22"/>
      <c r="AT46" s="20"/>
      <c r="AU46" s="22"/>
      <c r="AV46" s="22"/>
      <c r="AW46" s="22"/>
      <c r="AX46" s="22"/>
      <c r="AY46" s="20"/>
      <c r="AZ46" s="22"/>
      <c r="BA46" s="22"/>
      <c r="BB46" s="22"/>
      <c r="BC46" s="22"/>
      <c r="BD46" s="20"/>
      <c r="BE46" s="22"/>
      <c r="BF46" s="22"/>
      <c r="BG46" s="22"/>
      <c r="BH46" s="22"/>
      <c r="BI46" s="20"/>
      <c r="BJ46" s="22"/>
      <c r="BK46" s="22"/>
      <c r="BL46" s="22"/>
      <c r="BM46" s="22"/>
      <c r="BN46" s="20"/>
      <c r="BO46" s="22"/>
      <c r="BP46" s="22"/>
      <c r="BQ46" s="22"/>
      <c r="BR46" s="22"/>
      <c r="BS46" s="20"/>
      <c r="BT46" s="22"/>
      <c r="BU46" s="22"/>
      <c r="BV46" s="22"/>
      <c r="BW46" s="22"/>
      <c r="BX46" s="20"/>
      <c r="BY46" s="22"/>
      <c r="BZ46" s="22"/>
      <c r="CA46" s="22"/>
      <c r="CB46" s="22"/>
      <c r="CC46" s="20"/>
      <c r="CD46" s="22"/>
      <c r="CE46" s="22"/>
      <c r="CF46" s="22"/>
      <c r="CG46" s="22"/>
      <c r="CH46" s="20"/>
    </row>
    <row r="47" spans="1:86">
      <c r="A47" s="15"/>
      <c r="B47" s="18"/>
      <c r="C47" s="18"/>
      <c r="D47" s="18"/>
      <c r="E47" s="18"/>
      <c r="F47" s="20"/>
      <c r="G47" s="18"/>
      <c r="H47" s="18"/>
      <c r="I47" s="18"/>
      <c r="J47" s="18"/>
      <c r="K47" s="20"/>
      <c r="L47" s="18"/>
      <c r="M47" s="18"/>
      <c r="N47" s="21"/>
      <c r="O47" s="15"/>
      <c r="P47" s="20"/>
      <c r="R47" s="22"/>
      <c r="U47" s="20"/>
      <c r="V47" s="22"/>
      <c r="W47" s="22"/>
      <c r="X47" s="22"/>
      <c r="Y47" s="22"/>
      <c r="Z47" s="20"/>
      <c r="AA47" s="22"/>
      <c r="AB47" s="22"/>
      <c r="AC47" s="22"/>
      <c r="AD47" s="22"/>
      <c r="AE47" s="20"/>
      <c r="AF47" s="22"/>
      <c r="AG47" s="22"/>
      <c r="AH47" s="22"/>
      <c r="AI47" s="22"/>
      <c r="AJ47" s="20"/>
      <c r="AK47" s="22"/>
      <c r="AL47" s="22"/>
      <c r="AM47" s="22"/>
      <c r="AN47" s="22"/>
      <c r="AO47" s="20"/>
      <c r="AP47" s="22"/>
      <c r="AQ47" s="22"/>
      <c r="AR47" s="22"/>
      <c r="AS47" s="22"/>
      <c r="AT47" s="20"/>
      <c r="AU47" s="22"/>
      <c r="AV47" s="22"/>
      <c r="AW47" s="22"/>
      <c r="AX47" s="22"/>
      <c r="AY47" s="20"/>
      <c r="AZ47" s="22"/>
      <c r="BA47" s="22"/>
      <c r="BB47" s="22"/>
      <c r="BC47" s="22"/>
      <c r="BD47" s="20"/>
      <c r="BE47" s="22"/>
      <c r="BF47" s="22"/>
      <c r="BG47" s="22"/>
      <c r="BH47" s="22"/>
      <c r="BI47" s="20"/>
      <c r="BJ47" s="22"/>
      <c r="BK47" s="22"/>
      <c r="BL47" s="22"/>
      <c r="BM47" s="22"/>
      <c r="BN47" s="20"/>
      <c r="BO47" s="22"/>
      <c r="BP47" s="22"/>
      <c r="BQ47" s="22"/>
      <c r="BR47" s="22"/>
      <c r="BS47" s="20"/>
      <c r="BT47" s="22"/>
      <c r="BU47" s="22"/>
      <c r="BV47" s="22"/>
      <c r="BW47" s="22"/>
      <c r="BX47" s="20"/>
      <c r="BY47" s="22"/>
      <c r="BZ47" s="22"/>
      <c r="CA47" s="22"/>
      <c r="CB47" s="22"/>
      <c r="CC47" s="20"/>
      <c r="CD47" s="22"/>
      <c r="CE47" s="22"/>
      <c r="CF47" s="22"/>
      <c r="CG47" s="22"/>
      <c r="CH47" s="20"/>
    </row>
    <row r="48" spans="1:86" collapsed="1">
      <c r="A48" s="9"/>
      <c r="B48" s="16"/>
      <c r="C48" s="16"/>
      <c r="D48" s="16"/>
      <c r="E48" s="16"/>
      <c r="F48" s="20"/>
      <c r="G48" s="16"/>
      <c r="H48" s="16"/>
      <c r="I48" s="16"/>
      <c r="J48" s="16"/>
      <c r="K48" s="20"/>
      <c r="L48" s="16"/>
      <c r="M48" s="16"/>
      <c r="N48" s="21"/>
      <c r="O48" s="9"/>
      <c r="P48" s="20"/>
      <c r="R48" s="22"/>
      <c r="U48" s="20"/>
      <c r="Z48" s="20"/>
      <c r="AE48" s="20"/>
      <c r="AJ48" s="20"/>
      <c r="AO48" s="20"/>
      <c r="AT48" s="20"/>
      <c r="AY48" s="20"/>
      <c r="BD48" s="20"/>
      <c r="BI48" s="20"/>
      <c r="BN48" s="20"/>
      <c r="BS48" s="20"/>
      <c r="BX48" s="20"/>
      <c r="CC48" s="20"/>
      <c r="CH48" s="20"/>
    </row>
    <row r="49" spans="1:86">
      <c r="A49" s="9"/>
      <c r="B49" s="16"/>
      <c r="C49" s="16"/>
      <c r="D49" s="16"/>
      <c r="E49" s="16"/>
      <c r="F49" s="20"/>
      <c r="G49" s="16"/>
      <c r="H49" s="16"/>
      <c r="I49" s="16"/>
      <c r="J49" s="16"/>
      <c r="K49" s="20"/>
      <c r="L49" s="16"/>
      <c r="M49" s="16"/>
      <c r="N49" s="24"/>
      <c r="O49" s="9"/>
      <c r="P49" s="20"/>
      <c r="R49" s="22"/>
      <c r="U49" s="20"/>
      <c r="Z49" s="20"/>
      <c r="AE49" s="20"/>
      <c r="AJ49" s="20"/>
      <c r="AO49" s="20"/>
      <c r="AT49" s="20"/>
      <c r="AY49" s="20"/>
      <c r="BD49" s="20"/>
      <c r="BI49" s="20"/>
      <c r="BN49" s="20"/>
      <c r="BS49" s="20"/>
      <c r="BX49" s="20"/>
      <c r="CC49" s="20"/>
      <c r="CH49" s="20"/>
    </row>
    <row r="50" spans="1:86">
      <c r="A50" s="9"/>
      <c r="B50" s="16"/>
      <c r="C50" s="16"/>
      <c r="D50" s="16"/>
      <c r="E50" s="16"/>
      <c r="F50" s="20"/>
      <c r="G50" s="16"/>
      <c r="H50" s="16"/>
      <c r="I50" s="16"/>
      <c r="J50" s="16"/>
      <c r="K50" s="20"/>
      <c r="L50" s="16"/>
      <c r="M50" s="16"/>
      <c r="N50" s="21"/>
      <c r="O50" s="9"/>
      <c r="P50" s="20"/>
      <c r="R50" s="22"/>
      <c r="U50" s="20"/>
      <c r="Z50" s="20"/>
      <c r="AE50" s="20"/>
      <c r="AJ50" s="20"/>
      <c r="AO50" s="20"/>
      <c r="AT50" s="20"/>
      <c r="AY50" s="20"/>
      <c r="BD50" s="20"/>
      <c r="BI50" s="20"/>
      <c r="BN50" s="20"/>
      <c r="BS50" s="20"/>
      <c r="BX50" s="20"/>
      <c r="CC50" s="20"/>
      <c r="CH50" s="20"/>
    </row>
  </sheetData>
  <phoneticPr fontId="4" type="noConversion"/>
  <pageMargins left="0.75" right="0.75" top="1" bottom="1" header="0.5" footer="0.5"/>
  <pageSetup orientation="portrait" horizont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B97"/>
  <sheetViews>
    <sheetView tabSelected="1" zoomScaleNormal="100" workbookViewId="0">
      <pane xSplit="31" ySplit="3" topLeftCell="DD32" activePane="bottomRight" state="frozen"/>
      <selection pane="topRight" activeCell="AF1" sqref="AF1"/>
      <selection pane="bottomLeft" activeCell="A4" sqref="A4"/>
      <selection pane="bottomRight" activeCell="DM49" sqref="DM49"/>
    </sheetView>
  </sheetViews>
  <sheetFormatPr defaultColWidth="10.7109375" defaultRowHeight="12.75" customHeight="1" outlineLevelRow="2" outlineLevelCol="1"/>
  <cols>
    <col min="1" max="1" width="30.7109375" style="1" customWidth="1"/>
    <col min="2" max="5" width="10.7109375" style="1" hidden="1" customWidth="1" outlineLevel="1"/>
    <col min="6" max="6" width="10.7109375" style="2" hidden="1" customWidth="1" collapsed="1"/>
    <col min="7" max="10" width="10.7109375" style="1" hidden="1" customWidth="1" outlineLevel="1"/>
    <col min="11" max="11" width="10.7109375" style="2" hidden="1" customWidth="1" collapsed="1"/>
    <col min="12" max="15" width="10.7109375" style="1" hidden="1" customWidth="1" outlineLevel="1"/>
    <col min="16" max="16" width="10.7109375" style="2" hidden="1" customWidth="1" collapsed="1"/>
    <col min="17" max="20" width="10.7109375" style="1" hidden="1" customWidth="1" outlineLevel="1"/>
    <col min="21" max="21" width="10.7109375" style="2" hidden="1" customWidth="1" collapsed="1"/>
    <col min="22" max="25" width="10.7109375" style="1" hidden="1" customWidth="1" outlineLevel="1"/>
    <col min="26" max="26" width="10.7109375" style="2" hidden="1" customWidth="1" collapsed="1"/>
    <col min="27" max="30" width="10.7109375" style="1" hidden="1" customWidth="1" outlineLevel="1"/>
    <col min="31" max="31" width="10.7109375" style="2" hidden="1" customWidth="1" collapsed="1"/>
    <col min="32" max="35" width="10.7109375" style="1" hidden="1" customWidth="1" outlineLevel="1"/>
    <col min="36" max="36" width="10.7109375" style="2" customWidth="1" collapsed="1"/>
    <col min="37" max="40" width="10.7109375" style="1" hidden="1" customWidth="1" outlineLevel="1"/>
    <col min="41" max="41" width="10.7109375" style="2" customWidth="1" collapsed="1"/>
    <col min="42" max="45" width="10.7109375" style="1" hidden="1" customWidth="1" outlineLevel="1"/>
    <col min="46" max="46" width="10.7109375" style="2" customWidth="1" collapsed="1"/>
    <col min="47" max="50" width="10.7109375" style="1" hidden="1" customWidth="1" outlineLevel="1"/>
    <col min="51" max="51" width="10.7109375" style="2" customWidth="1" collapsed="1"/>
    <col min="52" max="55" width="10.7109375" style="1" hidden="1" customWidth="1" outlineLevel="1"/>
    <col min="56" max="56" width="10.7109375" style="2" customWidth="1" collapsed="1"/>
    <col min="57" max="60" width="10.7109375" style="1" hidden="1" customWidth="1" outlineLevel="1"/>
    <col min="61" max="61" width="10.7109375" style="2" customWidth="1" collapsed="1"/>
    <col min="62" max="65" width="10.7109375" style="1" hidden="1" customWidth="1" outlineLevel="1"/>
    <col min="66" max="66" width="10.7109375" style="2" customWidth="1" collapsed="1"/>
    <col min="67" max="70" width="10.7109375" style="1" hidden="1" customWidth="1" outlineLevel="1"/>
    <col min="71" max="71" width="10.7109375" style="2" customWidth="1" collapsed="1"/>
    <col min="72" max="75" width="10.7109375" style="1" hidden="1" customWidth="1" outlineLevel="1"/>
    <col min="76" max="76" width="10.7109375" style="2" customWidth="1" collapsed="1"/>
    <col min="77" max="80" width="10.7109375" style="1" hidden="1" customWidth="1" outlineLevel="1"/>
    <col min="81" max="81" width="10.7109375" style="2" customWidth="1" collapsed="1"/>
    <col min="82" max="85" width="10.7109375" style="1" hidden="1" customWidth="1" outlineLevel="1"/>
    <col min="86" max="86" width="10.7109375" style="2" customWidth="1" collapsed="1"/>
    <col min="87" max="90" width="10.7109375" style="1" hidden="1" customWidth="1" outlineLevel="1"/>
    <col min="91" max="91" width="10.7109375" style="2" customWidth="1" collapsed="1"/>
    <col min="92" max="95" width="10.7109375" style="1" hidden="1" customWidth="1" outlineLevel="1"/>
    <col min="96" max="96" width="10.7109375" style="2" customWidth="1" collapsed="1"/>
    <col min="97" max="100" width="10.7109375" style="1" hidden="1" customWidth="1" outlineLevel="1"/>
    <col min="101" max="101" width="10.7109375" style="2" customWidth="1" collapsed="1"/>
    <col min="102" max="105" width="10.7109375" style="1" customWidth="1" outlineLevel="1"/>
    <col min="106" max="106" width="10.7109375" style="2" customWidth="1"/>
    <col min="107" max="110" width="10.7109375" style="1" customWidth="1" outlineLevel="1"/>
    <col min="111" max="111" width="10.7109375" style="2" customWidth="1"/>
    <col min="112" max="115" width="10.7109375" style="1" customWidth="1" outlineLevel="1"/>
    <col min="116" max="116" width="10.7109375" style="2"/>
    <col min="117" max="120" width="10.7109375" style="1" customWidth="1" outlineLevel="1"/>
    <col min="121" max="121" width="10.7109375" style="2"/>
    <col min="122" max="125" width="10.7109375" style="1" hidden="1" customWidth="1" outlineLevel="1"/>
    <col min="126" max="126" width="10.7109375" style="2" collapsed="1"/>
    <col min="127" max="130" width="10.7109375" style="1" hidden="1" customWidth="1" outlineLevel="1"/>
    <col min="131" max="131" width="10.7109375" style="2" collapsed="1"/>
    <col min="132" max="135" width="10.7109375" style="1" hidden="1" customWidth="1" outlineLevel="1"/>
    <col min="136" max="136" width="10.7109375" style="2" collapsed="1"/>
    <col min="137" max="16384" width="10.7109375" style="1"/>
  </cols>
  <sheetData>
    <row r="1" spans="1:137" ht="30" customHeight="1">
      <c r="AF1" s="60"/>
      <c r="AG1" s="16"/>
      <c r="AH1" s="41"/>
      <c r="AI1" s="283"/>
      <c r="AK1" s="60"/>
      <c r="AL1" s="16"/>
      <c r="AM1" s="41"/>
      <c r="AN1" s="283"/>
      <c r="AP1" s="27"/>
      <c r="AQ1" s="83"/>
      <c r="AR1" s="150"/>
      <c r="AS1" s="430"/>
      <c r="AU1" s="27"/>
      <c r="AV1" s="83"/>
      <c r="AW1" s="150"/>
      <c r="AX1" s="430"/>
      <c r="AY1" s="432"/>
      <c r="AZ1" s="27"/>
      <c r="BA1" s="83"/>
      <c r="BB1" s="150"/>
      <c r="BC1" s="430"/>
      <c r="BD1" s="432"/>
      <c r="BE1" s="60"/>
      <c r="BF1" s="16"/>
      <c r="BG1" s="41"/>
      <c r="BH1" s="60">
        <f>BH14/BH5</f>
        <v>-3.1329430496452336E-2</v>
      </c>
      <c r="BI1" s="48"/>
      <c r="BJ1" s="60"/>
      <c r="BK1" s="423"/>
      <c r="BL1" s="423"/>
      <c r="BM1" s="60">
        <f>BM14/BM5</f>
        <v>-2.8155458352187433E-2</v>
      </c>
      <c r="BN1" s="48"/>
      <c r="BO1" s="60"/>
      <c r="BP1" s="423"/>
      <c r="BQ1" s="423"/>
      <c r="BR1" s="60">
        <f>BR14/BR5</f>
        <v>-2.4317109587407095E-2</v>
      </c>
      <c r="BS1" s="48"/>
      <c r="BT1" s="60"/>
      <c r="BU1" s="423"/>
      <c r="BV1" s="423"/>
      <c r="BW1" s="60">
        <f>BW14/BW5</f>
        <v>-1.4585466267577009E-2</v>
      </c>
      <c r="BX1" s="48"/>
      <c r="BY1" s="60"/>
      <c r="BZ1" s="423"/>
      <c r="CA1" s="423"/>
      <c r="CB1" s="60"/>
      <c r="CC1" s="48"/>
      <c r="CD1" s="60"/>
      <c r="CE1" s="462"/>
      <c r="CF1" s="283"/>
      <c r="CG1" s="60"/>
      <c r="CH1" s="48"/>
      <c r="CI1" s="468"/>
      <c r="CJ1" s="461"/>
      <c r="CK1" s="423"/>
      <c r="CL1" s="41"/>
      <c r="CM1" s="432"/>
      <c r="CN1" s="60"/>
      <c r="CO1" s="60"/>
      <c r="CP1" s="60"/>
      <c r="CQ1" s="283"/>
      <c r="CR1" s="432"/>
      <c r="CS1" s="464"/>
      <c r="CT1" s="16"/>
      <c r="CU1" s="283"/>
      <c r="CV1" s="283"/>
      <c r="CW1" s="432"/>
      <c r="CX1" s="60"/>
      <c r="CY1" s="16"/>
      <c r="CZ1" s="41"/>
      <c r="DA1" s="283"/>
      <c r="DB1" s="432"/>
      <c r="DC1" s="60"/>
      <c r="DD1" s="60"/>
      <c r="DE1" s="60"/>
      <c r="DF1" s="60"/>
      <c r="DG1" s="48"/>
      <c r="DH1" s="60"/>
      <c r="DI1" s="60"/>
      <c r="DJ1" s="41"/>
      <c r="DK1" s="283"/>
      <c r="DL1" s="432"/>
      <c r="DM1" s="60"/>
      <c r="DN1" s="16"/>
      <c r="DO1" s="41"/>
      <c r="DP1" s="283"/>
      <c r="DQ1" s="432"/>
      <c r="DR1" s="60"/>
      <c r="DS1" s="16"/>
      <c r="DT1" s="41"/>
      <c r="DU1" s="283"/>
      <c r="DV1" s="432"/>
      <c r="DW1" s="60"/>
      <c r="DX1" s="16"/>
      <c r="DY1" s="41"/>
      <c r="DZ1" s="283"/>
      <c r="EA1" s="432"/>
      <c r="EB1" s="60"/>
      <c r="EC1" s="16"/>
      <c r="ED1" s="41"/>
      <c r="EE1" s="283"/>
      <c r="EF1" s="432"/>
    </row>
    <row r="2" spans="1:137" ht="12.75" customHeight="1" outlineLevel="1">
      <c r="A2" s="3" t="str">
        <f ca="1">DCF!$A$2</f>
        <v>Cury - TP: R$48</v>
      </c>
      <c r="F2" s="28"/>
      <c r="K2" s="28"/>
      <c r="P2" s="28"/>
      <c r="U2" s="28"/>
      <c r="Z2" s="28"/>
      <c r="AE2" s="28"/>
      <c r="AF2" s="27"/>
      <c r="AG2" s="27"/>
      <c r="AH2" s="27"/>
      <c r="AI2" s="27">
        <f>AI16/AI11</f>
        <v>0.33979978182029219</v>
      </c>
      <c r="AJ2" s="28">
        <f>AJ16/AJ11</f>
        <v>0.33979978182029219</v>
      </c>
      <c r="AK2" s="27"/>
      <c r="AL2" s="27"/>
      <c r="AM2" s="27"/>
      <c r="AN2" s="27">
        <f>AN16/AN11</f>
        <v>0.30448684654374752</v>
      </c>
      <c r="AO2" s="429">
        <f>AO16/AO11</f>
        <v>0.30448684654374752</v>
      </c>
      <c r="AP2" s="431"/>
      <c r="AQ2" s="431"/>
      <c r="AR2" s="431"/>
      <c r="AS2" s="431">
        <f>AS16/AS11</f>
        <v>0.39647812041124741</v>
      </c>
      <c r="AT2" s="104">
        <f>AT16/AT11</f>
        <v>0.39647812041124741</v>
      </c>
      <c r="AU2" s="431"/>
      <c r="AV2" s="431"/>
      <c r="AW2" s="431"/>
      <c r="AX2" s="431">
        <f>AX16/AX11</f>
        <v>0.34601824657658525</v>
      </c>
      <c r="AY2" s="104">
        <f>AY16/AY11</f>
        <v>0.34601824657658525</v>
      </c>
      <c r="AZ2" s="431"/>
      <c r="BA2" s="431"/>
      <c r="BB2" s="431"/>
      <c r="BC2" s="27">
        <f>(BC5*(1-2.08%)+BC13+BC14)/(BC5*(1-2.08%))</f>
        <v>0.36837541189968137</v>
      </c>
      <c r="BD2" s="104">
        <f>(BD5+BD9+BD13)/(BD5+BD9)</f>
        <v>0.3844607039288388</v>
      </c>
      <c r="BE2" s="27"/>
      <c r="BF2" s="27"/>
      <c r="BG2" s="27"/>
      <c r="BH2" s="27">
        <f>(BH5*(1-2.08%)+BH13+BH14)/(BH5*(1-2.08%))</f>
        <v>0.36049391103494283</v>
      </c>
      <c r="BI2" s="104">
        <f>(BI5+BI9+BI13)/(BI5+BI9)</f>
        <v>0.38988820539766805</v>
      </c>
      <c r="BJ2" s="27"/>
      <c r="BK2" s="27"/>
      <c r="BL2" s="27"/>
      <c r="BM2" s="27">
        <f>(BM5*(1-2.08%)+BM13+BM14)/(BM5*(1-2.08%))</f>
        <v>0.33464547435135672</v>
      </c>
      <c r="BN2" s="104">
        <f>(BN5+BN9+BN13)/(BN5+BN9)</f>
        <v>0.36168616613436155</v>
      </c>
      <c r="BO2" s="27"/>
      <c r="BP2" s="27"/>
      <c r="BQ2" s="27"/>
      <c r="BR2" s="27">
        <f>(BR5*(1-2.08%)+BR13+BR14)/(BR5*(1-2.08%))</f>
        <v>0.35324277145446076</v>
      </c>
      <c r="BS2" s="104">
        <f>(BS5+BS9+BS13)/(BS5+BS9)</f>
        <v>0.37600902467737901</v>
      </c>
      <c r="BT2" s="27"/>
      <c r="BU2" s="27"/>
      <c r="BV2" s="27"/>
      <c r="BW2" s="27">
        <f>(BW5*(1-2.08%)+BW13+BW14)/(BW5*(1-2.08%))</f>
        <v>0.38265245767514711</v>
      </c>
      <c r="BX2" s="104">
        <f>(BX5+BX9+BX13)/(BX5+BX9)</f>
        <v>0.39516181154042446</v>
      </c>
      <c r="BY2" s="27"/>
      <c r="BZ2" s="27"/>
      <c r="CA2" s="27"/>
      <c r="CB2" s="27">
        <f>(CB11+CB13)/(CB11)</f>
        <v>0.41366815846179344</v>
      </c>
      <c r="CC2" s="104">
        <f t="shared" ref="CC2:DK2" si="0">CC16/CC11</f>
        <v>0.34915435156488372</v>
      </c>
      <c r="CD2" s="27">
        <f t="shared" si="0"/>
        <v>0.34374298898913869</v>
      </c>
      <c r="CE2" s="27">
        <f t="shared" si="0"/>
        <v>0.35363763383210672</v>
      </c>
      <c r="CF2" s="27">
        <f t="shared" si="0"/>
        <v>0.37851222932398887</v>
      </c>
      <c r="CG2" s="27">
        <f t="shared" si="0"/>
        <v>0.40499044198574985</v>
      </c>
      <c r="CH2" s="104">
        <f t="shared" si="0"/>
        <v>0.3742436764096928</v>
      </c>
      <c r="CI2" s="27">
        <f t="shared" si="0"/>
        <v>0.35469191183839005</v>
      </c>
      <c r="CJ2" s="27">
        <f t="shared" si="0"/>
        <v>0.36096309409598593</v>
      </c>
      <c r="CK2" s="27">
        <f t="shared" si="0"/>
        <v>0.38333088691179079</v>
      </c>
      <c r="CL2" s="27">
        <f t="shared" si="0"/>
        <v>0.37954656031985473</v>
      </c>
      <c r="CM2" s="104">
        <f t="shared" si="0"/>
        <v>0.37086397878380828</v>
      </c>
      <c r="CN2" s="27">
        <f t="shared" si="0"/>
        <v>0.370850787037244</v>
      </c>
      <c r="CO2" s="27">
        <f t="shared" si="0"/>
        <v>0.35750344651391958</v>
      </c>
      <c r="CP2" s="27">
        <f t="shared" si="0"/>
        <v>0.37299871221828779</v>
      </c>
      <c r="CQ2" s="27">
        <f t="shared" si="0"/>
        <v>0.38200069597814212</v>
      </c>
      <c r="CR2" s="104">
        <f t="shared" si="0"/>
        <v>0.37075011053057333</v>
      </c>
      <c r="CS2" s="27">
        <f t="shared" si="0"/>
        <v>0.37508992261612623</v>
      </c>
      <c r="CT2" s="27">
        <f t="shared" si="0"/>
        <v>0.37726624399172237</v>
      </c>
      <c r="CU2" s="27">
        <f t="shared" si="0"/>
        <v>0.3775938521613994</v>
      </c>
      <c r="CV2" s="27">
        <f t="shared" si="0"/>
        <v>0.3865642511791581</v>
      </c>
      <c r="CW2" s="104">
        <f t="shared" si="0"/>
        <v>0.37951757552910914</v>
      </c>
      <c r="CX2" s="27">
        <f t="shared" si="0"/>
        <v>0.37809386874807438</v>
      </c>
      <c r="CY2" s="27">
        <f t="shared" si="0"/>
        <v>0.38326495238381503</v>
      </c>
      <c r="CZ2" s="27">
        <f t="shared" si="0"/>
        <v>0.38777995817674871</v>
      </c>
      <c r="DA2" s="27">
        <f t="shared" si="0"/>
        <v>0.39069114013822609</v>
      </c>
      <c r="DB2" s="104">
        <f t="shared" si="0"/>
        <v>0.3853338121544147</v>
      </c>
      <c r="DC2" s="27">
        <f t="shared" si="0"/>
        <v>0.39047380988403069</v>
      </c>
      <c r="DD2" s="27">
        <f t="shared" si="0"/>
        <v>0.39564562278748167</v>
      </c>
      <c r="DE2" s="27">
        <f t="shared" si="0"/>
        <v>0.39961649373361768</v>
      </c>
      <c r="DF2" s="27">
        <f>DF16/DF11</f>
        <v>0.40338800393036628</v>
      </c>
      <c r="DG2" s="104">
        <f t="shared" si="0"/>
        <v>0.3975585173529621</v>
      </c>
      <c r="DH2" s="27">
        <f t="shared" si="0"/>
        <v>0.39046714842323221</v>
      </c>
      <c r="DI2" s="27">
        <f t="shared" si="0"/>
        <v>0.39534151901639303</v>
      </c>
      <c r="DJ2" s="27">
        <f t="shared" si="0"/>
        <v>0.4019559855905202</v>
      </c>
      <c r="DK2" s="27">
        <f t="shared" si="0"/>
        <v>0.40413984807400033</v>
      </c>
      <c r="DL2" s="104">
        <f>DL16/DL11</f>
        <v>0.39817529070039931</v>
      </c>
      <c r="DM2" s="27">
        <f t="shared" ref="DM2:EF2" si="1">DM16/DM11</f>
        <v>0.39805839834423357</v>
      </c>
      <c r="DN2" s="27">
        <f t="shared" si="1"/>
        <v>0.39371022638081299</v>
      </c>
      <c r="DO2" s="27">
        <f t="shared" si="1"/>
        <v>0.3881898606819969</v>
      </c>
      <c r="DP2" s="27">
        <f t="shared" si="1"/>
        <v>0.38570518621607613</v>
      </c>
      <c r="DQ2" s="104">
        <f t="shared" si="1"/>
        <v>0.39126864740863893</v>
      </c>
      <c r="DR2" s="27">
        <f t="shared" si="1"/>
        <v>0.38126753675164715</v>
      </c>
      <c r="DS2" s="27">
        <f t="shared" si="1"/>
        <v>0.38019010583052248</v>
      </c>
      <c r="DT2" s="27">
        <f t="shared" si="1"/>
        <v>0.37908326150830057</v>
      </c>
      <c r="DU2" s="27">
        <f t="shared" si="1"/>
        <v>0.37799135211647766</v>
      </c>
      <c r="DV2" s="104">
        <f t="shared" si="1"/>
        <v>0.37960666034751139</v>
      </c>
      <c r="DW2" s="27">
        <f t="shared" si="1"/>
        <v>0.376938813730338</v>
      </c>
      <c r="DX2" s="27">
        <f t="shared" si="1"/>
        <v>0.37593819065595074</v>
      </c>
      <c r="DY2" s="27">
        <f t="shared" si="1"/>
        <v>0.37499497890606975</v>
      </c>
      <c r="DZ2" s="27">
        <f t="shared" si="1"/>
        <v>0.3741105538084461</v>
      </c>
      <c r="EA2" s="104">
        <f t="shared" si="1"/>
        <v>0.37547675429902194</v>
      </c>
      <c r="EB2" s="27">
        <f t="shared" si="1"/>
        <v>0.37328393864267356</v>
      </c>
      <c r="EC2" s="27">
        <f t="shared" si="1"/>
        <v>0.37251287024726454</v>
      </c>
      <c r="ED2" s="27">
        <f t="shared" si="1"/>
        <v>0.3717944373361794</v>
      </c>
      <c r="EE2" s="27">
        <f t="shared" si="1"/>
        <v>0.37112545889031884</v>
      </c>
      <c r="EF2" s="104">
        <f t="shared" si="1"/>
        <v>0.3721664757997008</v>
      </c>
    </row>
    <row r="3" spans="1:137" s="8" customFormat="1" ht="12.75" customHeight="1" thickBot="1">
      <c r="A3" s="4"/>
      <c r="B3" s="30" t="str">
        <f>Macro!B$9</f>
        <v>1Q04</v>
      </c>
      <c r="C3" s="30" t="str">
        <f>Macro!C$9</f>
        <v>2Q04</v>
      </c>
      <c r="D3" s="30" t="str">
        <f>Macro!D$9</f>
        <v>3Q04</v>
      </c>
      <c r="E3" s="30" t="str">
        <f>Macro!E$9</f>
        <v>4Q04</v>
      </c>
      <c r="F3" s="29" t="str">
        <f>Macro!F$9</f>
        <v>2004</v>
      </c>
      <c r="G3" s="30" t="str">
        <f>Macro!G$9</f>
        <v>1Q05</v>
      </c>
      <c r="H3" s="30" t="str">
        <f>Macro!H$9</f>
        <v>2Q05</v>
      </c>
      <c r="I3" s="30" t="str">
        <f>Macro!I$9</f>
        <v>3Q05</v>
      </c>
      <c r="J3" s="30" t="str">
        <f>Macro!J$9</f>
        <v>4Q05</v>
      </c>
      <c r="K3" s="29" t="str">
        <f>Macro!K$9</f>
        <v>2005</v>
      </c>
      <c r="L3" s="30" t="str">
        <f>Macro!L$9</f>
        <v>1Q06</v>
      </c>
      <c r="M3" s="30" t="str">
        <f>Macro!M$9</f>
        <v>2Q06</v>
      </c>
      <c r="N3" s="30" t="str">
        <f>Macro!N$9</f>
        <v>3Q06</v>
      </c>
      <c r="O3" s="30" t="str">
        <f>Macro!O$9</f>
        <v>4Q06</v>
      </c>
      <c r="P3" s="29" t="str">
        <f>Macro!P$9</f>
        <v>2006</v>
      </c>
      <c r="Q3" s="30" t="str">
        <f>Macro!Q$9</f>
        <v>1Q07</v>
      </c>
      <c r="R3" s="30" t="str">
        <f>Macro!R$9</f>
        <v>2Q07</v>
      </c>
      <c r="S3" s="30" t="str">
        <f>Macro!S$9</f>
        <v>3Q07</v>
      </c>
      <c r="T3" s="30" t="str">
        <f>Macro!T$9</f>
        <v>4Q07</v>
      </c>
      <c r="U3" s="29" t="str">
        <f>Macro!U$9</f>
        <v>2007</v>
      </c>
      <c r="V3" s="30" t="str">
        <f>Macro!V$9</f>
        <v>1Q08</v>
      </c>
      <c r="W3" s="30" t="str">
        <f>Macro!W$9</f>
        <v>2Q08</v>
      </c>
      <c r="X3" s="30" t="str">
        <f>Macro!X$9</f>
        <v>3Q08</v>
      </c>
      <c r="Y3" s="30" t="str">
        <f>Macro!Y$9</f>
        <v>4Q08</v>
      </c>
      <c r="Z3" s="29" t="str">
        <f>Macro!Z$9</f>
        <v>2008</v>
      </c>
      <c r="AA3" s="30" t="str">
        <f>Macro!AA$9</f>
        <v>1Q09</v>
      </c>
      <c r="AB3" s="30" t="str">
        <f>Macro!AB$9</f>
        <v>2Q09</v>
      </c>
      <c r="AC3" s="30" t="str">
        <f>Macro!AC$9</f>
        <v>3Q09</v>
      </c>
      <c r="AD3" s="30" t="str">
        <f>Macro!AD$9</f>
        <v>4Q09</v>
      </c>
      <c r="AE3" s="29" t="str">
        <f>Macro!AE$9</f>
        <v>2009</v>
      </c>
      <c r="AF3" s="30" t="str">
        <f>Macro!AF$9</f>
        <v>1Q10</v>
      </c>
      <c r="AG3" s="30" t="str">
        <f>Macro!AG$9</f>
        <v>2Q10</v>
      </c>
      <c r="AH3" s="30" t="str">
        <f>Macro!AH$9</f>
        <v>3Q10</v>
      </c>
      <c r="AI3" s="31" t="str">
        <f>Macro!AI$9</f>
        <v>4Q10</v>
      </c>
      <c r="AJ3" s="29" t="str">
        <f>Macro!AJ$9</f>
        <v>2010</v>
      </c>
      <c r="AK3" s="30" t="str">
        <f>Macro!AK$9</f>
        <v>1Q11</v>
      </c>
      <c r="AL3" s="30" t="str">
        <f>Macro!AL$9</f>
        <v>2Q11</v>
      </c>
      <c r="AM3" s="30" t="str">
        <f>Macro!AM$9</f>
        <v>3Q11</v>
      </c>
      <c r="AN3" s="31" t="str">
        <f>Macro!AN$9</f>
        <v>4Q11</v>
      </c>
      <c r="AO3" s="29" t="str">
        <f>Macro!AO$9</f>
        <v>2011</v>
      </c>
      <c r="AP3" s="30" t="str">
        <f>Macro!AP$9</f>
        <v>1Q12</v>
      </c>
      <c r="AQ3" s="30" t="str">
        <f>Macro!AQ$9</f>
        <v>2Q12</v>
      </c>
      <c r="AR3" s="30" t="str">
        <f>Macro!AR$9</f>
        <v>3Q12</v>
      </c>
      <c r="AS3" s="31" t="str">
        <f>Macro!AS$9</f>
        <v>4Q12</v>
      </c>
      <c r="AT3" s="29" t="str">
        <f>Macro!AT$9</f>
        <v>2012</v>
      </c>
      <c r="AU3" s="30" t="str">
        <f>Macro!AU$9</f>
        <v>1Q13</v>
      </c>
      <c r="AV3" s="30" t="str">
        <f>Macro!AV$9</f>
        <v>2Q13</v>
      </c>
      <c r="AW3" s="30" t="str">
        <f>Macro!AW$9</f>
        <v>3Q13</v>
      </c>
      <c r="AX3" s="31" t="str">
        <f>Macro!AX$9</f>
        <v>4Q13</v>
      </c>
      <c r="AY3" s="29" t="str">
        <f>Macro!AY$9</f>
        <v>2013</v>
      </c>
      <c r="AZ3" s="30" t="str">
        <f>Macro!AZ$9</f>
        <v>1Q14</v>
      </c>
      <c r="BA3" s="30" t="str">
        <f>Macro!BA$9</f>
        <v>2Q14</v>
      </c>
      <c r="BB3" s="30" t="str">
        <f>Macro!BB$9</f>
        <v>3Q14</v>
      </c>
      <c r="BC3" s="31" t="str">
        <f>Macro!BC$9</f>
        <v>4Q14</v>
      </c>
      <c r="BD3" s="29" t="str">
        <f>Macro!BD$9</f>
        <v>2014</v>
      </c>
      <c r="BE3" s="30" t="str">
        <f>Macro!BE$9</f>
        <v>1Q15</v>
      </c>
      <c r="BF3" s="30" t="str">
        <f>Macro!BF$9</f>
        <v>2Q15</v>
      </c>
      <c r="BG3" s="30" t="str">
        <f>Macro!BG$9</f>
        <v>3Q15</v>
      </c>
      <c r="BH3" s="31" t="str">
        <f>Macro!BH$9</f>
        <v>4Q15</v>
      </c>
      <c r="BI3" s="29" t="str">
        <f>Macro!BI$9</f>
        <v>2015</v>
      </c>
      <c r="BJ3" s="30" t="str">
        <f>Macro!BJ$9</f>
        <v>1Q16</v>
      </c>
      <c r="BK3" s="30" t="str">
        <f>Macro!BK$9</f>
        <v>2Q16</v>
      </c>
      <c r="BL3" s="30" t="str">
        <f>Macro!BL$9</f>
        <v>3Q16</v>
      </c>
      <c r="BM3" s="31" t="str">
        <f>Macro!BM$9</f>
        <v>4Q16</v>
      </c>
      <c r="BN3" s="29" t="str">
        <f>Macro!BN$9</f>
        <v>2016</v>
      </c>
      <c r="BO3" s="30" t="str">
        <f>Macro!BO$9</f>
        <v>1Q17</v>
      </c>
      <c r="BP3" s="30" t="str">
        <f>Macro!BP$9</f>
        <v>2Q17</v>
      </c>
      <c r="BQ3" s="30" t="str">
        <f>Macro!BQ$9</f>
        <v>3Q17</v>
      </c>
      <c r="BR3" s="31" t="str">
        <f>Macro!BR$9</f>
        <v>4Q17</v>
      </c>
      <c r="BS3" s="29" t="str">
        <f>Macro!BS$9</f>
        <v>2017</v>
      </c>
      <c r="BT3" s="30" t="str">
        <f>Macro!BT$9</f>
        <v>1Q18</v>
      </c>
      <c r="BU3" s="30" t="str">
        <f>Macro!BU$9</f>
        <v>2Q18</v>
      </c>
      <c r="BV3" s="30" t="str">
        <f>Macro!BV$9</f>
        <v>3Q18</v>
      </c>
      <c r="BW3" s="31" t="str">
        <f>Macro!BW$9</f>
        <v>4Q18</v>
      </c>
      <c r="BX3" s="29" t="str">
        <f>Macro!BX$9</f>
        <v>2018</v>
      </c>
      <c r="BY3" s="30" t="str">
        <f>Macro!BY$9</f>
        <v>1Q19</v>
      </c>
      <c r="BZ3" s="30" t="str">
        <f>Macro!BZ$9</f>
        <v>2Q19</v>
      </c>
      <c r="CA3" s="30" t="str">
        <f>Macro!CA$9</f>
        <v>3Q19</v>
      </c>
      <c r="CB3" s="31" t="str">
        <f>Macro!CB$9</f>
        <v>4Q19</v>
      </c>
      <c r="CC3" s="29" t="str">
        <f>Macro!CC$9</f>
        <v>2019</v>
      </c>
      <c r="CD3" s="30" t="str">
        <f>Macro!CD$9</f>
        <v>1Q20</v>
      </c>
      <c r="CE3" s="30" t="str">
        <f>Macro!CE$9</f>
        <v>2Q20</v>
      </c>
      <c r="CF3" s="30" t="str">
        <f>Macro!CF$9</f>
        <v>3Q20</v>
      </c>
      <c r="CG3" s="31" t="str">
        <f>Macro!CG$9</f>
        <v>4Q20</v>
      </c>
      <c r="CH3" s="29" t="str">
        <f>Macro!CH$9</f>
        <v>2020</v>
      </c>
      <c r="CI3" s="30" t="str">
        <f>Macro!CI$9</f>
        <v>1Q21</v>
      </c>
      <c r="CJ3" s="30" t="str">
        <f>Macro!CJ$9</f>
        <v>2Q21</v>
      </c>
      <c r="CK3" s="30" t="str">
        <f>Macro!CK$9</f>
        <v>3Q21</v>
      </c>
      <c r="CL3" s="31" t="str">
        <f>Macro!CL$9</f>
        <v>4Q21</v>
      </c>
      <c r="CM3" s="29" t="str">
        <f>Macro!CM$9</f>
        <v>2021</v>
      </c>
      <c r="CN3" s="30" t="str">
        <f>Macro!CN$9</f>
        <v>1Q22</v>
      </c>
      <c r="CO3" s="30" t="str">
        <f>Macro!CO$9</f>
        <v>2Q22</v>
      </c>
      <c r="CP3" s="30" t="str">
        <f>Macro!CP$9</f>
        <v>3Q22</v>
      </c>
      <c r="CQ3" s="31" t="str">
        <f>Macro!CQ$9</f>
        <v>4Q22</v>
      </c>
      <c r="CR3" s="29" t="str">
        <f>Macro!CR$9</f>
        <v>2022</v>
      </c>
      <c r="CS3" s="30" t="str">
        <f>Macro!CS$9</f>
        <v>1Q23</v>
      </c>
      <c r="CT3" s="30" t="str">
        <f>Macro!CT$9</f>
        <v>2Q23</v>
      </c>
      <c r="CU3" s="30" t="str">
        <f>Macro!CU$9</f>
        <v>3Q23</v>
      </c>
      <c r="CV3" s="31" t="str">
        <f>Macro!CV$9</f>
        <v>4Q23</v>
      </c>
      <c r="CW3" s="29" t="str">
        <f>Macro!CW$9</f>
        <v>2023</v>
      </c>
      <c r="CX3" s="30" t="str">
        <f>Macro!CX$9</f>
        <v>1Q24</v>
      </c>
      <c r="CY3" s="30" t="str">
        <f>Macro!CY$9</f>
        <v>2Q24</v>
      </c>
      <c r="CZ3" s="30" t="str">
        <f>Macro!CZ$9</f>
        <v>3Q24</v>
      </c>
      <c r="DA3" s="31" t="str">
        <f>Macro!DA$9</f>
        <v>4Q24</v>
      </c>
      <c r="DB3" s="29" t="str">
        <f>Macro!DB$9</f>
        <v>2024</v>
      </c>
      <c r="DC3" s="30" t="str">
        <f>Macro!DC$9</f>
        <v>1Q25</v>
      </c>
      <c r="DD3" s="30" t="str">
        <f>Macro!DD$9</f>
        <v>2Q25</v>
      </c>
      <c r="DE3" s="30" t="str">
        <f>Macro!DE$9</f>
        <v>3Q25</v>
      </c>
      <c r="DF3" s="31" t="str">
        <f>Macro!DF$9</f>
        <v>4Q25</v>
      </c>
      <c r="DG3" s="29" t="str">
        <f>Macro!DG$9</f>
        <v>2025</v>
      </c>
      <c r="DH3" s="30" t="str">
        <f>Macro!DH$9</f>
        <v>1Q26</v>
      </c>
      <c r="DI3" s="30" t="str">
        <f>Macro!DI$9</f>
        <v>2Q26</v>
      </c>
      <c r="DJ3" s="30" t="str">
        <f>Macro!DJ$9</f>
        <v>3Q26E</v>
      </c>
      <c r="DK3" s="31" t="str">
        <f>Macro!DK$9</f>
        <v>4Q26E</v>
      </c>
      <c r="DL3" s="29" t="str">
        <f>Macro!DL$9</f>
        <v>2026E</v>
      </c>
      <c r="DM3" s="30" t="str">
        <f>Macro!DM$9</f>
        <v>1Q27E</v>
      </c>
      <c r="DN3" s="30" t="str">
        <f>Macro!DN$9</f>
        <v>2Q27E</v>
      </c>
      <c r="DO3" s="30" t="str">
        <f>Macro!DO$9</f>
        <v>3Q27E</v>
      </c>
      <c r="DP3" s="31" t="str">
        <f>Macro!DP$9</f>
        <v>4Q27E</v>
      </c>
      <c r="DQ3" s="29" t="str">
        <f>Macro!DQ$9</f>
        <v>2027E</v>
      </c>
      <c r="DR3" s="30" t="str">
        <f>Macro!DR$9</f>
        <v>1Q28E</v>
      </c>
      <c r="DS3" s="30" t="str">
        <f>Macro!DS$9</f>
        <v>2Q28E</v>
      </c>
      <c r="DT3" s="30" t="str">
        <f>Macro!DT$9</f>
        <v>3Q28E</v>
      </c>
      <c r="DU3" s="31" t="str">
        <f>Macro!DU$9</f>
        <v>4Q28E</v>
      </c>
      <c r="DV3" s="29" t="str">
        <f>Macro!DV$9</f>
        <v>2028E</v>
      </c>
      <c r="DW3" s="30" t="str">
        <f>Macro!DW$9</f>
        <v>1Q29E</v>
      </c>
      <c r="DX3" s="30" t="str">
        <f>Macro!DX$9</f>
        <v>2Q29E</v>
      </c>
      <c r="DY3" s="30" t="str">
        <f>Macro!DY$9</f>
        <v>3Q29E</v>
      </c>
      <c r="DZ3" s="31" t="str">
        <f>Macro!DZ$9</f>
        <v>4Q29E</v>
      </c>
      <c r="EA3" s="29" t="str">
        <f>Macro!EA$9</f>
        <v>2029E</v>
      </c>
      <c r="EB3" s="30" t="str">
        <f>Macro!EB$9</f>
        <v>1Q30E</v>
      </c>
      <c r="EC3" s="30" t="str">
        <f>Macro!EC$9</f>
        <v>2Q30E</v>
      </c>
      <c r="ED3" s="30" t="str">
        <f>Macro!ED$9</f>
        <v>3Q30E</v>
      </c>
      <c r="EE3" s="31" t="str">
        <f>Macro!EE$9</f>
        <v>4Q30E</v>
      </c>
      <c r="EF3" s="29" t="str">
        <f>Macro!EF$9</f>
        <v>2030E</v>
      </c>
    </row>
    <row r="4" spans="1:137" ht="12.75" customHeight="1">
      <c r="A4" s="15" t="s">
        <v>178</v>
      </c>
      <c r="B4" s="166">
        <f>B5+B7</f>
        <v>0</v>
      </c>
      <c r="C4" s="166">
        <f>C5+C7</f>
        <v>0</v>
      </c>
      <c r="D4" s="166">
        <f>D5+D7</f>
        <v>0</v>
      </c>
      <c r="E4" s="166">
        <f>E5+E7</f>
        <v>0</v>
      </c>
      <c r="F4" s="167">
        <f t="shared" ref="F4:F9" si="2">SUM(B4:E4)</f>
        <v>0</v>
      </c>
      <c r="G4" s="166">
        <f>G5+G7</f>
        <v>0</v>
      </c>
      <c r="H4" s="166">
        <f>H5+H7</f>
        <v>0</v>
      </c>
      <c r="I4" s="166">
        <f>I5+I7</f>
        <v>0</v>
      </c>
      <c r="J4" s="166">
        <f>J5+J7</f>
        <v>0</v>
      </c>
      <c r="K4" s="167">
        <f t="shared" ref="K4:K9" si="3">SUM(G4:J4)</f>
        <v>0</v>
      </c>
      <c r="L4" s="166">
        <f>L5+L7</f>
        <v>0</v>
      </c>
      <c r="M4" s="166">
        <f>M5+M7</f>
        <v>0</v>
      </c>
      <c r="N4" s="166">
        <f>N5+N7</f>
        <v>0</v>
      </c>
      <c r="O4" s="166">
        <f>O5+O7</f>
        <v>0</v>
      </c>
      <c r="P4" s="167">
        <f t="shared" ref="P4:P9" si="4">SUM(L4:O4)</f>
        <v>0</v>
      </c>
      <c r="Q4" s="166">
        <f>Q5+Q7</f>
        <v>0</v>
      </c>
      <c r="R4" s="166">
        <f>R5+R7</f>
        <v>0</v>
      </c>
      <c r="S4" s="166">
        <f>S5+S7</f>
        <v>0</v>
      </c>
      <c r="T4" s="166">
        <f>T5+T7</f>
        <v>0</v>
      </c>
      <c r="U4" s="167">
        <f t="shared" ref="U4:U9" si="5">SUM(Q4:T4)</f>
        <v>0</v>
      </c>
      <c r="V4" s="166">
        <f>V5+V7</f>
        <v>0</v>
      </c>
      <c r="W4" s="166">
        <f>W5+W7</f>
        <v>0</v>
      </c>
      <c r="X4" s="166">
        <f>X5+X7</f>
        <v>0</v>
      </c>
      <c r="Y4" s="166">
        <f>Y5+Y7</f>
        <v>0</v>
      </c>
      <c r="Z4" s="167">
        <f t="shared" ref="Z4:Z9" si="6">SUM(V4:Y4)</f>
        <v>0</v>
      </c>
      <c r="AA4" s="166">
        <f>AA5+AA7</f>
        <v>0</v>
      </c>
      <c r="AB4" s="166">
        <f>AB5+AB7</f>
        <v>0</v>
      </c>
      <c r="AC4" s="166">
        <f>AC5+AC7</f>
        <v>0</v>
      </c>
      <c r="AD4" s="166">
        <f>AD5+AD7</f>
        <v>0</v>
      </c>
      <c r="AE4" s="167">
        <f t="shared" ref="AE4:AE9" si="7">SUM(AA4:AD4)</f>
        <v>0</v>
      </c>
      <c r="AF4" s="166">
        <f>AF5+AF6+AF7</f>
        <v>0</v>
      </c>
      <c r="AG4" s="166">
        <f>AG5+AG6+AG7</f>
        <v>0</v>
      </c>
      <c r="AH4" s="166">
        <f>AH5+AH6+AH7</f>
        <v>0</v>
      </c>
      <c r="AI4" s="166">
        <f>AI5+AI6+AI7</f>
        <v>244646.20812908499</v>
      </c>
      <c r="AJ4" s="167">
        <f t="shared" ref="AJ4:AJ9" si="8">SUM(AF4:AI4)</f>
        <v>244646.20812908499</v>
      </c>
      <c r="AK4" s="166">
        <f>AK5+AK6+AK7</f>
        <v>0</v>
      </c>
      <c r="AL4" s="166">
        <f>AL5+AL6+AL7</f>
        <v>0</v>
      </c>
      <c r="AM4" s="166">
        <f>AM5+AM6+AM7</f>
        <v>0</v>
      </c>
      <c r="AN4" s="166">
        <f>AN5+AN6+AN7</f>
        <v>433385.81392973859</v>
      </c>
      <c r="AO4" s="167">
        <f t="shared" ref="AO4:AO9" si="9">SUM(AK4:AN4)</f>
        <v>433385.81392973859</v>
      </c>
      <c r="AP4" s="166">
        <f>AP5+AP6+AP7</f>
        <v>0</v>
      </c>
      <c r="AQ4" s="166">
        <f>AQ5+AQ6+AQ7</f>
        <v>0</v>
      </c>
      <c r="AR4" s="166">
        <f>AR5+AR6+AR7</f>
        <v>0</v>
      </c>
      <c r="AS4" s="166">
        <f>AS5+AS6+AS7</f>
        <v>494249.75183823536</v>
      </c>
      <c r="AT4" s="167">
        <f t="shared" ref="AT4:AT9" si="10">SUM(AP4:AS4)</f>
        <v>494249.75183823536</v>
      </c>
      <c r="AU4" s="166">
        <f>AU5+AU6+AU7</f>
        <v>0</v>
      </c>
      <c r="AV4" s="166">
        <f>AV5+AV6+AV7</f>
        <v>0</v>
      </c>
      <c r="AW4" s="166">
        <f>AW5+AW6+AW7</f>
        <v>0</v>
      </c>
      <c r="AX4" s="166">
        <f>AX5+AX6+AX7</f>
        <v>753085.35334967321</v>
      </c>
      <c r="AY4" s="167">
        <f t="shared" ref="AY4:AY9" si="11">SUM(AU4:AX4)</f>
        <v>753085.35334967321</v>
      </c>
      <c r="AZ4" s="166">
        <f>AZ5+AZ6+AZ7</f>
        <v>0</v>
      </c>
      <c r="BA4" s="166">
        <f>BA5+BA6+BA7</f>
        <v>0</v>
      </c>
      <c r="BB4" s="166">
        <f>BB5+BB6+BB7</f>
        <v>0</v>
      </c>
      <c r="BC4" s="166">
        <f>BC5+BC6+BC7</f>
        <v>912966</v>
      </c>
      <c r="BD4" s="167">
        <f t="shared" ref="BD4:BD9" si="12">SUM(AZ4:BC4)</f>
        <v>912966</v>
      </c>
      <c r="BE4" s="166">
        <f>BE5+BE6+BE7</f>
        <v>0</v>
      </c>
      <c r="BF4" s="166">
        <f>BF5+BF6+BF7</f>
        <v>0</v>
      </c>
      <c r="BG4" s="166">
        <f>BG5+BG6+BG7</f>
        <v>0</v>
      </c>
      <c r="BH4" s="166">
        <f>BH5+BH6+BH7</f>
        <v>871724</v>
      </c>
      <c r="BI4" s="167">
        <f t="shared" ref="BI4:BI9" si="13">SUM(BE4:BH4)</f>
        <v>871724</v>
      </c>
      <c r="BJ4" s="166">
        <f>BJ5+BJ6+BJ7</f>
        <v>0</v>
      </c>
      <c r="BK4" s="166">
        <f>BK5+BK6+BK7</f>
        <v>0</v>
      </c>
      <c r="BL4" s="166">
        <f>BL5+BL6+BL7</f>
        <v>0</v>
      </c>
      <c r="BM4" s="166">
        <f>BM5+BM6+BM7</f>
        <v>821810</v>
      </c>
      <c r="BN4" s="167">
        <f t="shared" ref="BN4:BN9" si="14">SUM(BJ4:BM4)</f>
        <v>821810</v>
      </c>
      <c r="BO4" s="166">
        <f>BO5+BO6+BO7</f>
        <v>0</v>
      </c>
      <c r="BP4" s="166">
        <f>BP5+BP6+BP7</f>
        <v>0</v>
      </c>
      <c r="BQ4" s="166">
        <f>BQ5+BQ6+BQ7</f>
        <v>0</v>
      </c>
      <c r="BR4" s="166">
        <f>BR5+BR6+BR7</f>
        <v>831922</v>
      </c>
      <c r="BS4" s="167">
        <f t="shared" ref="BS4:BS9" si="15">SUM(BO4:BR4)</f>
        <v>831922</v>
      </c>
      <c r="BT4" s="166">
        <f>BT5+BT6+BT7</f>
        <v>0</v>
      </c>
      <c r="BU4" s="166">
        <f>BU5+BU6+BU7</f>
        <v>0</v>
      </c>
      <c r="BV4" s="166">
        <f>BV5+BV6+BV7</f>
        <v>0</v>
      </c>
      <c r="BW4" s="166">
        <f>BW5+BW6+BW7</f>
        <v>942945</v>
      </c>
      <c r="BX4" s="167">
        <f t="shared" ref="BX4:BX9" si="16">SUM(BT4:BW4)</f>
        <v>942945</v>
      </c>
      <c r="BY4" s="166">
        <f>BY5+BY6+BY7</f>
        <v>193287</v>
      </c>
      <c r="BZ4" s="166">
        <f>BZ5+BZ6+BZ7</f>
        <v>273610</v>
      </c>
      <c r="CA4" s="166">
        <f>CA5+CA6+CA7</f>
        <v>268175</v>
      </c>
      <c r="CB4" s="166">
        <f>CB5+CB6+CB7</f>
        <v>308715</v>
      </c>
      <c r="CC4" s="167">
        <f t="shared" ref="CC4:CC9" si="17">SUM(BY4:CB4)</f>
        <v>1043787</v>
      </c>
      <c r="CD4" s="166">
        <f>CD5+CD6+CD7</f>
        <v>233098</v>
      </c>
      <c r="CE4" s="166">
        <f>CE5+CE6+CE7</f>
        <v>252454</v>
      </c>
      <c r="CF4" s="166">
        <f>CF5+CF6+CF7</f>
        <v>334505</v>
      </c>
      <c r="CG4" s="166">
        <f>CG5+CG6+CG7</f>
        <v>353014</v>
      </c>
      <c r="CH4" s="167">
        <f t="shared" ref="CH4:CH9" si="18">SUM(CD4:CG4)</f>
        <v>1173071</v>
      </c>
      <c r="CI4" s="166">
        <f>CI5+CI6+CI7</f>
        <v>346976</v>
      </c>
      <c r="CJ4" s="166">
        <f>CJ5+CJ6+CJ7</f>
        <v>462074</v>
      </c>
      <c r="CK4" s="166">
        <f>CK5+CK6+CK7</f>
        <v>466696</v>
      </c>
      <c r="CL4" s="166">
        <f>CL5+CL6+CL7</f>
        <v>502424</v>
      </c>
      <c r="CM4" s="167">
        <f t="shared" ref="CM4:CM9" si="19">SUM(CI4:CL4)</f>
        <v>1778170</v>
      </c>
      <c r="CN4" s="166">
        <f>CN5+CN6+CN7</f>
        <v>458170</v>
      </c>
      <c r="CO4" s="166">
        <f>CO5+CO6+CO7</f>
        <v>616407</v>
      </c>
      <c r="CP4" s="166">
        <f>CP5+CP6+CP7</f>
        <v>640437</v>
      </c>
      <c r="CQ4" s="166">
        <f>CQ5+CQ6+CQ7</f>
        <v>593421</v>
      </c>
      <c r="CR4" s="167">
        <f t="shared" ref="CR4:CR9" si="20">SUM(CN4:CQ4)</f>
        <v>2308435</v>
      </c>
      <c r="CS4" s="166">
        <f>CS5+CS6+CS7</f>
        <v>607423</v>
      </c>
      <c r="CT4" s="166">
        <f>CT5+CT6+CT7</f>
        <v>743352</v>
      </c>
      <c r="CU4" s="166">
        <f>CU5+CU6+CU7</f>
        <v>768155</v>
      </c>
      <c r="CV4" s="166">
        <f>CV5+CV6+CV7</f>
        <v>829075</v>
      </c>
      <c r="CW4" s="167">
        <f t="shared" ref="CW4:CW9" si="21">SUM(CS4:CV4)</f>
        <v>2948005</v>
      </c>
      <c r="CX4" s="166">
        <f>CX5+CX6+CX7</f>
        <v>854925</v>
      </c>
      <c r="CY4" s="166">
        <f>CY5+CY6+CY7</f>
        <v>1017876</v>
      </c>
      <c r="CZ4" s="166">
        <f>CZ5+CZ6+CZ7</f>
        <v>1078346</v>
      </c>
      <c r="DA4" s="166">
        <f>DA5+DA6+DA7</f>
        <v>1056476</v>
      </c>
      <c r="DB4" s="167">
        <f t="shared" ref="DB4:DB9" si="22">SUM(CX4:DA4)</f>
        <v>4007623</v>
      </c>
      <c r="DC4" s="166">
        <f>DC5+DC6+DC7</f>
        <v>1244407</v>
      </c>
      <c r="DD4" s="166">
        <f>DD5+DD6+DD7</f>
        <v>1375487</v>
      </c>
      <c r="DE4" s="166">
        <f>DE5+DE6+DE7</f>
        <v>1449421</v>
      </c>
      <c r="DF4" s="166">
        <f>DF5+DF6+DF7</f>
        <v>1453820</v>
      </c>
      <c r="DG4" s="167">
        <f t="shared" ref="DG4:DG9" si="23">SUM(DC4:DF4)</f>
        <v>5523135</v>
      </c>
      <c r="DH4" s="166">
        <f>DH5+DH6+DH7</f>
        <v>1644474</v>
      </c>
      <c r="DI4" s="166">
        <f>DI5+DI6+DI7</f>
        <v>1725754</v>
      </c>
      <c r="DJ4" s="166">
        <f>DJ5+DJ6+DJ7</f>
        <v>1717525.6030135662</v>
      </c>
      <c r="DK4" s="166">
        <f>DK5+DK6+DK7</f>
        <v>1859826.6369124902</v>
      </c>
      <c r="DL4" s="167">
        <f t="shared" ref="DL4:DL9" si="24">SUM(DH4:DK4)</f>
        <v>6947580.239926056</v>
      </c>
      <c r="DM4" s="166">
        <f>DM5+DM6+DM7</f>
        <v>1899921.7516107098</v>
      </c>
      <c r="DN4" s="166">
        <f>DN5+DN6+DN7</f>
        <v>1962486.0492376171</v>
      </c>
      <c r="DO4" s="166">
        <f>DO5+DO6+DO7</f>
        <v>2015562.5111155142</v>
      </c>
      <c r="DP4" s="166">
        <f>DP5+DP6+DP7</f>
        <v>2064555.2576107371</v>
      </c>
      <c r="DQ4" s="167">
        <f t="shared" ref="DQ4:DQ9" si="25">SUM(DM4:DP4)</f>
        <v>7942525.5695745787</v>
      </c>
      <c r="DR4" s="166">
        <f>DR5+DR6+DR7</f>
        <v>2110530.9393965593</v>
      </c>
      <c r="DS4" s="166">
        <f>DS5+DS6+DS7</f>
        <v>2154229.7114473674</v>
      </c>
      <c r="DT4" s="166">
        <f>DT5+DT6+DT7</f>
        <v>2196132.5558191463</v>
      </c>
      <c r="DU4" s="166">
        <f>DU5+DU6+DU7</f>
        <v>2236572.1489410377</v>
      </c>
      <c r="DV4" s="167">
        <f t="shared" ref="DV4:DV9" si="26">SUM(DR4:DU4)</f>
        <v>8697465.3556041103</v>
      </c>
      <c r="DW4" s="166">
        <f>DW5+DW6+DW7</f>
        <v>2275792.5652477834</v>
      </c>
      <c r="DX4" s="166">
        <f>DX5+DX6+DX7</f>
        <v>2313983.0816600253</v>
      </c>
      <c r="DY4" s="166">
        <f>DY5+DY6+DY7</f>
        <v>2351297.4751855843</v>
      </c>
      <c r="DZ4" s="166">
        <f>DZ5+DZ6+DZ7</f>
        <v>2387865.2250413867</v>
      </c>
      <c r="EA4" s="167">
        <f t="shared" ref="EA4:EA9" si="27">SUM(DW4:DZ4)</f>
        <v>9328938.3471347801</v>
      </c>
      <c r="EB4" s="166">
        <f>EB5+EB6+EB7</f>
        <v>2423798.1767432629</v>
      </c>
      <c r="EC4" s="166">
        <f>EC5+EC6+EC7</f>
        <v>2459194.6456588884</v>
      </c>
      <c r="ED4" s="166">
        <f>ED5+ED6+ED7</f>
        <v>2494142.060862381</v>
      </c>
      <c r="EE4" s="166">
        <f>EE5+EE6+EE7</f>
        <v>2528718.7636035816</v>
      </c>
      <c r="EF4" s="167">
        <f t="shared" ref="EF4:EF9" si="28">SUM(EB4:EE4)</f>
        <v>9905853.6468681134</v>
      </c>
    </row>
    <row r="5" spans="1:137" ht="12.75" customHeight="1">
      <c r="A5" s="9" t="s">
        <v>179</v>
      </c>
      <c r="B5" s="171"/>
      <c r="C5" s="171"/>
      <c r="D5" s="171"/>
      <c r="E5" s="171"/>
      <c r="F5" s="165">
        <f t="shared" si="2"/>
        <v>0</v>
      </c>
      <c r="G5" s="171"/>
      <c r="H5" s="171"/>
      <c r="I5" s="171"/>
      <c r="J5" s="171"/>
      <c r="K5" s="165">
        <f t="shared" si="3"/>
        <v>0</v>
      </c>
      <c r="L5" s="171"/>
      <c r="M5" s="171"/>
      <c r="N5" s="171"/>
      <c r="O5" s="171"/>
      <c r="P5" s="165">
        <f t="shared" si="4"/>
        <v>0</v>
      </c>
      <c r="Q5" s="171"/>
      <c r="R5" s="171"/>
      <c r="S5" s="171"/>
      <c r="T5" s="171"/>
      <c r="U5" s="165">
        <f t="shared" si="5"/>
        <v>0</v>
      </c>
      <c r="V5" s="171"/>
      <c r="W5" s="171"/>
      <c r="X5" s="171"/>
      <c r="Y5" s="171"/>
      <c r="Z5" s="165">
        <f t="shared" si="6"/>
        <v>0</v>
      </c>
      <c r="AA5" s="171"/>
      <c r="AB5" s="171"/>
      <c r="AC5" s="171"/>
      <c r="AD5" s="171"/>
      <c r="AE5" s="165">
        <f t="shared" si="7"/>
        <v>0</v>
      </c>
      <c r="AF5" s="171"/>
      <c r="AG5" s="171"/>
      <c r="AH5" s="114"/>
      <c r="AI5" s="172">
        <f>AI11/(1-AI10)</f>
        <v>244646.20812908499</v>
      </c>
      <c r="AJ5" s="165">
        <f t="shared" si="8"/>
        <v>244646.20812908499</v>
      </c>
      <c r="AK5" s="171"/>
      <c r="AL5" s="171"/>
      <c r="AM5" s="114"/>
      <c r="AN5" s="172">
        <f>AN11/(1-AN10)</f>
        <v>433385.81392973859</v>
      </c>
      <c r="AO5" s="165">
        <f t="shared" si="9"/>
        <v>433385.81392973859</v>
      </c>
      <c r="AP5" s="171"/>
      <c r="AQ5" s="171"/>
      <c r="AR5" s="114"/>
      <c r="AS5" s="172">
        <f>AS11/(1-AS10)</f>
        <v>494249.75183823536</v>
      </c>
      <c r="AT5" s="165">
        <f t="shared" si="10"/>
        <v>494249.75183823536</v>
      </c>
      <c r="AU5" s="171"/>
      <c r="AV5" s="171"/>
      <c r="AW5" s="114"/>
      <c r="AX5" s="172">
        <f>AX11/(1-AX10)</f>
        <v>753085.35334967321</v>
      </c>
      <c r="AY5" s="165">
        <f t="shared" si="11"/>
        <v>753085.35334967321</v>
      </c>
      <c r="AZ5" s="171"/>
      <c r="BA5" s="171"/>
      <c r="BB5" s="114"/>
      <c r="BC5" s="171">
        <f>472254-3130</f>
        <v>469124</v>
      </c>
      <c r="BD5" s="165">
        <f t="shared" si="12"/>
        <v>469124</v>
      </c>
      <c r="BE5" s="171"/>
      <c r="BF5" s="171"/>
      <c r="BG5" s="114"/>
      <c r="BH5" s="171">
        <f>458609-5776</f>
        <v>452833</v>
      </c>
      <c r="BI5" s="165">
        <f t="shared" si="13"/>
        <v>452833</v>
      </c>
      <c r="BJ5" s="171"/>
      <c r="BK5" s="171"/>
      <c r="BL5" s="114"/>
      <c r="BM5" s="171">
        <f>565504-8596</f>
        <v>556908</v>
      </c>
      <c r="BN5" s="165">
        <f t="shared" si="14"/>
        <v>556908</v>
      </c>
      <c r="BO5" s="171"/>
      <c r="BP5" s="171"/>
      <c r="BQ5" s="114"/>
      <c r="BR5" s="171">
        <f>738498-9135</f>
        <v>729363</v>
      </c>
      <c r="BS5" s="165">
        <f t="shared" si="15"/>
        <v>729363</v>
      </c>
      <c r="BT5" s="171"/>
      <c r="BU5" s="171"/>
      <c r="BV5" s="114"/>
      <c r="BW5" s="171">
        <f>930049-9955</f>
        <v>920094</v>
      </c>
      <c r="BX5" s="165">
        <f t="shared" si="16"/>
        <v>920094</v>
      </c>
      <c r="BY5" s="171">
        <f>193732-2076</f>
        <v>191656</v>
      </c>
      <c r="BZ5" s="171">
        <f>248291-3205</f>
        <v>245086</v>
      </c>
      <c r="CA5" s="171">
        <f>268629-1695</f>
        <v>266934</v>
      </c>
      <c r="CB5" s="171">
        <f>1063367-24443-8342+100-SUM(BY5:CA5)</f>
        <v>327006</v>
      </c>
      <c r="CC5" s="165">
        <f t="shared" si="17"/>
        <v>1030682</v>
      </c>
      <c r="CD5" s="171">
        <f>234242-1985</f>
        <v>232257</v>
      </c>
      <c r="CE5" s="171">
        <f>263860-11578-507</f>
        <v>251775</v>
      </c>
      <c r="CF5" s="171">
        <f>830029-8974-3617-SUM(CD5:CE5)</f>
        <v>333406</v>
      </c>
      <c r="CG5" s="171">
        <f>1183813-16767-4243-SUM(CD5:CF5)</f>
        <v>345365</v>
      </c>
      <c r="CH5" s="165">
        <f t="shared" si="18"/>
        <v>1162803</v>
      </c>
      <c r="CI5" s="171">
        <f>348556-1130-1564</f>
        <v>345862</v>
      </c>
      <c r="CJ5" s="171">
        <f>467360-4492-2158</f>
        <v>460710</v>
      </c>
      <c r="CK5" s="171">
        <f>1290410-12155-6059-SUM(CI5:CJ5)</f>
        <v>465624</v>
      </c>
      <c r="CL5" s="171">
        <f>1795292-13083-8289-SUM(CI5:CK5)</f>
        <v>501724</v>
      </c>
      <c r="CM5" s="165">
        <f t="shared" si="19"/>
        <v>1773920</v>
      </c>
      <c r="CN5" s="171">
        <f>459417-740-1572</f>
        <v>457105</v>
      </c>
      <c r="CO5" s="171">
        <f>619527-4298-578</f>
        <v>614651</v>
      </c>
      <c r="CP5" s="171">
        <f>1720898-8316-1765-SUM(CN5:CO5)</f>
        <v>639061</v>
      </c>
      <c r="CQ5" s="171">
        <f>2318165-11358-3745-SUM(CN5:CP5)</f>
        <v>592245</v>
      </c>
      <c r="CR5" s="165">
        <f t="shared" si="20"/>
        <v>2303062</v>
      </c>
      <c r="CS5" s="171">
        <f>608998-1086-2065</f>
        <v>605847</v>
      </c>
      <c r="CT5" s="171">
        <f>743265-382-704</f>
        <v>742179</v>
      </c>
      <c r="CU5" s="171">
        <f>767232-2543+1829</f>
        <v>766518</v>
      </c>
      <c r="CV5" s="171">
        <f>2950126-1185-6289-SUM(CS5:CU5)</f>
        <v>828108</v>
      </c>
      <c r="CW5" s="165">
        <f t="shared" si="21"/>
        <v>2942652</v>
      </c>
      <c r="CX5" s="171">
        <f>851906-1722+2980</f>
        <v>853164</v>
      </c>
      <c r="CY5" s="171">
        <f>1016524+2082-1667</f>
        <v>1016939</v>
      </c>
      <c r="CZ5" s="171">
        <f>1084539-6033-160</f>
        <v>1078346</v>
      </c>
      <c r="DA5" s="171">
        <f>4016820+2114-14025-SUM(CX5:CZ5)</f>
        <v>1056460</v>
      </c>
      <c r="DB5" s="165">
        <f t="shared" si="22"/>
        <v>4004909</v>
      </c>
      <c r="DC5" s="172">
        <f>1246115-6033-2089</f>
        <v>1237993</v>
      </c>
      <c r="DD5" s="171">
        <f>1393733-4822-13805</f>
        <v>1375106</v>
      </c>
      <c r="DE5" s="171">
        <f>1461895-11780-3018</f>
        <v>1447097</v>
      </c>
      <c r="DF5" s="171">
        <f>5567252-11984-42968-SUM(DC5:DE5)</f>
        <v>1452104</v>
      </c>
      <c r="DG5" s="165">
        <f t="shared" si="23"/>
        <v>5512300</v>
      </c>
      <c r="DH5" s="171">
        <f>1660432-17750+353</f>
        <v>1643035</v>
      </c>
      <c r="DI5" s="171">
        <f>1742831-3187-14445</f>
        <v>1725199</v>
      </c>
      <c r="DJ5" s="52">
        <f>Forecasts!DJ36</f>
        <v>1714097.408197172</v>
      </c>
      <c r="DK5" s="52">
        <f>Forecasts!DK36</f>
        <v>1856114.4080962976</v>
      </c>
      <c r="DL5" s="165">
        <f t="shared" si="24"/>
        <v>6938445.8162934696</v>
      </c>
      <c r="DM5" s="52">
        <f>Forecasts!DM36</f>
        <v>1896129.4926254589</v>
      </c>
      <c r="DN5" s="52">
        <f>Forecasts!DN36</f>
        <v>1958568.9114147874</v>
      </c>
      <c r="DO5" s="52">
        <f>Forecasts!DO36</f>
        <v>2011539.4322510122</v>
      </c>
      <c r="DP5" s="52">
        <f>Forecasts!DP36</f>
        <v>2060434.3888330709</v>
      </c>
      <c r="DQ5" s="165">
        <f t="shared" si="25"/>
        <v>7926672.2251243293</v>
      </c>
      <c r="DR5" s="52">
        <f>Forecasts!DR36</f>
        <v>2106318.3027909775</v>
      </c>
      <c r="DS5" s="52">
        <f>Forecasts!DS36</f>
        <v>2149929.8517438797</v>
      </c>
      <c r="DT5" s="52">
        <f>Forecasts!DT36</f>
        <v>2191749.057703739</v>
      </c>
      <c r="DU5" s="52">
        <f>Forecasts!DU36</f>
        <v>2232107.9330748878</v>
      </c>
      <c r="DV5" s="165">
        <f t="shared" si="26"/>
        <v>8680105.1453134846</v>
      </c>
      <c r="DW5" s="52">
        <f>Forecasts!DW36</f>
        <v>2271250.0651175482</v>
      </c>
      <c r="DX5" s="52">
        <f>Forecasts!DX36</f>
        <v>2309364.3529541171</v>
      </c>
      <c r="DY5" s="52">
        <f>Forecasts!DY36</f>
        <v>2346604.2666522795</v>
      </c>
      <c r="DZ5" s="52">
        <f>Forecasts!DZ36</f>
        <v>2383099.026987412</v>
      </c>
      <c r="EA5" s="165">
        <f t="shared" si="27"/>
        <v>9310317.7117113564</v>
      </c>
      <c r="EB5" s="52">
        <f>Forecasts!EB36</f>
        <v>2418960.2562308013</v>
      </c>
      <c r="EC5" s="52">
        <f>Forecasts!EC36</f>
        <v>2454286.0735118645</v>
      </c>
      <c r="ED5" s="52">
        <f>Forecasts!ED36</f>
        <v>2489163.73339559</v>
      </c>
      <c r="EE5" s="52">
        <f>Forecasts!EE36</f>
        <v>2523671.4207620574</v>
      </c>
      <c r="EF5" s="165">
        <f t="shared" si="28"/>
        <v>9886081.4839003123</v>
      </c>
    </row>
    <row r="6" spans="1:137" ht="12.75" hidden="1" customHeight="1" outlineLevel="1">
      <c r="A6" s="9" t="s">
        <v>282</v>
      </c>
      <c r="B6" s="171"/>
      <c r="C6" s="171"/>
      <c r="D6" s="171"/>
      <c r="E6" s="171"/>
      <c r="F6" s="165">
        <f t="shared" si="2"/>
        <v>0</v>
      </c>
      <c r="G6" s="171"/>
      <c r="H6" s="171"/>
      <c r="I6" s="171"/>
      <c r="J6" s="171"/>
      <c r="K6" s="165">
        <f t="shared" si="3"/>
        <v>0</v>
      </c>
      <c r="L6" s="171"/>
      <c r="M6" s="171"/>
      <c r="N6" s="171"/>
      <c r="O6" s="171"/>
      <c r="P6" s="165">
        <f t="shared" si="4"/>
        <v>0</v>
      </c>
      <c r="Q6" s="171"/>
      <c r="R6" s="171"/>
      <c r="S6" s="171"/>
      <c r="T6" s="171"/>
      <c r="U6" s="165">
        <f t="shared" si="5"/>
        <v>0</v>
      </c>
      <c r="V6" s="171"/>
      <c r="W6" s="171"/>
      <c r="X6" s="171"/>
      <c r="Y6" s="171"/>
      <c r="Z6" s="165">
        <f t="shared" si="6"/>
        <v>0</v>
      </c>
      <c r="AA6" s="171"/>
      <c r="AB6" s="171"/>
      <c r="AC6" s="171"/>
      <c r="AD6" s="171"/>
      <c r="AE6" s="165">
        <f t="shared" si="7"/>
        <v>0</v>
      </c>
      <c r="AF6" s="171"/>
      <c r="AG6" s="171"/>
      <c r="AH6" s="171"/>
      <c r="AI6" s="172"/>
      <c r="AJ6" s="165">
        <f t="shared" si="8"/>
        <v>0</v>
      </c>
      <c r="AK6" s="171"/>
      <c r="AL6" s="171"/>
      <c r="AM6" s="171"/>
      <c r="AN6" s="172"/>
      <c r="AO6" s="165">
        <f t="shared" si="9"/>
        <v>0</v>
      </c>
      <c r="AP6" s="171"/>
      <c r="AQ6" s="171"/>
      <c r="AR6" s="171"/>
      <c r="AS6" s="172"/>
      <c r="AT6" s="165">
        <f t="shared" si="10"/>
        <v>0</v>
      </c>
      <c r="AU6" s="171"/>
      <c r="AV6" s="171"/>
      <c r="AW6" s="171"/>
      <c r="AX6" s="172"/>
      <c r="AY6" s="165">
        <f t="shared" si="11"/>
        <v>0</v>
      </c>
      <c r="AZ6" s="171"/>
      <c r="BA6" s="171"/>
      <c r="BB6" s="171"/>
      <c r="BC6" s="171"/>
      <c r="BD6" s="165">
        <f t="shared" si="12"/>
        <v>0</v>
      </c>
      <c r="BE6" s="171"/>
      <c r="BF6" s="171"/>
      <c r="BG6" s="171"/>
      <c r="BH6" s="171"/>
      <c r="BI6" s="165">
        <f t="shared" si="13"/>
        <v>0</v>
      </c>
      <c r="BJ6" s="171"/>
      <c r="BK6" s="171"/>
      <c r="BL6" s="171"/>
      <c r="BM6" s="171"/>
      <c r="BN6" s="165">
        <f t="shared" si="14"/>
        <v>0</v>
      </c>
      <c r="BO6" s="171"/>
      <c r="BP6" s="171"/>
      <c r="BQ6" s="171"/>
      <c r="BR6" s="171"/>
      <c r="BS6" s="165">
        <f t="shared" si="15"/>
        <v>0</v>
      </c>
      <c r="BT6" s="171"/>
      <c r="BU6" s="171"/>
      <c r="BV6" s="171"/>
      <c r="BW6" s="171"/>
      <c r="BX6" s="165">
        <f t="shared" si="16"/>
        <v>0</v>
      </c>
      <c r="BY6" s="171"/>
      <c r="BZ6" s="171"/>
      <c r="CA6" s="171"/>
      <c r="CB6" s="171"/>
      <c r="CC6" s="165">
        <f t="shared" si="17"/>
        <v>0</v>
      </c>
      <c r="CD6" s="171"/>
      <c r="CE6" s="171"/>
      <c r="CF6" s="171"/>
      <c r="CG6" s="171"/>
      <c r="CH6" s="165">
        <f t="shared" si="18"/>
        <v>0</v>
      </c>
      <c r="CI6" s="171"/>
      <c r="CJ6" s="171"/>
      <c r="CK6" s="171"/>
      <c r="CL6" s="171"/>
      <c r="CM6" s="165">
        <f t="shared" si="19"/>
        <v>0</v>
      </c>
      <c r="CN6" s="171"/>
      <c r="CO6" s="171"/>
      <c r="CP6" s="171"/>
      <c r="CQ6" s="171"/>
      <c r="CR6" s="165">
        <f t="shared" si="20"/>
        <v>0</v>
      </c>
      <c r="CS6" s="171"/>
      <c r="CT6" s="171"/>
      <c r="CU6" s="171"/>
      <c r="CV6" s="171"/>
      <c r="CW6" s="165">
        <f t="shared" si="21"/>
        <v>0</v>
      </c>
      <c r="CX6" s="171"/>
      <c r="CY6" s="171"/>
      <c r="CZ6" s="171"/>
      <c r="DA6" s="171"/>
      <c r="DB6" s="165">
        <f t="shared" si="22"/>
        <v>0</v>
      </c>
      <c r="DC6" s="171"/>
      <c r="DD6" s="171"/>
      <c r="DE6" s="171"/>
      <c r="DF6" s="171"/>
      <c r="DG6" s="165">
        <f t="shared" si="23"/>
        <v>0</v>
      </c>
      <c r="DH6" s="171"/>
      <c r="DI6" s="171"/>
      <c r="DJ6" s="171">
        <f>AVERAGE(DE6/Macro!DE18,DF6/Macro!DF18,DH6/Macro!DH18,DI6/Macro!DI18)*'Balance Sheet'!DJ9/'Balance Sheet'!DE9*Macro!DJ18*0.95</f>
        <v>0</v>
      </c>
      <c r="DK6" s="171">
        <f>AVERAGE(DF6/Macro!DF18,DH6/Macro!DH18,DI6/Macro!DI18,DJ6/Macro!DJ18)*'Balance Sheet'!DK9/'Balance Sheet'!DF9*Macro!DK18*0.95</f>
        <v>0</v>
      </c>
      <c r="DL6" s="165">
        <f t="shared" si="24"/>
        <v>0</v>
      </c>
      <c r="DM6" s="171">
        <f>AVERAGE(DH6/Macro!DH18,DI6/Macro!DI18,DJ6/Macro!DJ18,DK6/Macro!DK18)*'Balance Sheet'!DM9/'Balance Sheet'!DH9*Macro!DM18*0.95</f>
        <v>0</v>
      </c>
      <c r="DN6" s="171">
        <f>AVERAGE(DI6/Macro!DI18,DJ6/Macro!DJ18,DK6/Macro!DK18,DM6/Macro!DM18)*'Balance Sheet'!DN9/'Balance Sheet'!DI9*Macro!DN18*0.95</f>
        <v>0</v>
      </c>
      <c r="DO6" s="171">
        <f>AVERAGE(DJ6/Macro!DJ18,DK6/Macro!DK18,DM6/Macro!DM18,DN6/Macro!DN18)*'Balance Sheet'!DO9/'Balance Sheet'!DJ9*Macro!DO18*0.95</f>
        <v>0</v>
      </c>
      <c r="DP6" s="171">
        <f>AVERAGE(DK6/Macro!DK18,DM6/Macro!DM18,DN6/Macro!DN18,DO6/Macro!DO18)*'Balance Sheet'!DP9/'Balance Sheet'!DK9*Macro!DP18*0.95</f>
        <v>0</v>
      </c>
      <c r="DQ6" s="165">
        <f t="shared" si="25"/>
        <v>0</v>
      </c>
      <c r="DR6" s="171">
        <f>AVERAGE(DM6/Macro!DM18,DN6/Macro!DN18,DO6/Macro!DO18,DP6/Macro!DP18)*'Balance Sheet'!DR9/'Balance Sheet'!DM9*Macro!DR18*0.95</f>
        <v>0</v>
      </c>
      <c r="DS6" s="171">
        <f>AVERAGE(DN6/Macro!DN18,DO6/Macro!DO18,DP6/Macro!DP18,DR6/Macro!DR18)*'Balance Sheet'!DS9/'Balance Sheet'!DN9*Macro!DS18*0.95</f>
        <v>0</v>
      </c>
      <c r="DT6" s="171">
        <f>AVERAGE(DO6/Macro!DO18,DP6/Macro!DP18,DR6/Macro!DR18,DS6/Macro!DS18)*'Balance Sheet'!DT9/'Balance Sheet'!DO9*Macro!DT18*0.95</f>
        <v>0</v>
      </c>
      <c r="DU6" s="171">
        <f>AVERAGE(DP6/Macro!DP18,DR6/Macro!DR18,DS6/Macro!DS18,DT6/Macro!DT18)*'Balance Sheet'!DU9/'Balance Sheet'!DP9*Macro!DU18*0.95</f>
        <v>0</v>
      </c>
      <c r="DV6" s="165">
        <f t="shared" si="26"/>
        <v>0</v>
      </c>
      <c r="DW6" s="171">
        <f>AVERAGE(DR6/Macro!DR18,DS6/Macro!DS18,DT6/Macro!DT18,DU6/Macro!DU18)*'Balance Sheet'!DW9/'Balance Sheet'!DR9*Macro!DW18*0.95</f>
        <v>0</v>
      </c>
      <c r="DX6" s="171">
        <f>AVERAGE(DS6/Macro!DS18,DT6/Macro!DT18,DU6/Macro!DU18,DW6/Macro!DW18)*'Balance Sheet'!DX9/'Balance Sheet'!DS9*Macro!DX18*0.95</f>
        <v>0</v>
      </c>
      <c r="DY6" s="171">
        <f>AVERAGE(DT6/Macro!DT18,DU6/Macro!DU18,DW6/Macro!DW18,DX6/Macro!DX18)*'Balance Sheet'!DY9/'Balance Sheet'!DT9*Macro!DY18*0.95</f>
        <v>0</v>
      </c>
      <c r="DZ6" s="171">
        <f>AVERAGE(DU6/Macro!DU18,DW6/Macro!DW18,DX6/Macro!DX18,DY6/Macro!DY18)*'Balance Sheet'!DZ9/'Balance Sheet'!DU9*Macro!DZ18*0.95</f>
        <v>0</v>
      </c>
      <c r="EA6" s="165">
        <f t="shared" si="27"/>
        <v>0</v>
      </c>
      <c r="EB6" s="171">
        <f>AVERAGE(DW6/Macro!DW18,DX6/Macro!DX18,DY6/Macro!DY18,DZ6/Macro!DZ18)*'Balance Sheet'!EB9/'Balance Sheet'!DW9*Macro!EB18*0.95</f>
        <v>0</v>
      </c>
      <c r="EC6" s="171">
        <f>AVERAGE(DX6/Macro!DX18,DY6/Macro!DY18,DZ6/Macro!DZ18,EB6/Macro!EB18)*'Balance Sheet'!EC9/'Balance Sheet'!DX9*Macro!EC18*0.95</f>
        <v>0</v>
      </c>
      <c r="ED6" s="171">
        <f>AVERAGE(DY6/Macro!DY18,DZ6/Macro!DZ18,EB6/Macro!EB18,EC6/Macro!EC18)*'Balance Sheet'!ED9/'Balance Sheet'!DY9*Macro!ED18*0.95</f>
        <v>0</v>
      </c>
      <c r="EE6" s="171">
        <f>AVERAGE(DZ6/Macro!DZ18,EB6/Macro!EB18,EC6/Macro!EC18,ED6/Macro!ED18)*'Balance Sheet'!EE9/'Balance Sheet'!DZ9*Macro!EE18*0.95</f>
        <v>0</v>
      </c>
      <c r="EF6" s="165">
        <f t="shared" si="28"/>
        <v>0</v>
      </c>
    </row>
    <row r="7" spans="1:137" ht="12.75" customHeight="1" collapsed="1">
      <c r="A7" s="9" t="s">
        <v>180</v>
      </c>
      <c r="B7" s="171"/>
      <c r="C7" s="171"/>
      <c r="D7" s="171"/>
      <c r="E7" s="171"/>
      <c r="F7" s="165">
        <f t="shared" si="2"/>
        <v>0</v>
      </c>
      <c r="G7" s="171"/>
      <c r="H7" s="171"/>
      <c r="I7" s="171"/>
      <c r="J7" s="171"/>
      <c r="K7" s="165">
        <f t="shared" si="3"/>
        <v>0</v>
      </c>
      <c r="L7" s="171"/>
      <c r="M7" s="171"/>
      <c r="N7" s="171"/>
      <c r="O7" s="171"/>
      <c r="P7" s="165">
        <f t="shared" si="4"/>
        <v>0</v>
      </c>
      <c r="Q7" s="171"/>
      <c r="R7" s="171"/>
      <c r="S7" s="171"/>
      <c r="T7" s="171"/>
      <c r="U7" s="165">
        <f t="shared" si="5"/>
        <v>0</v>
      </c>
      <c r="V7" s="171"/>
      <c r="W7" s="171"/>
      <c r="X7" s="171"/>
      <c r="Y7" s="171"/>
      <c r="Z7" s="165">
        <f t="shared" si="6"/>
        <v>0</v>
      </c>
      <c r="AA7" s="171"/>
      <c r="AB7" s="171"/>
      <c r="AC7" s="171"/>
      <c r="AD7" s="171"/>
      <c r="AE7" s="165">
        <f t="shared" si="7"/>
        <v>0</v>
      </c>
      <c r="AF7" s="171"/>
      <c r="AG7" s="171"/>
      <c r="AH7" s="171"/>
      <c r="AI7" s="172"/>
      <c r="AJ7" s="165">
        <f t="shared" si="8"/>
        <v>0</v>
      </c>
      <c r="AK7" s="171"/>
      <c r="AL7" s="171"/>
      <c r="AM7" s="171"/>
      <c r="AN7" s="172"/>
      <c r="AO7" s="165">
        <f t="shared" si="9"/>
        <v>0</v>
      </c>
      <c r="AP7" s="171"/>
      <c r="AQ7" s="171"/>
      <c r="AR7" s="171"/>
      <c r="AS7" s="172"/>
      <c r="AT7" s="165">
        <f t="shared" si="10"/>
        <v>0</v>
      </c>
      <c r="AU7" s="171"/>
      <c r="AV7" s="171"/>
      <c r="AW7" s="171"/>
      <c r="AX7" s="172"/>
      <c r="AY7" s="165">
        <f t="shared" si="11"/>
        <v>0</v>
      </c>
      <c r="AZ7" s="171"/>
      <c r="BA7" s="171"/>
      <c r="BB7" s="171"/>
      <c r="BC7" s="171">
        <v>443842</v>
      </c>
      <c r="BD7" s="165">
        <f t="shared" si="12"/>
        <v>443842</v>
      </c>
      <c r="BE7" s="171"/>
      <c r="BF7" s="171"/>
      <c r="BG7" s="171"/>
      <c r="BH7" s="171">
        <v>418891</v>
      </c>
      <c r="BI7" s="165">
        <f t="shared" si="13"/>
        <v>418891</v>
      </c>
      <c r="BJ7" s="171"/>
      <c r="BK7" s="171"/>
      <c r="BL7" s="171"/>
      <c r="BM7" s="171">
        <v>264902</v>
      </c>
      <c r="BN7" s="165">
        <f t="shared" si="14"/>
        <v>264902</v>
      </c>
      <c r="BO7" s="171"/>
      <c r="BP7" s="171"/>
      <c r="BQ7" s="171"/>
      <c r="BR7" s="171">
        <f>102559</f>
        <v>102559</v>
      </c>
      <c r="BS7" s="165">
        <f t="shared" si="15"/>
        <v>102559</v>
      </c>
      <c r="BT7" s="171"/>
      <c r="BU7" s="171"/>
      <c r="BV7" s="171"/>
      <c r="BW7" s="171">
        <f>22851</f>
        <v>22851</v>
      </c>
      <c r="BX7" s="165">
        <f t="shared" si="16"/>
        <v>22851</v>
      </c>
      <c r="BY7" s="171">
        <v>1631</v>
      </c>
      <c r="BZ7" s="172">
        <v>28524</v>
      </c>
      <c r="CA7" s="171">
        <v>1241</v>
      </c>
      <c r="CB7" s="171">
        <f>13105-SUM(BY7:CA7)</f>
        <v>-18291</v>
      </c>
      <c r="CC7" s="165">
        <f t="shared" si="17"/>
        <v>13105</v>
      </c>
      <c r="CD7" s="171">
        <v>841</v>
      </c>
      <c r="CE7" s="171">
        <v>679</v>
      </c>
      <c r="CF7" s="171">
        <f>2619-SUM(CD7:CE7)</f>
        <v>1099</v>
      </c>
      <c r="CG7" s="171">
        <f>10268-SUM(CD7:CF7)</f>
        <v>7649</v>
      </c>
      <c r="CH7" s="165">
        <f t="shared" si="18"/>
        <v>10268</v>
      </c>
      <c r="CI7" s="171">
        <v>1114</v>
      </c>
      <c r="CJ7" s="171">
        <v>1364</v>
      </c>
      <c r="CK7" s="171">
        <f>3550-SUM(CI7:CJ7)</f>
        <v>1072</v>
      </c>
      <c r="CL7" s="171">
        <f>4250-SUM(CI7:CK7)</f>
        <v>700</v>
      </c>
      <c r="CM7" s="165">
        <f t="shared" si="19"/>
        <v>4250</v>
      </c>
      <c r="CN7" s="171">
        <v>1065</v>
      </c>
      <c r="CO7" s="171">
        <v>1756</v>
      </c>
      <c r="CP7" s="171">
        <f>4197-SUM(CN7:CO7)</f>
        <v>1376</v>
      </c>
      <c r="CQ7" s="171">
        <f>5373-SUM(CN7:CP7)</f>
        <v>1176</v>
      </c>
      <c r="CR7" s="165">
        <f t="shared" si="20"/>
        <v>5373</v>
      </c>
      <c r="CS7" s="171">
        <v>1576</v>
      </c>
      <c r="CT7" s="171">
        <v>1173</v>
      </c>
      <c r="CU7" s="171">
        <v>1637</v>
      </c>
      <c r="CV7" s="171">
        <f>5353-SUM(CS7:CU7)</f>
        <v>967</v>
      </c>
      <c r="CW7" s="165">
        <f t="shared" si="21"/>
        <v>5353</v>
      </c>
      <c r="CX7" s="171">
        <v>1761</v>
      </c>
      <c r="CY7" s="171">
        <v>937</v>
      </c>
      <c r="CZ7" s="171">
        <v>0</v>
      </c>
      <c r="DA7" s="171">
        <f>2714-SUM(CX7:CZ7)</f>
        <v>16</v>
      </c>
      <c r="DB7" s="165">
        <f t="shared" si="22"/>
        <v>2714</v>
      </c>
      <c r="DC7" s="171">
        <v>6414</v>
      </c>
      <c r="DD7" s="171">
        <v>381</v>
      </c>
      <c r="DE7" s="171">
        <v>2324</v>
      </c>
      <c r="DF7" s="171">
        <f>10835-SUM(DC7:DE7)</f>
        <v>1716</v>
      </c>
      <c r="DG7" s="165">
        <f t="shared" si="23"/>
        <v>10835</v>
      </c>
      <c r="DH7" s="171">
        <v>1439</v>
      </c>
      <c r="DI7" s="171">
        <v>555</v>
      </c>
      <c r="DJ7" s="52">
        <f>Forecasts!DJ42</f>
        <v>3428.1948163943439</v>
      </c>
      <c r="DK7" s="52">
        <f>Forecasts!DK42</f>
        <v>3712.2288161925953</v>
      </c>
      <c r="DL7" s="165">
        <f t="shared" si="24"/>
        <v>9134.4236325869388</v>
      </c>
      <c r="DM7" s="52">
        <f>Forecasts!DM42</f>
        <v>3792.2589852509177</v>
      </c>
      <c r="DN7" s="52">
        <f>Forecasts!DN42</f>
        <v>3917.1378228295748</v>
      </c>
      <c r="DO7" s="52">
        <f>Forecasts!DO42</f>
        <v>4023.0788645020243</v>
      </c>
      <c r="DP7" s="52">
        <f>Forecasts!DP42</f>
        <v>4120.8687776661418</v>
      </c>
      <c r="DQ7" s="165">
        <f t="shared" si="25"/>
        <v>15853.34445024866</v>
      </c>
      <c r="DR7" s="52">
        <f>Forecasts!DR42</f>
        <v>4212.6366055819553</v>
      </c>
      <c r="DS7" s="52">
        <f>Forecasts!DS42</f>
        <v>4299.8597034877594</v>
      </c>
      <c r="DT7" s="52">
        <f>Forecasts!DT42</f>
        <v>4383.4981154074785</v>
      </c>
      <c r="DU7" s="52">
        <f>Forecasts!DU42</f>
        <v>4464.215866149776</v>
      </c>
      <c r="DV7" s="165">
        <f t="shared" si="26"/>
        <v>17360.210290626972</v>
      </c>
      <c r="DW7" s="52">
        <f>Forecasts!DW42</f>
        <v>4542.5001302350965</v>
      </c>
      <c r="DX7" s="52">
        <f>Forecasts!DX42</f>
        <v>4618.7287059082346</v>
      </c>
      <c r="DY7" s="52">
        <f>Forecasts!DY42</f>
        <v>4693.2085333045588</v>
      </c>
      <c r="DZ7" s="52">
        <f>Forecasts!DZ42</f>
        <v>4766.1980539748238</v>
      </c>
      <c r="EA7" s="165">
        <f t="shared" si="27"/>
        <v>18620.635423422711</v>
      </c>
      <c r="EB7" s="52">
        <f>Forecasts!EB42</f>
        <v>4837.9205124616028</v>
      </c>
      <c r="EC7" s="52">
        <f>Forecasts!EC42</f>
        <v>4908.5721470237295</v>
      </c>
      <c r="ED7" s="52">
        <f>Forecasts!ED42</f>
        <v>4978.3274667911801</v>
      </c>
      <c r="EE7" s="52">
        <f>Forecasts!EE42</f>
        <v>5047.3428415241151</v>
      </c>
      <c r="EF7" s="165">
        <f t="shared" si="28"/>
        <v>19772.162967800625</v>
      </c>
    </row>
    <row r="8" spans="1:137" s="3" customFormat="1" ht="12.75" customHeight="1">
      <c r="A8" s="15" t="s">
        <v>33</v>
      </c>
      <c r="B8" s="166">
        <f>B9</f>
        <v>0</v>
      </c>
      <c r="C8" s="166">
        <f>C9</f>
        <v>0</v>
      </c>
      <c r="D8" s="166">
        <f>D9</f>
        <v>0</v>
      </c>
      <c r="E8" s="166">
        <f>E9</f>
        <v>0</v>
      </c>
      <c r="F8" s="167">
        <f t="shared" si="2"/>
        <v>0</v>
      </c>
      <c r="G8" s="166">
        <f>G9</f>
        <v>0</v>
      </c>
      <c r="H8" s="166">
        <f>H9</f>
        <v>0</v>
      </c>
      <c r="I8" s="166">
        <f>I9</f>
        <v>0</v>
      </c>
      <c r="J8" s="166">
        <f>J9</f>
        <v>0</v>
      </c>
      <c r="K8" s="167">
        <f t="shared" si="3"/>
        <v>0</v>
      </c>
      <c r="L8" s="166">
        <f>L9</f>
        <v>0</v>
      </c>
      <c r="M8" s="166">
        <f>M9</f>
        <v>0</v>
      </c>
      <c r="N8" s="166">
        <f>N9</f>
        <v>0</v>
      </c>
      <c r="O8" s="166">
        <f>O9</f>
        <v>0</v>
      </c>
      <c r="P8" s="167">
        <f t="shared" si="4"/>
        <v>0</v>
      </c>
      <c r="Q8" s="166">
        <f>Q9</f>
        <v>0</v>
      </c>
      <c r="R8" s="166">
        <f>R9</f>
        <v>0</v>
      </c>
      <c r="S8" s="166">
        <f>S9</f>
        <v>0</v>
      </c>
      <c r="T8" s="166">
        <f>T9</f>
        <v>0</v>
      </c>
      <c r="U8" s="167">
        <f t="shared" si="5"/>
        <v>0</v>
      </c>
      <c r="V8" s="166">
        <f>V9</f>
        <v>0</v>
      </c>
      <c r="W8" s="166">
        <f>W9</f>
        <v>0</v>
      </c>
      <c r="X8" s="166">
        <f>X9</f>
        <v>0</v>
      </c>
      <c r="Y8" s="166">
        <f>Y9</f>
        <v>0</v>
      </c>
      <c r="Z8" s="167">
        <f t="shared" si="6"/>
        <v>0</v>
      </c>
      <c r="AA8" s="166">
        <f>AA9</f>
        <v>0</v>
      </c>
      <c r="AB8" s="166">
        <f>AB9</f>
        <v>0</v>
      </c>
      <c r="AC8" s="166">
        <f>AC9</f>
        <v>0</v>
      </c>
      <c r="AD8" s="166">
        <f>AD9</f>
        <v>0</v>
      </c>
      <c r="AE8" s="167">
        <f t="shared" si="7"/>
        <v>0</v>
      </c>
      <c r="AF8" s="166">
        <f>AF9</f>
        <v>0</v>
      </c>
      <c r="AG8" s="166">
        <f>AG9</f>
        <v>0</v>
      </c>
      <c r="AH8" s="166">
        <f>AH9</f>
        <v>0</v>
      </c>
      <c r="AI8" s="166">
        <f>AI9</f>
        <v>-5088.6411290849674</v>
      </c>
      <c r="AJ8" s="167">
        <f t="shared" si="8"/>
        <v>-5088.6411290849674</v>
      </c>
      <c r="AK8" s="166">
        <f>AK9</f>
        <v>0</v>
      </c>
      <c r="AL8" s="166">
        <f>AL9</f>
        <v>0</v>
      </c>
      <c r="AM8" s="166">
        <f>AM9</f>
        <v>0</v>
      </c>
      <c r="AN8" s="166">
        <f>AN9</f>
        <v>-9014.4249297385632</v>
      </c>
      <c r="AO8" s="167">
        <f t="shared" si="9"/>
        <v>-9014.4249297385632</v>
      </c>
      <c r="AP8" s="166">
        <f>AP9</f>
        <v>0</v>
      </c>
      <c r="AQ8" s="166">
        <f>AQ9</f>
        <v>0</v>
      </c>
      <c r="AR8" s="166">
        <f>AR9</f>
        <v>0</v>
      </c>
      <c r="AS8" s="166">
        <f>AS9</f>
        <v>-10280.394838235296</v>
      </c>
      <c r="AT8" s="167">
        <f t="shared" si="10"/>
        <v>-10280.394838235296</v>
      </c>
      <c r="AU8" s="166">
        <f>AU9</f>
        <v>0</v>
      </c>
      <c r="AV8" s="166">
        <f>AV9</f>
        <v>0</v>
      </c>
      <c r="AW8" s="166">
        <f>AW9</f>
        <v>0</v>
      </c>
      <c r="AX8" s="166">
        <f>AX9</f>
        <v>-15664.175349673202</v>
      </c>
      <c r="AY8" s="167">
        <f t="shared" si="11"/>
        <v>-15664.175349673202</v>
      </c>
      <c r="AZ8" s="166">
        <f>AZ9</f>
        <v>0</v>
      </c>
      <c r="BA8" s="166">
        <f>BA9</f>
        <v>0</v>
      </c>
      <c r="BB8" s="166">
        <f>BB9</f>
        <v>0</v>
      </c>
      <c r="BC8" s="166">
        <f>BC9</f>
        <v>-13595</v>
      </c>
      <c r="BD8" s="167">
        <f t="shared" si="12"/>
        <v>-13595</v>
      </c>
      <c r="BE8" s="166">
        <f>BE9</f>
        <v>0</v>
      </c>
      <c r="BF8" s="166">
        <f>BF9</f>
        <v>0</v>
      </c>
      <c r="BG8" s="166">
        <f>BG9</f>
        <v>0</v>
      </c>
      <c r="BH8" s="166">
        <f>BH9</f>
        <v>-11309</v>
      </c>
      <c r="BI8" s="167">
        <f t="shared" si="13"/>
        <v>-11309</v>
      </c>
      <c r="BJ8" s="166">
        <f>BJ9</f>
        <v>0</v>
      </c>
      <c r="BK8" s="166">
        <f>BK9</f>
        <v>0</v>
      </c>
      <c r="BL8" s="166">
        <f>BL9</f>
        <v>0</v>
      </c>
      <c r="BM8" s="166">
        <f>BM9</f>
        <v>-13047</v>
      </c>
      <c r="BN8" s="167">
        <f t="shared" si="14"/>
        <v>-13047</v>
      </c>
      <c r="BO8" s="166">
        <f>BO9</f>
        <v>0</v>
      </c>
      <c r="BP8" s="166">
        <f>BP9</f>
        <v>0</v>
      </c>
      <c r="BQ8" s="166">
        <f>BQ9</f>
        <v>0</v>
      </c>
      <c r="BR8" s="166">
        <f>BR9</f>
        <v>-17537</v>
      </c>
      <c r="BS8" s="167">
        <f t="shared" si="15"/>
        <v>-17537</v>
      </c>
      <c r="BT8" s="166">
        <f>BT9</f>
        <v>0</v>
      </c>
      <c r="BU8" s="166">
        <f>BU9</f>
        <v>0</v>
      </c>
      <c r="BV8" s="166">
        <f>BV9</f>
        <v>0</v>
      </c>
      <c r="BW8" s="166">
        <f>BW9</f>
        <v>-22692</v>
      </c>
      <c r="BX8" s="167">
        <f t="shared" si="16"/>
        <v>-22692</v>
      </c>
      <c r="BY8" s="166">
        <f>BY9</f>
        <v>-4917</v>
      </c>
      <c r="BZ8" s="166">
        <f>BZ9</f>
        <v>-5877</v>
      </c>
      <c r="CA8" s="166">
        <f>CA9</f>
        <v>-6651</v>
      </c>
      <c r="CB8" s="166">
        <f>CB9</f>
        <v>-7065</v>
      </c>
      <c r="CC8" s="167">
        <f t="shared" si="17"/>
        <v>-24510</v>
      </c>
      <c r="CD8" s="166">
        <f>CD9</f>
        <v>-5777</v>
      </c>
      <c r="CE8" s="166">
        <f>CE9</f>
        <v>-6250</v>
      </c>
      <c r="CF8" s="166">
        <f>CF9</f>
        <v>-8608</v>
      </c>
      <c r="CG8" s="166">
        <f>CG9</f>
        <v>-7754</v>
      </c>
      <c r="CH8" s="167">
        <f t="shared" si="18"/>
        <v>-28389</v>
      </c>
      <c r="CI8" s="166">
        <f>CI9</f>
        <v>-7690</v>
      </c>
      <c r="CJ8" s="166">
        <f>CJ9</f>
        <v>-10737</v>
      </c>
      <c r="CK8" s="166">
        <f>CK9</f>
        <v>-10247</v>
      </c>
      <c r="CL8" s="166">
        <f>CL9</f>
        <v>-11201</v>
      </c>
      <c r="CM8" s="167">
        <f t="shared" si="19"/>
        <v>-39875</v>
      </c>
      <c r="CN8" s="166">
        <f>CN9</f>
        <v>-10796</v>
      </c>
      <c r="CO8" s="166">
        <f>CO9</f>
        <v>-13624</v>
      </c>
      <c r="CP8" s="166">
        <f>CP9</f>
        <v>-13778</v>
      </c>
      <c r="CQ8" s="166">
        <f>CQ9</f>
        <v>-12943</v>
      </c>
      <c r="CR8" s="167">
        <f t="shared" si="20"/>
        <v>-51141</v>
      </c>
      <c r="CS8" s="166">
        <f>CS9</f>
        <v>-12467</v>
      </c>
      <c r="CT8" s="166">
        <f>CT9</f>
        <v>-15606</v>
      </c>
      <c r="CU8" s="166">
        <f>CU9</f>
        <v>-16281</v>
      </c>
      <c r="CV8" s="166">
        <f>CV9</f>
        <v>-17479</v>
      </c>
      <c r="CW8" s="167">
        <f t="shared" si="21"/>
        <v>-61833</v>
      </c>
      <c r="CX8" s="166">
        <f>CX9</f>
        <v>-17543</v>
      </c>
      <c r="CY8" s="166">
        <f>CY9</f>
        <v>-19791</v>
      </c>
      <c r="CZ8" s="166">
        <f>CZ9</f>
        <v>-22474</v>
      </c>
      <c r="DA8" s="166">
        <f>DA9</f>
        <v>-21505</v>
      </c>
      <c r="DB8" s="167">
        <f t="shared" si="22"/>
        <v>-81313</v>
      </c>
      <c r="DC8" s="166">
        <f>DC9</f>
        <v>-28223</v>
      </c>
      <c r="DD8" s="166">
        <f>DD9</f>
        <v>-28888</v>
      </c>
      <c r="DE8" s="166">
        <f>DE9</f>
        <v>-32495</v>
      </c>
      <c r="DF8" s="166">
        <f>DF9</f>
        <v>-34105</v>
      </c>
      <c r="DG8" s="167">
        <f t="shared" si="23"/>
        <v>-123711</v>
      </c>
      <c r="DH8" s="166">
        <f>DH9</f>
        <v>-31903</v>
      </c>
      <c r="DI8" s="166">
        <f>DI9</f>
        <v>-35160</v>
      </c>
      <c r="DJ8" s="166">
        <f>DJ9</f>
        <v>-35724.532542682173</v>
      </c>
      <c r="DK8" s="166">
        <f>DK9</f>
        <v>-38684.394047779795</v>
      </c>
      <c r="DL8" s="167">
        <f t="shared" si="24"/>
        <v>-141471.92659046195</v>
      </c>
      <c r="DM8" s="166">
        <f>DM9</f>
        <v>-39518.372433502765</v>
      </c>
      <c r="DN8" s="166">
        <f>DN9</f>
        <v>-40819.709824142432</v>
      </c>
      <c r="DO8" s="166">
        <f>DO9</f>
        <v>-41923.700231202696</v>
      </c>
      <c r="DP8" s="166">
        <f>DP9</f>
        <v>-42942.749358303328</v>
      </c>
      <c r="DQ8" s="167">
        <f t="shared" si="25"/>
        <v>-165204.53184715123</v>
      </c>
      <c r="DR8" s="166">
        <f>DR9</f>
        <v>-43899.04353944843</v>
      </c>
      <c r="DS8" s="166">
        <f>DS9</f>
        <v>-44807.977998105242</v>
      </c>
      <c r="DT8" s="166">
        <f>DT9</f>
        <v>-45679.557161038239</v>
      </c>
      <c r="DU8" s="166">
        <f>DU9</f>
        <v>-46520.700697973582</v>
      </c>
      <c r="DV8" s="167">
        <f t="shared" si="26"/>
        <v>-180907.27939656549</v>
      </c>
      <c r="DW8" s="166">
        <f>DW9</f>
        <v>-47336.485357153892</v>
      </c>
      <c r="DX8" s="166">
        <f>DX9</f>
        <v>-48130.84809852852</v>
      </c>
      <c r="DY8" s="166">
        <f>DY9</f>
        <v>-48906.987483860154</v>
      </c>
      <c r="DZ8" s="166">
        <f>DZ9</f>
        <v>-49667.596680860843</v>
      </c>
      <c r="EA8" s="167">
        <f t="shared" si="27"/>
        <v>-194041.9176204034</v>
      </c>
      <c r="EB8" s="166">
        <f>EB9</f>
        <v>-50415.002076259865</v>
      </c>
      <c r="EC8" s="166">
        <f>EC9</f>
        <v>-51151.248629704874</v>
      </c>
      <c r="ED8" s="166">
        <f>ED9</f>
        <v>-51878.154865937526</v>
      </c>
      <c r="EE8" s="166">
        <f>EE9</f>
        <v>-52597.350282954496</v>
      </c>
      <c r="EF8" s="167">
        <f t="shared" si="28"/>
        <v>-206041.75585485678</v>
      </c>
    </row>
    <row r="9" spans="1:137" ht="12.75" customHeight="1" outlineLevel="1">
      <c r="A9" s="9" t="s">
        <v>181</v>
      </c>
      <c r="B9" s="171"/>
      <c r="C9" s="171"/>
      <c r="D9" s="171"/>
      <c r="E9" s="171"/>
      <c r="F9" s="165">
        <f t="shared" si="2"/>
        <v>0</v>
      </c>
      <c r="G9" s="171"/>
      <c r="H9" s="171"/>
      <c r="I9" s="171"/>
      <c r="J9" s="171"/>
      <c r="K9" s="165">
        <f t="shared" si="3"/>
        <v>0</v>
      </c>
      <c r="L9" s="171"/>
      <c r="M9" s="171"/>
      <c r="N9" s="171"/>
      <c r="O9" s="171"/>
      <c r="P9" s="165">
        <f t="shared" si="4"/>
        <v>0</v>
      </c>
      <c r="Q9" s="171"/>
      <c r="R9" s="171"/>
      <c r="S9" s="171"/>
      <c r="T9" s="171"/>
      <c r="U9" s="165">
        <f t="shared" si="5"/>
        <v>0</v>
      </c>
      <c r="V9" s="171"/>
      <c r="W9" s="171"/>
      <c r="X9" s="171"/>
      <c r="Y9" s="171"/>
      <c r="Z9" s="165">
        <f t="shared" si="6"/>
        <v>0</v>
      </c>
      <c r="AA9" s="171"/>
      <c r="AB9" s="171"/>
      <c r="AC9" s="171"/>
      <c r="AD9" s="171"/>
      <c r="AE9" s="165">
        <f t="shared" si="7"/>
        <v>0</v>
      </c>
      <c r="AF9" s="171"/>
      <c r="AG9" s="171"/>
      <c r="AH9" s="114"/>
      <c r="AI9" s="172">
        <f>-AI10*AI5</f>
        <v>-5088.6411290849674</v>
      </c>
      <c r="AJ9" s="165">
        <f t="shared" si="8"/>
        <v>-5088.6411290849674</v>
      </c>
      <c r="AK9" s="171"/>
      <c r="AL9" s="171"/>
      <c r="AM9" s="114"/>
      <c r="AN9" s="172">
        <f>-AN10*AN5</f>
        <v>-9014.4249297385632</v>
      </c>
      <c r="AO9" s="165">
        <f t="shared" si="9"/>
        <v>-9014.4249297385632</v>
      </c>
      <c r="AP9" s="171"/>
      <c r="AQ9" s="171"/>
      <c r="AR9" s="114"/>
      <c r="AS9" s="172">
        <f>-AS10*AS5</f>
        <v>-10280.394838235296</v>
      </c>
      <c r="AT9" s="165">
        <f t="shared" si="10"/>
        <v>-10280.394838235296</v>
      </c>
      <c r="AU9" s="171"/>
      <c r="AV9" s="171"/>
      <c r="AW9" s="114"/>
      <c r="AX9" s="172">
        <f>-AX10*AX5</f>
        <v>-15664.175349673202</v>
      </c>
      <c r="AY9" s="165">
        <f t="shared" si="11"/>
        <v>-15664.175349673202</v>
      </c>
      <c r="AZ9" s="171"/>
      <c r="BA9" s="171"/>
      <c r="BB9" s="114"/>
      <c r="BC9" s="114">
        <v>-13595</v>
      </c>
      <c r="BD9" s="165">
        <f t="shared" si="12"/>
        <v>-13595</v>
      </c>
      <c r="BE9" s="171"/>
      <c r="BF9" s="171"/>
      <c r="BG9" s="114"/>
      <c r="BH9" s="114">
        <v>-11309</v>
      </c>
      <c r="BI9" s="165">
        <f t="shared" si="13"/>
        <v>-11309</v>
      </c>
      <c r="BJ9" s="171"/>
      <c r="BK9" s="171"/>
      <c r="BL9" s="114"/>
      <c r="BM9" s="114">
        <v>-13047</v>
      </c>
      <c r="BN9" s="165">
        <f t="shared" si="14"/>
        <v>-13047</v>
      </c>
      <c r="BO9" s="171"/>
      <c r="BP9" s="171"/>
      <c r="BQ9" s="114"/>
      <c r="BR9" s="114">
        <f>-17537</f>
        <v>-17537</v>
      </c>
      <c r="BS9" s="165">
        <f t="shared" si="15"/>
        <v>-17537</v>
      </c>
      <c r="BT9" s="171"/>
      <c r="BU9" s="171"/>
      <c r="BV9" s="114"/>
      <c r="BW9" s="114">
        <f>-22692</f>
        <v>-22692</v>
      </c>
      <c r="BX9" s="165">
        <f t="shared" si="16"/>
        <v>-22692</v>
      </c>
      <c r="BY9" s="171">
        <v>-4917</v>
      </c>
      <c r="BZ9" s="171">
        <v>-5877</v>
      </c>
      <c r="CA9" s="171">
        <v>-6651</v>
      </c>
      <c r="CB9" s="114">
        <f>-24510-SUM(BY9:CA9)</f>
        <v>-7065</v>
      </c>
      <c r="CC9" s="165">
        <f t="shared" si="17"/>
        <v>-24510</v>
      </c>
      <c r="CD9" s="171">
        <v>-5777</v>
      </c>
      <c r="CE9" s="171">
        <v>-6250</v>
      </c>
      <c r="CF9" s="171">
        <f>-20635-SUM(CD9:CE9)</f>
        <v>-8608</v>
      </c>
      <c r="CG9" s="114">
        <f>-28389-SUM(CD9:CF9)</f>
        <v>-7754</v>
      </c>
      <c r="CH9" s="165">
        <f t="shared" si="18"/>
        <v>-28389</v>
      </c>
      <c r="CI9" s="171">
        <v>-7690</v>
      </c>
      <c r="CJ9" s="171">
        <v>-10737</v>
      </c>
      <c r="CK9" s="171">
        <f>-28674-SUM(CI9:CJ9)</f>
        <v>-10247</v>
      </c>
      <c r="CL9" s="114">
        <f>-39875-SUM(CI9:CK9)</f>
        <v>-11201</v>
      </c>
      <c r="CM9" s="165">
        <f t="shared" si="19"/>
        <v>-39875</v>
      </c>
      <c r="CN9" s="171">
        <v>-10796</v>
      </c>
      <c r="CO9" s="171">
        <v>-13624</v>
      </c>
      <c r="CP9" s="171">
        <f>-38198-SUM(CN9:CO9)</f>
        <v>-13778</v>
      </c>
      <c r="CQ9" s="114">
        <f>-51141-SUM(CN9:CP9)</f>
        <v>-12943</v>
      </c>
      <c r="CR9" s="165">
        <f t="shared" si="20"/>
        <v>-51141</v>
      </c>
      <c r="CS9" s="171">
        <v>-12467</v>
      </c>
      <c r="CT9" s="171">
        <v>-15606</v>
      </c>
      <c r="CU9" s="171">
        <v>-16281</v>
      </c>
      <c r="CV9" s="114">
        <f>-61833-SUM(CS9:CU9)</f>
        <v>-17479</v>
      </c>
      <c r="CW9" s="165">
        <f t="shared" si="21"/>
        <v>-61833</v>
      </c>
      <c r="CX9" s="171">
        <v>-17543</v>
      </c>
      <c r="CY9" s="171">
        <v>-19791</v>
      </c>
      <c r="CZ9" s="171">
        <v>-22474</v>
      </c>
      <c r="DA9" s="114">
        <f>-81313-SUM(CX9:CZ9)</f>
        <v>-21505</v>
      </c>
      <c r="DB9" s="165">
        <f t="shared" si="22"/>
        <v>-81313</v>
      </c>
      <c r="DC9" s="171">
        <v>-28223</v>
      </c>
      <c r="DD9" s="171">
        <v>-28888</v>
      </c>
      <c r="DE9" s="171">
        <v>-32495</v>
      </c>
      <c r="DF9" s="114">
        <f>-123711-SUM(DC9:DE9)</f>
        <v>-34105</v>
      </c>
      <c r="DG9" s="165">
        <f t="shared" si="23"/>
        <v>-123711</v>
      </c>
      <c r="DH9" s="171">
        <v>-31903</v>
      </c>
      <c r="DI9" s="171">
        <v>-35160</v>
      </c>
      <c r="DJ9" s="52">
        <f>-DJ10*DJ$4</f>
        <v>-35724.532542682173</v>
      </c>
      <c r="DK9" s="52">
        <f>-DK10*DK$4</f>
        <v>-38684.394047779795</v>
      </c>
      <c r="DL9" s="165">
        <f t="shared" si="24"/>
        <v>-141471.92659046195</v>
      </c>
      <c r="DM9" s="52">
        <f>-DM10*DM$4</f>
        <v>-39518.372433502765</v>
      </c>
      <c r="DN9" s="52">
        <f>-DN10*DN$4</f>
        <v>-40819.709824142432</v>
      </c>
      <c r="DO9" s="52">
        <f>-DO10*DO$4</f>
        <v>-41923.700231202696</v>
      </c>
      <c r="DP9" s="52">
        <f>-DP10*DP$4</f>
        <v>-42942.749358303328</v>
      </c>
      <c r="DQ9" s="165">
        <f t="shared" si="25"/>
        <v>-165204.53184715123</v>
      </c>
      <c r="DR9" s="52">
        <f>-DR10*DR$4</f>
        <v>-43899.04353944843</v>
      </c>
      <c r="DS9" s="52">
        <f>-DS10*DS$4</f>
        <v>-44807.977998105242</v>
      </c>
      <c r="DT9" s="52">
        <f>-DT10*DT$4</f>
        <v>-45679.557161038239</v>
      </c>
      <c r="DU9" s="52">
        <f>-DU10*DU$4</f>
        <v>-46520.700697973582</v>
      </c>
      <c r="DV9" s="165">
        <f t="shared" si="26"/>
        <v>-180907.27939656549</v>
      </c>
      <c r="DW9" s="52">
        <f>-DW10*DW$4</f>
        <v>-47336.485357153892</v>
      </c>
      <c r="DX9" s="52">
        <f>-DX10*DX$4</f>
        <v>-48130.84809852852</v>
      </c>
      <c r="DY9" s="52">
        <f>-DY10*DY$4</f>
        <v>-48906.987483860154</v>
      </c>
      <c r="DZ9" s="52">
        <f>-DZ10*DZ$4</f>
        <v>-49667.596680860843</v>
      </c>
      <c r="EA9" s="165">
        <f t="shared" si="27"/>
        <v>-194041.9176204034</v>
      </c>
      <c r="EB9" s="52">
        <f>-EB10*EB$4</f>
        <v>-50415.002076259865</v>
      </c>
      <c r="EC9" s="52">
        <f>-EC10*EC$4</f>
        <v>-51151.248629704874</v>
      </c>
      <c r="ED9" s="52">
        <f>-ED10*ED$4</f>
        <v>-51878.154865937526</v>
      </c>
      <c r="EE9" s="52">
        <f>-EE10*EE$4</f>
        <v>-52597.350282954496</v>
      </c>
      <c r="EF9" s="165">
        <f t="shared" si="28"/>
        <v>-206041.75585485678</v>
      </c>
    </row>
    <row r="10" spans="1:137" ht="12.75" customHeight="1" outlineLevel="1">
      <c r="A10" s="173" t="s">
        <v>290</v>
      </c>
      <c r="B10" s="174" t="e">
        <f t="shared" ref="B10:AH10" si="29">-B9/B$4</f>
        <v>#DIV/0!</v>
      </c>
      <c r="C10" s="174" t="e">
        <f t="shared" si="29"/>
        <v>#DIV/0!</v>
      </c>
      <c r="D10" s="174" t="e">
        <f t="shared" si="29"/>
        <v>#DIV/0!</v>
      </c>
      <c r="E10" s="174" t="e">
        <f t="shared" si="29"/>
        <v>#DIV/0!</v>
      </c>
      <c r="F10" s="175" t="e">
        <f t="shared" si="29"/>
        <v>#DIV/0!</v>
      </c>
      <c r="G10" s="174" t="e">
        <f t="shared" si="29"/>
        <v>#DIV/0!</v>
      </c>
      <c r="H10" s="174" t="e">
        <f t="shared" si="29"/>
        <v>#DIV/0!</v>
      </c>
      <c r="I10" s="174" t="e">
        <f t="shared" si="29"/>
        <v>#DIV/0!</v>
      </c>
      <c r="J10" s="174" t="e">
        <f t="shared" si="29"/>
        <v>#DIV/0!</v>
      </c>
      <c r="K10" s="175" t="e">
        <f t="shared" si="29"/>
        <v>#DIV/0!</v>
      </c>
      <c r="L10" s="174" t="e">
        <f t="shared" si="29"/>
        <v>#DIV/0!</v>
      </c>
      <c r="M10" s="174" t="e">
        <f t="shared" si="29"/>
        <v>#DIV/0!</v>
      </c>
      <c r="N10" s="174" t="e">
        <f t="shared" si="29"/>
        <v>#DIV/0!</v>
      </c>
      <c r="O10" s="174" t="e">
        <f t="shared" si="29"/>
        <v>#DIV/0!</v>
      </c>
      <c r="P10" s="175" t="e">
        <f t="shared" si="29"/>
        <v>#DIV/0!</v>
      </c>
      <c r="Q10" s="174" t="e">
        <f t="shared" si="29"/>
        <v>#DIV/0!</v>
      </c>
      <c r="R10" s="174" t="e">
        <f t="shared" si="29"/>
        <v>#DIV/0!</v>
      </c>
      <c r="S10" s="174" t="e">
        <f t="shared" si="29"/>
        <v>#DIV/0!</v>
      </c>
      <c r="T10" s="174" t="e">
        <f t="shared" si="29"/>
        <v>#DIV/0!</v>
      </c>
      <c r="U10" s="175" t="e">
        <f t="shared" si="29"/>
        <v>#DIV/0!</v>
      </c>
      <c r="V10" s="174" t="e">
        <f t="shared" si="29"/>
        <v>#DIV/0!</v>
      </c>
      <c r="W10" s="174" t="e">
        <f t="shared" si="29"/>
        <v>#DIV/0!</v>
      </c>
      <c r="X10" s="174" t="e">
        <f t="shared" si="29"/>
        <v>#DIV/0!</v>
      </c>
      <c r="Y10" s="174" t="e">
        <f t="shared" si="29"/>
        <v>#DIV/0!</v>
      </c>
      <c r="Z10" s="175" t="e">
        <f t="shared" si="29"/>
        <v>#DIV/0!</v>
      </c>
      <c r="AA10" s="174" t="e">
        <f t="shared" si="29"/>
        <v>#DIV/0!</v>
      </c>
      <c r="AB10" s="174" t="e">
        <f t="shared" si="29"/>
        <v>#DIV/0!</v>
      </c>
      <c r="AC10" s="174" t="e">
        <f t="shared" si="29"/>
        <v>#DIV/0!</v>
      </c>
      <c r="AD10" s="174" t="e">
        <f t="shared" si="29"/>
        <v>#DIV/0!</v>
      </c>
      <c r="AE10" s="175" t="e">
        <f t="shared" si="29"/>
        <v>#DIV/0!</v>
      </c>
      <c r="AF10" s="174" t="e">
        <f t="shared" si="29"/>
        <v>#DIV/0!</v>
      </c>
      <c r="AG10" s="174" t="e">
        <f t="shared" si="29"/>
        <v>#DIV/0!</v>
      </c>
      <c r="AH10" s="174" t="e">
        <f t="shared" si="29"/>
        <v>#DIV/0!</v>
      </c>
      <c r="AI10" s="415">
        <v>2.0799999999999999E-2</v>
      </c>
      <c r="AJ10" s="175">
        <f>-AJ9/AJ$4</f>
        <v>2.0799999999999999E-2</v>
      </c>
      <c r="AK10" s="174" t="e">
        <f>-AK9/AK$4</f>
        <v>#DIV/0!</v>
      </c>
      <c r="AL10" s="174" t="e">
        <f>-AL9/AL$4</f>
        <v>#DIV/0!</v>
      </c>
      <c r="AM10" s="174" t="e">
        <f>-AM9/AM$4</f>
        <v>#DIV/0!</v>
      </c>
      <c r="AN10" s="415">
        <v>2.0799999999999999E-2</v>
      </c>
      <c r="AO10" s="175">
        <f>-AO9/AO$4</f>
        <v>2.0800000000000003E-2</v>
      </c>
      <c r="AP10" s="174" t="e">
        <f>-AP9/AP$4</f>
        <v>#DIV/0!</v>
      </c>
      <c r="AQ10" s="174" t="e">
        <f>-AQ9/AQ$4</f>
        <v>#DIV/0!</v>
      </c>
      <c r="AR10" s="174" t="e">
        <f>-AR9/AR$4</f>
        <v>#DIV/0!</v>
      </c>
      <c r="AS10" s="415">
        <v>2.0799999999999999E-2</v>
      </c>
      <c r="AT10" s="175">
        <f>-AT9/AT$4</f>
        <v>2.0799999999999999E-2</v>
      </c>
      <c r="AU10" s="174" t="e">
        <f>-AU9/AU$4</f>
        <v>#DIV/0!</v>
      </c>
      <c r="AV10" s="174" t="e">
        <f>-AV9/AV$4</f>
        <v>#DIV/0!</v>
      </c>
      <c r="AW10" s="174" t="e">
        <f>-AW9/AW$4</f>
        <v>#DIV/0!</v>
      </c>
      <c r="AX10" s="415">
        <v>2.0799999999999999E-2</v>
      </c>
      <c r="AY10" s="175">
        <f t="shared" ref="AY10:CD10" si="30">-AY9/AY$4</f>
        <v>2.0799999999999999E-2</v>
      </c>
      <c r="AZ10" s="174" t="e">
        <f t="shared" si="30"/>
        <v>#DIV/0!</v>
      </c>
      <c r="BA10" s="174" t="e">
        <f t="shared" si="30"/>
        <v>#DIV/0!</v>
      </c>
      <c r="BB10" s="174" t="e">
        <f t="shared" si="30"/>
        <v>#DIV/0!</v>
      </c>
      <c r="BC10" s="174">
        <f t="shared" si="30"/>
        <v>1.489102551464129E-2</v>
      </c>
      <c r="BD10" s="175">
        <f t="shared" si="30"/>
        <v>1.489102551464129E-2</v>
      </c>
      <c r="BE10" s="174" t="e">
        <f t="shared" si="30"/>
        <v>#DIV/0!</v>
      </c>
      <c r="BF10" s="174" t="e">
        <f t="shared" si="30"/>
        <v>#DIV/0!</v>
      </c>
      <c r="BG10" s="174" t="e">
        <f t="shared" si="30"/>
        <v>#DIV/0!</v>
      </c>
      <c r="BH10" s="174">
        <f t="shared" si="30"/>
        <v>1.2973142875497291E-2</v>
      </c>
      <c r="BI10" s="175">
        <f t="shared" si="30"/>
        <v>1.2973142875497291E-2</v>
      </c>
      <c r="BJ10" s="174" t="e">
        <f t="shared" si="30"/>
        <v>#DIV/0!</v>
      </c>
      <c r="BK10" s="174" t="e">
        <f t="shared" si="30"/>
        <v>#DIV/0!</v>
      </c>
      <c r="BL10" s="174" t="e">
        <f t="shared" si="30"/>
        <v>#DIV/0!</v>
      </c>
      <c r="BM10" s="174">
        <f t="shared" si="30"/>
        <v>1.5875932393132234E-2</v>
      </c>
      <c r="BN10" s="175">
        <f t="shared" si="30"/>
        <v>1.5875932393132234E-2</v>
      </c>
      <c r="BO10" s="174" t="e">
        <f t="shared" si="30"/>
        <v>#DIV/0!</v>
      </c>
      <c r="BP10" s="174" t="e">
        <f t="shared" si="30"/>
        <v>#DIV/0!</v>
      </c>
      <c r="BQ10" s="174" t="e">
        <f t="shared" si="30"/>
        <v>#DIV/0!</v>
      </c>
      <c r="BR10" s="174">
        <f t="shared" si="30"/>
        <v>2.1080101259493077E-2</v>
      </c>
      <c r="BS10" s="175">
        <f t="shared" si="30"/>
        <v>2.1080101259493077E-2</v>
      </c>
      <c r="BT10" s="174" t="e">
        <f t="shared" si="30"/>
        <v>#DIV/0!</v>
      </c>
      <c r="BU10" s="174" t="e">
        <f t="shared" si="30"/>
        <v>#DIV/0!</v>
      </c>
      <c r="BV10" s="174" t="e">
        <f t="shared" si="30"/>
        <v>#DIV/0!</v>
      </c>
      <c r="BW10" s="174">
        <f t="shared" si="30"/>
        <v>2.40650303039944E-2</v>
      </c>
      <c r="BX10" s="175">
        <f t="shared" si="30"/>
        <v>2.40650303039944E-2</v>
      </c>
      <c r="BY10" s="174">
        <f t="shared" si="30"/>
        <v>2.5438855173912367E-2</v>
      </c>
      <c r="BZ10" s="174">
        <f t="shared" si="30"/>
        <v>2.1479478089251124E-2</v>
      </c>
      <c r="CA10" s="174">
        <f t="shared" si="30"/>
        <v>2.4800969516174141E-2</v>
      </c>
      <c r="CB10" s="174">
        <f t="shared" si="30"/>
        <v>2.2885185365142606E-2</v>
      </c>
      <c r="CC10" s="175">
        <f t="shared" si="30"/>
        <v>2.3481802321738056E-2</v>
      </c>
      <c r="CD10" s="174">
        <f t="shared" si="30"/>
        <v>2.4783567426575948E-2</v>
      </c>
      <c r="CE10" s="174">
        <f t="shared" ref="CE10:DD10" si="31">-CE9/CE$4</f>
        <v>2.4756985431009213E-2</v>
      </c>
      <c r="CF10" s="174">
        <f t="shared" si="31"/>
        <v>2.573354658375809E-2</v>
      </c>
      <c r="CG10" s="174">
        <f t="shared" si="31"/>
        <v>2.1965134527242546E-2</v>
      </c>
      <c r="CH10" s="175">
        <f t="shared" si="31"/>
        <v>2.4200581209492009E-2</v>
      </c>
      <c r="CI10" s="174">
        <f t="shared" si="31"/>
        <v>2.2162916167112422E-2</v>
      </c>
      <c r="CJ10" s="174">
        <f t="shared" si="31"/>
        <v>2.323653787055753E-2</v>
      </c>
      <c r="CK10" s="174">
        <f t="shared" si="31"/>
        <v>2.1956477021444366E-2</v>
      </c>
      <c r="CL10" s="174">
        <f t="shared" si="31"/>
        <v>2.2293919080298711E-2</v>
      </c>
      <c r="CM10" s="175">
        <f t="shared" si="31"/>
        <v>2.2424740041728293E-2</v>
      </c>
      <c r="CN10" s="174">
        <f t="shared" si="31"/>
        <v>2.3563306196389987E-2</v>
      </c>
      <c r="CO10" s="174">
        <f t="shared" si="31"/>
        <v>2.2102279824855981E-2</v>
      </c>
      <c r="CP10" s="174">
        <f t="shared" si="31"/>
        <v>2.1513435357420011E-2</v>
      </c>
      <c r="CQ10" s="174">
        <f t="shared" si="31"/>
        <v>2.1810822333554088E-2</v>
      </c>
      <c r="CR10" s="175">
        <f t="shared" si="31"/>
        <v>2.2153970113951659E-2</v>
      </c>
      <c r="CS10" s="174">
        <f t="shared" si="31"/>
        <v>2.0524412147712549E-2</v>
      </c>
      <c r="CT10" s="174">
        <f t="shared" si="31"/>
        <v>2.0994091628192296E-2</v>
      </c>
      <c r="CU10" s="174">
        <f t="shared" si="31"/>
        <v>2.1194941125163541E-2</v>
      </c>
      <c r="CV10" s="174">
        <f t="shared" si="31"/>
        <v>2.1082531737176974E-2</v>
      </c>
      <c r="CW10" s="175">
        <f t="shared" si="31"/>
        <v>2.0974523448908669E-2</v>
      </c>
      <c r="CX10" s="174">
        <f t="shared" si="31"/>
        <v>2.0519928648711876E-2</v>
      </c>
      <c r="CY10" s="174">
        <f t="shared" si="31"/>
        <v>1.9443429258573737E-2</v>
      </c>
      <c r="CZ10" s="174">
        <f t="shared" si="31"/>
        <v>2.0841177136095464E-2</v>
      </c>
      <c r="DA10" s="174">
        <f t="shared" si="31"/>
        <v>2.0355407978979171E-2</v>
      </c>
      <c r="DB10" s="175">
        <f t="shared" si="31"/>
        <v>2.0289583126955803E-2</v>
      </c>
      <c r="DC10" s="174">
        <f t="shared" si="31"/>
        <v>2.2679878849926109E-2</v>
      </c>
      <c r="DD10" s="174">
        <f t="shared" si="31"/>
        <v>2.1002016013237493E-2</v>
      </c>
      <c r="DE10" s="174">
        <f t="shared" ref="DE10:DF10" si="32">-DE9/DE$4</f>
        <v>2.2419297084835945E-2</v>
      </c>
      <c r="DF10" s="174">
        <f t="shared" si="32"/>
        <v>2.3458887620200576E-2</v>
      </c>
      <c r="DG10" s="175">
        <f>-DG9/DG$4</f>
        <v>2.2398692047179727E-2</v>
      </c>
      <c r="DH10" s="174">
        <f t="shared" ref="DH10:DI10" si="33">-DH9/DH$4</f>
        <v>1.9400124295063347E-2</v>
      </c>
      <c r="DI10" s="174">
        <f t="shared" si="33"/>
        <v>2.0373703320403721E-2</v>
      </c>
      <c r="DJ10" s="176">
        <f t="shared" ref="DJ10:DR10" si="34">0.37%+1.71%</f>
        <v>2.0799999999999999E-2</v>
      </c>
      <c r="DK10" s="176">
        <f t="shared" si="34"/>
        <v>2.0799999999999999E-2</v>
      </c>
      <c r="DL10" s="175">
        <f>-DL9/DL$4</f>
        <v>2.0362762530968286E-2</v>
      </c>
      <c r="DM10" s="176">
        <f t="shared" si="34"/>
        <v>2.0799999999999999E-2</v>
      </c>
      <c r="DN10" s="176">
        <f t="shared" si="34"/>
        <v>2.0799999999999999E-2</v>
      </c>
      <c r="DO10" s="176">
        <f t="shared" si="34"/>
        <v>2.0799999999999999E-2</v>
      </c>
      <c r="DP10" s="176">
        <f t="shared" si="34"/>
        <v>2.0799999999999999E-2</v>
      </c>
      <c r="DQ10" s="175">
        <f>-DQ9/DQ$4</f>
        <v>2.0799999999999999E-2</v>
      </c>
      <c r="DR10" s="176">
        <f t="shared" si="34"/>
        <v>2.0799999999999999E-2</v>
      </c>
      <c r="DS10" s="176">
        <f>DR10</f>
        <v>2.0799999999999999E-2</v>
      </c>
      <c r="DT10" s="176">
        <f>DS10</f>
        <v>2.0799999999999999E-2</v>
      </c>
      <c r="DU10" s="176">
        <f>DT10</f>
        <v>2.0799999999999999E-2</v>
      </c>
      <c r="DV10" s="175">
        <f>-DV9/DV$4</f>
        <v>2.0799999999999999E-2</v>
      </c>
      <c r="DW10" s="176">
        <f>DU10</f>
        <v>2.0799999999999999E-2</v>
      </c>
      <c r="DX10" s="176">
        <f>DW10</f>
        <v>2.0799999999999999E-2</v>
      </c>
      <c r="DY10" s="176">
        <f>DX10</f>
        <v>2.0799999999999999E-2</v>
      </c>
      <c r="DZ10" s="176">
        <f>DY10</f>
        <v>2.0799999999999999E-2</v>
      </c>
      <c r="EA10" s="175">
        <f>-EA9/EA$4</f>
        <v>2.0799999999999996E-2</v>
      </c>
      <c r="EB10" s="176">
        <f>DZ10</f>
        <v>2.0799999999999999E-2</v>
      </c>
      <c r="EC10" s="176">
        <f>EB10</f>
        <v>2.0799999999999999E-2</v>
      </c>
      <c r="ED10" s="176">
        <f>EC10</f>
        <v>2.0799999999999999E-2</v>
      </c>
      <c r="EE10" s="176">
        <f>ED10</f>
        <v>2.0799999999999999E-2</v>
      </c>
      <c r="EF10" s="175">
        <f>-EF9/EF$4</f>
        <v>2.0800000000000003E-2</v>
      </c>
    </row>
    <row r="11" spans="1:137" ht="12.75" customHeight="1">
      <c r="A11" s="15" t="s">
        <v>0</v>
      </c>
      <c r="B11" s="166">
        <f>B4+B8</f>
        <v>0</v>
      </c>
      <c r="C11" s="166">
        <f>C4+C8</f>
        <v>0</v>
      </c>
      <c r="D11" s="166">
        <f>D4+D8</f>
        <v>0</v>
      </c>
      <c r="E11" s="166">
        <f>E4+E8</f>
        <v>0</v>
      </c>
      <c r="F11" s="167">
        <f>SUM(B11:E11)</f>
        <v>0</v>
      </c>
      <c r="G11" s="166">
        <f>G4+G8</f>
        <v>0</v>
      </c>
      <c r="H11" s="166">
        <f>H4+H8</f>
        <v>0</v>
      </c>
      <c r="I11" s="166">
        <f>I4+I8</f>
        <v>0</v>
      </c>
      <c r="J11" s="166">
        <f>J4+J8</f>
        <v>0</v>
      </c>
      <c r="K11" s="167">
        <f>SUM(G11:J11)</f>
        <v>0</v>
      </c>
      <c r="L11" s="166">
        <f>L4+L8</f>
        <v>0</v>
      </c>
      <c r="M11" s="166">
        <f>M4+M8</f>
        <v>0</v>
      </c>
      <c r="N11" s="166">
        <f>N4+N8</f>
        <v>0</v>
      </c>
      <c r="O11" s="166">
        <f>O4+O8</f>
        <v>0</v>
      </c>
      <c r="P11" s="167">
        <f>SUM(L11:O11)</f>
        <v>0</v>
      </c>
      <c r="Q11" s="166">
        <f>Q4+Q8</f>
        <v>0</v>
      </c>
      <c r="R11" s="166">
        <f>R4+R8</f>
        <v>0</v>
      </c>
      <c r="S11" s="166">
        <f>S4+S8</f>
        <v>0</v>
      </c>
      <c r="T11" s="166">
        <f>T4+T8</f>
        <v>0</v>
      </c>
      <c r="U11" s="167">
        <f>SUM(Q11:T11)</f>
        <v>0</v>
      </c>
      <c r="V11" s="166">
        <f>V4+V8</f>
        <v>0</v>
      </c>
      <c r="W11" s="166">
        <f>W4+W8</f>
        <v>0</v>
      </c>
      <c r="X11" s="166">
        <f>X4+X8</f>
        <v>0</v>
      </c>
      <c r="Y11" s="166">
        <f>Y4+Y8</f>
        <v>0</v>
      </c>
      <c r="Z11" s="167">
        <f>SUM(V11:Y11)</f>
        <v>0</v>
      </c>
      <c r="AA11" s="166">
        <f>AA4+AA8</f>
        <v>0</v>
      </c>
      <c r="AB11" s="166">
        <f>AB4+AB8</f>
        <v>0</v>
      </c>
      <c r="AC11" s="166">
        <f>AC4+AC8</f>
        <v>0</v>
      </c>
      <c r="AD11" s="166">
        <f>AD4+AD8</f>
        <v>0</v>
      </c>
      <c r="AE11" s="167">
        <f>SUM(AA11:AD11)</f>
        <v>0</v>
      </c>
      <c r="AF11" s="166">
        <f>AF4+AF8</f>
        <v>0</v>
      </c>
      <c r="AG11" s="166">
        <f>AG4+AG8</f>
        <v>0</v>
      </c>
      <c r="AH11" s="166">
        <f>AH4+AH8</f>
        <v>0</v>
      </c>
      <c r="AI11" s="186">
        <f>239557.567</f>
        <v>239557.56700000001</v>
      </c>
      <c r="AJ11" s="167">
        <f t="shared" ref="AJ11:AJ18" si="35">SUM(AF11:AI11)</f>
        <v>239557.56700000001</v>
      </c>
      <c r="AK11" s="166">
        <f>AK4+AK8</f>
        <v>0</v>
      </c>
      <c r="AL11" s="166">
        <f>AL4+AL8</f>
        <v>0</v>
      </c>
      <c r="AM11" s="166">
        <f>AM4+AM8</f>
        <v>0</v>
      </c>
      <c r="AN11" s="186">
        <f>424371.389</f>
        <v>424371.38900000002</v>
      </c>
      <c r="AO11" s="167">
        <f t="shared" ref="AO11:AO18" si="36">SUM(AK11:AN11)</f>
        <v>424371.38900000002</v>
      </c>
      <c r="AP11" s="166">
        <f>AP4+AP8</f>
        <v>0</v>
      </c>
      <c r="AQ11" s="166">
        <f>AQ4+AQ8</f>
        <v>0</v>
      </c>
      <c r="AR11" s="166">
        <f>AR4+AR8</f>
        <v>0</v>
      </c>
      <c r="AS11" s="186">
        <f>483969.357</f>
        <v>483969.35700000002</v>
      </c>
      <c r="AT11" s="167">
        <f t="shared" ref="AT11:AT18" si="37">SUM(AP11:AS11)</f>
        <v>483969.35700000002</v>
      </c>
      <c r="AU11" s="166">
        <f>AU4+AU8</f>
        <v>0</v>
      </c>
      <c r="AV11" s="166">
        <f>AV4+AV8</f>
        <v>0</v>
      </c>
      <c r="AW11" s="166">
        <f>AW4+AW8</f>
        <v>0</v>
      </c>
      <c r="AX11" s="186">
        <f>737421.178</f>
        <v>737421.17799999996</v>
      </c>
      <c r="AY11" s="167">
        <f t="shared" ref="AY11:AY18" si="38">SUM(AU11:AX11)</f>
        <v>737421.17799999996</v>
      </c>
      <c r="AZ11" s="166">
        <f>AZ4+AZ8</f>
        <v>0</v>
      </c>
      <c r="BA11" s="166">
        <f>BA4+BA8</f>
        <v>0</v>
      </c>
      <c r="BB11" s="166">
        <f>BB4+BB8</f>
        <v>0</v>
      </c>
      <c r="BC11" s="166">
        <f>BC4+BC8</f>
        <v>899371</v>
      </c>
      <c r="BD11" s="167">
        <f t="shared" ref="BD11:BD18" si="39">SUM(AZ11:BC11)</f>
        <v>899371</v>
      </c>
      <c r="BE11" s="166">
        <f>BE4+BE8</f>
        <v>0</v>
      </c>
      <c r="BF11" s="166">
        <f>BF4+BF8</f>
        <v>0</v>
      </c>
      <c r="BG11" s="166">
        <f>BG4+BG8</f>
        <v>0</v>
      </c>
      <c r="BH11" s="166">
        <f>BH4+BH8</f>
        <v>860415</v>
      </c>
      <c r="BI11" s="167">
        <f t="shared" ref="BI11:BI18" si="40">SUM(BE11:BH11)</f>
        <v>860415</v>
      </c>
      <c r="BJ11" s="166">
        <f>BJ4+BJ8</f>
        <v>0</v>
      </c>
      <c r="BK11" s="166">
        <f>BK4+BK8</f>
        <v>0</v>
      </c>
      <c r="BL11" s="166">
        <f>BL4+BL8</f>
        <v>0</v>
      </c>
      <c r="BM11" s="166">
        <f>BM4+BM8</f>
        <v>808763</v>
      </c>
      <c r="BN11" s="167">
        <f t="shared" ref="BN11:BN18" si="41">SUM(BJ11:BM11)</f>
        <v>808763</v>
      </c>
      <c r="BO11" s="166">
        <f>BO4+BO8</f>
        <v>0</v>
      </c>
      <c r="BP11" s="166">
        <f>BP4+BP8</f>
        <v>0</v>
      </c>
      <c r="BQ11" s="166">
        <f>BQ4+BQ8</f>
        <v>0</v>
      </c>
      <c r="BR11" s="166">
        <f>BR4+BR8</f>
        <v>814385</v>
      </c>
      <c r="BS11" s="167">
        <f t="shared" ref="BS11:BS18" si="42">SUM(BO11:BR11)</f>
        <v>814385</v>
      </c>
      <c r="BT11" s="166">
        <f>BT4+BT8</f>
        <v>0</v>
      </c>
      <c r="BU11" s="166">
        <f>BU4+BU8</f>
        <v>0</v>
      </c>
      <c r="BV11" s="166">
        <f>BV4+BV8</f>
        <v>0</v>
      </c>
      <c r="BW11" s="166">
        <f>BW4+BW8</f>
        <v>920253</v>
      </c>
      <c r="BX11" s="167">
        <f t="shared" ref="BX11:BX18" si="43">SUM(BT11:BW11)</f>
        <v>920253</v>
      </c>
      <c r="BY11" s="166">
        <f>BY4+BY8</f>
        <v>188370</v>
      </c>
      <c r="BZ11" s="166">
        <f>BZ4+BZ8</f>
        <v>267733</v>
      </c>
      <c r="CA11" s="166">
        <f>CA4+CA8</f>
        <v>261524</v>
      </c>
      <c r="CB11" s="166">
        <f>CB4+CB8</f>
        <v>301650</v>
      </c>
      <c r="CC11" s="167">
        <f t="shared" ref="CC11:CC18" si="44">SUM(BY11:CB11)</f>
        <v>1019277</v>
      </c>
      <c r="CD11" s="166">
        <f>CD4+CD8</f>
        <v>227321</v>
      </c>
      <c r="CE11" s="166">
        <f>CE4+CE8</f>
        <v>246204</v>
      </c>
      <c r="CF11" s="166">
        <f>CF4+CF8</f>
        <v>325897</v>
      </c>
      <c r="CG11" s="166">
        <f>CG4+CG8</f>
        <v>345260</v>
      </c>
      <c r="CH11" s="167">
        <f t="shared" ref="CH11:CH18" si="45">SUM(CD11:CG11)</f>
        <v>1144682</v>
      </c>
      <c r="CI11" s="166">
        <f>CI4+CI8</f>
        <v>339286</v>
      </c>
      <c r="CJ11" s="166">
        <f>CJ4+CJ8</f>
        <v>451337</v>
      </c>
      <c r="CK11" s="166">
        <f>CK4+CK8</f>
        <v>456449</v>
      </c>
      <c r="CL11" s="166">
        <f>CL4+CL8</f>
        <v>491223</v>
      </c>
      <c r="CM11" s="167">
        <f t="shared" ref="CM11:CM18" si="46">SUM(CI11:CL11)</f>
        <v>1738295</v>
      </c>
      <c r="CN11" s="166">
        <f>CN4+CN8</f>
        <v>447374</v>
      </c>
      <c r="CO11" s="166">
        <f>CO4+CO8</f>
        <v>602783</v>
      </c>
      <c r="CP11" s="166">
        <f>CP4+CP8</f>
        <v>626659</v>
      </c>
      <c r="CQ11" s="166">
        <f>CQ4+CQ8</f>
        <v>580478</v>
      </c>
      <c r="CR11" s="167">
        <f t="shared" ref="CR11:CR18" si="47">SUM(CN11:CQ11)</f>
        <v>2257294</v>
      </c>
      <c r="CS11" s="166">
        <f>CS4+CS8</f>
        <v>594956</v>
      </c>
      <c r="CT11" s="166">
        <f>CT4+CT8</f>
        <v>727746</v>
      </c>
      <c r="CU11" s="166">
        <f>CU4+CU8</f>
        <v>751874</v>
      </c>
      <c r="CV11" s="166">
        <f>CV4+CV8</f>
        <v>811596</v>
      </c>
      <c r="CW11" s="167">
        <f t="shared" ref="CW11:CW18" si="48">SUM(CS11:CV11)</f>
        <v>2886172</v>
      </c>
      <c r="CX11" s="166">
        <f>CX4+CX8</f>
        <v>837382</v>
      </c>
      <c r="CY11" s="166">
        <f>CY4+CY8</f>
        <v>998085</v>
      </c>
      <c r="CZ11" s="166">
        <f>CZ4+CZ8</f>
        <v>1055872</v>
      </c>
      <c r="DA11" s="166">
        <f>DA4+DA8</f>
        <v>1034971</v>
      </c>
      <c r="DB11" s="167">
        <f t="shared" ref="DB11:DB18" si="49">SUM(CX11:DA11)</f>
        <v>3926310</v>
      </c>
      <c r="DC11" s="166">
        <f>DC4+DC8</f>
        <v>1216184</v>
      </c>
      <c r="DD11" s="166">
        <f>DD4+DD8</f>
        <v>1346599</v>
      </c>
      <c r="DE11" s="166">
        <f>DE4+DE8</f>
        <v>1416926</v>
      </c>
      <c r="DF11" s="166">
        <f>DF4+DF8</f>
        <v>1419715</v>
      </c>
      <c r="DG11" s="167">
        <f t="shared" ref="DG11:DG18" si="50">SUM(DC11:DF11)</f>
        <v>5399424</v>
      </c>
      <c r="DH11" s="166">
        <f>DH4+DH8</f>
        <v>1612571</v>
      </c>
      <c r="DI11" s="166">
        <f>DI4+DI8</f>
        <v>1690594</v>
      </c>
      <c r="DJ11" s="166">
        <f>DJ4+DJ8</f>
        <v>1681801.070470884</v>
      </c>
      <c r="DK11" s="166">
        <f>DK4+DK8</f>
        <v>1821142.2428647105</v>
      </c>
      <c r="DL11" s="167">
        <f t="shared" ref="DL11:DL18" si="51">SUM(DH11:DK11)</f>
        <v>6806108.3133355947</v>
      </c>
      <c r="DM11" s="166">
        <f>DM4+DM8</f>
        <v>1860403.3791772071</v>
      </c>
      <c r="DN11" s="166">
        <f>DN4+DN8</f>
        <v>1921666.3394134745</v>
      </c>
      <c r="DO11" s="166">
        <f>DO4+DO8</f>
        <v>1973638.8108843116</v>
      </c>
      <c r="DP11" s="166">
        <f>DP4+DP8</f>
        <v>2021612.5082524337</v>
      </c>
      <c r="DQ11" s="167">
        <f t="shared" ref="DQ11:DQ18" si="52">SUM(DM11:DP11)</f>
        <v>7777321.0377274267</v>
      </c>
      <c r="DR11" s="166">
        <f>DR4+DR8</f>
        <v>2066631.8958571109</v>
      </c>
      <c r="DS11" s="166">
        <f>DS4+DS8</f>
        <v>2109421.7334492621</v>
      </c>
      <c r="DT11" s="166">
        <f>DT4+DT8</f>
        <v>2150452.9986581081</v>
      </c>
      <c r="DU11" s="166">
        <f>DU4+DU8</f>
        <v>2190051.4482430643</v>
      </c>
      <c r="DV11" s="167">
        <f t="shared" ref="DV11:DV18" si="53">SUM(DR11:DU11)</f>
        <v>8516558.0762075465</v>
      </c>
      <c r="DW11" s="166">
        <f>DW4+DW8</f>
        <v>2228456.0798906297</v>
      </c>
      <c r="DX11" s="166">
        <f>DX4+DX8</f>
        <v>2265852.2335614967</v>
      </c>
      <c r="DY11" s="166">
        <f>DY4+DY8</f>
        <v>2302390.4877017243</v>
      </c>
      <c r="DZ11" s="166">
        <f>DZ4+DZ8</f>
        <v>2338197.6283605257</v>
      </c>
      <c r="EA11" s="167">
        <f t="shared" ref="EA11:EA18" si="54">SUM(DW11:DZ11)</f>
        <v>9134896.4295143764</v>
      </c>
      <c r="EB11" s="166">
        <f>EB4+EB8</f>
        <v>2373383.1746670031</v>
      </c>
      <c r="EC11" s="166">
        <f>EC4+EC8</f>
        <v>2408043.3970291833</v>
      </c>
      <c r="ED11" s="166">
        <f>ED4+ED8</f>
        <v>2442263.9059964437</v>
      </c>
      <c r="EE11" s="166">
        <f>EE4+EE8</f>
        <v>2476121.4133206271</v>
      </c>
      <c r="EF11" s="167">
        <f t="shared" ref="EF11:EF18" si="55">SUM(EB11:EE11)</f>
        <v>9699811.8910132572</v>
      </c>
      <c r="EG11" s="162"/>
    </row>
    <row r="12" spans="1:137" ht="12.75" customHeight="1">
      <c r="A12" s="15" t="s">
        <v>34</v>
      </c>
      <c r="B12" s="166">
        <f>B13+B15</f>
        <v>0</v>
      </c>
      <c r="C12" s="166">
        <f>C13+C15</f>
        <v>0</v>
      </c>
      <c r="D12" s="166">
        <f>D13+D15</f>
        <v>0</v>
      </c>
      <c r="E12" s="166">
        <f>E13+E15</f>
        <v>0</v>
      </c>
      <c r="F12" s="167">
        <f>SUM(B12:E12)</f>
        <v>0</v>
      </c>
      <c r="G12" s="166">
        <f>G13+G15</f>
        <v>0</v>
      </c>
      <c r="H12" s="166">
        <f>H13+H15</f>
        <v>0</v>
      </c>
      <c r="I12" s="166">
        <f>I13+I15</f>
        <v>0</v>
      </c>
      <c r="J12" s="166">
        <f>J13+J15</f>
        <v>0</v>
      </c>
      <c r="K12" s="167">
        <f>SUM(G12:J12)</f>
        <v>0</v>
      </c>
      <c r="L12" s="166">
        <f>L13+L15</f>
        <v>0</v>
      </c>
      <c r="M12" s="166">
        <f>M13+M15</f>
        <v>0</v>
      </c>
      <c r="N12" s="166">
        <f>N13+N15</f>
        <v>0</v>
      </c>
      <c r="O12" s="166">
        <f>O13+O15</f>
        <v>0</v>
      </c>
      <c r="P12" s="167">
        <f>SUM(L12:O12)</f>
        <v>0</v>
      </c>
      <c r="Q12" s="166">
        <f>Q13+Q15</f>
        <v>0</v>
      </c>
      <c r="R12" s="166">
        <f>R13+R15</f>
        <v>0</v>
      </c>
      <c r="S12" s="166">
        <f>S13+S15</f>
        <v>0</v>
      </c>
      <c r="T12" s="166">
        <f>T13+T15</f>
        <v>0</v>
      </c>
      <c r="U12" s="167">
        <f>SUM(Q12:T12)</f>
        <v>0</v>
      </c>
      <c r="V12" s="166">
        <f>V13+V15</f>
        <v>0</v>
      </c>
      <c r="W12" s="166">
        <f>W13+W15</f>
        <v>0</v>
      </c>
      <c r="X12" s="166">
        <f>X13+X15</f>
        <v>0</v>
      </c>
      <c r="Y12" s="166">
        <f>Y13+Y15</f>
        <v>0</v>
      </c>
      <c r="Z12" s="167">
        <f>SUM(V12:Y12)</f>
        <v>0</v>
      </c>
      <c r="AA12" s="166">
        <f>AA13+AA15</f>
        <v>0</v>
      </c>
      <c r="AB12" s="166">
        <f>AB13+AB15</f>
        <v>0</v>
      </c>
      <c r="AC12" s="166">
        <f>AC13+AC15</f>
        <v>0</v>
      </c>
      <c r="AD12" s="166">
        <f>AD13+AD15</f>
        <v>0</v>
      </c>
      <c r="AE12" s="167">
        <f>SUM(AA12:AD12)</f>
        <v>0</v>
      </c>
      <c r="AF12" s="166">
        <f>AF13+AF14+AF15</f>
        <v>0</v>
      </c>
      <c r="AG12" s="166">
        <f>AG13+AG14+AG15</f>
        <v>0</v>
      </c>
      <c r="AH12" s="166">
        <f>AH13+AH14+AH15</f>
        <v>0</v>
      </c>
      <c r="AI12" s="166">
        <f>AI13+AI14+AI15</f>
        <v>-158155.95799999998</v>
      </c>
      <c r="AJ12" s="167">
        <f t="shared" si="35"/>
        <v>-158155.95799999998</v>
      </c>
      <c r="AK12" s="166">
        <f>AK13+AK14+AK15</f>
        <v>0</v>
      </c>
      <c r="AL12" s="166">
        <f>AL13+AL14+AL15</f>
        <v>0</v>
      </c>
      <c r="AM12" s="166">
        <f>AM13+AM14+AM15</f>
        <v>0</v>
      </c>
      <c r="AN12" s="166">
        <f>AN13+AN14+AN15</f>
        <v>-295155.88300000003</v>
      </c>
      <c r="AO12" s="167">
        <f t="shared" si="36"/>
        <v>-295155.88300000003</v>
      </c>
      <c r="AP12" s="166">
        <f>AP13+AP14+AP15</f>
        <v>0</v>
      </c>
      <c r="AQ12" s="166">
        <f>AQ13+AQ14+AQ15</f>
        <v>0</v>
      </c>
      <c r="AR12" s="166">
        <f>AR13+AR14+AR15</f>
        <v>0</v>
      </c>
      <c r="AS12" s="166">
        <f>AS13+AS14+AS15</f>
        <v>-292086.09600000002</v>
      </c>
      <c r="AT12" s="167">
        <f t="shared" si="37"/>
        <v>-292086.09600000002</v>
      </c>
      <c r="AU12" s="166">
        <f>AU13+AU14+AU15</f>
        <v>0</v>
      </c>
      <c r="AV12" s="166">
        <f>AV13+AV14+AV15</f>
        <v>0</v>
      </c>
      <c r="AW12" s="166">
        <f>AW13+AW14+AW15</f>
        <v>0</v>
      </c>
      <c r="AX12" s="166">
        <f>AX13+AX14+AX15</f>
        <v>-482259.995</v>
      </c>
      <c r="AY12" s="167">
        <f t="shared" si="38"/>
        <v>-482259.995</v>
      </c>
      <c r="AZ12" s="166">
        <f>AZ13+AZ14+AZ15</f>
        <v>0</v>
      </c>
      <c r="BA12" s="166">
        <f>BA13+BA14+BA15</f>
        <v>0</v>
      </c>
      <c r="BB12" s="166">
        <f>BB13+BB14+BB15</f>
        <v>0</v>
      </c>
      <c r="BC12" s="166">
        <f>BC13+BC14+BC15</f>
        <v>-641536</v>
      </c>
      <c r="BD12" s="167">
        <f t="shared" si="39"/>
        <v>-641536</v>
      </c>
      <c r="BE12" s="166">
        <f>BE13+BE14+BE15</f>
        <v>0</v>
      </c>
      <c r="BF12" s="166">
        <f>BF13+BF14+BF15</f>
        <v>0</v>
      </c>
      <c r="BG12" s="166">
        <f>BG13+BG14+BG15</f>
        <v>0</v>
      </c>
      <c r="BH12" s="166">
        <f>BH13+BH14+BH15</f>
        <v>-612678</v>
      </c>
      <c r="BI12" s="167">
        <f t="shared" si="40"/>
        <v>-612678</v>
      </c>
      <c r="BJ12" s="166">
        <f>BJ13+BJ14+BJ15</f>
        <v>0</v>
      </c>
      <c r="BK12" s="166">
        <f>BK13+BK14+BK15</f>
        <v>0</v>
      </c>
      <c r="BL12" s="166">
        <f>BL13+BL14+BL15</f>
        <v>0</v>
      </c>
      <c r="BM12" s="166">
        <f>BM13+BM14+BM15</f>
        <v>-604986</v>
      </c>
      <c r="BN12" s="167">
        <f t="shared" si="41"/>
        <v>-604986</v>
      </c>
      <c r="BO12" s="166">
        <f>BO13+BO14+BO15</f>
        <v>0</v>
      </c>
      <c r="BP12" s="166">
        <f>BP13+BP14+BP15</f>
        <v>0</v>
      </c>
      <c r="BQ12" s="166">
        <f>BQ13+BQ14+BQ15</f>
        <v>0</v>
      </c>
      <c r="BR12" s="166">
        <f>BR13+BR14+BR15</f>
        <v>-570540</v>
      </c>
      <c r="BS12" s="167">
        <f t="shared" si="42"/>
        <v>-570540</v>
      </c>
      <c r="BT12" s="166">
        <f>BT13+BT14+BT15</f>
        <v>0</v>
      </c>
      <c r="BU12" s="166">
        <f>BU13+BU14+BU15</f>
        <v>0</v>
      </c>
      <c r="BV12" s="166">
        <f>BV13+BV14+BV15</f>
        <v>0</v>
      </c>
      <c r="BW12" s="166">
        <f>BW13+BW14+BW15</f>
        <v>-605526</v>
      </c>
      <c r="BX12" s="167">
        <f t="shared" si="43"/>
        <v>-605526</v>
      </c>
      <c r="BY12" s="166">
        <f>BY13+BY14+BY15</f>
        <v>-133039</v>
      </c>
      <c r="BZ12" s="166">
        <f>BZ13+BZ14+BZ15</f>
        <v>-166982</v>
      </c>
      <c r="CA12" s="166">
        <f>CA13+CA14+CA15</f>
        <v>-180689</v>
      </c>
      <c r="CB12" s="166">
        <f>CB13+CB14+CB15</f>
        <v>-182682</v>
      </c>
      <c r="CC12" s="167">
        <f t="shared" si="44"/>
        <v>-663392</v>
      </c>
      <c r="CD12" s="166">
        <f>CD13+CD14+CD15</f>
        <v>-149181</v>
      </c>
      <c r="CE12" s="166">
        <f>CE13+CE14+CE15</f>
        <v>-159137</v>
      </c>
      <c r="CF12" s="166">
        <f>CF13+CF14+CF15</f>
        <v>-202541</v>
      </c>
      <c r="CG12" s="166">
        <f>CG13+CG14+CG15</f>
        <v>-205433</v>
      </c>
      <c r="CH12" s="167">
        <f t="shared" si="45"/>
        <v>-716292</v>
      </c>
      <c r="CI12" s="166">
        <f>CI13+CI14+CI15</f>
        <v>-218944</v>
      </c>
      <c r="CJ12" s="166">
        <f>CJ13+CJ14+CJ15</f>
        <v>-288421</v>
      </c>
      <c r="CK12" s="166">
        <f>CK13+CK14+CK15</f>
        <v>-281478</v>
      </c>
      <c r="CL12" s="166">
        <f>CL13+CL14+CL15</f>
        <v>-304781</v>
      </c>
      <c r="CM12" s="167">
        <f t="shared" si="46"/>
        <v>-1093624</v>
      </c>
      <c r="CN12" s="166">
        <f>CN13+CN14+CN15</f>
        <v>-281465</v>
      </c>
      <c r="CO12" s="166">
        <f>CO13+CO14+CO15</f>
        <v>-387286</v>
      </c>
      <c r="CP12" s="166">
        <f>CP13+CP14+CP15</f>
        <v>-392916</v>
      </c>
      <c r="CQ12" s="166">
        <f>CQ13+CQ14+CQ15</f>
        <v>-358735</v>
      </c>
      <c r="CR12" s="167">
        <f t="shared" si="47"/>
        <v>-1420402</v>
      </c>
      <c r="CS12" s="166">
        <f>CS13+CS14+CS15</f>
        <v>-371794</v>
      </c>
      <c r="CT12" s="166">
        <f>CT13+CT14+CT15</f>
        <v>-453192</v>
      </c>
      <c r="CU12" s="166">
        <f>CU13+CU14+CU15</f>
        <v>-467971</v>
      </c>
      <c r="CV12" s="166">
        <f>CV13+CV14+CV15</f>
        <v>-497862</v>
      </c>
      <c r="CW12" s="167">
        <f t="shared" si="48"/>
        <v>-1790819</v>
      </c>
      <c r="CX12" s="166">
        <f>CX13+CX14+CX15</f>
        <v>-520773</v>
      </c>
      <c r="CY12" s="166">
        <f>CY13+CY14+CY15</f>
        <v>-615554</v>
      </c>
      <c r="CZ12" s="166">
        <f>CZ13+CZ14+CZ15</f>
        <v>-646426</v>
      </c>
      <c r="DA12" s="166">
        <f>DA13+DA14+DA15</f>
        <v>-630617</v>
      </c>
      <c r="DB12" s="167">
        <f t="shared" si="49"/>
        <v>-2413370</v>
      </c>
      <c r="DC12" s="166">
        <f>DC13+DC14+DC15</f>
        <v>-741296</v>
      </c>
      <c r="DD12" s="166">
        <f>DD13+DD14+DD15</f>
        <v>-813823</v>
      </c>
      <c r="DE12" s="166">
        <f>DE13+DE14+DE15</f>
        <v>-850699</v>
      </c>
      <c r="DF12" s="166">
        <f>DF13+DF14+DF15</f>
        <v>-847019</v>
      </c>
      <c r="DG12" s="167">
        <f t="shared" si="50"/>
        <v>-3252837</v>
      </c>
      <c r="DH12" s="166">
        <f>DH13+DH14+DH15</f>
        <v>-982915</v>
      </c>
      <c r="DI12" s="166">
        <f>DI13+DI14+DI15</f>
        <v>-1022232</v>
      </c>
      <c r="DJ12" s="166">
        <f>DJ13+DJ14+DJ15</f>
        <v>-1005791.0636225679</v>
      </c>
      <c r="DK12" s="166">
        <f>DK13+DK14+DK15</f>
        <v>-1085146.0935122222</v>
      </c>
      <c r="DL12" s="167">
        <f t="shared" si="51"/>
        <v>-4096084.15713479</v>
      </c>
      <c r="DM12" s="166">
        <f>DM13+DM14+DM15</f>
        <v>-1119854.1897877282</v>
      </c>
      <c r="DN12" s="166">
        <f>DN13+DN14+DN15</f>
        <v>-1165086.6498946073</v>
      </c>
      <c r="DO12" s="166">
        <f>DO13+DO14+DO15</f>
        <v>-1207492.2358505486</v>
      </c>
      <c r="DP12" s="166">
        <f>DP13+DP14+DP15</f>
        <v>-1241866.0793001801</v>
      </c>
      <c r="DQ12" s="167">
        <f t="shared" si="52"/>
        <v>-4734299.1548330644</v>
      </c>
      <c r="DR12" s="166">
        <f>DR13+DR14+DR15</f>
        <v>-1278692.2435512836</v>
      </c>
      <c r="DS12" s="166">
        <f>DS13+DS14+DS15</f>
        <v>-1307440.4613679829</v>
      </c>
      <c r="DT12" s="166">
        <f>DT13+DT14+DT15</f>
        <v>-1335252.2622064874</v>
      </c>
      <c r="DU12" s="166">
        <f>DU13+DU14+DU15</f>
        <v>-1362230.9401170183</v>
      </c>
      <c r="DV12" s="167">
        <f t="shared" si="53"/>
        <v>-5283615.9072427722</v>
      </c>
      <c r="DW12" s="166">
        <f>DW13+DW14+DW15</f>
        <v>-1388464.4886864964</v>
      </c>
      <c r="DX12" s="166">
        <f>DX13+DX14+DX15</f>
        <v>-1414031.8445826429</v>
      </c>
      <c r="DY12" s="166">
        <f>DY13+DY14+DY15</f>
        <v>-1439005.6153324805</v>
      </c>
      <c r="DZ12" s="166">
        <f>DZ13+DZ14+DZ15</f>
        <v>-1463453.2187009742</v>
      </c>
      <c r="EA12" s="167">
        <f t="shared" si="54"/>
        <v>-5704955.1673025945</v>
      </c>
      <c r="EB12" s="166">
        <f>EB13+EB14+EB15</f>
        <v>-1487437.3553190518</v>
      </c>
      <c r="EC12" s="166">
        <f>EC13+EC14+EC15</f>
        <v>-1511016.239521869</v>
      </c>
      <c r="ED12" s="166">
        <f>ED13+ED14+ED15</f>
        <v>-1534243.7712400362</v>
      </c>
      <c r="EE12" s="166">
        <f>EE13+EE14+EE15</f>
        <v>-1557169.7175338645</v>
      </c>
      <c r="EF12" s="167">
        <f t="shared" si="55"/>
        <v>-6089867.0836148206</v>
      </c>
      <c r="EG12" s="162"/>
    </row>
    <row r="13" spans="1:137" ht="12.75" customHeight="1" outlineLevel="1">
      <c r="A13" s="9" t="s">
        <v>179</v>
      </c>
      <c r="B13" s="171"/>
      <c r="C13" s="171"/>
      <c r="D13" s="171"/>
      <c r="E13" s="171"/>
      <c r="F13" s="165">
        <f>SUM(B13:E13)</f>
        <v>0</v>
      </c>
      <c r="G13" s="171"/>
      <c r="H13" s="171"/>
      <c r="I13" s="171"/>
      <c r="J13" s="171"/>
      <c r="K13" s="165">
        <f>SUM(G13:J13)</f>
        <v>0</v>
      </c>
      <c r="L13" s="171"/>
      <c r="M13" s="171"/>
      <c r="N13" s="171"/>
      <c r="O13" s="171"/>
      <c r="P13" s="165">
        <f>SUM(L13:O13)</f>
        <v>0</v>
      </c>
      <c r="Q13" s="171"/>
      <c r="R13" s="171"/>
      <c r="S13" s="171"/>
      <c r="T13" s="171"/>
      <c r="U13" s="165">
        <f>SUM(Q13:T13)</f>
        <v>0</v>
      </c>
      <c r="V13" s="171"/>
      <c r="W13" s="171"/>
      <c r="X13" s="171"/>
      <c r="Y13" s="171"/>
      <c r="Z13" s="165">
        <f>SUM(V13:Y13)</f>
        <v>0</v>
      </c>
      <c r="AA13" s="171"/>
      <c r="AB13" s="171"/>
      <c r="AC13" s="171"/>
      <c r="AD13" s="171"/>
      <c r="AE13" s="165">
        <f>SUM(AA13:AD13)</f>
        <v>0</v>
      </c>
      <c r="AF13" s="171"/>
      <c r="AG13" s="171"/>
      <c r="AH13" s="171"/>
      <c r="AI13" s="171">
        <f>-115953.993-SUM(AF13:AH13)-SUM(AF14:AI14)</f>
        <v>-115953.993</v>
      </c>
      <c r="AJ13" s="165">
        <f t="shared" si="35"/>
        <v>-115953.993</v>
      </c>
      <c r="AK13" s="171"/>
      <c r="AL13" s="171"/>
      <c r="AM13" s="171"/>
      <c r="AN13" s="171">
        <f>-234604.5-SUM(AK13:AM13)-SUM(AK14:AN14)</f>
        <v>-234604.5</v>
      </c>
      <c r="AO13" s="165">
        <f t="shared" si="36"/>
        <v>-234604.5</v>
      </c>
      <c r="AP13" s="171"/>
      <c r="AQ13" s="171"/>
      <c r="AR13" s="171"/>
      <c r="AS13" s="171">
        <f>-234631.021-SUM(AP13:AR13)-SUM(AP14:AS14)</f>
        <v>-234631.02100000001</v>
      </c>
      <c r="AT13" s="165">
        <f t="shared" si="37"/>
        <v>-234631.02100000001</v>
      </c>
      <c r="AU13" s="171"/>
      <c r="AV13" s="171"/>
      <c r="AW13" s="171"/>
      <c r="AX13" s="171">
        <f>-286918.331-SUM(AU13:AW13)-SUM(AU14:AX14)</f>
        <v>-286918.33100000001</v>
      </c>
      <c r="AY13" s="165">
        <f t="shared" si="38"/>
        <v>-286918.33100000001</v>
      </c>
      <c r="AZ13" s="171"/>
      <c r="BA13" s="171"/>
      <c r="BB13" s="171"/>
      <c r="BC13" s="171">
        <f>-290147-SUM(AZ13:BB13)-SUM(AZ14:BC14)</f>
        <v>-280396</v>
      </c>
      <c r="BD13" s="165">
        <f t="shared" si="39"/>
        <v>-280396</v>
      </c>
      <c r="BE13" s="171"/>
      <c r="BF13" s="171"/>
      <c r="BG13" s="171"/>
      <c r="BH13" s="171">
        <f>-283566-SUM(BE13:BG13)-SUM(BE14:BH14)</f>
        <v>-269379</v>
      </c>
      <c r="BI13" s="165">
        <f t="shared" si="40"/>
        <v>-269379</v>
      </c>
      <c r="BJ13" s="171"/>
      <c r="BK13" s="171"/>
      <c r="BL13" s="171"/>
      <c r="BM13" s="171">
        <f>-362834-SUM(BJ13:BL13)-SUM(BJ14:BM14)</f>
        <v>-347154</v>
      </c>
      <c r="BN13" s="165">
        <f t="shared" si="41"/>
        <v>-347154</v>
      </c>
      <c r="BO13" s="171"/>
      <c r="BP13" s="171"/>
      <c r="BQ13" s="171"/>
      <c r="BR13" s="171">
        <f>-461909-SUM(BO13:BQ13)-SUM(BO14:BR14)</f>
        <v>-444173</v>
      </c>
      <c r="BS13" s="165">
        <f t="shared" si="42"/>
        <v>-444173</v>
      </c>
      <c r="BT13" s="171"/>
      <c r="BU13" s="171"/>
      <c r="BV13" s="171"/>
      <c r="BW13" s="171">
        <f>-556203-SUM(BT13:BV13)-SUM(BT14:BW14)</f>
        <v>-542783</v>
      </c>
      <c r="BX13" s="165">
        <f t="shared" si="43"/>
        <v>-542783</v>
      </c>
      <c r="BY13" s="171">
        <f>-124775-BY14</f>
        <v>-122991</v>
      </c>
      <c r="BZ13" s="171">
        <f>-158457-BZ14</f>
        <v>-156928</v>
      </c>
      <c r="CA13" s="171">
        <f>-180689-CA14-CA15</f>
        <v>-171768</v>
      </c>
      <c r="CB13" s="171">
        <f>-634880-SUM(BY13:CA13)-SUM(BY14:CB14)</f>
        <v>-176867</v>
      </c>
      <c r="CC13" s="165">
        <f t="shared" si="44"/>
        <v>-628554</v>
      </c>
      <c r="CD13" s="171">
        <f>-139488-CD14</f>
        <v>-138123</v>
      </c>
      <c r="CE13" s="171">
        <f>-149870-CE14</f>
        <v>-148184</v>
      </c>
      <c r="CF13" s="171">
        <f>-202541-CF14-CF15</f>
        <v>-196526</v>
      </c>
      <c r="CG13" s="171">
        <f>-682997-SUM(CD13:CF13)-SUM(CD14:CG14)</f>
        <v>-195949</v>
      </c>
      <c r="CH13" s="165">
        <f t="shared" si="45"/>
        <v>-678782</v>
      </c>
      <c r="CI13" s="171">
        <f>-213294-CI14+1020-122</f>
        <v>-212274</v>
      </c>
      <c r="CJ13" s="171">
        <f>-283327+2687</f>
        <v>-280640</v>
      </c>
      <c r="CK13" s="171">
        <f>-275625-5853-CK14-CK15</f>
        <v>-271663</v>
      </c>
      <c r="CL13" s="171">
        <f>-1082692-SUM(CI13:CK13)-SUM(CI14:CL14)</f>
        <v>-316781</v>
      </c>
      <c r="CM13" s="165">
        <f t="shared" si="46"/>
        <v>-1081358</v>
      </c>
      <c r="CN13" s="171">
        <f>-279593-CN14+604-607</f>
        <v>-278989</v>
      </c>
      <c r="CO13" s="171">
        <f>-388579+2608</f>
        <v>-385971</v>
      </c>
      <c r="CP13" s="171">
        <f>-391796-1120-CP14-CP15</f>
        <v>-383036</v>
      </c>
      <c r="CQ13" s="171">
        <f>-1415751-SUM(CN13:CP13)-SUM(CN14:CQ14)</f>
        <v>-364471</v>
      </c>
      <c r="CR13" s="165">
        <f t="shared" si="47"/>
        <v>-1412467</v>
      </c>
      <c r="CS13" s="171">
        <f>-371450-CS14+1477-1299</f>
        <v>-369973</v>
      </c>
      <c r="CT13" s="171">
        <f>-452163+725</f>
        <v>-451438</v>
      </c>
      <c r="CU13" s="171">
        <f>-463481-2863</f>
        <v>-466344</v>
      </c>
      <c r="CV13" s="171">
        <f>-1789464-SUM(CS13:CU13)-SUM(CS14:CV14)</f>
        <v>-495745</v>
      </c>
      <c r="CW13" s="165">
        <f t="shared" si="48"/>
        <v>-1783500</v>
      </c>
      <c r="CX13" s="171">
        <f>-515984-CX14-2219-1856</f>
        <v>-518203</v>
      </c>
      <c r="CY13" s="171">
        <f>-611200-1474</f>
        <v>-612674</v>
      </c>
      <c r="CZ13" s="171">
        <f>-643412+660</f>
        <v>-642752</v>
      </c>
      <c r="DA13" s="171">
        <f>-2410748-SUM(CX13:CZ13)-SUM(CX14:DA14)</f>
        <v>-628758</v>
      </c>
      <c r="DB13" s="165">
        <f t="shared" si="49"/>
        <v>-2402387</v>
      </c>
      <c r="DC13" s="171">
        <f>-740484-DC14+1505-1711</f>
        <v>-738979</v>
      </c>
      <c r="DD13" s="171">
        <f>-812123+2758</f>
        <v>-809365</v>
      </c>
      <c r="DE13" s="171">
        <f>-848164+1716</f>
        <v>-846448</v>
      </c>
      <c r="DF13" s="171">
        <f>-3248989-SUM(DC13:DE13)-SUM(DC14:DF14)</f>
        <v>-841641</v>
      </c>
      <c r="DG13" s="165">
        <f t="shared" si="50"/>
        <v>-3236433</v>
      </c>
      <c r="DH13" s="171">
        <f>-977668-DH14-206-4243</f>
        <v>-977874</v>
      </c>
      <c r="DI13" s="171">
        <f>-1017806+1812</f>
        <v>-1015994</v>
      </c>
      <c r="DJ13" s="52">
        <f>-(1-DJ71)*DJ5</f>
        <v>-1005988.5519592891</v>
      </c>
      <c r="DK13" s="52">
        <f>-(1-DK71)*DK5</f>
        <v>-1083785.9456176518</v>
      </c>
      <c r="DL13" s="165">
        <f t="shared" si="51"/>
        <v>-4083642.4975769408</v>
      </c>
      <c r="DM13" s="52">
        <f>-(1-DM71)*DM5</f>
        <v>-1118698.9214750158</v>
      </c>
      <c r="DN13" s="52">
        <f>-(1-DN71)*DN5</f>
        <v>-1158696.5301546257</v>
      </c>
      <c r="DO13" s="52">
        <f>-(1-DO71)*DO5</f>
        <v>-1197756.066735032</v>
      </c>
      <c r="DP13" s="52">
        <f>-(1-DP71)*DP5</f>
        <v>-1229834.5169566309</v>
      </c>
      <c r="DQ13" s="165">
        <f t="shared" si="52"/>
        <v>-4704986.0353213046</v>
      </c>
      <c r="DR13" s="52">
        <f>-(1-DR71)*DR5</f>
        <v>-1265042.8071816023</v>
      </c>
      <c r="DS13" s="52">
        <f>-(1-DS71)*DS5</f>
        <v>-1294202.4201219389</v>
      </c>
      <c r="DT13" s="52">
        <f>-(1-DT71)*DT5</f>
        <v>-1322155.1766347338</v>
      </c>
      <c r="DU13" s="52">
        <f>-(1-DU71)*DU5</f>
        <v>-1349109.0414694794</v>
      </c>
      <c r="DV13" s="165">
        <f t="shared" si="53"/>
        <v>-5230509.4454077538</v>
      </c>
      <c r="DW13" s="52">
        <f>-(1-DW71)*DW5</f>
        <v>-1375217.3926244329</v>
      </c>
      <c r="DX13" s="52">
        <f>-(1-DX71)*DX5</f>
        <v>-1400599.9479890799</v>
      </c>
      <c r="DY13" s="52">
        <f>-(1-DY71)*DY5</f>
        <v>-1425354.6713893656</v>
      </c>
      <c r="DZ13" s="52">
        <f>-(1-DZ71)*DZ5</f>
        <v>-1449564.6544976807</v>
      </c>
      <c r="EA13" s="165">
        <f t="shared" si="54"/>
        <v>-5650736.6665005591</v>
      </c>
      <c r="EB13" s="52">
        <f>-(1-EB71)*EB5</f>
        <v>-1473302.1894720264</v>
      </c>
      <c r="EC13" s="52">
        <f>-(1-EC71)*EC5</f>
        <v>-1496631.2617793761</v>
      </c>
      <c r="ED13" s="52">
        <f>-(1-ED71)*ED5</f>
        <v>-1519609.1464158611</v>
      </c>
      <c r="EE13" s="52">
        <f>-(1-EE71)*EE5</f>
        <v>-1542287.4879097519</v>
      </c>
      <c r="EF13" s="165">
        <f t="shared" si="55"/>
        <v>-6031830.0855770158</v>
      </c>
    </row>
    <row r="14" spans="1:137" ht="12.75" customHeight="1" outlineLevel="2">
      <c r="A14" s="9" t="s">
        <v>140</v>
      </c>
      <c r="B14" s="171"/>
      <c r="C14" s="171"/>
      <c r="D14" s="171"/>
      <c r="E14" s="171"/>
      <c r="F14" s="165"/>
      <c r="G14" s="171"/>
      <c r="H14" s="171"/>
      <c r="I14" s="171"/>
      <c r="J14" s="171"/>
      <c r="K14" s="165"/>
      <c r="L14" s="171"/>
      <c r="M14" s="171"/>
      <c r="N14" s="171"/>
      <c r="O14" s="171"/>
      <c r="P14" s="165"/>
      <c r="Q14" s="171"/>
      <c r="R14" s="171"/>
      <c r="S14" s="171"/>
      <c r="T14" s="171"/>
      <c r="U14" s="165"/>
      <c r="V14" s="171"/>
      <c r="W14" s="171"/>
      <c r="X14" s="171"/>
      <c r="Y14" s="171"/>
      <c r="Z14" s="165"/>
      <c r="AA14" s="171"/>
      <c r="AB14" s="171"/>
      <c r="AC14" s="171"/>
      <c r="AD14" s="171"/>
      <c r="AE14" s="165"/>
      <c r="AF14" s="171"/>
      <c r="AG14" s="171"/>
      <c r="AH14" s="171"/>
      <c r="AI14" s="172"/>
      <c r="AJ14" s="165">
        <f t="shared" si="35"/>
        <v>0</v>
      </c>
      <c r="AK14" s="171"/>
      <c r="AL14" s="171"/>
      <c r="AM14" s="171"/>
      <c r="AN14" s="172"/>
      <c r="AO14" s="165">
        <f t="shared" si="36"/>
        <v>0</v>
      </c>
      <c r="AP14" s="171"/>
      <c r="AQ14" s="171"/>
      <c r="AR14" s="171"/>
      <c r="AS14" s="172"/>
      <c r="AT14" s="165">
        <f t="shared" si="37"/>
        <v>0</v>
      </c>
      <c r="AU14" s="171"/>
      <c r="AV14" s="171"/>
      <c r="AW14" s="171"/>
      <c r="AX14" s="172"/>
      <c r="AY14" s="165">
        <f t="shared" si="38"/>
        <v>0</v>
      </c>
      <c r="AZ14" s="171"/>
      <c r="BA14" s="171"/>
      <c r="BB14" s="171"/>
      <c r="BC14" s="171">
        <v>-9751</v>
      </c>
      <c r="BD14" s="165">
        <f t="shared" si="39"/>
        <v>-9751</v>
      </c>
      <c r="BE14" s="171"/>
      <c r="BF14" s="171"/>
      <c r="BG14" s="171"/>
      <c r="BH14" s="171">
        <v>-14187</v>
      </c>
      <c r="BI14" s="165">
        <f t="shared" si="40"/>
        <v>-14187</v>
      </c>
      <c r="BJ14" s="171"/>
      <c r="BK14" s="171"/>
      <c r="BL14" s="171"/>
      <c r="BM14" s="171">
        <v>-15680</v>
      </c>
      <c r="BN14" s="165">
        <f t="shared" si="41"/>
        <v>-15680</v>
      </c>
      <c r="BO14" s="171"/>
      <c r="BP14" s="171"/>
      <c r="BQ14" s="171"/>
      <c r="BR14" s="171">
        <f>-17736</f>
        <v>-17736</v>
      </c>
      <c r="BS14" s="165">
        <f t="shared" si="42"/>
        <v>-17736</v>
      </c>
      <c r="BT14" s="171"/>
      <c r="BU14" s="171"/>
      <c r="BV14" s="171"/>
      <c r="BW14" s="171">
        <f>-13420</f>
        <v>-13420</v>
      </c>
      <c r="BX14" s="165">
        <f t="shared" si="43"/>
        <v>-13420</v>
      </c>
      <c r="BY14" s="171">
        <v>-1784</v>
      </c>
      <c r="BZ14" s="171">
        <v>-1529</v>
      </c>
      <c r="CA14" s="171">
        <v>-1146</v>
      </c>
      <c r="CB14" s="171">
        <f>-6326-SUM(BY14:CA14)</f>
        <v>-1867</v>
      </c>
      <c r="CC14" s="165">
        <f t="shared" si="44"/>
        <v>-6326</v>
      </c>
      <c r="CD14" s="171">
        <v>-1365</v>
      </c>
      <c r="CE14" s="171">
        <v>-1686</v>
      </c>
      <c r="CF14" s="171">
        <v>-409</v>
      </c>
      <c r="CG14" s="171">
        <f>-4215-SUM(CD14:CF14)</f>
        <v>-755</v>
      </c>
      <c r="CH14" s="165">
        <f t="shared" si="45"/>
        <v>-4215</v>
      </c>
      <c r="CI14" s="171">
        <v>-122</v>
      </c>
      <c r="CJ14" s="171">
        <v>-142</v>
      </c>
      <c r="CK14" s="171">
        <v>-339</v>
      </c>
      <c r="CL14" s="171">
        <f>-1334-SUM(CI14:CK14)</f>
        <v>-731</v>
      </c>
      <c r="CM14" s="165">
        <f t="shared" si="46"/>
        <v>-1334</v>
      </c>
      <c r="CN14" s="171">
        <v>-607</v>
      </c>
      <c r="CO14" s="171">
        <v>-564</v>
      </c>
      <c r="CP14" s="171">
        <v>-1100</v>
      </c>
      <c r="CQ14" s="171">
        <f>-3284-SUM(CN14:CP14)</f>
        <v>-1013</v>
      </c>
      <c r="CR14" s="165">
        <f t="shared" si="47"/>
        <v>-3284</v>
      </c>
      <c r="CS14" s="171">
        <v>-1299</v>
      </c>
      <c r="CT14" s="171">
        <v>-1415</v>
      </c>
      <c r="CU14" s="171">
        <v>-1489</v>
      </c>
      <c r="CV14" s="171">
        <f>-5964-SUM(CS14:CU14)</f>
        <v>-1761</v>
      </c>
      <c r="CW14" s="165">
        <f t="shared" si="48"/>
        <v>-5964</v>
      </c>
      <c r="CX14" s="171">
        <v>-1856</v>
      </c>
      <c r="CY14" s="171">
        <v>-2127</v>
      </c>
      <c r="CZ14" s="171">
        <v>-2041</v>
      </c>
      <c r="DA14" s="171">
        <f>-8361-SUM(CX14:CZ14)</f>
        <v>-2337</v>
      </c>
      <c r="DB14" s="165">
        <f t="shared" si="49"/>
        <v>-8361</v>
      </c>
      <c r="DC14" s="171">
        <v>-1711</v>
      </c>
      <c r="DD14" s="171">
        <v>-3457</v>
      </c>
      <c r="DE14" s="171">
        <v>-3061</v>
      </c>
      <c r="DF14" s="171">
        <f>-12556-SUM(DC14:DE14)</f>
        <v>-4327</v>
      </c>
      <c r="DG14" s="165">
        <f t="shared" si="50"/>
        <v>-12556</v>
      </c>
      <c r="DH14" s="171">
        <v>-4243</v>
      </c>
      <c r="DI14" s="171">
        <v>-5275</v>
      </c>
      <c r="DJ14" s="171">
        <f>-'Balance Sheet'!DI133/(Forecasts!DI24)*Forecasts!DJ21+0.1%*Forecasts!DJ40</f>
        <v>883.1273000000001</v>
      </c>
      <c r="DK14" s="171">
        <f>-'Balance Sheet'!DJ133/(Forecasts!DJ24)*Forecasts!DK21+0.6%*Forecasts!DK40</f>
        <v>-617.70213133201196</v>
      </c>
      <c r="DL14" s="165">
        <f t="shared" si="51"/>
        <v>-9252.5748313320109</v>
      </c>
      <c r="DM14" s="171">
        <f>-'Balance Sheet'!DL133/(Forecasts!DL24)*Forecasts!DM21+1.2%*Forecasts!DM40</f>
        <v>-17.590617137331719</v>
      </c>
      <c r="DN14" s="171">
        <f>-'Balance Sheet'!DM133/(Forecasts!DM24)*Forecasts!DN21+1.2%*Forecasts!DN40</f>
        <v>-5214.978393132782</v>
      </c>
      <c r="DO14" s="171">
        <f>-'Balance Sheet'!DN133/(Forecasts!DN24)*Forecasts!DO21+1.2%*Forecasts!DO40</f>
        <v>-8529.2454561657833</v>
      </c>
      <c r="DP14" s="171">
        <f>-'Balance Sheet'!DO133/(Forecasts!DO24)*Forecasts!DP21+1.2%*Forecasts!DP40</f>
        <v>-10795.301710249463</v>
      </c>
      <c r="DQ14" s="165">
        <f t="shared" si="52"/>
        <v>-24557.116176685362</v>
      </c>
      <c r="DR14" s="171">
        <f>-'Balance Sheet'!DQ133/(Forecasts!DQ24)*Forecasts!DR21+1.2%*Forecasts!DR40</f>
        <v>-12385.645388006715</v>
      </c>
      <c r="DS14" s="171">
        <f>-'Balance Sheet'!DR133/(Forecasts!DR24)*Forecasts!DS21+1.2%*Forecasts!DS40</f>
        <v>-11948.083334997815</v>
      </c>
      <c r="DT14" s="171">
        <f>-'Balance Sheet'!DS133/(Forecasts!DS24)*Forecasts!DT21+1.2%*Forecasts!DT40</f>
        <v>-11782.036137131161</v>
      </c>
      <c r="DU14" s="171">
        <f>-'Balance Sheet'!DT133/(Forecasts!DT24)*Forecasts!DU21+1.2%*Forecasts!DU40</f>
        <v>-11782.633887693899</v>
      </c>
      <c r="DV14" s="165">
        <f t="shared" si="53"/>
        <v>-47898.398747829589</v>
      </c>
      <c r="DW14" s="171">
        <f>-'Balance Sheet'!DV133/(Forecasts!DV24)*Forecasts!DW21+1.2%*Forecasts!DW40</f>
        <v>-11884.346022992757</v>
      </c>
      <c r="DX14" s="171">
        <f>-'Balance Sheet'!DW133/(Forecasts!DW24)*Forecasts!DX21+1.2%*Forecasts!DX40</f>
        <v>-12046.277981790558</v>
      </c>
      <c r="DY14" s="171">
        <f>-'Balance Sheet'!DX133/(Forecasts!DX24)*Forecasts!DY21+1.2%*Forecasts!DY40</f>
        <v>-12242.981383123561</v>
      </c>
      <c r="DZ14" s="171">
        <f>-'Balance Sheet'!DY133/(Forecasts!DY24)*Forecasts!DZ21+1.2%*Forecasts!DZ40</f>
        <v>-12458.704787101189</v>
      </c>
      <c r="EA14" s="165">
        <f t="shared" si="54"/>
        <v>-48632.31017500806</v>
      </c>
      <c r="EB14" s="171">
        <f>-'Balance Sheet'!EA133/(Forecasts!EA24)*Forecasts!EB21+1.2%*Forecasts!EB40</f>
        <v>-12683.78969328689</v>
      </c>
      <c r="EC14" s="171">
        <f>-'Balance Sheet'!EB133/(Forecasts!EB24)*Forecasts!EC21+1.2%*Forecasts!EC40</f>
        <v>-12912.406098385756</v>
      </c>
      <c r="ED14" s="171">
        <f>-'Balance Sheet'!EC133/(Forecasts!EC24)*Forecasts!ED21+1.2%*Forecasts!ED40</f>
        <v>-13141.126584137695</v>
      </c>
      <c r="EE14" s="171">
        <f>-'Balance Sheet'!ED133/(Forecasts!ED24)*Forecasts!EE21+1.2%*Forecasts!EE40</f>
        <v>-13368.026771655372</v>
      </c>
      <c r="EF14" s="165">
        <f t="shared" si="55"/>
        <v>-52105.349147465713</v>
      </c>
    </row>
    <row r="15" spans="1:137" ht="12.75" customHeight="1" outlineLevel="1">
      <c r="A15" s="9" t="s">
        <v>180</v>
      </c>
      <c r="B15" s="171"/>
      <c r="C15" s="171"/>
      <c r="D15" s="171"/>
      <c r="E15" s="171"/>
      <c r="F15" s="165">
        <f>SUM(B15:E15)</f>
        <v>0</v>
      </c>
      <c r="G15" s="171"/>
      <c r="H15" s="171"/>
      <c r="I15" s="171"/>
      <c r="J15" s="171"/>
      <c r="K15" s="165">
        <f>SUM(G15:J15)</f>
        <v>0</v>
      </c>
      <c r="L15" s="171"/>
      <c r="M15" s="171"/>
      <c r="N15" s="171"/>
      <c r="O15" s="171"/>
      <c r="P15" s="165">
        <f>SUM(L15:O15)</f>
        <v>0</v>
      </c>
      <c r="Q15" s="171"/>
      <c r="R15" s="171"/>
      <c r="S15" s="171"/>
      <c r="T15" s="171"/>
      <c r="U15" s="165">
        <f>SUM(Q15:T15)</f>
        <v>0</v>
      </c>
      <c r="V15" s="171"/>
      <c r="W15" s="171"/>
      <c r="X15" s="171"/>
      <c r="Y15" s="171"/>
      <c r="Z15" s="165">
        <f>SUM(V15:Y15)</f>
        <v>0</v>
      </c>
      <c r="AA15" s="171"/>
      <c r="AB15" s="171"/>
      <c r="AC15" s="171"/>
      <c r="AD15" s="171"/>
      <c r="AE15" s="165">
        <f>SUM(AA15:AD15)</f>
        <v>0</v>
      </c>
      <c r="AF15" s="171"/>
      <c r="AG15" s="171"/>
      <c r="AH15" s="171"/>
      <c r="AI15" s="171">
        <v>-42201.964999999997</v>
      </c>
      <c r="AJ15" s="165">
        <f t="shared" si="35"/>
        <v>-42201.964999999997</v>
      </c>
      <c r="AK15" s="171"/>
      <c r="AL15" s="171"/>
      <c r="AM15" s="171"/>
      <c r="AN15" s="171">
        <v>-60551.383000000002</v>
      </c>
      <c r="AO15" s="165">
        <f t="shared" si="36"/>
        <v>-60551.383000000002</v>
      </c>
      <c r="AP15" s="171"/>
      <c r="AQ15" s="171"/>
      <c r="AR15" s="171"/>
      <c r="AS15" s="171">
        <v>-57455.074999999997</v>
      </c>
      <c r="AT15" s="165">
        <f t="shared" si="37"/>
        <v>-57455.074999999997</v>
      </c>
      <c r="AU15" s="171"/>
      <c r="AV15" s="171"/>
      <c r="AW15" s="171"/>
      <c r="AX15" s="171">
        <v>-195341.66399999999</v>
      </c>
      <c r="AY15" s="165">
        <f t="shared" si="38"/>
        <v>-195341.66399999999</v>
      </c>
      <c r="AZ15" s="171"/>
      <c r="BA15" s="171"/>
      <c r="BB15" s="171"/>
      <c r="BC15" s="171">
        <v>-351389</v>
      </c>
      <c r="BD15" s="165">
        <f t="shared" si="39"/>
        <v>-351389</v>
      </c>
      <c r="BE15" s="171"/>
      <c r="BF15" s="171"/>
      <c r="BG15" s="171"/>
      <c r="BH15" s="171">
        <v>-329112</v>
      </c>
      <c r="BI15" s="165">
        <f t="shared" si="40"/>
        <v>-329112</v>
      </c>
      <c r="BJ15" s="171"/>
      <c r="BK15" s="171"/>
      <c r="BL15" s="171"/>
      <c r="BM15" s="171">
        <v>-242152</v>
      </c>
      <c r="BN15" s="165">
        <f t="shared" si="41"/>
        <v>-242152</v>
      </c>
      <c r="BO15" s="171"/>
      <c r="BP15" s="171"/>
      <c r="BQ15" s="171"/>
      <c r="BR15" s="171">
        <v>-108631</v>
      </c>
      <c r="BS15" s="165">
        <f t="shared" si="42"/>
        <v>-108631</v>
      </c>
      <c r="BT15" s="171"/>
      <c r="BU15" s="171"/>
      <c r="BV15" s="171"/>
      <c r="BW15" s="171">
        <v>-49323</v>
      </c>
      <c r="BX15" s="165">
        <f t="shared" si="43"/>
        <v>-49323</v>
      </c>
      <c r="BY15" s="171">
        <v>-8264</v>
      </c>
      <c r="BZ15" s="171">
        <v>-8525</v>
      </c>
      <c r="CA15" s="171">
        <v>-7775</v>
      </c>
      <c r="CB15" s="171">
        <f>-28512-SUM(BY15:CA15)</f>
        <v>-3948</v>
      </c>
      <c r="CC15" s="165">
        <f t="shared" si="44"/>
        <v>-28512</v>
      </c>
      <c r="CD15" s="171">
        <v>-9693</v>
      </c>
      <c r="CE15" s="171">
        <v>-9267</v>
      </c>
      <c r="CF15" s="171">
        <v>-5606</v>
      </c>
      <c r="CG15" s="171">
        <f>-33295-SUM(CD15:CF15)</f>
        <v>-8729</v>
      </c>
      <c r="CH15" s="165">
        <f t="shared" si="45"/>
        <v>-33295</v>
      </c>
      <c r="CI15" s="171">
        <v>-6548</v>
      </c>
      <c r="CJ15" s="171">
        <v>-7639</v>
      </c>
      <c r="CK15" s="171">
        <v>-9476</v>
      </c>
      <c r="CL15" s="171">
        <f>-10932-SUM(CI15:CK15)</f>
        <v>12731</v>
      </c>
      <c r="CM15" s="165">
        <f t="shared" si="46"/>
        <v>-10932</v>
      </c>
      <c r="CN15" s="171">
        <v>-1869</v>
      </c>
      <c r="CO15" s="171">
        <v>-751</v>
      </c>
      <c r="CP15" s="171">
        <v>-8780</v>
      </c>
      <c r="CQ15" s="171">
        <f>-4651-SUM(CN15:CP15)</f>
        <v>6749</v>
      </c>
      <c r="CR15" s="165">
        <f t="shared" si="47"/>
        <v>-4651</v>
      </c>
      <c r="CS15" s="171">
        <v>-522</v>
      </c>
      <c r="CT15" s="171">
        <v>-339</v>
      </c>
      <c r="CU15" s="171">
        <v>-138</v>
      </c>
      <c r="CV15" s="171">
        <f>-1355-SUM(CS15:CU15)</f>
        <v>-356</v>
      </c>
      <c r="CW15" s="165">
        <f t="shared" si="48"/>
        <v>-1355</v>
      </c>
      <c r="CX15" s="171">
        <v>-714</v>
      </c>
      <c r="CY15" s="171">
        <v>-753</v>
      </c>
      <c r="CZ15" s="171">
        <v>-1633</v>
      </c>
      <c r="DA15" s="171">
        <f>-2622-SUM(CX15:CZ15)</f>
        <v>478</v>
      </c>
      <c r="DB15" s="165">
        <f t="shared" si="49"/>
        <v>-2622</v>
      </c>
      <c r="DC15" s="171">
        <v>-606</v>
      </c>
      <c r="DD15" s="171">
        <v>-1001</v>
      </c>
      <c r="DE15" s="171">
        <v>-1190</v>
      </c>
      <c r="DF15" s="171">
        <f>-3848-SUM(DC15:DE15)</f>
        <v>-1051</v>
      </c>
      <c r="DG15" s="165">
        <f t="shared" si="50"/>
        <v>-3848</v>
      </c>
      <c r="DH15" s="171">
        <v>-798</v>
      </c>
      <c r="DI15" s="171">
        <v>-963</v>
      </c>
      <c r="DJ15" s="177">
        <f>-(1-DJ72)*DJ7</f>
        <v>-685.63896327886857</v>
      </c>
      <c r="DK15" s="177">
        <f>-(1-DK72)*DK7</f>
        <v>-742.44576323851891</v>
      </c>
      <c r="DL15" s="165">
        <f t="shared" si="51"/>
        <v>-3189.0847265173875</v>
      </c>
      <c r="DM15" s="177">
        <f>-(1-DM72)*DM7</f>
        <v>-1137.6776955752755</v>
      </c>
      <c r="DN15" s="177">
        <f>-(1-DN72)*DN7</f>
        <v>-1175.1413468488727</v>
      </c>
      <c r="DO15" s="177">
        <f>-(1-DO72)*DO7</f>
        <v>-1206.9236593506075</v>
      </c>
      <c r="DP15" s="177">
        <f>-(1-DP72)*DP7</f>
        <v>-1236.2606332998428</v>
      </c>
      <c r="DQ15" s="165">
        <f t="shared" si="52"/>
        <v>-4756.0033350745989</v>
      </c>
      <c r="DR15" s="177">
        <f>-(1-DR72)*DR7</f>
        <v>-1263.7909816745869</v>
      </c>
      <c r="DS15" s="177">
        <f>-(1-DS72)*DS7</f>
        <v>-1289.957911046328</v>
      </c>
      <c r="DT15" s="177">
        <f>-(1-DT72)*DT7</f>
        <v>-1315.0494346222438</v>
      </c>
      <c r="DU15" s="177">
        <f>-(1-DU72)*DU7</f>
        <v>-1339.264759844933</v>
      </c>
      <c r="DV15" s="165">
        <f t="shared" si="53"/>
        <v>-5208.0630871880921</v>
      </c>
      <c r="DW15" s="177">
        <f>-(1-DW72)*DW7</f>
        <v>-1362.7500390705291</v>
      </c>
      <c r="DX15" s="177">
        <f>-(1-DX72)*DX7</f>
        <v>-1385.6186117724706</v>
      </c>
      <c r="DY15" s="177">
        <f>-(1-DY72)*DY7</f>
        <v>-1407.9625599913679</v>
      </c>
      <c r="DZ15" s="177">
        <f>-(1-DZ72)*DZ7</f>
        <v>-1429.8594161924473</v>
      </c>
      <c r="EA15" s="165">
        <f t="shared" si="54"/>
        <v>-5586.1906270268146</v>
      </c>
      <c r="EB15" s="177">
        <f>-(1-EB72)*EB7</f>
        <v>-1451.376153738481</v>
      </c>
      <c r="EC15" s="177">
        <f>-(1-EC72)*EC7</f>
        <v>-1472.571644107119</v>
      </c>
      <c r="ED15" s="177">
        <f>-(1-ED72)*ED7</f>
        <v>-1493.4982400373542</v>
      </c>
      <c r="EE15" s="177">
        <f>-(1-EE72)*EE7</f>
        <v>-1514.2028524572347</v>
      </c>
      <c r="EF15" s="165">
        <f t="shared" si="55"/>
        <v>-5931.6488903401878</v>
      </c>
    </row>
    <row r="16" spans="1:137" ht="12.75" customHeight="1">
      <c r="A16" s="15" t="s">
        <v>2</v>
      </c>
      <c r="B16" s="166">
        <f>+B11+B12</f>
        <v>0</v>
      </c>
      <c r="C16" s="166">
        <f>+C11+C12</f>
        <v>0</v>
      </c>
      <c r="D16" s="166">
        <f>+D11+D12</f>
        <v>0</v>
      </c>
      <c r="E16" s="166">
        <f>+E11+E12</f>
        <v>0</v>
      </c>
      <c r="F16" s="167">
        <f>SUM(B16:E16)</f>
        <v>0</v>
      </c>
      <c r="G16" s="166">
        <f>+G11+G12</f>
        <v>0</v>
      </c>
      <c r="H16" s="166">
        <f>+H11+H12</f>
        <v>0</v>
      </c>
      <c r="I16" s="166">
        <f>+I11+I12</f>
        <v>0</v>
      </c>
      <c r="J16" s="166">
        <f>+J11+J12</f>
        <v>0</v>
      </c>
      <c r="K16" s="167">
        <f>SUM(G16:J16)</f>
        <v>0</v>
      </c>
      <c r="L16" s="166">
        <f>+L11+L12</f>
        <v>0</v>
      </c>
      <c r="M16" s="166">
        <f>+M11+M12</f>
        <v>0</v>
      </c>
      <c r="N16" s="166">
        <f>+N11+N12</f>
        <v>0</v>
      </c>
      <c r="O16" s="166">
        <f>+O11+O12</f>
        <v>0</v>
      </c>
      <c r="P16" s="167">
        <f>SUM(L16:O16)</f>
        <v>0</v>
      </c>
      <c r="Q16" s="166">
        <f>+Q11+Q12</f>
        <v>0</v>
      </c>
      <c r="R16" s="166">
        <f>+R11+R12</f>
        <v>0</v>
      </c>
      <c r="S16" s="166">
        <f>+S11+S12</f>
        <v>0</v>
      </c>
      <c r="T16" s="166">
        <f>+T11+T12</f>
        <v>0</v>
      </c>
      <c r="U16" s="167">
        <f>SUM(Q16:T16)</f>
        <v>0</v>
      </c>
      <c r="V16" s="166">
        <f>+V11+V12</f>
        <v>0</v>
      </c>
      <c r="W16" s="166">
        <f>+W11+W12</f>
        <v>0</v>
      </c>
      <c r="X16" s="166">
        <f>+X11+X12</f>
        <v>0</v>
      </c>
      <c r="Y16" s="166">
        <f>+Y11+Y12</f>
        <v>0</v>
      </c>
      <c r="Z16" s="167">
        <f>SUM(V16:Y16)</f>
        <v>0</v>
      </c>
      <c r="AA16" s="166">
        <f>+AA11+AA12</f>
        <v>0</v>
      </c>
      <c r="AB16" s="166">
        <f>+AB11+AB12</f>
        <v>0</v>
      </c>
      <c r="AC16" s="166">
        <f>+AC11+AC12</f>
        <v>0</v>
      </c>
      <c r="AD16" s="166">
        <f>+AD11+AD12</f>
        <v>0</v>
      </c>
      <c r="AE16" s="167">
        <f>SUM(AA16:AD16)</f>
        <v>0</v>
      </c>
      <c r="AF16" s="166">
        <f>+AF11+AF12</f>
        <v>0</v>
      </c>
      <c r="AG16" s="166">
        <f>+AG11+AG12</f>
        <v>0</v>
      </c>
      <c r="AH16" s="166">
        <f>+AH11+AH12</f>
        <v>0</v>
      </c>
      <c r="AI16" s="166">
        <f>+AI11+AI12</f>
        <v>81401.609000000026</v>
      </c>
      <c r="AJ16" s="167">
        <f t="shared" si="35"/>
        <v>81401.609000000026</v>
      </c>
      <c r="AK16" s="166">
        <f>+AK11+AK12</f>
        <v>0</v>
      </c>
      <c r="AL16" s="166">
        <f>+AL11+AL12</f>
        <v>0</v>
      </c>
      <c r="AM16" s="166">
        <f>+AM11+AM12</f>
        <v>0</v>
      </c>
      <c r="AN16" s="166">
        <f>+AN11+AN12</f>
        <v>129215.50599999999</v>
      </c>
      <c r="AO16" s="167">
        <f t="shared" si="36"/>
        <v>129215.50599999999</v>
      </c>
      <c r="AP16" s="166">
        <f>+AP11+AP12</f>
        <v>0</v>
      </c>
      <c r="AQ16" s="166">
        <f>+AQ11+AQ12</f>
        <v>0</v>
      </c>
      <c r="AR16" s="166">
        <f>+AR11+AR12</f>
        <v>0</v>
      </c>
      <c r="AS16" s="166">
        <f>+AS11+AS12</f>
        <v>191883.261</v>
      </c>
      <c r="AT16" s="167">
        <f t="shared" si="37"/>
        <v>191883.261</v>
      </c>
      <c r="AU16" s="166">
        <f>+AU11+AU12</f>
        <v>0</v>
      </c>
      <c r="AV16" s="166">
        <f>+AV11+AV12</f>
        <v>0</v>
      </c>
      <c r="AW16" s="166">
        <f>+AW11+AW12</f>
        <v>0</v>
      </c>
      <c r="AX16" s="166">
        <f>+AX11+AX12</f>
        <v>255161.18299999996</v>
      </c>
      <c r="AY16" s="167">
        <f t="shared" si="38"/>
        <v>255161.18299999996</v>
      </c>
      <c r="AZ16" s="166">
        <f>+AZ11+AZ12</f>
        <v>0</v>
      </c>
      <c r="BA16" s="166">
        <f>+BA11+BA12</f>
        <v>0</v>
      </c>
      <c r="BB16" s="166">
        <f>+BB11+BB12</f>
        <v>0</v>
      </c>
      <c r="BC16" s="166">
        <f>+BC11+BC12</f>
        <v>257835</v>
      </c>
      <c r="BD16" s="167">
        <f t="shared" si="39"/>
        <v>257835</v>
      </c>
      <c r="BE16" s="166">
        <f>+BE11+BE12</f>
        <v>0</v>
      </c>
      <c r="BF16" s="166">
        <f>+BF11+BF12</f>
        <v>0</v>
      </c>
      <c r="BG16" s="166">
        <f>+BG11+BG12</f>
        <v>0</v>
      </c>
      <c r="BH16" s="166">
        <f>+BH11+BH12</f>
        <v>247737</v>
      </c>
      <c r="BI16" s="167">
        <f t="shared" si="40"/>
        <v>247737</v>
      </c>
      <c r="BJ16" s="166">
        <f>+BJ11+BJ12</f>
        <v>0</v>
      </c>
      <c r="BK16" s="166">
        <f>+BK11+BK12</f>
        <v>0</v>
      </c>
      <c r="BL16" s="166">
        <f>+BL11+BL12</f>
        <v>0</v>
      </c>
      <c r="BM16" s="166">
        <f>+BM11+BM12</f>
        <v>203777</v>
      </c>
      <c r="BN16" s="167">
        <f t="shared" si="41"/>
        <v>203777</v>
      </c>
      <c r="BO16" s="166">
        <f>+BO11+BO12</f>
        <v>0</v>
      </c>
      <c r="BP16" s="166">
        <f>+BP11+BP12</f>
        <v>0</v>
      </c>
      <c r="BQ16" s="166">
        <f>+BQ11+BQ12</f>
        <v>0</v>
      </c>
      <c r="BR16" s="166">
        <f>+BR11+BR12</f>
        <v>243845</v>
      </c>
      <c r="BS16" s="167">
        <f t="shared" si="42"/>
        <v>243845</v>
      </c>
      <c r="BT16" s="166">
        <f>+BT11+BT12</f>
        <v>0</v>
      </c>
      <c r="BU16" s="166">
        <f>+BU11+BU12</f>
        <v>0</v>
      </c>
      <c r="BV16" s="166">
        <f>+BV11+BV12</f>
        <v>0</v>
      </c>
      <c r="BW16" s="166">
        <f>+BW11+BW12</f>
        <v>314727</v>
      </c>
      <c r="BX16" s="167">
        <f t="shared" si="43"/>
        <v>314727</v>
      </c>
      <c r="BY16" s="166">
        <f>+BY11+BY12</f>
        <v>55331</v>
      </c>
      <c r="BZ16" s="166">
        <f>+BZ11+BZ12</f>
        <v>100751</v>
      </c>
      <c r="CA16" s="166">
        <f>+CA11+CA12</f>
        <v>80835</v>
      </c>
      <c r="CB16" s="166">
        <f>+CB11+CB12</f>
        <v>118968</v>
      </c>
      <c r="CC16" s="167">
        <f t="shared" si="44"/>
        <v>355885</v>
      </c>
      <c r="CD16" s="166">
        <f>+CD11+CD12</f>
        <v>78140</v>
      </c>
      <c r="CE16" s="166">
        <f>+CE11+CE12</f>
        <v>87067</v>
      </c>
      <c r="CF16" s="166">
        <f>+CF11+CF12</f>
        <v>123356</v>
      </c>
      <c r="CG16" s="166">
        <f>+CG11+CG12</f>
        <v>139827</v>
      </c>
      <c r="CH16" s="167">
        <f t="shared" si="45"/>
        <v>428390</v>
      </c>
      <c r="CI16" s="166">
        <f>+CI11+CI12</f>
        <v>120342</v>
      </c>
      <c r="CJ16" s="166">
        <f>+CJ11+CJ12</f>
        <v>162916</v>
      </c>
      <c r="CK16" s="166">
        <f>+CK11+CK12</f>
        <v>174971</v>
      </c>
      <c r="CL16" s="166">
        <f>+CL11+CL12</f>
        <v>186442</v>
      </c>
      <c r="CM16" s="167">
        <f t="shared" si="46"/>
        <v>644671</v>
      </c>
      <c r="CN16" s="166">
        <f>+CN11+CN12</f>
        <v>165909</v>
      </c>
      <c r="CO16" s="166">
        <f>+CO11+CO12</f>
        <v>215497</v>
      </c>
      <c r="CP16" s="166">
        <f>+CP11+CP12</f>
        <v>233743</v>
      </c>
      <c r="CQ16" s="166">
        <f>+CQ11+CQ12</f>
        <v>221743</v>
      </c>
      <c r="CR16" s="167">
        <f t="shared" si="47"/>
        <v>836892</v>
      </c>
      <c r="CS16" s="166">
        <f>+CS11+CS12</f>
        <v>223162</v>
      </c>
      <c r="CT16" s="166">
        <f>+CT11+CT12</f>
        <v>274554</v>
      </c>
      <c r="CU16" s="166">
        <f>+CU11+CU12</f>
        <v>283903</v>
      </c>
      <c r="CV16" s="166">
        <f>+CV11+CV12</f>
        <v>313734</v>
      </c>
      <c r="CW16" s="167">
        <f t="shared" si="48"/>
        <v>1095353</v>
      </c>
      <c r="CX16" s="166">
        <f>+CX11+CX12</f>
        <v>316609</v>
      </c>
      <c r="CY16" s="166">
        <f>+CY11+CY12</f>
        <v>382531</v>
      </c>
      <c r="CZ16" s="166">
        <f>+CZ11+CZ12</f>
        <v>409446</v>
      </c>
      <c r="DA16" s="166">
        <f>+DA11+DA12</f>
        <v>404354</v>
      </c>
      <c r="DB16" s="167">
        <f t="shared" si="49"/>
        <v>1512940</v>
      </c>
      <c r="DC16" s="166">
        <f>+DC11+DC12</f>
        <v>474888</v>
      </c>
      <c r="DD16" s="166">
        <f>+DD11+DD12</f>
        <v>532776</v>
      </c>
      <c r="DE16" s="166">
        <f>+DE11+DE12</f>
        <v>566227</v>
      </c>
      <c r="DF16" s="166">
        <f>+DF11+DF12</f>
        <v>572696</v>
      </c>
      <c r="DG16" s="167">
        <f t="shared" si="50"/>
        <v>2146587</v>
      </c>
      <c r="DH16" s="166">
        <f>+DH11+DH12</f>
        <v>629656</v>
      </c>
      <c r="DI16" s="166">
        <f>+DI11+DI12</f>
        <v>668362</v>
      </c>
      <c r="DJ16" s="166">
        <f>+DJ11+DJ12</f>
        <v>676010.00684831606</v>
      </c>
      <c r="DK16" s="166">
        <f>+DK11+DK12</f>
        <v>735996.14935248834</v>
      </c>
      <c r="DL16" s="167">
        <f t="shared" si="51"/>
        <v>2710024.1562008047</v>
      </c>
      <c r="DM16" s="166">
        <f>+DM11+DM12</f>
        <v>740549.18938947888</v>
      </c>
      <c r="DN16" s="166">
        <f>+DN11+DN12</f>
        <v>756579.68951886729</v>
      </c>
      <c r="DO16" s="166">
        <f>+DO11+DO12</f>
        <v>766146.57503376296</v>
      </c>
      <c r="DP16" s="166">
        <f>+DP11+DP12</f>
        <v>779746.42895225366</v>
      </c>
      <c r="DQ16" s="167">
        <f t="shared" si="52"/>
        <v>3043021.8828943623</v>
      </c>
      <c r="DR16" s="166">
        <f>+DR11+DR12</f>
        <v>787939.65230582724</v>
      </c>
      <c r="DS16" s="166">
        <f>+DS11+DS12</f>
        <v>801981.2720812792</v>
      </c>
      <c r="DT16" s="166">
        <f>+DT11+DT12</f>
        <v>815200.7364516207</v>
      </c>
      <c r="DU16" s="166">
        <f>+DU11+DU12</f>
        <v>827820.50812604604</v>
      </c>
      <c r="DV16" s="167">
        <f t="shared" si="53"/>
        <v>3232942.168964773</v>
      </c>
      <c r="DW16" s="166">
        <f>+DW11+DW12</f>
        <v>839991.59120413335</v>
      </c>
      <c r="DX16" s="166">
        <f>+DX11+DX12</f>
        <v>851820.38897885382</v>
      </c>
      <c r="DY16" s="166">
        <f>+DY11+DY12</f>
        <v>863384.87236924376</v>
      </c>
      <c r="DZ16" s="166">
        <f>+DZ11+DZ12</f>
        <v>874744.40965955146</v>
      </c>
      <c r="EA16" s="167">
        <f t="shared" si="54"/>
        <v>3429941.2622117824</v>
      </c>
      <c r="EB16" s="166">
        <f>+EB11+EB12</f>
        <v>885945.81934795133</v>
      </c>
      <c r="EC16" s="166">
        <f>+EC11+EC12</f>
        <v>897027.15750731435</v>
      </c>
      <c r="ED16" s="166">
        <f>+ED11+ED12</f>
        <v>908020.13475640747</v>
      </c>
      <c r="EE16" s="166">
        <f>+EE11+EE12</f>
        <v>918951.69578676252</v>
      </c>
      <c r="EF16" s="167">
        <f t="shared" si="55"/>
        <v>3609944.8073984357</v>
      </c>
      <c r="EG16" s="162"/>
    </row>
    <row r="17" spans="1:158" ht="12.75" customHeight="1">
      <c r="A17" s="15" t="s">
        <v>35</v>
      </c>
      <c r="B17" s="166">
        <f>B18+B21+B23+B32+B36+B29</f>
        <v>0</v>
      </c>
      <c r="C17" s="166">
        <f>C18+C21+C23+C32+C36+C29</f>
        <v>0</v>
      </c>
      <c r="D17" s="166">
        <f>D18+D21+D23+D32+D36+D29</f>
        <v>0</v>
      </c>
      <c r="E17" s="166">
        <f>E18+E21+E23+E32+E36+E29</f>
        <v>0</v>
      </c>
      <c r="F17" s="167">
        <f>SUM(B17:E17)</f>
        <v>0</v>
      </c>
      <c r="G17" s="166">
        <f>G18+G21+G23+G32+G36+G29</f>
        <v>0</v>
      </c>
      <c r="H17" s="166">
        <f>H18+H21+H23+H32+H36+H29</f>
        <v>0</v>
      </c>
      <c r="I17" s="166">
        <f>I18+I21+I23+I32+I36+I29</f>
        <v>0</v>
      </c>
      <c r="J17" s="166">
        <f>J18+J21+J23+J32+J36+J29</f>
        <v>0</v>
      </c>
      <c r="K17" s="167">
        <f>SUM(G17:J17)</f>
        <v>0</v>
      </c>
      <c r="L17" s="166">
        <f>L18+L21+L23+L32+L36+L29</f>
        <v>0</v>
      </c>
      <c r="M17" s="166">
        <f>M18+M21+M23+M32+M36+M29</f>
        <v>0</v>
      </c>
      <c r="N17" s="166">
        <f>N18+N21+N23+N32+N36+N29</f>
        <v>0</v>
      </c>
      <c r="O17" s="166">
        <f>O18+O21+O23+O32+O36+O29</f>
        <v>0</v>
      </c>
      <c r="P17" s="167">
        <f>SUM(L17:O17)</f>
        <v>0</v>
      </c>
      <c r="Q17" s="166">
        <f>Q18+Q21+Q23+Q32+Q36+Q29</f>
        <v>0</v>
      </c>
      <c r="R17" s="166">
        <f>R18+R21+R23+R32+R36+R29</f>
        <v>0</v>
      </c>
      <c r="S17" s="166">
        <f>S18+S21+S23+S32+S36+S29</f>
        <v>0</v>
      </c>
      <c r="T17" s="166">
        <f>T18+T21+T23+T32+T36+T29</f>
        <v>0</v>
      </c>
      <c r="U17" s="167">
        <f>SUM(Q17:T17)</f>
        <v>0</v>
      </c>
      <c r="V17" s="166">
        <f>V18+V21+V23+V32+V36+V29</f>
        <v>0</v>
      </c>
      <c r="W17" s="166">
        <f>W18+W21+W23+W32+W36+W29</f>
        <v>0</v>
      </c>
      <c r="X17" s="166">
        <f>X18+X21+X23+X32+X36+X29</f>
        <v>0</v>
      </c>
      <c r="Y17" s="166">
        <f>Y18+Y21+Y23+Y32+Y36+Y29</f>
        <v>0</v>
      </c>
      <c r="Z17" s="167">
        <f>SUM(V17:Y17)</f>
        <v>0</v>
      </c>
      <c r="AA17" s="166">
        <f>AA18+AA21+AA23+AA32+AA36+AA29</f>
        <v>0</v>
      </c>
      <c r="AB17" s="166">
        <f>AB18+AB21+AB23+AB32+AB36+AB29</f>
        <v>0</v>
      </c>
      <c r="AC17" s="166">
        <f>AC18+AC21+AC23+AC32+AC36+AC29</f>
        <v>0</v>
      </c>
      <c r="AD17" s="166">
        <f>AD18+AD21+AD23+AD32+AD36+AD29</f>
        <v>0</v>
      </c>
      <c r="AE17" s="167">
        <f>SUM(AA17:AD17)</f>
        <v>0</v>
      </c>
      <c r="AF17" s="186">
        <f>AF18+AF21+AF23+AF32+AF36+AF29</f>
        <v>0</v>
      </c>
      <c r="AG17" s="186">
        <f>AG18+AG21+AG23+AG32+AG36+AG29</f>
        <v>0</v>
      </c>
      <c r="AH17" s="186">
        <f>AH18+AH21+AH23+AH32+AH36+AH29</f>
        <v>0</v>
      </c>
      <c r="AI17" s="166">
        <f>AI18+AI21+AI23+AI32+AI36+AI29</f>
        <v>-23329.799000000003</v>
      </c>
      <c r="AJ17" s="167">
        <f t="shared" si="35"/>
        <v>-23329.799000000003</v>
      </c>
      <c r="AK17" s="166">
        <f>AK18+AK21+AK23+AK32+AK36+AK29</f>
        <v>0</v>
      </c>
      <c r="AL17" s="166">
        <f>AL18+AL21+AL23+AL32+AL36+AL29</f>
        <v>0</v>
      </c>
      <c r="AM17" s="166">
        <f>AM18+AM21+AM23+AM32+AM36+AM29</f>
        <v>0</v>
      </c>
      <c r="AN17" s="166">
        <f>AN18+AN21+AN23+AN32+AN36+AN29</f>
        <v>-27444.688999999995</v>
      </c>
      <c r="AO17" s="167">
        <f t="shared" si="36"/>
        <v>-27444.688999999995</v>
      </c>
      <c r="AP17" s="166">
        <f>AP18+AP21+AP23+AP32+AP36+AP29</f>
        <v>0</v>
      </c>
      <c r="AQ17" s="166">
        <f>AQ18+AQ21+AQ23+AQ32+AQ36+AQ29</f>
        <v>0</v>
      </c>
      <c r="AR17" s="166">
        <f>AR18+AR21+AR23+AR32+AR36+AR29</f>
        <v>0</v>
      </c>
      <c r="AS17" s="166">
        <f>AS18+AS21+AS23+AS32+AS36+AS29</f>
        <v>-56921.447</v>
      </c>
      <c r="AT17" s="167">
        <f t="shared" si="37"/>
        <v>-56921.447</v>
      </c>
      <c r="AU17" s="166">
        <f>AU18+AU21+AU23+AU32+AU36+AU29</f>
        <v>0</v>
      </c>
      <c r="AV17" s="166">
        <f>AV18+AV21+AV23+AV32+AV36+AV29</f>
        <v>0</v>
      </c>
      <c r="AW17" s="166">
        <f>AW18+AW21+AW23+AW32+AW36+AW29</f>
        <v>0</v>
      </c>
      <c r="AX17" s="166">
        <f>AX18+AX21+AX23+AX32+AX36+AX29</f>
        <v>-69870.619000000006</v>
      </c>
      <c r="AY17" s="167">
        <f t="shared" si="38"/>
        <v>-69870.619000000006</v>
      </c>
      <c r="AZ17" s="166">
        <f>AZ18+AZ21+AZ23+AZ32+AZ36+AZ29</f>
        <v>0</v>
      </c>
      <c r="BA17" s="166">
        <f>BA18+BA21+BA23+BA32+BA36+BA29</f>
        <v>0</v>
      </c>
      <c r="BB17" s="166">
        <f>BB18+BB21+BB23+BB32+BB36+BB29</f>
        <v>0</v>
      </c>
      <c r="BC17" s="166">
        <f>BC18+BC21+BC23+BC32+BC36+BC29</f>
        <v>-73241</v>
      </c>
      <c r="BD17" s="167">
        <f t="shared" si="39"/>
        <v>-73241</v>
      </c>
      <c r="BE17" s="166">
        <f>BE18+BE21+BE23+BE32+BE36+BE29</f>
        <v>0</v>
      </c>
      <c r="BF17" s="166">
        <f>BF18+BF21+BF23+BF32+BF36+BF29</f>
        <v>0</v>
      </c>
      <c r="BG17" s="166">
        <f>BG18+BG21+BG23+BG32+BG36+BG29</f>
        <v>0</v>
      </c>
      <c r="BH17" s="166">
        <f>BH18+BH21+BH23+BH32+BH36+BH29</f>
        <v>-75968</v>
      </c>
      <c r="BI17" s="167">
        <f t="shared" si="40"/>
        <v>-75968</v>
      </c>
      <c r="BJ17" s="166">
        <f>BJ18+BJ21+BJ23+BJ32+BJ36+BJ29</f>
        <v>0</v>
      </c>
      <c r="BK17" s="166">
        <f>BK18+BK21+BK23+BK32+BK36+BK29</f>
        <v>0</v>
      </c>
      <c r="BL17" s="166">
        <f>BL18+BL21+BL23+BL32+BL36+BL29</f>
        <v>0</v>
      </c>
      <c r="BM17" s="166">
        <f>BM18+BM21+BM23+BM32+BM36+BM29</f>
        <v>-80668</v>
      </c>
      <c r="BN17" s="167">
        <f t="shared" si="41"/>
        <v>-80668</v>
      </c>
      <c r="BO17" s="166">
        <f>BO18+BO21+BO23+BO32+BO36+BO29</f>
        <v>0</v>
      </c>
      <c r="BP17" s="166">
        <f>BP18+BP21+BP23+BP32+BP36+BP29</f>
        <v>0</v>
      </c>
      <c r="BQ17" s="166">
        <f>BQ18+BQ21+BQ23+BQ32+BQ36+BQ29</f>
        <v>0</v>
      </c>
      <c r="BR17" s="166">
        <f>BR18+BR21+BR23+BR32+BR36+BR29</f>
        <v>-101249</v>
      </c>
      <c r="BS17" s="167">
        <f t="shared" si="42"/>
        <v>-101249</v>
      </c>
      <c r="BT17" s="166">
        <f>BT18+BT21+BT23+BT32+BT36+BT29</f>
        <v>0</v>
      </c>
      <c r="BU17" s="166">
        <f>BU18+BU21+BU23+BU32+BU36+BU29</f>
        <v>0</v>
      </c>
      <c r="BV17" s="166">
        <f>BV18+BV21+BV23+BV32+BV36+BV29</f>
        <v>0</v>
      </c>
      <c r="BW17" s="166">
        <f>BW18+BW21+BW23+BW32+BW36+BW29</f>
        <v>-120266</v>
      </c>
      <c r="BX17" s="167">
        <f t="shared" si="43"/>
        <v>-120266</v>
      </c>
      <c r="BY17" s="166">
        <f>BY18+BY21+BY23+BY32+BY36+BY29</f>
        <v>-27074</v>
      </c>
      <c r="BZ17" s="166">
        <f>BZ18+BZ21+BZ23+BZ32+BZ36+BZ29</f>
        <v>-21483</v>
      </c>
      <c r="CA17" s="166">
        <f>CA18+CA21+CA23+CA32+CA36+CA29</f>
        <v>-35652</v>
      </c>
      <c r="CB17" s="166">
        <f>CB18+CB21+CB23+CB32+CB36+CB29</f>
        <v>-45581</v>
      </c>
      <c r="CC17" s="167">
        <f t="shared" si="44"/>
        <v>-129790</v>
      </c>
      <c r="CD17" s="166">
        <f>CD18+CD21+CD23+CD32+CD36+CD29</f>
        <v>-54985</v>
      </c>
      <c r="CE17" s="166">
        <f>CE18+CE21+CE23+CE32+CE36+CE29</f>
        <v>-41183</v>
      </c>
      <c r="CF17" s="166">
        <f>CF18+CF21+CF23+CF32+CF36+CF29</f>
        <v>-57238</v>
      </c>
      <c r="CG17" s="166">
        <f>CG18+CG21+CG23+CG32+CG36+CG29</f>
        <v>-58772</v>
      </c>
      <c r="CH17" s="167">
        <f t="shared" si="45"/>
        <v>-212178</v>
      </c>
      <c r="CI17" s="166">
        <f>CI18+CI21+CI23+CI32+CI36+CI29</f>
        <v>-61395</v>
      </c>
      <c r="CJ17" s="166">
        <f>CJ18+CJ21+CJ23+CJ32+CJ36+CJ29</f>
        <v>-77551</v>
      </c>
      <c r="CK17" s="166">
        <f>CK18+CK21+CK23+CK32+CK36+CK29</f>
        <v>-89995</v>
      </c>
      <c r="CL17" s="166">
        <f>CL18+CL21+CL23+CL32+CL36+CL29</f>
        <v>-64089</v>
      </c>
      <c r="CM17" s="167">
        <f t="shared" si="46"/>
        <v>-293030</v>
      </c>
      <c r="CN17" s="166">
        <f>CN18+CN21+CN23+CN32+CN36+CN29</f>
        <v>-90921</v>
      </c>
      <c r="CO17" s="166">
        <f>CO18+CO21+CO23+CO32+CO36+CO29</f>
        <v>-108110</v>
      </c>
      <c r="CP17" s="166">
        <f>CP18+CP21+CP23+CP32+CP36+CP29</f>
        <v>-123338</v>
      </c>
      <c r="CQ17" s="166">
        <f>CQ18+CQ21+CQ23+CQ32+CQ36+CQ29</f>
        <v>-109519</v>
      </c>
      <c r="CR17" s="167">
        <f t="shared" si="47"/>
        <v>-431888</v>
      </c>
      <c r="CS17" s="166">
        <f>CS18+CS21+CS23+CS32+CS36+CS29</f>
        <v>-113770</v>
      </c>
      <c r="CT17" s="166">
        <f>CT18+CT21+CT23+CT32+CT36+CT29</f>
        <v>-132289</v>
      </c>
      <c r="CU17" s="166">
        <f>CU18+CU21+CU23+CU32+CU36+CU29</f>
        <v>-151884</v>
      </c>
      <c r="CV17" s="166">
        <f>CV18+CV21+CV23+CV32+CV36+CV29</f>
        <v>-129381</v>
      </c>
      <c r="CW17" s="167">
        <f t="shared" si="48"/>
        <v>-527324</v>
      </c>
      <c r="CX17" s="166">
        <f>CX18+CX21+CX23+CX32+CX36+CX29</f>
        <v>-142353</v>
      </c>
      <c r="CY17" s="166">
        <f>CY18+CY21+CY23+CY32+CY36+CY29</f>
        <v>-186341</v>
      </c>
      <c r="CZ17" s="166">
        <f>CZ18+CZ21+CZ23+CZ32+CZ36+CZ29</f>
        <v>-205856</v>
      </c>
      <c r="DA17" s="166">
        <f>DA18+DA21+DA23+DA32+DA36+DA29</f>
        <v>-189794</v>
      </c>
      <c r="DB17" s="167">
        <f t="shared" si="49"/>
        <v>-724344</v>
      </c>
      <c r="DC17" s="166">
        <f>DC18+DC21+DC23+DC32+DC36+DC29</f>
        <v>-210221</v>
      </c>
      <c r="DD17" s="166">
        <f>DD18+DD21+DD23+DD32+DD36+DD29</f>
        <v>-234180</v>
      </c>
      <c r="DE17" s="166">
        <f>DE18+DE21+DE23+DE32+DE36+DE29</f>
        <v>-246254</v>
      </c>
      <c r="DF17" s="166">
        <f>DF18+DF21+DF23+DF32+DF36+DF29</f>
        <v>-235686</v>
      </c>
      <c r="DG17" s="167">
        <f t="shared" si="50"/>
        <v>-926341</v>
      </c>
      <c r="DH17" s="166">
        <f>DH18+DH21+DH23+DH32+DH36+DH29</f>
        <v>-237220</v>
      </c>
      <c r="DI17" s="166">
        <f>DI18+DI21+DI23+DI32+DI36+DI29</f>
        <v>-312057</v>
      </c>
      <c r="DJ17" s="166">
        <f ca="1">DJ18+DJ21+DJ23+DJ32+DJ36+DJ29</f>
        <v>-291971.16245871258</v>
      </c>
      <c r="DK17" s="166">
        <f ca="1">DK18+DK21+DK23+DK32+DK36+DK29</f>
        <v>-291279.91656436934</v>
      </c>
      <c r="DL17" s="167">
        <f t="shared" ca="1" si="51"/>
        <v>-1132528.0790230818</v>
      </c>
      <c r="DM17" s="166">
        <f ca="1">DM18+DM21+DM23+DM32+DM36+DM29</f>
        <v>-296128.75571761269</v>
      </c>
      <c r="DN17" s="166">
        <f ca="1">DN18+DN21+DN23+DN32+DN36+DN29</f>
        <v>-297883.50378960447</v>
      </c>
      <c r="DO17" s="166">
        <f ca="1">DO18+DO21+DO23+DO32+DO36+DO29</f>
        <v>-301478.01792403421</v>
      </c>
      <c r="DP17" s="166">
        <f ca="1">DP18+DP21+DP23+DP32+DP36+DP29</f>
        <v>-300878.5341275906</v>
      </c>
      <c r="DQ17" s="167">
        <f t="shared" ca="1" si="52"/>
        <v>-1196368.8115588422</v>
      </c>
      <c r="DR17" s="166">
        <f ca="1">DR18+DR21+DR23+DR32+DR36+DR29</f>
        <v>-291747.20634134288</v>
      </c>
      <c r="DS17" s="166">
        <f ca="1">DS18+DS21+DS23+DS32+DS36+DS29</f>
        <v>-306989.03673054645</v>
      </c>
      <c r="DT17" s="166">
        <f ca="1">DT18+DT21+DT23+DT32+DT36+DT29</f>
        <v>-303975.78465028404</v>
      </c>
      <c r="DU17" s="166">
        <f ca="1">DU18+DU21+DU23+DU32+DU36+DU29</f>
        <v>-296690.63470135443</v>
      </c>
      <c r="DV17" s="167">
        <f t="shared" ca="1" si="53"/>
        <v>-1199402.6624235278</v>
      </c>
      <c r="DW17" s="166">
        <f ca="1">DW18+DW21+DW23+DW32+DW36+DW29</f>
        <v>-311551.43088717421</v>
      </c>
      <c r="DX17" s="166">
        <f ca="1">DX18+DX21+DX23+DX32+DX36+DX29</f>
        <v>-326486.487444425</v>
      </c>
      <c r="DY17" s="166">
        <f ca="1">DY18+DY21+DY23+DY32+DY36+DY29</f>
        <v>-318750.65530826559</v>
      </c>
      <c r="DZ17" s="166">
        <f ca="1">DZ18+DZ21+DZ23+DZ32+DZ36+DZ29</f>
        <v>-310443.76525263797</v>
      </c>
      <c r="EA17" s="167">
        <f t="shared" ca="1" si="54"/>
        <v>-1267232.3388925027</v>
      </c>
      <c r="EB17" s="166">
        <f ca="1">EB18+EB21+EB23+EB32+EB36+EB29</f>
        <v>-325551.27683229424</v>
      </c>
      <c r="EC17" s="166">
        <f ca="1">EC18+EC21+EC23+EC32+EC36+EC29</f>
        <v>-340870.47431094392</v>
      </c>
      <c r="ED17" s="166">
        <f ca="1">ED18+ED21+ED23+ED32+ED36+ED29</f>
        <v>-332506.21387478494</v>
      </c>
      <c r="EE17" s="166">
        <f ca="1">EE18+EE21+EE23+EE32+EE36+EE29</f>
        <v>-323751.11409393081</v>
      </c>
      <c r="EF17" s="167">
        <f t="shared" ca="1" si="55"/>
        <v>-1322679.0791119537</v>
      </c>
      <c r="EG17" s="162"/>
    </row>
    <row r="18" spans="1:158" ht="12.75" customHeight="1">
      <c r="A18" s="9" t="s">
        <v>130</v>
      </c>
      <c r="B18" s="171"/>
      <c r="C18" s="171"/>
      <c r="D18" s="171"/>
      <c r="E18" s="171"/>
      <c r="F18" s="165">
        <f>SUM(B18:E18)</f>
        <v>0</v>
      </c>
      <c r="G18" s="171"/>
      <c r="H18" s="171"/>
      <c r="I18" s="171"/>
      <c r="J18" s="171"/>
      <c r="K18" s="165">
        <f>SUM(G18:J18)</f>
        <v>0</v>
      </c>
      <c r="L18" s="171"/>
      <c r="M18" s="171"/>
      <c r="N18" s="171"/>
      <c r="O18" s="171"/>
      <c r="P18" s="165">
        <f>SUM(L18:O18)</f>
        <v>0</v>
      </c>
      <c r="Q18" s="171"/>
      <c r="R18" s="171"/>
      <c r="S18" s="171"/>
      <c r="T18" s="171"/>
      <c r="U18" s="165">
        <f>SUM(Q18:T18)</f>
        <v>0</v>
      </c>
      <c r="V18" s="171"/>
      <c r="W18" s="171"/>
      <c r="X18" s="171"/>
      <c r="Y18" s="171"/>
      <c r="Z18" s="165">
        <f>SUM(V18:Y18)</f>
        <v>0</v>
      </c>
      <c r="AA18" s="171"/>
      <c r="AB18" s="171"/>
      <c r="AC18" s="171"/>
      <c r="AD18" s="171"/>
      <c r="AE18" s="165">
        <f>SUM(AA18:AD18)</f>
        <v>0</v>
      </c>
      <c r="AF18" s="171"/>
      <c r="AG18" s="171"/>
      <c r="AH18" s="171"/>
      <c r="AI18" s="171">
        <f>-8042.308-SUM(AF18:AH18)</f>
        <v>-8042.308</v>
      </c>
      <c r="AJ18" s="165">
        <f t="shared" si="35"/>
        <v>-8042.308</v>
      </c>
      <c r="AK18" s="171"/>
      <c r="AL18" s="171"/>
      <c r="AM18" s="171"/>
      <c r="AN18" s="171">
        <f>-11911.677-SUM(AK18:AM18)</f>
        <v>-11911.677</v>
      </c>
      <c r="AO18" s="165">
        <f t="shared" si="36"/>
        <v>-11911.677</v>
      </c>
      <c r="AP18" s="171"/>
      <c r="AQ18" s="171"/>
      <c r="AR18" s="171"/>
      <c r="AS18" s="171">
        <f>-28990.812-SUM(AP18:AR18)</f>
        <v>-28990.812000000002</v>
      </c>
      <c r="AT18" s="165">
        <f t="shared" si="37"/>
        <v>-28990.812000000002</v>
      </c>
      <c r="AU18" s="171"/>
      <c r="AV18" s="171"/>
      <c r="AW18" s="171"/>
      <c r="AX18" s="171">
        <f>-20516.139-SUM(AU18:AW18)</f>
        <v>-20516.138999999999</v>
      </c>
      <c r="AY18" s="165">
        <f t="shared" si="38"/>
        <v>-20516.138999999999</v>
      </c>
      <c r="AZ18" s="171"/>
      <c r="BA18" s="171"/>
      <c r="BB18" s="171"/>
      <c r="BC18" s="171">
        <f>-19009-SUM(AZ18:BB18)</f>
        <v>-19009</v>
      </c>
      <c r="BD18" s="165">
        <f t="shared" si="39"/>
        <v>-19009</v>
      </c>
      <c r="BE18" s="171"/>
      <c r="BF18" s="171"/>
      <c r="BG18" s="171"/>
      <c r="BH18" s="171">
        <f>-18855-SUM(BE18:BG18)</f>
        <v>-18855</v>
      </c>
      <c r="BI18" s="165">
        <f t="shared" si="40"/>
        <v>-18855</v>
      </c>
      <c r="BJ18" s="171"/>
      <c r="BK18" s="171"/>
      <c r="BL18" s="171"/>
      <c r="BM18" s="171">
        <f>-26206-SUM(BJ18:BL18)</f>
        <v>-26206</v>
      </c>
      <c r="BN18" s="165">
        <f t="shared" si="41"/>
        <v>-26206</v>
      </c>
      <c r="BO18" s="171"/>
      <c r="BP18" s="171"/>
      <c r="BQ18" s="171"/>
      <c r="BR18" s="171">
        <f>-43270-SUM(BO18:BQ18)</f>
        <v>-43270</v>
      </c>
      <c r="BS18" s="165">
        <f t="shared" si="42"/>
        <v>-43270</v>
      </c>
      <c r="BT18" s="171"/>
      <c r="BU18" s="171"/>
      <c r="BV18" s="171"/>
      <c r="BW18" s="171">
        <f>-45831-SUM(BT18:BV18)</f>
        <v>-45831</v>
      </c>
      <c r="BX18" s="165">
        <f t="shared" si="43"/>
        <v>-45831</v>
      </c>
      <c r="BY18" s="171">
        <v>-14144</v>
      </c>
      <c r="BZ18" s="171">
        <v>-20312</v>
      </c>
      <c r="CA18" s="171">
        <v>-26575</v>
      </c>
      <c r="CB18" s="171">
        <f>-100668-SUM(BY18:CA18)</f>
        <v>-39637</v>
      </c>
      <c r="CC18" s="165">
        <f t="shared" si="44"/>
        <v>-100668</v>
      </c>
      <c r="CD18" s="171">
        <v>-22046</v>
      </c>
      <c r="CE18" s="171">
        <v>-26343</v>
      </c>
      <c r="CF18" s="171">
        <v>-27428</v>
      </c>
      <c r="CG18" s="171">
        <f>-102804-SUM(CD18:CF18)</f>
        <v>-26987</v>
      </c>
      <c r="CH18" s="165">
        <f t="shared" si="45"/>
        <v>-102804</v>
      </c>
      <c r="CI18" s="171">
        <v>-30360</v>
      </c>
      <c r="CJ18" s="171">
        <v>-38953</v>
      </c>
      <c r="CK18" s="171">
        <v>-47954</v>
      </c>
      <c r="CL18" s="171">
        <f>-164226-SUM(CI18:CK18)</f>
        <v>-46959</v>
      </c>
      <c r="CM18" s="165">
        <f t="shared" si="46"/>
        <v>-164226</v>
      </c>
      <c r="CN18" s="171">
        <v>-44417</v>
      </c>
      <c r="CO18" s="171">
        <v>-53835</v>
      </c>
      <c r="CP18" s="171">
        <v>-59384</v>
      </c>
      <c r="CQ18" s="171">
        <f>-212188-SUM(CN18:CP18)</f>
        <v>-54552</v>
      </c>
      <c r="CR18" s="165">
        <f t="shared" si="47"/>
        <v>-212188</v>
      </c>
      <c r="CS18" s="171">
        <v>-62031</v>
      </c>
      <c r="CT18" s="171">
        <v>-66728</v>
      </c>
      <c r="CU18" s="171">
        <v>-80995</v>
      </c>
      <c r="CV18" s="171">
        <f>-285230-SUM(CS18:CU18)</f>
        <v>-75476</v>
      </c>
      <c r="CW18" s="165">
        <f t="shared" si="48"/>
        <v>-285230</v>
      </c>
      <c r="CX18" s="171">
        <v>-76092</v>
      </c>
      <c r="CY18" s="171">
        <v>-97945</v>
      </c>
      <c r="CZ18" s="171">
        <v>-113852</v>
      </c>
      <c r="DA18" s="171">
        <f>-391872-SUM(CX18:CZ18)</f>
        <v>-103983</v>
      </c>
      <c r="DB18" s="165">
        <f t="shared" si="49"/>
        <v>-391872</v>
      </c>
      <c r="DC18" s="171">
        <v>-106236</v>
      </c>
      <c r="DD18" s="171">
        <v>-124747</v>
      </c>
      <c r="DE18" s="171">
        <v>-134823</v>
      </c>
      <c r="DF18" s="171">
        <f>-494891-SUM(DC18:DE18)</f>
        <v>-129085</v>
      </c>
      <c r="DG18" s="165">
        <f t="shared" si="50"/>
        <v>-494891</v>
      </c>
      <c r="DH18" s="171">
        <v>-119070</v>
      </c>
      <c r="DI18" s="171">
        <v>-166790</v>
      </c>
      <c r="DJ18" s="52">
        <f>-DJ20*(Forecasts!DJ15+Forecasts!DJ17)</f>
        <v>-152375.2923847666</v>
      </c>
      <c r="DK18" s="52">
        <f>-DK20*(Forecasts!DK15+Forecasts!DK17)</f>
        <v>-156659.99918278813</v>
      </c>
      <c r="DL18" s="165">
        <f t="shared" si="51"/>
        <v>-594895.2915675547</v>
      </c>
      <c r="DM18" s="52">
        <f>-DM20*(Forecasts!DM15+Forecasts!DM17)</f>
        <v>-163478.5130203533</v>
      </c>
      <c r="DN18" s="52">
        <f>-DN20*(Forecasts!DN15+Forecasts!DN17)</f>
        <v>-167046.26091644951</v>
      </c>
      <c r="DO18" s="52">
        <f>-DO20*(Forecasts!DO15+Forecasts!DO17)</f>
        <v>-169973.45447222085</v>
      </c>
      <c r="DP18" s="52">
        <f>-DP20*(Forecasts!DP15+Forecasts!DP17)</f>
        <v>-172628.25227197667</v>
      </c>
      <c r="DQ18" s="165">
        <f t="shared" si="52"/>
        <v>-673126.48068100028</v>
      </c>
      <c r="DR18" s="52">
        <f>-DR20*(Forecasts!DR15+Forecasts!DR17)</f>
        <v>-175123.46060888018</v>
      </c>
      <c r="DS18" s="52">
        <f>-DS20*(Forecasts!DS15+Forecasts!DS17)</f>
        <v>-177526.36023592943</v>
      </c>
      <c r="DT18" s="52">
        <f>-DT20*(Forecasts!DT15+Forecasts!DT17)</f>
        <v>-179875.59833867266</v>
      </c>
      <c r="DU18" s="52">
        <f>-DU20*(Forecasts!DU15+Forecasts!DU17)</f>
        <v>-182193.92473328815</v>
      </c>
      <c r="DV18" s="165">
        <f t="shared" si="53"/>
        <v>-714719.34391677042</v>
      </c>
      <c r="DW18" s="52">
        <f>-DW20*(Forecasts!DW15+Forecasts!DW17)</f>
        <v>-184495.15370222909</v>
      </c>
      <c r="DX18" s="52">
        <f>-DX20*(Forecasts!DX15+Forecasts!DX17)</f>
        <v>-186788.03969491576</v>
      </c>
      <c r="DY18" s="52">
        <f>-DY20*(Forecasts!DY15+Forecasts!DY17)</f>
        <v>-189078.43669088662</v>
      </c>
      <c r="DZ18" s="52">
        <f>-DZ20*(Forecasts!DZ15+Forecasts!DZ17)</f>
        <v>-191370.50496930204</v>
      </c>
      <c r="EA18" s="165">
        <f t="shared" si="54"/>
        <v>-751732.13505733362</v>
      </c>
      <c r="EB18" s="52">
        <f>-EB20*(Forecasts!EB15+Forecasts!EB17)</f>
        <v>-193667.3887431988</v>
      </c>
      <c r="EC18" s="52">
        <f>-EC20*(Forecasts!EC15+Forecasts!EC17)</f>
        <v>-195971.5995608196</v>
      </c>
      <c r="ED18" s="52">
        <f>-ED20*(Forecasts!ED15+Forecasts!ED17)</f>
        <v>-198285.23580825998</v>
      </c>
      <c r="EE18" s="52">
        <f>-EE20*(Forecasts!EE15+Forecasts!EE17)</f>
        <v>-200610.11065683738</v>
      </c>
      <c r="EF18" s="165">
        <f t="shared" si="55"/>
        <v>-788534.33476911567</v>
      </c>
      <c r="EG18" s="162"/>
    </row>
    <row r="19" spans="1:158" s="181" customFormat="1" ht="12.75" customHeight="1" outlineLevel="1">
      <c r="A19" s="178" t="s">
        <v>182</v>
      </c>
      <c r="B19" s="179" t="e">
        <f t="shared" ref="B19:AG19" si="56">-B18/B11</f>
        <v>#DIV/0!</v>
      </c>
      <c r="C19" s="179" t="e">
        <f t="shared" si="56"/>
        <v>#DIV/0!</v>
      </c>
      <c r="D19" s="179" t="e">
        <f t="shared" si="56"/>
        <v>#DIV/0!</v>
      </c>
      <c r="E19" s="179" t="e">
        <f t="shared" si="56"/>
        <v>#DIV/0!</v>
      </c>
      <c r="F19" s="180" t="e">
        <f t="shared" si="56"/>
        <v>#DIV/0!</v>
      </c>
      <c r="G19" s="179" t="e">
        <f t="shared" si="56"/>
        <v>#DIV/0!</v>
      </c>
      <c r="H19" s="179" t="e">
        <f t="shared" si="56"/>
        <v>#DIV/0!</v>
      </c>
      <c r="I19" s="179" t="e">
        <f t="shared" si="56"/>
        <v>#DIV/0!</v>
      </c>
      <c r="J19" s="179" t="e">
        <f t="shared" si="56"/>
        <v>#DIV/0!</v>
      </c>
      <c r="K19" s="180" t="e">
        <f t="shared" si="56"/>
        <v>#DIV/0!</v>
      </c>
      <c r="L19" s="179" t="e">
        <f t="shared" si="56"/>
        <v>#DIV/0!</v>
      </c>
      <c r="M19" s="179" t="e">
        <f t="shared" si="56"/>
        <v>#DIV/0!</v>
      </c>
      <c r="N19" s="179" t="e">
        <f t="shared" si="56"/>
        <v>#DIV/0!</v>
      </c>
      <c r="O19" s="179" t="e">
        <f t="shared" si="56"/>
        <v>#DIV/0!</v>
      </c>
      <c r="P19" s="180" t="e">
        <f t="shared" si="56"/>
        <v>#DIV/0!</v>
      </c>
      <c r="Q19" s="179" t="e">
        <f t="shared" si="56"/>
        <v>#DIV/0!</v>
      </c>
      <c r="R19" s="179" t="e">
        <f t="shared" si="56"/>
        <v>#DIV/0!</v>
      </c>
      <c r="S19" s="179" t="e">
        <f t="shared" si="56"/>
        <v>#DIV/0!</v>
      </c>
      <c r="T19" s="179" t="e">
        <f t="shared" si="56"/>
        <v>#DIV/0!</v>
      </c>
      <c r="U19" s="180" t="e">
        <f t="shared" si="56"/>
        <v>#DIV/0!</v>
      </c>
      <c r="V19" s="179" t="e">
        <f t="shared" si="56"/>
        <v>#DIV/0!</v>
      </c>
      <c r="W19" s="179" t="e">
        <f t="shared" si="56"/>
        <v>#DIV/0!</v>
      </c>
      <c r="X19" s="179" t="e">
        <f t="shared" si="56"/>
        <v>#DIV/0!</v>
      </c>
      <c r="Y19" s="179" t="e">
        <f t="shared" si="56"/>
        <v>#DIV/0!</v>
      </c>
      <c r="Z19" s="180" t="e">
        <f t="shared" si="56"/>
        <v>#DIV/0!</v>
      </c>
      <c r="AA19" s="179" t="e">
        <f t="shared" si="56"/>
        <v>#DIV/0!</v>
      </c>
      <c r="AB19" s="179" t="e">
        <f t="shared" si="56"/>
        <v>#DIV/0!</v>
      </c>
      <c r="AC19" s="179" t="e">
        <f t="shared" si="56"/>
        <v>#DIV/0!</v>
      </c>
      <c r="AD19" s="179" t="e">
        <f t="shared" si="56"/>
        <v>#DIV/0!</v>
      </c>
      <c r="AE19" s="180" t="e">
        <f t="shared" si="56"/>
        <v>#DIV/0!</v>
      </c>
      <c r="AF19" s="179" t="e">
        <f t="shared" si="56"/>
        <v>#DIV/0!</v>
      </c>
      <c r="AG19" s="179" t="e">
        <f t="shared" si="56"/>
        <v>#DIV/0!</v>
      </c>
      <c r="AH19" s="179" t="e">
        <f t="shared" ref="AH19:BM19" si="57">-AH18/AH11</f>
        <v>#DIV/0!</v>
      </c>
      <c r="AI19" s="179">
        <f t="shared" si="57"/>
        <v>3.3571504756516414E-2</v>
      </c>
      <c r="AJ19" s="180">
        <f t="shared" si="57"/>
        <v>3.3571504756516414E-2</v>
      </c>
      <c r="AK19" s="179" t="e">
        <f t="shared" si="57"/>
        <v>#DIV/0!</v>
      </c>
      <c r="AL19" s="179" t="e">
        <f t="shared" si="57"/>
        <v>#DIV/0!</v>
      </c>
      <c r="AM19" s="179" t="e">
        <f t="shared" si="57"/>
        <v>#DIV/0!</v>
      </c>
      <c r="AN19" s="179">
        <f t="shared" si="57"/>
        <v>2.8068991710466135E-2</v>
      </c>
      <c r="AO19" s="180">
        <f t="shared" si="57"/>
        <v>2.8068991710466135E-2</v>
      </c>
      <c r="AP19" s="179" t="e">
        <f t="shared" si="57"/>
        <v>#DIV/0!</v>
      </c>
      <c r="AQ19" s="179" t="e">
        <f t="shared" si="57"/>
        <v>#DIV/0!</v>
      </c>
      <c r="AR19" s="179" t="e">
        <f t="shared" si="57"/>
        <v>#DIV/0!</v>
      </c>
      <c r="AS19" s="179">
        <f t="shared" si="57"/>
        <v>5.9902164425670444E-2</v>
      </c>
      <c r="AT19" s="180">
        <f t="shared" si="57"/>
        <v>5.9902164425670444E-2</v>
      </c>
      <c r="AU19" s="179" t="e">
        <f t="shared" si="57"/>
        <v>#DIV/0!</v>
      </c>
      <c r="AV19" s="179" t="e">
        <f t="shared" si="57"/>
        <v>#DIV/0!</v>
      </c>
      <c r="AW19" s="179" t="e">
        <f t="shared" si="57"/>
        <v>#DIV/0!</v>
      </c>
      <c r="AX19" s="179">
        <f t="shared" si="57"/>
        <v>2.7821467042271467E-2</v>
      </c>
      <c r="AY19" s="180">
        <f t="shared" si="57"/>
        <v>2.7821467042271467E-2</v>
      </c>
      <c r="AZ19" s="179" t="e">
        <f t="shared" si="57"/>
        <v>#DIV/0!</v>
      </c>
      <c r="BA19" s="179" t="e">
        <f t="shared" si="57"/>
        <v>#DIV/0!</v>
      </c>
      <c r="BB19" s="179" t="e">
        <f t="shared" si="57"/>
        <v>#DIV/0!</v>
      </c>
      <c r="BC19" s="179">
        <f t="shared" si="57"/>
        <v>2.1135882744718254E-2</v>
      </c>
      <c r="BD19" s="180">
        <f t="shared" si="57"/>
        <v>2.1135882744718254E-2</v>
      </c>
      <c r="BE19" s="179" t="e">
        <f t="shared" si="57"/>
        <v>#DIV/0!</v>
      </c>
      <c r="BF19" s="179" t="e">
        <f t="shared" si="57"/>
        <v>#DIV/0!</v>
      </c>
      <c r="BG19" s="179" t="e">
        <f t="shared" si="57"/>
        <v>#DIV/0!</v>
      </c>
      <c r="BH19" s="179">
        <f t="shared" si="57"/>
        <v>2.1913843900908284E-2</v>
      </c>
      <c r="BI19" s="180">
        <f t="shared" si="57"/>
        <v>2.1913843900908284E-2</v>
      </c>
      <c r="BJ19" s="179" t="e">
        <f t="shared" si="57"/>
        <v>#DIV/0!</v>
      </c>
      <c r="BK19" s="179" t="e">
        <f t="shared" si="57"/>
        <v>#DIV/0!</v>
      </c>
      <c r="BL19" s="179" t="e">
        <f t="shared" si="57"/>
        <v>#DIV/0!</v>
      </c>
      <c r="BM19" s="179">
        <f t="shared" si="57"/>
        <v>3.2402570345082551E-2</v>
      </c>
      <c r="BN19" s="180">
        <f t="shared" ref="BN19:CS19" si="58">-BN18/BN11</f>
        <v>3.2402570345082551E-2</v>
      </c>
      <c r="BO19" s="179" t="e">
        <f t="shared" si="58"/>
        <v>#DIV/0!</v>
      </c>
      <c r="BP19" s="179" t="e">
        <f t="shared" si="58"/>
        <v>#DIV/0!</v>
      </c>
      <c r="BQ19" s="179" t="e">
        <f t="shared" si="58"/>
        <v>#DIV/0!</v>
      </c>
      <c r="BR19" s="179">
        <f t="shared" si="58"/>
        <v>5.3132118101389389E-2</v>
      </c>
      <c r="BS19" s="180">
        <f t="shared" si="58"/>
        <v>5.3132118101389389E-2</v>
      </c>
      <c r="BT19" s="179" t="e">
        <f t="shared" si="58"/>
        <v>#DIV/0!</v>
      </c>
      <c r="BU19" s="179" t="e">
        <f t="shared" si="58"/>
        <v>#DIV/0!</v>
      </c>
      <c r="BV19" s="179" t="e">
        <f t="shared" si="58"/>
        <v>#DIV/0!</v>
      </c>
      <c r="BW19" s="179">
        <f t="shared" si="58"/>
        <v>4.9802608630452709E-2</v>
      </c>
      <c r="BX19" s="180">
        <f t="shared" si="58"/>
        <v>4.9802608630452709E-2</v>
      </c>
      <c r="BY19" s="179">
        <f t="shared" si="58"/>
        <v>7.508626639061422E-2</v>
      </c>
      <c r="BZ19" s="179">
        <f t="shared" si="58"/>
        <v>7.5866628320005375E-2</v>
      </c>
      <c r="CA19" s="179">
        <f t="shared" si="58"/>
        <v>0.10161591287988865</v>
      </c>
      <c r="CB19" s="179">
        <f t="shared" si="58"/>
        <v>0.13140062986905354</v>
      </c>
      <c r="CC19" s="180">
        <f t="shared" si="58"/>
        <v>9.8764123981999005E-2</v>
      </c>
      <c r="CD19" s="179">
        <f t="shared" si="58"/>
        <v>9.6981801065453704E-2</v>
      </c>
      <c r="CE19" s="179">
        <f t="shared" si="58"/>
        <v>0.10699663693522445</v>
      </c>
      <c r="CF19" s="179">
        <f t="shared" si="58"/>
        <v>8.4161560247562883E-2</v>
      </c>
      <c r="CG19" s="179">
        <f t="shared" si="58"/>
        <v>7.8164281990384055E-2</v>
      </c>
      <c r="CH19" s="180">
        <f t="shared" si="58"/>
        <v>8.9810095729643685E-2</v>
      </c>
      <c r="CI19" s="179">
        <f t="shared" si="58"/>
        <v>8.9482029909869545E-2</v>
      </c>
      <c r="CJ19" s="179">
        <f t="shared" si="58"/>
        <v>8.6305798106514647E-2</v>
      </c>
      <c r="CK19" s="179">
        <f t="shared" si="58"/>
        <v>0.10505883461241015</v>
      </c>
      <c r="CL19" s="179">
        <f t="shared" si="58"/>
        <v>9.5596093831111326E-2</v>
      </c>
      <c r="CM19" s="180">
        <f t="shared" si="58"/>
        <v>9.4475333588372512E-2</v>
      </c>
      <c r="CN19" s="179">
        <f t="shared" si="58"/>
        <v>9.9283820695883082E-2</v>
      </c>
      <c r="CO19" s="179">
        <f t="shared" si="58"/>
        <v>8.9310746985233488E-2</v>
      </c>
      <c r="CP19" s="179">
        <f t="shared" si="58"/>
        <v>9.4762861460539138E-2</v>
      </c>
      <c r="CQ19" s="179">
        <f t="shared" si="58"/>
        <v>9.397772180857844E-2</v>
      </c>
      <c r="CR19" s="180">
        <f t="shared" si="58"/>
        <v>9.4001047271644725E-2</v>
      </c>
      <c r="CS19" s="179">
        <f t="shared" si="58"/>
        <v>0.10426149160610196</v>
      </c>
      <c r="CT19" s="179">
        <f t="shared" ref="CT19:DY19" si="59">-CT18/CT11</f>
        <v>9.1691331865788345E-2</v>
      </c>
      <c r="CU19" s="179">
        <f t="shared" si="59"/>
        <v>0.10772416654918245</v>
      </c>
      <c r="CV19" s="179">
        <f t="shared" si="59"/>
        <v>9.2997008363767189E-2</v>
      </c>
      <c r="CW19" s="180">
        <f t="shared" si="59"/>
        <v>9.8826403970380144E-2</v>
      </c>
      <c r="CX19" s="179">
        <f t="shared" si="59"/>
        <v>9.08689224272793E-2</v>
      </c>
      <c r="CY19" s="179">
        <f t="shared" si="59"/>
        <v>9.8132924550514242E-2</v>
      </c>
      <c r="CZ19" s="179">
        <f t="shared" si="59"/>
        <v>0.10782746393502243</v>
      </c>
      <c r="DA19" s="179">
        <f t="shared" si="59"/>
        <v>0.10046948175359503</v>
      </c>
      <c r="DB19" s="180">
        <f t="shared" si="59"/>
        <v>9.9806688722999456E-2</v>
      </c>
      <c r="DC19" s="179">
        <f t="shared" si="59"/>
        <v>8.7351913855140337E-2</v>
      </c>
      <c r="DD19" s="179">
        <f t="shared" si="59"/>
        <v>9.2638565749714658E-2</v>
      </c>
      <c r="DE19" s="179">
        <f t="shared" ref="DE19:DF19" si="60">-DE18/DE11</f>
        <v>9.5151758101693379E-2</v>
      </c>
      <c r="DF19" s="179">
        <f t="shared" si="60"/>
        <v>9.0923178243520711E-2</v>
      </c>
      <c r="DG19" s="180">
        <f t="shared" si="59"/>
        <v>9.1656258149017372E-2</v>
      </c>
      <c r="DH19" s="179">
        <f t="shared" ref="DH19:DI19" si="61">-DH18/DH11</f>
        <v>7.3838609276738826E-2</v>
      </c>
      <c r="DI19" s="179">
        <f t="shared" si="61"/>
        <v>9.8657631578013411E-2</v>
      </c>
      <c r="DJ19" s="179">
        <f t="shared" si="59"/>
        <v>9.0602447019553486E-2</v>
      </c>
      <c r="DK19" s="179">
        <f t="shared" si="59"/>
        <v>8.6022934120926944E-2</v>
      </c>
      <c r="DL19" s="180">
        <f t="shared" si="59"/>
        <v>8.7406086441783853E-2</v>
      </c>
      <c r="DM19" s="179">
        <f t="shared" si="59"/>
        <v>8.7872616686309329E-2</v>
      </c>
      <c r="DN19" s="179">
        <f t="shared" si="59"/>
        <v>8.692781753539737E-2</v>
      </c>
      <c r="DO19" s="179">
        <f t="shared" si="59"/>
        <v>8.6121864616181876E-2</v>
      </c>
      <c r="DP19" s="179">
        <f t="shared" si="59"/>
        <v>8.5391365341918934E-2</v>
      </c>
      <c r="DQ19" s="180">
        <f t="shared" si="59"/>
        <v>8.6549915763499366E-2</v>
      </c>
      <c r="DR19" s="179">
        <f t="shared" si="59"/>
        <v>8.4738584050668503E-2</v>
      </c>
      <c r="DS19" s="179">
        <f t="shared" si="59"/>
        <v>8.4158780304990854E-2</v>
      </c>
      <c r="DT19" s="179">
        <f t="shared" si="59"/>
        <v>8.3645445146169575E-2</v>
      </c>
      <c r="DU19" s="179">
        <f t="shared" si="59"/>
        <v>8.3191618571084466E-2</v>
      </c>
      <c r="DV19" s="180">
        <f t="shared" si="59"/>
        <v>8.3921149544375268E-2</v>
      </c>
      <c r="DW19" s="179">
        <f t="shared" si="59"/>
        <v>8.2790572076827246E-2</v>
      </c>
      <c r="DX19" s="179">
        <f t="shared" si="59"/>
        <v>8.2436108113422668E-2</v>
      </c>
      <c r="DY19" s="179">
        <f t="shared" si="59"/>
        <v>8.2122662381057324E-2</v>
      </c>
      <c r="DZ19" s="179">
        <f t="shared" ref="DZ19:EF19" si="62">-DZ18/DZ11</f>
        <v>8.1845307962049946E-2</v>
      </c>
      <c r="EA19" s="180">
        <f t="shared" si="62"/>
        <v>8.2292354473612425E-2</v>
      </c>
      <c r="EB19" s="179">
        <f t="shared" si="62"/>
        <v>8.1599714201383122E-2</v>
      </c>
      <c r="EC19" s="179">
        <f t="shared" si="62"/>
        <v>8.138208796510514E-2</v>
      </c>
      <c r="ED19" s="179">
        <f t="shared" si="62"/>
        <v>8.1189111185492296E-2</v>
      </c>
      <c r="EE19" s="179">
        <f t="shared" si="62"/>
        <v>8.1017881262860691E-2</v>
      </c>
      <c r="EF19" s="180">
        <f t="shared" si="62"/>
        <v>8.1293775964839263E-2</v>
      </c>
    </row>
    <row r="20" spans="1:158" s="181" customFormat="1" ht="12.75" customHeight="1" outlineLevel="1">
      <c r="A20" s="178" t="s">
        <v>183</v>
      </c>
      <c r="B20" s="179" t="e">
        <f>-B18/Forecasts!B10</f>
        <v>#DIV/0!</v>
      </c>
      <c r="C20" s="179" t="e">
        <f>-C18/Forecasts!C10</f>
        <v>#DIV/0!</v>
      </c>
      <c r="D20" s="179" t="e">
        <f>-D18/Forecasts!D10</f>
        <v>#DIV/0!</v>
      </c>
      <c r="E20" s="179" t="e">
        <f>-E18/Forecasts!E10</f>
        <v>#DIV/0!</v>
      </c>
      <c r="F20" s="180" t="e">
        <f>-F18/Forecasts!F10</f>
        <v>#DIV/0!</v>
      </c>
      <c r="G20" s="179" t="e">
        <f>-G18/Forecasts!G10</f>
        <v>#DIV/0!</v>
      </c>
      <c r="H20" s="179" t="e">
        <f>-H18/Forecasts!H10</f>
        <v>#DIV/0!</v>
      </c>
      <c r="I20" s="179" t="e">
        <f>-I18/Forecasts!I10</f>
        <v>#DIV/0!</v>
      </c>
      <c r="J20" s="179" t="e">
        <f>-J18/Forecasts!J10</f>
        <v>#DIV/0!</v>
      </c>
      <c r="K20" s="180" t="e">
        <f>-K18/Forecasts!K10</f>
        <v>#DIV/0!</v>
      </c>
      <c r="L20" s="179" t="e">
        <f>-L18/Forecasts!L10</f>
        <v>#DIV/0!</v>
      </c>
      <c r="M20" s="179" t="e">
        <f>-M18/Forecasts!M10</f>
        <v>#DIV/0!</v>
      </c>
      <c r="N20" s="179" t="e">
        <f>-N18/Forecasts!N10</f>
        <v>#DIV/0!</v>
      </c>
      <c r="O20" s="179" t="e">
        <f>-O18/Forecasts!O10</f>
        <v>#DIV/0!</v>
      </c>
      <c r="P20" s="180" t="e">
        <f>-P18/Forecasts!P10</f>
        <v>#DIV/0!</v>
      </c>
      <c r="Q20" s="179" t="e">
        <f>-Q18/Forecasts!Q10</f>
        <v>#DIV/0!</v>
      </c>
      <c r="R20" s="179" t="e">
        <f>-R18/Forecasts!R10</f>
        <v>#DIV/0!</v>
      </c>
      <c r="S20" s="179" t="e">
        <f>-S18/Forecasts!S10</f>
        <v>#DIV/0!</v>
      </c>
      <c r="T20" s="179" t="e">
        <f>-T18/Forecasts!T10</f>
        <v>#DIV/0!</v>
      </c>
      <c r="U20" s="180" t="e">
        <f>-U18/Forecasts!U10</f>
        <v>#DIV/0!</v>
      </c>
      <c r="V20" s="179" t="e">
        <f>-V18/Forecasts!V10</f>
        <v>#DIV/0!</v>
      </c>
      <c r="W20" s="179" t="e">
        <f>-W18/Forecasts!W10</f>
        <v>#DIV/0!</v>
      </c>
      <c r="X20" s="179" t="e">
        <f>-X18/Forecasts!X10</f>
        <v>#DIV/0!</v>
      </c>
      <c r="Y20" s="179" t="e">
        <f>-Y18/Forecasts!Y10</f>
        <v>#DIV/0!</v>
      </c>
      <c r="Z20" s="180" t="e">
        <f>-Z18/Forecasts!Z10</f>
        <v>#DIV/0!</v>
      </c>
      <c r="AA20" s="179" t="e">
        <f>-AA18/Forecasts!AA10</f>
        <v>#DIV/0!</v>
      </c>
      <c r="AB20" s="179" t="e">
        <f>-AB18/Forecasts!AB10</f>
        <v>#DIV/0!</v>
      </c>
      <c r="AC20" s="179" t="e">
        <f>-AC18/Forecasts!AC10</f>
        <v>#DIV/0!</v>
      </c>
      <c r="AD20" s="179" t="e">
        <f>-AD18/Forecasts!AD10</f>
        <v>#DIV/0!</v>
      </c>
      <c r="AE20" s="180" t="e">
        <f>-AE18/Forecasts!AE10</f>
        <v>#DIV/0!</v>
      </c>
      <c r="AF20" s="179" t="e">
        <f>-AF18/(Forecasts!AF15+Forecasts!AF17)</f>
        <v>#DIV/0!</v>
      </c>
      <c r="AG20" s="179" t="e">
        <f>-AG18/(Forecasts!AG15+Forecasts!AG17)</f>
        <v>#DIV/0!</v>
      </c>
      <c r="AH20" s="179" t="e">
        <f>-AH18/(Forecasts!AH15+Forecasts!AH17)</f>
        <v>#DIV/0!</v>
      </c>
      <c r="AI20" s="179" t="e">
        <f>-AI18/(Forecasts!AI15+Forecasts!AI17)</f>
        <v>#DIV/0!</v>
      </c>
      <c r="AJ20" s="180" t="e">
        <f>-AJ18/Forecasts!AJ10</f>
        <v>#DIV/0!</v>
      </c>
      <c r="AK20" s="179" t="e">
        <f>-AK18/(Forecasts!AK15+Forecasts!AK17)</f>
        <v>#DIV/0!</v>
      </c>
      <c r="AL20" s="179" t="e">
        <f>-AL18/(Forecasts!AL15+Forecasts!AL17)</f>
        <v>#DIV/0!</v>
      </c>
      <c r="AM20" s="179" t="e">
        <f>-AM18/(Forecasts!AM15+Forecasts!AM17)</f>
        <v>#DIV/0!</v>
      </c>
      <c r="AN20" s="179" t="e">
        <f>-AN18/(Forecasts!AN15+Forecasts!AN17)</f>
        <v>#DIV/0!</v>
      </c>
      <c r="AO20" s="180" t="e">
        <f>-AO18/Forecasts!AO10</f>
        <v>#DIV/0!</v>
      </c>
      <c r="AP20" s="179" t="e">
        <f>-AP18/(Forecasts!AP15+Forecasts!AP17)</f>
        <v>#DIV/0!</v>
      </c>
      <c r="AQ20" s="179" t="e">
        <f>-AQ18/(Forecasts!AQ15+Forecasts!AQ17)</f>
        <v>#DIV/0!</v>
      </c>
      <c r="AR20" s="179" t="e">
        <f>-AR18/(Forecasts!AR15+Forecasts!AR17)</f>
        <v>#DIV/0!</v>
      </c>
      <c r="AS20" s="179" t="e">
        <f>-AS18/(Forecasts!AS15+Forecasts!AS17)</f>
        <v>#DIV/0!</v>
      </c>
      <c r="AT20" s="180" t="e">
        <f>-AT18/Forecasts!AT10</f>
        <v>#DIV/0!</v>
      </c>
      <c r="AU20" s="179" t="e">
        <f>-AU18/(Forecasts!AU15+Forecasts!AU17)</f>
        <v>#DIV/0!</v>
      </c>
      <c r="AV20" s="179" t="e">
        <f>-AV18/(Forecasts!AV15+Forecasts!AV17)</f>
        <v>#DIV/0!</v>
      </c>
      <c r="AW20" s="179" t="e">
        <f>-AW18/(Forecasts!AW15+Forecasts!AW17)</f>
        <v>#DIV/0!</v>
      </c>
      <c r="AX20" s="179" t="e">
        <f>-AX18/(Forecasts!AX15+Forecasts!AX17)</f>
        <v>#DIV/0!</v>
      </c>
      <c r="AY20" s="180" t="e">
        <f>-AY18/(Forecasts!AY15+Forecasts!AY17)</f>
        <v>#DIV/0!</v>
      </c>
      <c r="AZ20" s="179" t="e">
        <f>-AZ18/(Forecasts!AZ15+Forecasts!AZ17)</f>
        <v>#DIV/0!</v>
      </c>
      <c r="BA20" s="179" t="e">
        <f>-BA18/(Forecasts!BA15+Forecasts!BA17)</f>
        <v>#DIV/0!</v>
      </c>
      <c r="BB20" s="179" t="e">
        <f>-BB18/(Forecasts!BB15+Forecasts!BB17)</f>
        <v>#DIV/0!</v>
      </c>
      <c r="BC20" s="179" t="e">
        <f>-BC18/(Forecasts!BC15+Forecasts!BC17)</f>
        <v>#DIV/0!</v>
      </c>
      <c r="BD20" s="180" t="e">
        <f>-BD18/(Forecasts!BD15+Forecasts!BD17)</f>
        <v>#DIV/0!</v>
      </c>
      <c r="BE20" s="179" t="e">
        <f>-BE18/(Forecasts!BE15+Forecasts!BE17)</f>
        <v>#DIV/0!</v>
      </c>
      <c r="BF20" s="179" t="e">
        <f>-BF18/(Forecasts!BF15+Forecasts!BF17)</f>
        <v>#DIV/0!</v>
      </c>
      <c r="BG20" s="179" t="e">
        <f>-BG18/(Forecasts!BG15+Forecasts!BG17)</f>
        <v>#DIV/0!</v>
      </c>
      <c r="BH20" s="179">
        <f>-BH18/(Forecasts!BH15+Forecasts!BH17)</f>
        <v>3.126865671641791E-2</v>
      </c>
      <c r="BI20" s="180">
        <f>-BI18/(Forecasts!BI15+Forecasts!BI17)</f>
        <v>3.126865671641791E-2</v>
      </c>
      <c r="BJ20" s="179" t="e">
        <f>-BJ18/(Forecasts!BJ15+Forecasts!BJ17)</f>
        <v>#DIV/0!</v>
      </c>
      <c r="BK20" s="179" t="e">
        <f>-BK18/(Forecasts!BK15+Forecasts!BK17)</f>
        <v>#DIV/0!</v>
      </c>
      <c r="BL20" s="179" t="e">
        <f>-BL18/(Forecasts!BL15+Forecasts!BL17)</f>
        <v>#DIV/0!</v>
      </c>
      <c r="BM20" s="179">
        <f>-BM18/(Forecasts!BM15+Forecasts!BM17)</f>
        <v>4.0131699846860644E-2</v>
      </c>
      <c r="BN20" s="180">
        <f>-BN18/(Forecasts!BN15+Forecasts!BN17)</f>
        <v>4.0131699846860644E-2</v>
      </c>
      <c r="BO20" s="179" t="e">
        <f>-BO18/(Forecasts!BO15+Forecasts!BO17)</f>
        <v>#DIV/0!</v>
      </c>
      <c r="BP20" s="179" t="e">
        <f>-BP18/(Forecasts!BP15+Forecasts!BP17)</f>
        <v>#DIV/0!</v>
      </c>
      <c r="BQ20" s="179" t="e">
        <f>-BQ18/(Forecasts!BQ15+Forecasts!BQ17)</f>
        <v>#DIV/0!</v>
      </c>
      <c r="BR20" s="179">
        <f>-BR18/(Forecasts!BR15+Forecasts!BR17)</f>
        <v>5.8394062078272607E-2</v>
      </c>
      <c r="BS20" s="180">
        <f>-BS18/(Forecasts!BS15+Forecasts!BS17)</f>
        <v>5.8394062078272607E-2</v>
      </c>
      <c r="BT20" s="179" t="e">
        <f>-BT18/(Forecasts!BT15+Forecasts!BT17)</f>
        <v>#DIV/0!</v>
      </c>
      <c r="BU20" s="179" t="e">
        <f>-BU18/(Forecasts!BU15+Forecasts!BU17)</f>
        <v>#DIV/0!</v>
      </c>
      <c r="BV20" s="179" t="e">
        <f>-BV18/(Forecasts!BV15+Forecasts!BV17)</f>
        <v>#DIV/0!</v>
      </c>
      <c r="BW20" s="179">
        <f>-BW18/(Forecasts!BW15+Forecasts!BW17)</f>
        <v>5.1669673055242393E-2</v>
      </c>
      <c r="BX20" s="180">
        <f>-BX18/(Forecasts!BX15+Forecasts!BX17)</f>
        <v>5.1669673055242393E-2</v>
      </c>
      <c r="BY20" s="179" t="e">
        <f>-BY18/(Forecasts!BY15+Forecasts!BY17)</f>
        <v>#DIV/0!</v>
      </c>
      <c r="BZ20" s="179" t="e">
        <f>-BZ18/(Forecasts!BZ15+Forecasts!BZ17)</f>
        <v>#DIV/0!</v>
      </c>
      <c r="CA20" s="179">
        <f>-CA18/(Forecasts!CA15+Forecasts!CA17)</f>
        <v>8.797076358291761E-2</v>
      </c>
      <c r="CB20" s="179">
        <f>-CB18/(Forecasts!CB15+Forecasts!CB17)</f>
        <v>5.4978771095400378E-2</v>
      </c>
      <c r="CC20" s="180">
        <f>-CC18/(Forecasts!CC15+Forecasts!CC17)</f>
        <v>9.8400844541757904E-2</v>
      </c>
      <c r="CD20" s="179">
        <f>-CD18/(Forecasts!CD15+Forecasts!CD17)</f>
        <v>7.8924569505602699E-2</v>
      </c>
      <c r="CE20" s="179">
        <f>-CE18/(Forecasts!CE15+Forecasts!CE17)</f>
        <v>7.892560745423495E-2</v>
      </c>
      <c r="CF20" s="179">
        <f>-CF18/(Forecasts!CF15+Forecasts!CF17)</f>
        <v>5.8677928173663393E-2</v>
      </c>
      <c r="CG20" s="179">
        <f>-CG18/(Forecasts!CG15+Forecasts!CG17)</f>
        <v>6.0157599670088387E-2</v>
      </c>
      <c r="CH20" s="180">
        <f>-CH18/(Forecasts!CH15+Forecasts!CH17)</f>
        <v>6.7230034176117531E-2</v>
      </c>
      <c r="CI20" s="179">
        <f>-CI18/(Forecasts!CI15+Forecasts!CI17)</f>
        <v>4.7922868805621938E-2</v>
      </c>
      <c r="CJ20" s="179">
        <f>-CJ18/(Forecasts!CJ15+Forecasts!CJ17)</f>
        <v>5.2891567737406463E-2</v>
      </c>
      <c r="CK20" s="179">
        <f>-CK18/(Forecasts!CK15+Forecasts!CK17)</f>
        <v>6.4049515027340645E-2</v>
      </c>
      <c r="CL20" s="179">
        <f>-CL18/(Forecasts!CL15+Forecasts!CL17)</f>
        <v>6.9911298895032559E-2</v>
      </c>
      <c r="CM20" s="180">
        <f>-CM18/(Forecasts!CM15+Forecasts!CM17)</f>
        <v>5.8854286311233975E-2</v>
      </c>
      <c r="CN20" s="179">
        <f>-CN18/(Forecasts!CN15+Forecasts!CN17)</f>
        <v>5.4650933877992962E-2</v>
      </c>
      <c r="CO20" s="179">
        <f>-CO18/(Forecasts!CO15+Forecasts!CO17)</f>
        <v>5.4520872577018896E-2</v>
      </c>
      <c r="CP20" s="179">
        <f>-CP18/(Forecasts!CP15+Forecasts!CP17)</f>
        <v>6.1393787011612133E-2</v>
      </c>
      <c r="CQ20" s="179">
        <f>-CQ18/(Forecasts!CQ15+Forecasts!CQ17)</f>
        <v>6.5295605210840546E-2</v>
      </c>
      <c r="CR20" s="180">
        <f>-CR18/(Forecasts!CR15+Forecasts!CR17)</f>
        <v>5.8893897065453595E-2</v>
      </c>
      <c r="CS20" s="179">
        <f>-CS18/(Forecasts!CS15+Forecasts!CS17)</f>
        <v>5.328954236677938E-2</v>
      </c>
      <c r="CT20" s="179">
        <f>-CT18/(Forecasts!CT15+Forecasts!CT17)</f>
        <v>4.9712846031558823E-2</v>
      </c>
      <c r="CU20" s="179">
        <f>-CU18/(Forecasts!CU15+Forecasts!CU17)</f>
        <v>7.0166672388455073E-2</v>
      </c>
      <c r="CV20" s="179">
        <f>-CV18/(Forecasts!CV15+Forecasts!CV17)</f>
        <v>7.3622797423103764E-2</v>
      </c>
      <c r="CW20" s="180">
        <f>-CW18/(Forecasts!CW15+Forecasts!CW17)</f>
        <v>6.0871138619575035E-2</v>
      </c>
      <c r="CX20" s="179">
        <f>-CX18/(Forecasts!CX15+Forecasts!CX17)</f>
        <v>4.5305388416700176E-2</v>
      </c>
      <c r="CY20" s="179">
        <f>-CY18/(Forecasts!CY15+Forecasts!CY17)</f>
        <v>5.084882151386149E-2</v>
      </c>
      <c r="CZ20" s="179">
        <f>-CZ18/(Forecasts!CZ15+Forecasts!CZ17)</f>
        <v>7.1593722195095411E-2</v>
      </c>
      <c r="DA20" s="179">
        <f>-DA18/(Forecasts!DA15+Forecasts!DA17)</f>
        <v>6.7916224703601716E-2</v>
      </c>
      <c r="DB20" s="180">
        <f>-DB18/(Forecasts!DB15+Forecasts!DB17)</f>
        <v>5.8253306270222086E-2</v>
      </c>
      <c r="DC20" s="179">
        <f>-DC18/(Forecasts!DC15+Forecasts!DC17)</f>
        <v>4.7738387456040601E-2</v>
      </c>
      <c r="DD20" s="179">
        <f>-DD18/(Forecasts!DD15+Forecasts!DD17)</f>
        <v>4.9939487112439195E-2</v>
      </c>
      <c r="DE20" s="179">
        <f>-DE18/(Forecasts!DE15+Forecasts!DE17)</f>
        <v>6.5708460146349013E-2</v>
      </c>
      <c r="DF20" s="179">
        <f>-DF18/(Forecasts!DF15+Forecasts!DF17)</f>
        <v>7.5310568760731861E-2</v>
      </c>
      <c r="DG20" s="180">
        <f>-DG18/(Forecasts!DG15+Forecasts!DG17)</f>
        <v>5.8296445532698957E-2</v>
      </c>
      <c r="DH20" s="179">
        <f>-DH18/(Forecasts!DH15+Forecasts!DH17)</f>
        <v>4.6990439196310421E-2</v>
      </c>
      <c r="DI20" s="179">
        <f>-DI18/(Forecasts!DI15+Forecasts!DI17)</f>
        <v>7.5242216010006371E-2</v>
      </c>
      <c r="DJ20" s="182">
        <v>6.5000000000000002E-2</v>
      </c>
      <c r="DK20" s="182">
        <v>6.5000000000000002E-2</v>
      </c>
      <c r="DL20" s="180">
        <f>-DL18/(Forecasts!DL15+Forecasts!DL17)</f>
        <v>6.2587507409445228E-2</v>
      </c>
      <c r="DM20" s="182">
        <v>6.5000000000000002E-2</v>
      </c>
      <c r="DN20" s="182">
        <f>DM20</f>
        <v>6.5000000000000002E-2</v>
      </c>
      <c r="DO20" s="182">
        <f>DN20</f>
        <v>6.5000000000000002E-2</v>
      </c>
      <c r="DP20" s="182">
        <f>DO20</f>
        <v>6.5000000000000002E-2</v>
      </c>
      <c r="DQ20" s="180">
        <f>-DQ18/(Forecasts!DQ15+Forecasts!DQ17)</f>
        <v>6.4999999999999988E-2</v>
      </c>
      <c r="DR20" s="182">
        <f>DP20</f>
        <v>6.5000000000000002E-2</v>
      </c>
      <c r="DS20" s="182">
        <f>DR20</f>
        <v>6.5000000000000002E-2</v>
      </c>
      <c r="DT20" s="182">
        <f>DS20</f>
        <v>6.5000000000000002E-2</v>
      </c>
      <c r="DU20" s="182">
        <f>DT20</f>
        <v>6.5000000000000002E-2</v>
      </c>
      <c r="DV20" s="180">
        <f>-DV18/(Forecasts!DV15+Forecasts!DV17)</f>
        <v>6.5000000000000002E-2</v>
      </c>
      <c r="DW20" s="182">
        <f>DU20</f>
        <v>6.5000000000000002E-2</v>
      </c>
      <c r="DX20" s="182">
        <f>DW20</f>
        <v>6.5000000000000002E-2</v>
      </c>
      <c r="DY20" s="182">
        <f>DX20</f>
        <v>6.5000000000000002E-2</v>
      </c>
      <c r="DZ20" s="182">
        <f>DY20</f>
        <v>6.5000000000000002E-2</v>
      </c>
      <c r="EA20" s="180">
        <f>-EA18/(Forecasts!EA15+Forecasts!EA17)</f>
        <v>6.5000000000000002E-2</v>
      </c>
      <c r="EB20" s="182">
        <f>DZ20</f>
        <v>6.5000000000000002E-2</v>
      </c>
      <c r="EC20" s="182">
        <f>EB20</f>
        <v>6.5000000000000002E-2</v>
      </c>
      <c r="ED20" s="182">
        <f>EC20</f>
        <v>6.5000000000000002E-2</v>
      </c>
      <c r="EE20" s="182">
        <f>ED20</f>
        <v>6.5000000000000002E-2</v>
      </c>
      <c r="EF20" s="180">
        <f>-EF18/(Forecasts!EF15+Forecasts!EF17)</f>
        <v>6.4999999999999988E-2</v>
      </c>
    </row>
    <row r="21" spans="1:158" ht="12.75" customHeight="1">
      <c r="A21" s="9" t="s">
        <v>184</v>
      </c>
      <c r="B21" s="171"/>
      <c r="C21" s="171"/>
      <c r="D21" s="171"/>
      <c r="E21" s="171"/>
      <c r="F21" s="165">
        <f>SUM(B21:E21)</f>
        <v>0</v>
      </c>
      <c r="G21" s="171"/>
      <c r="H21" s="171"/>
      <c r="I21" s="171"/>
      <c r="J21" s="171"/>
      <c r="K21" s="165">
        <f>SUM(G21:J21)</f>
        <v>0</v>
      </c>
      <c r="L21" s="171"/>
      <c r="M21" s="171"/>
      <c r="N21" s="171"/>
      <c r="O21" s="171"/>
      <c r="P21" s="165">
        <f>SUM(L21:O21)</f>
        <v>0</v>
      </c>
      <c r="Q21" s="171"/>
      <c r="R21" s="171"/>
      <c r="S21" s="171"/>
      <c r="T21" s="171"/>
      <c r="U21" s="165">
        <f>SUM(Q21:T21)</f>
        <v>0</v>
      </c>
      <c r="V21" s="171"/>
      <c r="W21" s="171"/>
      <c r="X21" s="171"/>
      <c r="Y21" s="171"/>
      <c r="Z21" s="165">
        <f>SUM(V21:Y21)</f>
        <v>0</v>
      </c>
      <c r="AA21" s="171"/>
      <c r="AB21" s="171"/>
      <c r="AC21" s="171"/>
      <c r="AD21" s="171"/>
      <c r="AE21" s="165">
        <f>SUM(AA21:AD21)</f>
        <v>0</v>
      </c>
      <c r="AF21" s="171"/>
      <c r="AG21" s="171"/>
      <c r="AH21" s="171"/>
      <c r="AI21" s="171">
        <f>-17940.809-SUM(AF21:AH21)</f>
        <v>-17940.809000000001</v>
      </c>
      <c r="AJ21" s="165">
        <f>SUM(AF21:AI21)</f>
        <v>-17940.809000000001</v>
      </c>
      <c r="AK21" s="171"/>
      <c r="AL21" s="171"/>
      <c r="AM21" s="171"/>
      <c r="AN21" s="171">
        <f>-24844.193-SUM(AK21:AM21)</f>
        <v>-24844.192999999999</v>
      </c>
      <c r="AO21" s="165">
        <f>SUM(AK21:AN21)</f>
        <v>-24844.192999999999</v>
      </c>
      <c r="AP21" s="171"/>
      <c r="AQ21" s="171"/>
      <c r="AR21" s="171"/>
      <c r="AS21" s="171">
        <f>-45247.462-SUM(AP21:AR21)</f>
        <v>-45247.462</v>
      </c>
      <c r="AT21" s="165">
        <f>SUM(AP21:AS21)</f>
        <v>-45247.462</v>
      </c>
      <c r="AU21" s="171"/>
      <c r="AV21" s="171"/>
      <c r="AW21" s="171"/>
      <c r="AX21" s="171">
        <f>-51886.296-SUM(AU21:AW21)</f>
        <v>-51886.296000000002</v>
      </c>
      <c r="AY21" s="165">
        <f>SUM(AU21:AX21)</f>
        <v>-51886.296000000002</v>
      </c>
      <c r="AZ21" s="171"/>
      <c r="BA21" s="171"/>
      <c r="BB21" s="171"/>
      <c r="BC21" s="171">
        <f>-59532-SUM(AZ21:BB21)-SUM(AZ34:BC34)</f>
        <v>-54590</v>
      </c>
      <c r="BD21" s="165">
        <f>SUM(AZ21:BC21)</f>
        <v>-54590</v>
      </c>
      <c r="BE21" s="171"/>
      <c r="BF21" s="171"/>
      <c r="BG21" s="171"/>
      <c r="BH21" s="171">
        <f>-65477-SUM(BE21:BG21)-SUM(BE34:BH34)</f>
        <v>-62109</v>
      </c>
      <c r="BI21" s="165">
        <f>SUM(BE21:BH21)</f>
        <v>-62109</v>
      </c>
      <c r="BJ21" s="171"/>
      <c r="BK21" s="171"/>
      <c r="BL21" s="171"/>
      <c r="BM21" s="171">
        <f>-62654-SUM(BJ21:BL21)-SUM(BJ34:BM34)</f>
        <v>-56880</v>
      </c>
      <c r="BN21" s="165">
        <f>SUM(BJ21:BM21)</f>
        <v>-56880</v>
      </c>
      <c r="BO21" s="171"/>
      <c r="BP21" s="171"/>
      <c r="BQ21" s="171"/>
      <c r="BR21" s="171">
        <f>-103345-SUM(BO21:BQ21)-SUM(BO34:BR34)</f>
        <v>-95874</v>
      </c>
      <c r="BS21" s="165">
        <f>SUM(BO21:BR21)</f>
        <v>-95874</v>
      </c>
      <c r="BT21" s="171"/>
      <c r="BU21" s="171"/>
      <c r="BV21" s="171"/>
      <c r="BW21" s="171">
        <f>-85835-SUM(BT21:BV21)-SUM(BT34:BW34)</f>
        <v>-82117</v>
      </c>
      <c r="BX21" s="165">
        <f>SUM(BT21:BW21)</f>
        <v>-82117</v>
      </c>
      <c r="BY21" s="171">
        <f>-26240-BY34</f>
        <v>-24386</v>
      </c>
      <c r="BZ21" s="171">
        <f>-27173-BZ34</f>
        <v>-26994</v>
      </c>
      <c r="CA21" s="171">
        <f>-24843-CA34</f>
        <v>-24444</v>
      </c>
      <c r="CB21" s="171">
        <f>-96843-SUM(BY21:CA21)-SUM(BY34:CB34)</f>
        <v>-19864</v>
      </c>
      <c r="CC21" s="165">
        <f>SUM(BY21:CB21)</f>
        <v>-95688</v>
      </c>
      <c r="CD21" s="171">
        <f>-28376-CD34</f>
        <v>-25451</v>
      </c>
      <c r="CE21" s="171">
        <f>-14508-CE34</f>
        <v>-14201</v>
      </c>
      <c r="CF21" s="171">
        <f>-25631-CF34</f>
        <v>-25266</v>
      </c>
      <c r="CG21" s="171">
        <f>-96892-SUM(CD21:CF21)-SUM(CD34:CG34)</f>
        <v>-30415</v>
      </c>
      <c r="CH21" s="165">
        <f>SUM(CD21:CG21)</f>
        <v>-95333</v>
      </c>
      <c r="CI21" s="171">
        <f>-20615-CI34</f>
        <v>-20280</v>
      </c>
      <c r="CJ21" s="171">
        <f>-24043-CJ34</f>
        <v>-23688</v>
      </c>
      <c r="CK21" s="172">
        <f>-31117-CK34</f>
        <v>-30752</v>
      </c>
      <c r="CL21" s="171">
        <f>-102464-SUM(CI21:CK21)-SUM(CI34:CL34)</f>
        <v>-26306</v>
      </c>
      <c r="CM21" s="165">
        <f>SUM(CI21:CL21)</f>
        <v>-101026</v>
      </c>
      <c r="CN21" s="171">
        <f>-22810-CN34</f>
        <v>-22356</v>
      </c>
      <c r="CO21" s="172">
        <f>-34143-CO34</f>
        <v>-33684</v>
      </c>
      <c r="CP21" s="172">
        <f>-49409-CP34</f>
        <v>-48993</v>
      </c>
      <c r="CQ21" s="171">
        <f>-136568-SUM(CN21:CP21)-SUM(CN34:CQ34)</f>
        <v>-29683</v>
      </c>
      <c r="CR21" s="165">
        <f>SUM(CN21:CQ21)</f>
        <v>-134716</v>
      </c>
      <c r="CS21" s="171">
        <f>-33375-CS34</f>
        <v>-32599</v>
      </c>
      <c r="CT21" s="172">
        <f>-42088-CT34</f>
        <v>-41367</v>
      </c>
      <c r="CU21" s="172">
        <f>-54245-CU34</f>
        <v>-53549</v>
      </c>
      <c r="CV21" s="171">
        <f>-165783-SUM(CS21:CU21)-SUM(CS34:CV34)</f>
        <v>-35293</v>
      </c>
      <c r="CW21" s="165">
        <f>SUM(CS21:CV21)</f>
        <v>-162808</v>
      </c>
      <c r="CX21" s="171">
        <f>-41298-CX34</f>
        <v>-40769</v>
      </c>
      <c r="CY21" s="172">
        <f>-62203-CY34</f>
        <v>-61475</v>
      </c>
      <c r="CZ21" s="171">
        <f>-68034-CZ34</f>
        <v>-67309</v>
      </c>
      <c r="DA21" s="171">
        <f>-224429-SUM(CX21:CZ21)-SUM(CX34:DA34)</f>
        <v>-52203</v>
      </c>
      <c r="DB21" s="165">
        <f>SUM(CX21:DA21)</f>
        <v>-221756</v>
      </c>
      <c r="DC21" s="171">
        <f>-50355-DC34</f>
        <v>-50151</v>
      </c>
      <c r="DD21" s="172">
        <f>-64402-DD34</f>
        <v>-64176</v>
      </c>
      <c r="DE21" s="171">
        <f>-66007-DE34</f>
        <v>-65788</v>
      </c>
      <c r="DF21" s="171">
        <f>-239339-SUM(DC21:DE21)-SUM(DC34:DF34)</f>
        <v>-58359</v>
      </c>
      <c r="DG21" s="165">
        <f>SUM(DC21:DF21)</f>
        <v>-238474</v>
      </c>
      <c r="DH21" s="171">
        <f>-64932-DH34</f>
        <v>-64720</v>
      </c>
      <c r="DI21" s="172">
        <f>-78364-DI34</f>
        <v>-78166</v>
      </c>
      <c r="DJ21" s="171">
        <f>DI21*(1+Macro!DJ15)</f>
        <v>-79030.90604735646</v>
      </c>
      <c r="DK21" s="171">
        <f>DH21*1.05</f>
        <v>-67956</v>
      </c>
      <c r="DL21" s="165">
        <f>SUM(DH21:DK21)</f>
        <v>-289872.90604735643</v>
      </c>
      <c r="DM21" s="171">
        <f>DL21/4*(1+Macro!DM15)*1.05</f>
        <v>-76933.591087166904</v>
      </c>
      <c r="DN21" s="171">
        <f>DM21*(1+Macro!DN15)</f>
        <v>-77784.860541611793</v>
      </c>
      <c r="DO21" s="171">
        <f>DN21*(1+Macro!DO15)</f>
        <v>-78645.549284482331</v>
      </c>
      <c r="DP21" s="171">
        <f>DO21*(1+Macro!DP15)</f>
        <v>-79515.761540115462</v>
      </c>
      <c r="DQ21" s="165">
        <f>SUM(DM21:DP21)</f>
        <v>-312879.76245337649</v>
      </c>
      <c r="DR21" s="171">
        <f>DP21*(1+Macro!DR15)</f>
        <v>-80395.602686089405</v>
      </c>
      <c r="DS21" s="171">
        <f>DR21*(1+Macro!DS15)</f>
        <v>-81285.179265984319</v>
      </c>
      <c r="DT21" s="171">
        <f>DS21*(1+Macro!DT15)</f>
        <v>-82184.599002284027</v>
      </c>
      <c r="DU21" s="171">
        <f>DT21*(1+Macro!DU15)</f>
        <v>-83093.970809420643</v>
      </c>
      <c r="DV21" s="165">
        <f>SUM(DR21:DU21)</f>
        <v>-326959.35176377842</v>
      </c>
      <c r="DW21" s="171">
        <f>DU21*(1+Macro!DW15)</f>
        <v>-84013.404806963415</v>
      </c>
      <c r="DX21" s="171">
        <f>DW21*(1+Macro!DX15)</f>
        <v>-84943.0123329536</v>
      </c>
      <c r="DY21" s="171">
        <f>DX21*(1+Macro!DY15)</f>
        <v>-85882.9059573868</v>
      </c>
      <c r="DZ21" s="171">
        <f>DY21*(1+Macro!DZ15)</f>
        <v>-86833.199495844558</v>
      </c>
      <c r="EA21" s="165">
        <f>SUM(DW21:DZ21)</f>
        <v>-341672.5225931484</v>
      </c>
      <c r="EB21" s="171">
        <f>DZ21*(1+Macro!EB15)</f>
        <v>-87794.008023276765</v>
      </c>
      <c r="EC21" s="171">
        <f>EB21*(1+Macro!EC15)</f>
        <v>-88765.447887936505</v>
      </c>
      <c r="ED21" s="171">
        <f>EC21*(1+Macro!ED15)</f>
        <v>-89747.636725469201</v>
      </c>
      <c r="EE21" s="171">
        <f>ED21*(1+Macro!EE15)</f>
        <v>-90740.69347315756</v>
      </c>
      <c r="EF21" s="165">
        <f>SUM(EB21:EE21)</f>
        <v>-357047.78610984003</v>
      </c>
      <c r="EG21" s="162"/>
    </row>
    <row r="22" spans="1:158" s="183" customFormat="1" ht="12.75" customHeight="1" outlineLevel="1">
      <c r="A22" s="178" t="s">
        <v>182</v>
      </c>
      <c r="B22" s="179" t="e">
        <f t="shared" ref="B22:AG22" si="63">-B21/B11</f>
        <v>#DIV/0!</v>
      </c>
      <c r="C22" s="179" t="e">
        <f t="shared" si="63"/>
        <v>#DIV/0!</v>
      </c>
      <c r="D22" s="179" t="e">
        <f t="shared" si="63"/>
        <v>#DIV/0!</v>
      </c>
      <c r="E22" s="179" t="e">
        <f t="shared" si="63"/>
        <v>#DIV/0!</v>
      </c>
      <c r="F22" s="180" t="e">
        <f t="shared" si="63"/>
        <v>#DIV/0!</v>
      </c>
      <c r="G22" s="179" t="e">
        <f t="shared" si="63"/>
        <v>#DIV/0!</v>
      </c>
      <c r="H22" s="179" t="e">
        <f t="shared" si="63"/>
        <v>#DIV/0!</v>
      </c>
      <c r="I22" s="179" t="e">
        <f t="shared" si="63"/>
        <v>#DIV/0!</v>
      </c>
      <c r="J22" s="179" t="e">
        <f t="shared" si="63"/>
        <v>#DIV/0!</v>
      </c>
      <c r="K22" s="180" t="e">
        <f t="shared" si="63"/>
        <v>#DIV/0!</v>
      </c>
      <c r="L22" s="179" t="e">
        <f t="shared" si="63"/>
        <v>#DIV/0!</v>
      </c>
      <c r="M22" s="179" t="e">
        <f t="shared" si="63"/>
        <v>#DIV/0!</v>
      </c>
      <c r="N22" s="179" t="e">
        <f t="shared" si="63"/>
        <v>#DIV/0!</v>
      </c>
      <c r="O22" s="179" t="e">
        <f t="shared" si="63"/>
        <v>#DIV/0!</v>
      </c>
      <c r="P22" s="180" t="e">
        <f t="shared" si="63"/>
        <v>#DIV/0!</v>
      </c>
      <c r="Q22" s="179" t="e">
        <f t="shared" si="63"/>
        <v>#DIV/0!</v>
      </c>
      <c r="R22" s="179" t="e">
        <f t="shared" si="63"/>
        <v>#DIV/0!</v>
      </c>
      <c r="S22" s="179" t="e">
        <f t="shared" si="63"/>
        <v>#DIV/0!</v>
      </c>
      <c r="T22" s="179" t="e">
        <f t="shared" si="63"/>
        <v>#DIV/0!</v>
      </c>
      <c r="U22" s="180" t="e">
        <f t="shared" si="63"/>
        <v>#DIV/0!</v>
      </c>
      <c r="V22" s="179" t="e">
        <f t="shared" si="63"/>
        <v>#DIV/0!</v>
      </c>
      <c r="W22" s="179" t="e">
        <f t="shared" si="63"/>
        <v>#DIV/0!</v>
      </c>
      <c r="X22" s="179" t="e">
        <f t="shared" si="63"/>
        <v>#DIV/0!</v>
      </c>
      <c r="Y22" s="179" t="e">
        <f t="shared" si="63"/>
        <v>#DIV/0!</v>
      </c>
      <c r="Z22" s="180" t="e">
        <f t="shared" si="63"/>
        <v>#DIV/0!</v>
      </c>
      <c r="AA22" s="179" t="e">
        <f t="shared" si="63"/>
        <v>#DIV/0!</v>
      </c>
      <c r="AB22" s="179" t="e">
        <f t="shared" si="63"/>
        <v>#DIV/0!</v>
      </c>
      <c r="AC22" s="179" t="e">
        <f t="shared" si="63"/>
        <v>#DIV/0!</v>
      </c>
      <c r="AD22" s="179" t="e">
        <f t="shared" si="63"/>
        <v>#DIV/0!</v>
      </c>
      <c r="AE22" s="180" t="e">
        <f t="shared" si="63"/>
        <v>#DIV/0!</v>
      </c>
      <c r="AF22" s="179" t="e">
        <f t="shared" si="63"/>
        <v>#DIV/0!</v>
      </c>
      <c r="AG22" s="179" t="e">
        <f t="shared" si="63"/>
        <v>#DIV/0!</v>
      </c>
      <c r="AH22" s="179" t="e">
        <f t="shared" ref="AH22:BM22" si="64">-AH21/AH11</f>
        <v>#DIV/0!</v>
      </c>
      <c r="AI22" s="179">
        <f t="shared" si="64"/>
        <v>7.4891431002052214E-2</v>
      </c>
      <c r="AJ22" s="180">
        <f t="shared" si="64"/>
        <v>7.4891431002052214E-2</v>
      </c>
      <c r="AK22" s="179" t="e">
        <f t="shared" si="64"/>
        <v>#DIV/0!</v>
      </c>
      <c r="AL22" s="179" t="e">
        <f t="shared" si="64"/>
        <v>#DIV/0!</v>
      </c>
      <c r="AM22" s="179" t="e">
        <f t="shared" si="64"/>
        <v>#DIV/0!</v>
      </c>
      <c r="AN22" s="179">
        <f t="shared" si="64"/>
        <v>5.8543515524322957E-2</v>
      </c>
      <c r="AO22" s="180">
        <f t="shared" si="64"/>
        <v>5.8543515524322957E-2</v>
      </c>
      <c r="AP22" s="179" t="e">
        <f t="shared" si="64"/>
        <v>#DIV/0!</v>
      </c>
      <c r="AQ22" s="179" t="e">
        <f t="shared" si="64"/>
        <v>#DIV/0!</v>
      </c>
      <c r="AR22" s="179" t="e">
        <f t="shared" si="64"/>
        <v>#DIV/0!</v>
      </c>
      <c r="AS22" s="179">
        <f t="shared" si="64"/>
        <v>9.3492410925512373E-2</v>
      </c>
      <c r="AT22" s="180">
        <f t="shared" si="64"/>
        <v>9.3492410925512373E-2</v>
      </c>
      <c r="AU22" s="179" t="e">
        <f t="shared" si="64"/>
        <v>#DIV/0!</v>
      </c>
      <c r="AV22" s="179" t="e">
        <f t="shared" si="64"/>
        <v>#DIV/0!</v>
      </c>
      <c r="AW22" s="179" t="e">
        <f t="shared" si="64"/>
        <v>#DIV/0!</v>
      </c>
      <c r="AX22" s="179">
        <f t="shared" si="64"/>
        <v>7.0361819741499215E-2</v>
      </c>
      <c r="AY22" s="180">
        <f t="shared" si="64"/>
        <v>7.0361819741499215E-2</v>
      </c>
      <c r="AZ22" s="179" t="e">
        <f t="shared" si="64"/>
        <v>#DIV/0!</v>
      </c>
      <c r="BA22" s="179" t="e">
        <f t="shared" si="64"/>
        <v>#DIV/0!</v>
      </c>
      <c r="BB22" s="179" t="e">
        <f t="shared" si="64"/>
        <v>#DIV/0!</v>
      </c>
      <c r="BC22" s="179">
        <f t="shared" si="64"/>
        <v>6.0697976697047157E-2</v>
      </c>
      <c r="BD22" s="180">
        <f t="shared" si="64"/>
        <v>6.0697976697047157E-2</v>
      </c>
      <c r="BE22" s="179" t="e">
        <f t="shared" si="64"/>
        <v>#DIV/0!</v>
      </c>
      <c r="BF22" s="179" t="e">
        <f t="shared" si="64"/>
        <v>#DIV/0!</v>
      </c>
      <c r="BG22" s="179" t="e">
        <f t="shared" si="64"/>
        <v>#DIV/0!</v>
      </c>
      <c r="BH22" s="179">
        <f t="shared" si="64"/>
        <v>7.2184934014400029E-2</v>
      </c>
      <c r="BI22" s="180">
        <f t="shared" si="64"/>
        <v>7.2184934014400029E-2</v>
      </c>
      <c r="BJ22" s="179" t="e">
        <f t="shared" si="64"/>
        <v>#DIV/0!</v>
      </c>
      <c r="BK22" s="179" t="e">
        <f t="shared" si="64"/>
        <v>#DIV/0!</v>
      </c>
      <c r="BL22" s="179" t="e">
        <f t="shared" si="64"/>
        <v>#DIV/0!</v>
      </c>
      <c r="BM22" s="179">
        <f t="shared" si="64"/>
        <v>7.0329626849892982E-2</v>
      </c>
      <c r="BN22" s="180">
        <f t="shared" ref="BN22:CS22" si="65">-BN21/BN11</f>
        <v>7.0329626849892982E-2</v>
      </c>
      <c r="BO22" s="179" t="e">
        <f t="shared" si="65"/>
        <v>#DIV/0!</v>
      </c>
      <c r="BP22" s="179" t="e">
        <f t="shared" si="65"/>
        <v>#DIV/0!</v>
      </c>
      <c r="BQ22" s="179" t="e">
        <f t="shared" si="65"/>
        <v>#DIV/0!</v>
      </c>
      <c r="BR22" s="179">
        <f t="shared" si="65"/>
        <v>0.11772564573266944</v>
      </c>
      <c r="BS22" s="180">
        <f t="shared" si="65"/>
        <v>0.11772564573266944</v>
      </c>
      <c r="BT22" s="179" t="e">
        <f t="shared" si="65"/>
        <v>#DIV/0!</v>
      </c>
      <c r="BU22" s="179" t="e">
        <f t="shared" si="65"/>
        <v>#DIV/0!</v>
      </c>
      <c r="BV22" s="179" t="e">
        <f t="shared" si="65"/>
        <v>#DIV/0!</v>
      </c>
      <c r="BW22" s="179">
        <f t="shared" si="65"/>
        <v>8.9233069601511755E-2</v>
      </c>
      <c r="BX22" s="180">
        <f t="shared" si="65"/>
        <v>8.9233069601511755E-2</v>
      </c>
      <c r="BY22" s="179">
        <f t="shared" si="65"/>
        <v>0.12945798163189468</v>
      </c>
      <c r="BZ22" s="179">
        <f t="shared" si="65"/>
        <v>0.10082432871554869</v>
      </c>
      <c r="CA22" s="179">
        <f t="shared" si="65"/>
        <v>9.3467521145286864E-2</v>
      </c>
      <c r="CB22" s="179">
        <f t="shared" si="65"/>
        <v>6.5851151997347923E-2</v>
      </c>
      <c r="CC22" s="180">
        <f t="shared" si="65"/>
        <v>9.3878307859394453E-2</v>
      </c>
      <c r="CD22" s="179">
        <f t="shared" si="65"/>
        <v>0.11196061956440452</v>
      </c>
      <c r="CE22" s="179">
        <f t="shared" si="65"/>
        <v>5.7679810238663871E-2</v>
      </c>
      <c r="CF22" s="179">
        <f t="shared" si="65"/>
        <v>7.7527562389343871E-2</v>
      </c>
      <c r="CG22" s="179">
        <f t="shared" si="65"/>
        <v>8.8093031338701264E-2</v>
      </c>
      <c r="CH22" s="180">
        <f t="shared" si="65"/>
        <v>8.3283392243435297E-2</v>
      </c>
      <c r="CI22" s="179">
        <f t="shared" si="65"/>
        <v>5.9772581244142108E-2</v>
      </c>
      <c r="CJ22" s="179">
        <f t="shared" si="65"/>
        <v>5.2484064014250993E-2</v>
      </c>
      <c r="CK22" s="179">
        <f t="shared" si="65"/>
        <v>6.7372258456037809E-2</v>
      </c>
      <c r="CL22" s="179">
        <f t="shared" si="65"/>
        <v>5.3552052733687142E-2</v>
      </c>
      <c r="CM22" s="180">
        <f t="shared" si="65"/>
        <v>5.8117868371018726E-2</v>
      </c>
      <c r="CN22" s="179">
        <f t="shared" si="65"/>
        <v>4.9971612118719463E-2</v>
      </c>
      <c r="CO22" s="179">
        <f t="shared" si="65"/>
        <v>5.5880806193937121E-2</v>
      </c>
      <c r="CP22" s="179">
        <f t="shared" si="65"/>
        <v>7.8181275621988996E-2</v>
      </c>
      <c r="CQ22" s="179">
        <f t="shared" si="65"/>
        <v>5.1135443548248165E-2</v>
      </c>
      <c r="CR22" s="180">
        <f t="shared" si="65"/>
        <v>5.9680307483207767E-2</v>
      </c>
      <c r="CS22" s="179">
        <f t="shared" si="65"/>
        <v>5.4792287160731215E-2</v>
      </c>
      <c r="CT22" s="179">
        <f t="shared" ref="CT22:DY22" si="66">-CT21/CT11</f>
        <v>5.6842634655497937E-2</v>
      </c>
      <c r="CU22" s="179">
        <f t="shared" si="66"/>
        <v>7.1220709852980679E-2</v>
      </c>
      <c r="CV22" s="179">
        <f t="shared" si="66"/>
        <v>4.3485921566887957E-2</v>
      </c>
      <c r="CW22" s="180">
        <f t="shared" si="66"/>
        <v>5.6409666506362061E-2</v>
      </c>
      <c r="CX22" s="179">
        <f t="shared" si="66"/>
        <v>4.8686262661485437E-2</v>
      </c>
      <c r="CY22" s="179">
        <f t="shared" si="66"/>
        <v>6.1592950500207896E-2</v>
      </c>
      <c r="CZ22" s="179">
        <f t="shared" si="66"/>
        <v>6.3747310280033942E-2</v>
      </c>
      <c r="DA22" s="179">
        <f t="shared" si="66"/>
        <v>5.0439094428732789E-2</v>
      </c>
      <c r="DB22" s="180">
        <f t="shared" si="66"/>
        <v>5.6479493468422001E-2</v>
      </c>
      <c r="DC22" s="179">
        <f t="shared" si="66"/>
        <v>4.1236358971997657E-2</v>
      </c>
      <c r="DD22" s="179">
        <f t="shared" si="66"/>
        <v>4.7657840233061216E-2</v>
      </c>
      <c r="DE22" s="179">
        <f t="shared" ref="DE22:DF22" si="67">-DE21/DE11</f>
        <v>4.6430088797862416E-2</v>
      </c>
      <c r="DF22" s="179">
        <f t="shared" si="67"/>
        <v>4.1106137499427702E-2</v>
      </c>
      <c r="DG22" s="180">
        <f t="shared" si="66"/>
        <v>4.4166562951900051E-2</v>
      </c>
      <c r="DH22" s="179">
        <f t="shared" ref="DH22:DI22" si="68">-DH21/DH11</f>
        <v>4.013466693869603E-2</v>
      </c>
      <c r="DI22" s="179">
        <f t="shared" si="68"/>
        <v>4.623582007270817E-2</v>
      </c>
      <c r="DJ22" s="179">
        <f t="shared" si="66"/>
        <v>4.6991827651310013E-2</v>
      </c>
      <c r="DK22" s="179">
        <f t="shared" si="66"/>
        <v>3.7315042395097711E-2</v>
      </c>
      <c r="DL22" s="180">
        <f t="shared" si="66"/>
        <v>4.2590110633325066E-2</v>
      </c>
      <c r="DM22" s="179">
        <f t="shared" si="66"/>
        <v>4.135317746046667E-2</v>
      </c>
      <c r="DN22" s="179">
        <f t="shared" si="66"/>
        <v>4.0477818103091229E-2</v>
      </c>
      <c r="DO22" s="179">
        <f t="shared" si="66"/>
        <v>3.9847994907054089E-2</v>
      </c>
      <c r="DP22" s="179">
        <f t="shared" si="66"/>
        <v>3.9332840104383905E-2</v>
      </c>
      <c r="DQ22" s="180">
        <f t="shared" si="66"/>
        <v>4.022976047093995E-2</v>
      </c>
      <c r="DR22" s="179">
        <f t="shared" si="66"/>
        <v>3.8901752579767621E-2</v>
      </c>
      <c r="DS22" s="179">
        <f t="shared" si="66"/>
        <v>3.8534342363615109E-2</v>
      </c>
      <c r="DT22" s="179">
        <f t="shared" si="66"/>
        <v>3.8217342603427081E-2</v>
      </c>
      <c r="DU22" s="179">
        <f t="shared" si="66"/>
        <v>3.7941561088019882E-2</v>
      </c>
      <c r="DV22" s="180">
        <f t="shared" si="66"/>
        <v>3.8391020038622763E-2</v>
      </c>
      <c r="DW22" s="179">
        <f t="shared" si="66"/>
        <v>3.7700273999156715E-2</v>
      </c>
      <c r="DX22" s="179">
        <f t="shared" si="66"/>
        <v>3.7488328265536996E-2</v>
      </c>
      <c r="DY22" s="179">
        <f t="shared" si="66"/>
        <v>3.7301624731396546E-2</v>
      </c>
      <c r="DZ22" s="179">
        <f t="shared" ref="DZ22:EF22" si="69">-DZ21/DZ11</f>
        <v>3.7136809328101747E-2</v>
      </c>
      <c r="EA22" s="180">
        <f t="shared" si="69"/>
        <v>3.7402999062936523E-2</v>
      </c>
      <c r="EB22" s="179">
        <f t="shared" si="69"/>
        <v>3.6991080479701587E-2</v>
      </c>
      <c r="EC22" s="179">
        <f t="shared" si="69"/>
        <v>3.6862063199295719E-2</v>
      </c>
      <c r="ED22" s="179">
        <f t="shared" si="69"/>
        <v>3.6747722678582583E-2</v>
      </c>
      <c r="EE22" s="179">
        <f t="shared" si="69"/>
        <v>3.6646302150211953E-2</v>
      </c>
      <c r="EF22" s="180">
        <f t="shared" si="69"/>
        <v>3.6809763954354612E-2</v>
      </c>
    </row>
    <row r="23" spans="1:158" ht="12.75" customHeight="1">
      <c r="A23" s="9" t="s">
        <v>185</v>
      </c>
      <c r="B23" s="184">
        <f>B24+B26+B28</f>
        <v>0</v>
      </c>
      <c r="C23" s="184">
        <f>C24+C26+C28</f>
        <v>0</v>
      </c>
      <c r="D23" s="184">
        <f>D24+D26+D28</f>
        <v>0</v>
      </c>
      <c r="E23" s="184">
        <f>E24+E26+E28</f>
        <v>0</v>
      </c>
      <c r="F23" s="165">
        <f>SUM(B23:E23)</f>
        <v>0</v>
      </c>
      <c r="G23" s="184">
        <f>G24+G26+G28</f>
        <v>0</v>
      </c>
      <c r="H23" s="184">
        <f>H24+H26+H28</f>
        <v>0</v>
      </c>
      <c r="I23" s="184">
        <f>I24+I26+I28</f>
        <v>0</v>
      </c>
      <c r="J23" s="184">
        <f>J24+J26+J28</f>
        <v>0</v>
      </c>
      <c r="K23" s="165">
        <f>SUM(G23:J23)</f>
        <v>0</v>
      </c>
      <c r="L23" s="184">
        <f>L24+L26+L28</f>
        <v>0</v>
      </c>
      <c r="M23" s="184">
        <f>M24+M26+M28</f>
        <v>0</v>
      </c>
      <c r="N23" s="184">
        <f>N24+N26+N28</f>
        <v>0</v>
      </c>
      <c r="O23" s="184">
        <f>O24+O26+O28</f>
        <v>0</v>
      </c>
      <c r="P23" s="165">
        <f>SUM(L23:O23)</f>
        <v>0</v>
      </c>
      <c r="Q23" s="184">
        <f>Q24+Q26+Q28</f>
        <v>0</v>
      </c>
      <c r="R23" s="184">
        <f>R24+R26+R28</f>
        <v>0</v>
      </c>
      <c r="S23" s="184">
        <f>S24+S26+S28</f>
        <v>0</v>
      </c>
      <c r="T23" s="184">
        <f>T24+T26+T28</f>
        <v>0</v>
      </c>
      <c r="U23" s="165">
        <f>SUM(Q23:T23)</f>
        <v>0</v>
      </c>
      <c r="V23" s="184">
        <f>V24+V26+V28</f>
        <v>0</v>
      </c>
      <c r="W23" s="184">
        <f>W24+W26+W28</f>
        <v>0</v>
      </c>
      <c r="X23" s="184">
        <f>X24+X26+X28</f>
        <v>0</v>
      </c>
      <c r="Y23" s="184">
        <f>Y24+Y26+Y28</f>
        <v>0</v>
      </c>
      <c r="Z23" s="165">
        <f>SUM(V23:Y23)</f>
        <v>0</v>
      </c>
      <c r="AA23" s="184">
        <f>AA24+AA26+AA28</f>
        <v>0</v>
      </c>
      <c r="AB23" s="184">
        <f>AB24+AB26+AB28</f>
        <v>0</v>
      </c>
      <c r="AC23" s="184">
        <f>AC24+AC26+AC28</f>
        <v>0</v>
      </c>
      <c r="AD23" s="184">
        <f>AD24+AD26+AD28</f>
        <v>0</v>
      </c>
      <c r="AE23" s="165">
        <f>SUM(AA23:AD23)</f>
        <v>0</v>
      </c>
      <c r="AF23" s="184">
        <f>AF24+AF26+AF28</f>
        <v>0</v>
      </c>
      <c r="AG23" s="184">
        <f>AG24+AG26+AG28</f>
        <v>0</v>
      </c>
      <c r="AH23" s="184">
        <f>AH24+AH26+AH28</f>
        <v>0</v>
      </c>
      <c r="AI23" s="184">
        <f>AI24+AI26+AI28</f>
        <v>2743.2079999999996</v>
      </c>
      <c r="AJ23" s="165">
        <f>SUM(AF23:AI23)</f>
        <v>2743.2079999999996</v>
      </c>
      <c r="AK23" s="184">
        <f>AK24+AK26+AK28</f>
        <v>0</v>
      </c>
      <c r="AL23" s="184">
        <f>AL24+AL26+AL28</f>
        <v>0</v>
      </c>
      <c r="AM23" s="184">
        <f>AM24+AM26+AM28</f>
        <v>0</v>
      </c>
      <c r="AN23" s="184">
        <f>AN24+AN26+AN28</f>
        <v>9159.6740000000009</v>
      </c>
      <c r="AO23" s="165">
        <f>SUM(AK23:AN23)</f>
        <v>9159.6740000000009</v>
      </c>
      <c r="AP23" s="184">
        <f>AP24+AP26+AP28</f>
        <v>0</v>
      </c>
      <c r="AQ23" s="184">
        <f>AQ24+AQ26+AQ28</f>
        <v>0</v>
      </c>
      <c r="AR23" s="184">
        <f>AR24+AR26+AR28</f>
        <v>0</v>
      </c>
      <c r="AS23" s="184">
        <f>AS24+AS26+AS28</f>
        <v>9700.655999999999</v>
      </c>
      <c r="AT23" s="165">
        <f>SUM(AP23:AS23)</f>
        <v>9700.655999999999</v>
      </c>
      <c r="AU23" s="184">
        <f>AU24+AU26+AU28</f>
        <v>0</v>
      </c>
      <c r="AV23" s="184">
        <f>AV24+AV26+AV28</f>
        <v>0</v>
      </c>
      <c r="AW23" s="184">
        <f>AW24+AW26+AW28</f>
        <v>0</v>
      </c>
      <c r="AX23" s="184">
        <f>AX24+AX26+AX28</f>
        <v>2482.2469999999994</v>
      </c>
      <c r="AY23" s="165">
        <f>SUM(AU23:AX23)</f>
        <v>2482.2469999999994</v>
      </c>
      <c r="AZ23" s="184">
        <f>AZ24+AZ26+AZ28</f>
        <v>0</v>
      </c>
      <c r="BA23" s="184">
        <f>BA24+BA26+BA28</f>
        <v>0</v>
      </c>
      <c r="BB23" s="184">
        <f>BB24+BB26+BB28</f>
        <v>0</v>
      </c>
      <c r="BC23" s="184">
        <f>BC24+BC26+BC28</f>
        <v>6338</v>
      </c>
      <c r="BD23" s="165">
        <f>SUM(AZ23:BC23)</f>
        <v>6338</v>
      </c>
      <c r="BE23" s="184">
        <f>BE24+BE26+BE28</f>
        <v>0</v>
      </c>
      <c r="BF23" s="184">
        <f>BF24+BF26+BF28</f>
        <v>0</v>
      </c>
      <c r="BG23" s="184">
        <f>BG24+BG26+BG28</f>
        <v>0</v>
      </c>
      <c r="BH23" s="184">
        <f>BH24+BH26+BH28</f>
        <v>9721</v>
      </c>
      <c r="BI23" s="165">
        <f>SUM(BE23:BH23)</f>
        <v>9721</v>
      </c>
      <c r="BJ23" s="184">
        <f>BJ24+BJ26+BJ28</f>
        <v>0</v>
      </c>
      <c r="BK23" s="184">
        <f>BK24+BK26+BK28</f>
        <v>0</v>
      </c>
      <c r="BL23" s="184">
        <f>BL24+BL26+BL28</f>
        <v>0</v>
      </c>
      <c r="BM23" s="184">
        <f>BM24+BM26+BM28</f>
        <v>10613</v>
      </c>
      <c r="BN23" s="165">
        <f>SUM(BJ23:BM23)</f>
        <v>10613</v>
      </c>
      <c r="BO23" s="184">
        <f>BO24+BO26+BO28</f>
        <v>0</v>
      </c>
      <c r="BP23" s="184">
        <f>BP24+BP26+BP28</f>
        <v>0</v>
      </c>
      <c r="BQ23" s="184">
        <f>BQ24+BQ26+BQ28</f>
        <v>0</v>
      </c>
      <c r="BR23" s="184">
        <f>BR24+BR26+BR28</f>
        <v>15057</v>
      </c>
      <c r="BS23" s="165">
        <f>SUM(BO23:BR23)</f>
        <v>15057</v>
      </c>
      <c r="BT23" s="184">
        <f>BT24+BT26+BT28</f>
        <v>0</v>
      </c>
      <c r="BU23" s="184">
        <f>BU24+BU26+BU28</f>
        <v>0</v>
      </c>
      <c r="BV23" s="184">
        <f>BV24+BV26+BV28</f>
        <v>0</v>
      </c>
      <c r="BW23" s="184">
        <f>BW24+BW26+BW28</f>
        <v>2463</v>
      </c>
      <c r="BX23" s="165">
        <f>SUM(BT23:BW23)</f>
        <v>2463</v>
      </c>
      <c r="BY23" s="184">
        <f>BY24+BY26+BY28</f>
        <v>-453</v>
      </c>
      <c r="BZ23" s="184">
        <f>BZ24+BZ26+BZ28</f>
        <v>262</v>
      </c>
      <c r="CA23" s="184">
        <f>CA24+CA26+CA28</f>
        <v>-4443</v>
      </c>
      <c r="CB23" s="184">
        <f>CB24+CB26+CB28</f>
        <v>-6780</v>
      </c>
      <c r="CC23" s="165">
        <f>SUM(BY23:CB23)</f>
        <v>-11414</v>
      </c>
      <c r="CD23" s="184">
        <f>CD24+CD26+CD28</f>
        <v>-2175</v>
      </c>
      <c r="CE23" s="184">
        <f>CE24+CE26+CE28</f>
        <v>-2892</v>
      </c>
      <c r="CF23" s="184">
        <f>CF24+CF26+CF28</f>
        <v>-1211</v>
      </c>
      <c r="CG23" s="184">
        <f>CG24+CG26+CG28</f>
        <v>-2532</v>
      </c>
      <c r="CH23" s="165">
        <f>SUM(CD23:CG23)</f>
        <v>-8810</v>
      </c>
      <c r="CI23" s="184">
        <f>CI24+CI26+CI28</f>
        <v>-5034</v>
      </c>
      <c r="CJ23" s="184">
        <f>CJ24+CJ26+CJ28</f>
        <v>-5376</v>
      </c>
      <c r="CK23" s="184">
        <f>CK24+CK26+CK28</f>
        <v>-1071</v>
      </c>
      <c r="CL23" s="184">
        <f>CL24+CL26+CL28</f>
        <v>-13246</v>
      </c>
      <c r="CM23" s="165">
        <f>SUM(CI23:CL23)</f>
        <v>-24727</v>
      </c>
      <c r="CN23" s="184">
        <f>CN24+CN26+CN28</f>
        <v>-4085</v>
      </c>
      <c r="CO23" s="184">
        <f>CO24+CO26+CO28</f>
        <v>-4609</v>
      </c>
      <c r="CP23" s="184">
        <f>CP24+CP26+CP28</f>
        <v>-4065</v>
      </c>
      <c r="CQ23" s="184">
        <f>CQ24+CQ26+CQ28</f>
        <v>-11678</v>
      </c>
      <c r="CR23" s="165">
        <f>SUM(CN23:CQ23)</f>
        <v>-24437</v>
      </c>
      <c r="CS23" s="184">
        <f>CS24+CS26+CS28</f>
        <v>-5444</v>
      </c>
      <c r="CT23" s="184">
        <f>CT24+CT26+CT28</f>
        <v>-5601</v>
      </c>
      <c r="CU23" s="184">
        <f>CU24+CU26+CU28</f>
        <v>-3546</v>
      </c>
      <c r="CV23" s="184">
        <f>CV24+CV26+CV28</f>
        <v>680</v>
      </c>
      <c r="CW23" s="165">
        <f>SUM(CS23:CV23)</f>
        <v>-13911</v>
      </c>
      <c r="CX23" s="184">
        <f>CX24+CX26+CX28</f>
        <v>-4917</v>
      </c>
      <c r="CY23" s="184">
        <f>CY24+CY26+CY28</f>
        <v>-5749</v>
      </c>
      <c r="CZ23" s="184">
        <f>CZ24+CZ26+CZ28</f>
        <v>-7613</v>
      </c>
      <c r="DA23" s="184">
        <f>DA24+DA26+DA28</f>
        <v>-12805</v>
      </c>
      <c r="DB23" s="165">
        <f>SUM(CX23:DA23)</f>
        <v>-31084</v>
      </c>
      <c r="DC23" s="184">
        <f>DC24+DC26+DC28</f>
        <v>-14580</v>
      </c>
      <c r="DD23" s="184">
        <f>DD24+DD26+DD28</f>
        <v>-15628</v>
      </c>
      <c r="DE23" s="184">
        <f>DE24+DE26+DE28</f>
        <v>-8694</v>
      </c>
      <c r="DF23" s="184">
        <f>DF24+DF26+DF28</f>
        <v>-8912</v>
      </c>
      <c r="DG23" s="165">
        <f>SUM(DC23:DF23)</f>
        <v>-47814</v>
      </c>
      <c r="DH23" s="184">
        <f>DH24+DH26+DH28</f>
        <v>-10709</v>
      </c>
      <c r="DI23" s="184">
        <f>DI24+DI26+DI28</f>
        <v>-22120</v>
      </c>
      <c r="DJ23" s="184">
        <f ca="1">DJ24+DJ26+DJ28</f>
        <v>-13696.498509553603</v>
      </c>
      <c r="DK23" s="184">
        <f ca="1">DK24+DK26+DK28</f>
        <v>-15906.934022300069</v>
      </c>
      <c r="DL23" s="165">
        <f ca="1">SUM(DH23:DK23)</f>
        <v>-62432.432531853672</v>
      </c>
      <c r="DM23" s="184">
        <f ca="1">DM24+DM26+DM28</f>
        <v>-8616.9056002933285</v>
      </c>
      <c r="DN23" s="184">
        <f ca="1">DN24+DN26+DN28</f>
        <v>-4409.3654966848917</v>
      </c>
      <c r="DO23" s="184">
        <f ca="1">DO24+DO26+DO28</f>
        <v>-2909.84271378626</v>
      </c>
      <c r="DP23" s="184">
        <f ca="1">DP24+DP26+DP28</f>
        <v>2418.5151942207449</v>
      </c>
      <c r="DQ23" s="165">
        <f ca="1">SUM(DM23:DP23)</f>
        <v>-13517.598616543735</v>
      </c>
      <c r="DR23" s="184">
        <f ca="1">DR24+DR26+DR28</f>
        <v>16053.071153179502</v>
      </c>
      <c r="DS23" s="184">
        <f ca="1">DS24+DS26+DS28</f>
        <v>5174.6692416008154</v>
      </c>
      <c r="DT23" s="184">
        <f ca="1">DT24+DT26+DT28</f>
        <v>12462.297417934191</v>
      </c>
      <c r="DU23" s="184">
        <f ca="1">DU24+DU26+DU28</f>
        <v>23963.921822943375</v>
      </c>
      <c r="DV23" s="165">
        <f ca="1">SUM(DR23:DU23)</f>
        <v>57653.959635657884</v>
      </c>
      <c r="DW23" s="184">
        <f ca="1">DW24+DW26+DW28</f>
        <v>13281.704080323827</v>
      </c>
      <c r="DX23" s="184">
        <f ca="1">DX24+DX26+DX28</f>
        <v>2500.9096022823142</v>
      </c>
      <c r="DY23" s="184">
        <f ca="1">DY24+DY26+DY28</f>
        <v>14376.481975023627</v>
      </c>
      <c r="DZ23" s="184">
        <f ca="1">DZ24+DZ26+DZ28</f>
        <v>26816.086092570877</v>
      </c>
      <c r="EA23" s="165">
        <f ca="1">SUM(DW23:DZ23)</f>
        <v>56975.181750200645</v>
      </c>
      <c r="EB23" s="184">
        <f ca="1">EB24+EB26+EB28</f>
        <v>15840.30312935375</v>
      </c>
      <c r="EC23" s="184">
        <f ca="1">EC24+EC26+EC28</f>
        <v>4656.9204081936768</v>
      </c>
      <c r="ED23" s="184">
        <f ca="1">ED24+ED26+ED28</f>
        <v>17165.469664702483</v>
      </c>
      <c r="EE23" s="184">
        <f ca="1">EE24+EE26+EE28</f>
        <v>30077.20941616343</v>
      </c>
      <c r="EF23" s="165">
        <f ca="1">SUM(EB23:EE23)</f>
        <v>67739.90261841334</v>
      </c>
      <c r="EG23" s="162"/>
    </row>
    <row r="24" spans="1:158" ht="12.75" customHeight="1" outlineLevel="1">
      <c r="A24" s="9" t="s">
        <v>44</v>
      </c>
      <c r="B24" s="171"/>
      <c r="C24" s="171"/>
      <c r="D24" s="171"/>
      <c r="E24" s="171"/>
      <c r="F24" s="165">
        <f>SUM(B24:E24)</f>
        <v>0</v>
      </c>
      <c r="G24" s="171"/>
      <c r="H24" s="171"/>
      <c r="I24" s="171"/>
      <c r="J24" s="171"/>
      <c r="K24" s="165">
        <f>SUM(G24:J24)</f>
        <v>0</v>
      </c>
      <c r="L24" s="171"/>
      <c r="M24" s="171"/>
      <c r="N24" s="171"/>
      <c r="O24" s="171"/>
      <c r="P24" s="165">
        <f>SUM(L24:O24)</f>
        <v>0</v>
      </c>
      <c r="Q24" s="171"/>
      <c r="R24" s="171"/>
      <c r="S24" s="171"/>
      <c r="T24" s="171"/>
      <c r="U24" s="165">
        <f>SUM(Q24:T24)</f>
        <v>0</v>
      </c>
      <c r="V24" s="171"/>
      <c r="W24" s="171"/>
      <c r="X24" s="171"/>
      <c r="Y24" s="171"/>
      <c r="Z24" s="165">
        <f>SUM(V24:Y24)</f>
        <v>0</v>
      </c>
      <c r="AA24" s="171"/>
      <c r="AB24" s="171"/>
      <c r="AC24" s="171"/>
      <c r="AD24" s="171"/>
      <c r="AE24" s="165">
        <f>SUM(AA24:AD24)</f>
        <v>0</v>
      </c>
      <c r="AF24" s="171"/>
      <c r="AG24" s="171"/>
      <c r="AH24" s="171"/>
      <c r="AI24" s="171">
        <f>5819.99-SUM(AF24:AH24)</f>
        <v>5819.99</v>
      </c>
      <c r="AJ24" s="165">
        <f>SUM(AF24:AI24)</f>
        <v>5819.99</v>
      </c>
      <c r="AK24" s="171"/>
      <c r="AL24" s="171"/>
      <c r="AM24" s="171"/>
      <c r="AN24" s="171">
        <f>13919.218-SUM(AK24:AM24)</f>
        <v>13919.218000000001</v>
      </c>
      <c r="AO24" s="165">
        <f>SUM(AK24:AN24)</f>
        <v>13919.218000000001</v>
      </c>
      <c r="AP24" s="171"/>
      <c r="AQ24" s="171"/>
      <c r="AR24" s="171"/>
      <c r="AS24" s="171">
        <f>15502.979-SUM(AP24:AR24)</f>
        <v>15502.978999999999</v>
      </c>
      <c r="AT24" s="165">
        <f>SUM(AP24:AS24)</f>
        <v>15502.978999999999</v>
      </c>
      <c r="AU24" s="171"/>
      <c r="AV24" s="171"/>
      <c r="AW24" s="171"/>
      <c r="AX24" s="171">
        <f>11239.451-SUM(AU24:AW24)</f>
        <v>11239.450999999999</v>
      </c>
      <c r="AY24" s="165">
        <f>SUM(AU24:AX24)</f>
        <v>11239.450999999999</v>
      </c>
      <c r="AZ24" s="171"/>
      <c r="BA24" s="171"/>
      <c r="BB24" s="171"/>
      <c r="BC24" s="171">
        <f>7965-SUM(AZ24:BB24)</f>
        <v>7965</v>
      </c>
      <c r="BD24" s="165">
        <f>SUM(AZ24:BC24)</f>
        <v>7965</v>
      </c>
      <c r="BE24" s="171"/>
      <c r="BF24" s="171"/>
      <c r="BG24" s="171"/>
      <c r="BH24" s="171">
        <f>14892-SUM(BE24:BG24)</f>
        <v>14892</v>
      </c>
      <c r="BI24" s="165">
        <f>SUM(BE24:BH24)</f>
        <v>14892</v>
      </c>
      <c r="BJ24" s="171"/>
      <c r="BK24" s="171"/>
      <c r="BL24" s="171"/>
      <c r="BM24" s="171">
        <f>14875-SUM(BJ24:BL24)</f>
        <v>14875</v>
      </c>
      <c r="BN24" s="165">
        <f>SUM(BJ24:BM24)</f>
        <v>14875</v>
      </c>
      <c r="BO24" s="171"/>
      <c r="BP24" s="171"/>
      <c r="BQ24" s="171"/>
      <c r="BR24" s="171">
        <f>20337-SUM(BO24:BQ24)</f>
        <v>20337</v>
      </c>
      <c r="BS24" s="165">
        <f>SUM(BO24:BR24)</f>
        <v>20337</v>
      </c>
      <c r="BT24" s="171"/>
      <c r="BU24" s="171"/>
      <c r="BV24" s="171"/>
      <c r="BW24" s="171">
        <f>11132-SUM(BT24:BV24)</f>
        <v>11132</v>
      </c>
      <c r="BX24" s="165">
        <f>SUM(BT24:BW24)</f>
        <v>11132</v>
      </c>
      <c r="BY24" s="171">
        <v>3012</v>
      </c>
      <c r="BZ24" s="171">
        <v>5477</v>
      </c>
      <c r="CA24" s="171">
        <v>3325</v>
      </c>
      <c r="CB24" s="171">
        <f>15275-SUM(BY24:CA24)</f>
        <v>3461</v>
      </c>
      <c r="CC24" s="165">
        <f>SUM(BY24:CB24)</f>
        <v>15275</v>
      </c>
      <c r="CD24" s="171">
        <v>2784</v>
      </c>
      <c r="CE24" s="171">
        <v>2827</v>
      </c>
      <c r="CF24" s="171">
        <v>5428</v>
      </c>
      <c r="CG24" s="171">
        <f>14673-SUM(CD24:CF24)</f>
        <v>3634</v>
      </c>
      <c r="CH24" s="165">
        <f>SUM(CD24:CG24)</f>
        <v>14673</v>
      </c>
      <c r="CI24" s="171">
        <v>2222</v>
      </c>
      <c r="CJ24" s="171">
        <v>3924</v>
      </c>
      <c r="CK24" s="171">
        <v>10356</v>
      </c>
      <c r="CL24" s="171">
        <f>24987-SUM(CI24:CK24)</f>
        <v>8485</v>
      </c>
      <c r="CM24" s="165">
        <f>SUM(CI24:CL24)</f>
        <v>24987</v>
      </c>
      <c r="CN24" s="171">
        <v>12977</v>
      </c>
      <c r="CO24" s="171">
        <v>17605</v>
      </c>
      <c r="CP24" s="171">
        <v>18795</v>
      </c>
      <c r="CQ24" s="171">
        <f>64031-SUM(CN24:CP24)</f>
        <v>14654</v>
      </c>
      <c r="CR24" s="165">
        <f>SUM(CN24:CQ24)</f>
        <v>64031</v>
      </c>
      <c r="CS24" s="171">
        <v>20228</v>
      </c>
      <c r="CT24" s="171">
        <v>20425</v>
      </c>
      <c r="CU24" s="171">
        <v>19668</v>
      </c>
      <c r="CV24" s="171">
        <f>86216-SUM(CS24:CU24)</f>
        <v>25895</v>
      </c>
      <c r="CW24" s="165">
        <f>SUM(CS24:CV24)</f>
        <v>86216</v>
      </c>
      <c r="CX24" s="171">
        <v>19889</v>
      </c>
      <c r="CY24" s="171">
        <v>25350</v>
      </c>
      <c r="CZ24" s="171">
        <v>32060</v>
      </c>
      <c r="DA24" s="171">
        <f>106081-SUM(CX24:CZ24)</f>
        <v>28782</v>
      </c>
      <c r="DB24" s="165">
        <f>SUM(CX24:DA24)</f>
        <v>106081</v>
      </c>
      <c r="DC24" s="171">
        <v>36752</v>
      </c>
      <c r="DD24" s="171">
        <v>35218</v>
      </c>
      <c r="DE24" s="171">
        <v>47368</v>
      </c>
      <c r="DF24" s="171">
        <f>170022-SUM(DC24:DE24)</f>
        <v>50684</v>
      </c>
      <c r="DG24" s="165">
        <f>SUM(DC24:DF24)</f>
        <v>170022</v>
      </c>
      <c r="DH24" s="171">
        <v>49093</v>
      </c>
      <c r="DI24" s="171">
        <v>48168</v>
      </c>
      <c r="DJ24" s="184">
        <f ca="1">DJ25*(AVERAGE('Balance Sheet'!DI6:DJ6))/4</f>
        <v>48582.506484320904</v>
      </c>
      <c r="DK24" s="184">
        <f ca="1">DK25*(AVERAGE('Balance Sheet'!DJ6:DK6))/4</f>
        <v>46159.244534593723</v>
      </c>
      <c r="DL24" s="165">
        <f ca="1">SUM(DH24:DK24)</f>
        <v>192002.75101891463</v>
      </c>
      <c r="DM24" s="184">
        <f ca="1">DM25*(AVERAGE('Balance Sheet'!DL6:DM6))/4</f>
        <v>52914.229655319956</v>
      </c>
      <c r="DN24" s="184">
        <f ca="1">DN25*(AVERAGE('Balance Sheet'!DM6:DN6))/4</f>
        <v>57914.002678158235</v>
      </c>
      <c r="DO24" s="184">
        <f ca="1">DO25*(AVERAGE('Balance Sheet'!DN6:DO6))/4</f>
        <v>61174.242965716257</v>
      </c>
      <c r="DP24" s="184">
        <f ca="1">DP25*(AVERAGE('Balance Sheet'!DO6:DP6))/4</f>
        <v>68056.793522022388</v>
      </c>
      <c r="DQ24" s="165">
        <f ca="1">SUM(DM24:DP24)</f>
        <v>240059.26882121683</v>
      </c>
      <c r="DR24" s="184">
        <f ca="1">DR25*(AVERAGE('Balance Sheet'!DQ6:DR6))/4</f>
        <v>65532.660283110003</v>
      </c>
      <c r="DS24" s="184">
        <f ca="1">DS25*(AVERAGE('Balance Sheet'!DR6:DS6))/4</f>
        <v>55660.280115565816</v>
      </c>
      <c r="DT24" s="184">
        <f ca="1">DT25*(AVERAGE('Balance Sheet'!DS6:DT6))/4</f>
        <v>63909.754273779916</v>
      </c>
      <c r="DU24" s="184">
        <f ca="1">DU25*(AVERAGE('Balance Sheet'!DT6:DU6))/4</f>
        <v>76338.642601632251</v>
      </c>
      <c r="DV24" s="165">
        <f ca="1">SUM(DR24:DU24)</f>
        <v>261441.337274088</v>
      </c>
      <c r="DW24" s="184">
        <f ca="1">DW25*(AVERAGE('Balance Sheet'!DV6:DW6))/4</f>
        <v>66555.737898090025</v>
      </c>
      <c r="DX24" s="184">
        <f ca="1">DX25*(AVERAGE('Balance Sheet'!DW6:DX6))/4</f>
        <v>56651.168810555988</v>
      </c>
      <c r="DY24" s="184">
        <f ca="1">DY25*(AVERAGE('Balance Sheet'!DX6:DY6))/4</f>
        <v>69383.649583971302</v>
      </c>
      <c r="DZ24" s="184">
        <f ca="1">DZ25*(AVERAGE('Balance Sheet'!DY6:DZ6))/4</f>
        <v>82663.90867006997</v>
      </c>
      <c r="EA24" s="165">
        <f ca="1">SUM(DW24:DZ24)</f>
        <v>275254.46496268729</v>
      </c>
      <c r="EB24" s="184">
        <f ca="1">EB25*(AVERAGE('Balance Sheet'!EA6:EB6))/4</f>
        <v>72515.107383117356</v>
      </c>
      <c r="EC24" s="184">
        <f ca="1">EC25*(AVERAGE('Balance Sheet'!EB6:EC6))/4</f>
        <v>62147.262765753861</v>
      </c>
      <c r="ED24" s="184">
        <f ca="1">ED25*(AVERAGE('Balance Sheet'!EC6:ED6))/4</f>
        <v>75461.867690610583</v>
      </c>
      <c r="EE24" s="184">
        <f ca="1">EE25*(AVERAGE('Balance Sheet'!ED6:EE6))/4</f>
        <v>89171.925907762154</v>
      </c>
      <c r="EF24" s="165">
        <f ca="1">SUM(EB24:EE24)</f>
        <v>299296.16374724393</v>
      </c>
      <c r="EG24" s="183"/>
    </row>
    <row r="25" spans="1:158" s="183" customFormat="1" ht="12.75" customHeight="1" outlineLevel="1">
      <c r="A25" s="178" t="s">
        <v>186</v>
      </c>
      <c r="B25" s="179" t="e">
        <f>(1+(B24+B28+B30)/(AVERAGE('Balance Sheet'!A6:B6)+AVERAGE('Balance Sheet'!A8:B8)*10%+AVERAGE('Balance Sheet'!A7:B7)))^4-1</f>
        <v>#DIV/0!</v>
      </c>
      <c r="C25" s="179" t="e">
        <f>(1+(C24+C28+C30)/(AVERAGE('Balance Sheet'!B6:C6)+AVERAGE('Balance Sheet'!B8:C8)*10%+AVERAGE('Balance Sheet'!B7:C7)))^4-1</f>
        <v>#DIV/0!</v>
      </c>
      <c r="D25" s="179" t="e">
        <f>(1+(D24+D28+D30)/(AVERAGE('Balance Sheet'!C6:D6)+AVERAGE('Balance Sheet'!C8:D8)*10%+AVERAGE('Balance Sheet'!C7:D7)))^4-1</f>
        <v>#DIV/0!</v>
      </c>
      <c r="E25" s="179" t="e">
        <f>(1+(E24+E28+E30)/(AVERAGE('Balance Sheet'!D6:E6)+AVERAGE('Balance Sheet'!D8:E8)*10%+AVERAGE('Balance Sheet'!D7:E7)))^4-1</f>
        <v>#DIV/0!</v>
      </c>
      <c r="F25" s="180" t="e">
        <f>(1+(F24+F28+F30)/(AVERAGE('Balance Sheet'!E6:F6)+AVERAGE('Balance Sheet'!E8:F8)*10%+AVERAGE('Balance Sheet'!E7:F7)))^4-1</f>
        <v>#DIV/0!</v>
      </c>
      <c r="G25" s="179" t="e">
        <f>(1+(G24+G28+G30)/(AVERAGE('Balance Sheet'!F6:G6)+AVERAGE('Balance Sheet'!F8:G8)*10%+AVERAGE('Balance Sheet'!F7:G7)))^4-1</f>
        <v>#DIV/0!</v>
      </c>
      <c r="H25" s="179" t="e">
        <f>(1+(H24+H28+H30)/(AVERAGE('Balance Sheet'!G6:H6)+AVERAGE('Balance Sheet'!G8:H8)*10%+AVERAGE('Balance Sheet'!G7:H7)))^4-1</f>
        <v>#DIV/0!</v>
      </c>
      <c r="I25" s="179" t="e">
        <f>(1+(I24+I28+I30)/(AVERAGE('Balance Sheet'!H6:I6)+AVERAGE('Balance Sheet'!H8:I8)*10%+AVERAGE('Balance Sheet'!H7:I7)))^4-1</f>
        <v>#DIV/0!</v>
      </c>
      <c r="J25" s="179" t="e">
        <f>(1+(J24+J28+J30)/(AVERAGE('Balance Sheet'!I6:J6)+AVERAGE('Balance Sheet'!I8:J8)*10%+AVERAGE('Balance Sheet'!I7:J7)))^4-1</f>
        <v>#DIV/0!</v>
      </c>
      <c r="K25" s="180" t="e">
        <f>(1+(K24+K28+K30)/(AVERAGE('Balance Sheet'!J6:K6)+AVERAGE('Balance Sheet'!J8:K8)*10%+AVERAGE('Balance Sheet'!J7:K7)))^4-1</f>
        <v>#DIV/0!</v>
      </c>
      <c r="L25" s="179" t="e">
        <f>(1+(L24+L28+L30)/(AVERAGE('Balance Sheet'!K6:L6)+AVERAGE('Balance Sheet'!K8:L8)*10%+AVERAGE('Balance Sheet'!K7:L7)))^4-1</f>
        <v>#DIV/0!</v>
      </c>
      <c r="M25" s="179" t="e">
        <f>(1+(M24+M28+M30)/(AVERAGE('Balance Sheet'!L6:M6)+AVERAGE('Balance Sheet'!L8:M8)*10%+AVERAGE('Balance Sheet'!L7:M7)))^4-1</f>
        <v>#DIV/0!</v>
      </c>
      <c r="N25" s="179" t="e">
        <f>(1+(N24+N28+N30)/(AVERAGE('Balance Sheet'!M6:N6)+AVERAGE('Balance Sheet'!M8:N8)*10%+AVERAGE('Balance Sheet'!M7:N7)))^4-1</f>
        <v>#DIV/0!</v>
      </c>
      <c r="O25" s="179" t="e">
        <f>(1+(O24+O28+O30)/(AVERAGE('Balance Sheet'!N6:O6)+AVERAGE('Balance Sheet'!N8:O8)*10%+AVERAGE('Balance Sheet'!N7:O7)))^4-1</f>
        <v>#DIV/0!</v>
      </c>
      <c r="P25" s="180" t="e">
        <f>(1+(P24+P28+P30)/(AVERAGE('Balance Sheet'!O6:P6)+AVERAGE('Balance Sheet'!O8:P8)*10%+AVERAGE('Balance Sheet'!O7:P7)))^4-1</f>
        <v>#DIV/0!</v>
      </c>
      <c r="Q25" s="179" t="e">
        <f>(1+(Q24+Q28+Q30)/(AVERAGE('Balance Sheet'!P6:Q6)+AVERAGE('Balance Sheet'!P8:Q8)*10%+AVERAGE('Balance Sheet'!P7:Q7)))^4-1</f>
        <v>#DIV/0!</v>
      </c>
      <c r="R25" s="179" t="e">
        <f>(1+(R24+R28+R30)/(AVERAGE('Balance Sheet'!Q6:R6)+AVERAGE('Balance Sheet'!Q8:R8)*10%+AVERAGE('Balance Sheet'!Q7:R7)))^4-1</f>
        <v>#DIV/0!</v>
      </c>
      <c r="S25" s="179" t="e">
        <f>(1+(S24+S28+S30)/(AVERAGE('Balance Sheet'!R6:S6)+AVERAGE('Balance Sheet'!R8:S8)*10%+AVERAGE('Balance Sheet'!R7:S7)))^4-1</f>
        <v>#DIV/0!</v>
      </c>
      <c r="T25" s="179" t="e">
        <f>(1+(T24+T28+T30)/(AVERAGE('Balance Sheet'!S6:T6)+AVERAGE('Balance Sheet'!S8:T8)*10%+AVERAGE('Balance Sheet'!S7:T7)))^4-1</f>
        <v>#DIV/0!</v>
      </c>
      <c r="U25" s="180" t="e">
        <f>(1+(U24+U28+U30)/(AVERAGE('Balance Sheet'!T6:U6)+AVERAGE('Balance Sheet'!T8:U8)*10%+AVERAGE('Balance Sheet'!T7:U7)))^4-1</f>
        <v>#DIV/0!</v>
      </c>
      <c r="V25" s="179" t="e">
        <f>(1+(V24+V28+V30)/(AVERAGE('Balance Sheet'!U6:V6)+AVERAGE('Balance Sheet'!U8:V8)*10%+AVERAGE('Balance Sheet'!U7:V7)))^4-1</f>
        <v>#DIV/0!</v>
      </c>
      <c r="W25" s="179" t="e">
        <f>(1+(W24+W28+W30)/(AVERAGE('Balance Sheet'!V6:W6)+AVERAGE('Balance Sheet'!V8:W8)*10%+AVERAGE('Balance Sheet'!V7:W7)))^4-1</f>
        <v>#DIV/0!</v>
      </c>
      <c r="X25" s="179" t="e">
        <f>(1+(X24+X28+X30)/(AVERAGE('Balance Sheet'!W6:X6)+AVERAGE('Balance Sheet'!W8:X8)*10%+AVERAGE('Balance Sheet'!W7:X7)))^4-1</f>
        <v>#DIV/0!</v>
      </c>
      <c r="Y25" s="179" t="e">
        <f>(1+(Y24+Y28+Y30)/(AVERAGE('Balance Sheet'!X6:Y6)+AVERAGE('Balance Sheet'!X8:Y8)*10%+AVERAGE('Balance Sheet'!X7:Y7)))^4-1</f>
        <v>#DIV/0!</v>
      </c>
      <c r="Z25" s="180" t="e">
        <f>(1+(Z24+Z28+Z30)/(AVERAGE('Balance Sheet'!Y6:Z6)+AVERAGE('Balance Sheet'!Y8:Z8)*10%+AVERAGE('Balance Sheet'!Y7:Z7)))^4-1</f>
        <v>#DIV/0!</v>
      </c>
      <c r="AA25" s="179" t="e">
        <f>(1+(AA24+AA28+AA30)/(AVERAGE('Balance Sheet'!Z6:AA6)+AVERAGE('Balance Sheet'!Z8:AA8)*10%+AVERAGE('Balance Sheet'!Z7:AA7)))^4-1</f>
        <v>#DIV/0!</v>
      </c>
      <c r="AB25" s="179" t="e">
        <f>(1+(AB24+AB28+AB30)/(AVERAGE('Balance Sheet'!AA6:AB6)+AVERAGE('Balance Sheet'!AA8:AB8)*10%+AVERAGE('Balance Sheet'!AA7:AB7)))^4-1</f>
        <v>#DIV/0!</v>
      </c>
      <c r="AC25" s="179" t="e">
        <f>(1+(AC24+AC28+AC30)/(AVERAGE('Balance Sheet'!AB6:AC6)+AVERAGE('Balance Sheet'!AB8:AC8)*10%+AVERAGE('Balance Sheet'!AB7:AC7)))^4-1</f>
        <v>#DIV/0!</v>
      </c>
      <c r="AD25" s="179" t="e">
        <f>(1+(AD24+AD28+AD30)/(AVERAGE('Balance Sheet'!AC6:AD6)+AVERAGE('Balance Sheet'!AC8:AD8)*10%+AVERAGE('Balance Sheet'!AC7:AD7)))^4-1</f>
        <v>#DIV/0!</v>
      </c>
      <c r="AE25" s="180" t="e">
        <f>(1+(AE24+AE28+AE30)/(AVERAGE('Balance Sheet'!AD6:AE6)+AVERAGE('Balance Sheet'!AD8:AE8)*10%+AVERAGE('Balance Sheet'!AD7:AE7)))^4-1</f>
        <v>#DIV/0!</v>
      </c>
      <c r="AF25" s="179" t="e">
        <f>(1+(AF24)/(AVERAGE('Balance Sheet'!AE6:AF6)))^4-1</f>
        <v>#DIV/0!</v>
      </c>
      <c r="AG25" s="179" t="e">
        <f>(1+(AG24)/(AVERAGE('Balance Sheet'!AF6:AG6)))^4-1</f>
        <v>#DIV/0!</v>
      </c>
      <c r="AH25" s="179" t="e">
        <f>(1+(AH24)/(AVERAGE('Balance Sheet'!AG6:AH6)))^4-1</f>
        <v>#DIV/0!</v>
      </c>
      <c r="AI25" s="179">
        <f>(1+(AI24)/(AVERAGE('Balance Sheet'!AH6:AI6)))^4-1</f>
        <v>1.5421084837072701</v>
      </c>
      <c r="AJ25" s="180">
        <f>((AJ24)/(AVERAGE('Balance Sheet'!AI6:AJ6)))</f>
        <v>0.26269517224121519</v>
      </c>
      <c r="AK25" s="179">
        <f>(1+(AK24)/(AVERAGE('Balance Sheet'!AJ6:AK6)))^4-1</f>
        <v>0</v>
      </c>
      <c r="AL25" s="179" t="e">
        <f>(1+(AL24)/(AVERAGE('Balance Sheet'!AK6:AL6)))^4-1</f>
        <v>#DIV/0!</v>
      </c>
      <c r="AM25" s="179" t="e">
        <f>(1+(AM24)/(AVERAGE('Balance Sheet'!AL6:AM6)))^4-1</f>
        <v>#DIV/0!</v>
      </c>
      <c r="AN25" s="179">
        <f>(1+(AN24)/(AVERAGE('Balance Sheet'!AM6:AN6)))^4-1</f>
        <v>1.6571301666547877</v>
      </c>
      <c r="AO25" s="180">
        <f>((AO24)/(AVERAGE('Balance Sheet'!AN6:AO6)))</f>
        <v>0.27674218295602632</v>
      </c>
      <c r="AP25" s="179">
        <f>(1+(AP24)/(AVERAGE('Balance Sheet'!AO6:AP6)))^4-1</f>
        <v>0</v>
      </c>
      <c r="AQ25" s="179" t="e">
        <f>(1+(AQ24)/(AVERAGE('Balance Sheet'!AP6:AQ6)))^4-1</f>
        <v>#DIV/0!</v>
      </c>
      <c r="AR25" s="179" t="e">
        <f>(1+(AR24)/(AVERAGE('Balance Sheet'!AQ6:AR6)))^4-1</f>
        <v>#DIV/0!</v>
      </c>
      <c r="AS25" s="179">
        <f>(1+(AS24)/(AVERAGE('Balance Sheet'!AR6:AS6)))^4-1</f>
        <v>1.008662492363106</v>
      </c>
      <c r="AT25" s="180">
        <f>((AT24)/(AVERAGE('Balance Sheet'!AS6:AT6)))</f>
        <v>0.19049271598143896</v>
      </c>
      <c r="AU25" s="179">
        <f>(1+(AU24)/(AVERAGE('Balance Sheet'!AT6:AU6)))^4-1</f>
        <v>0</v>
      </c>
      <c r="AV25" s="179" t="e">
        <f>(1+(AV24)/(AVERAGE('Balance Sheet'!AU6:AV6)))^4-1</f>
        <v>#DIV/0!</v>
      </c>
      <c r="AW25" s="179" t="e">
        <f>(1+(AW24)/(AVERAGE('Balance Sheet'!AV6:AW6)))^4-1</f>
        <v>#DIV/0!</v>
      </c>
      <c r="AX25" s="179">
        <f>(1+(AX24)/(AVERAGE('Balance Sheet'!AW6:AX6)))^4-1</f>
        <v>0.63568201043021144</v>
      </c>
      <c r="AY25" s="180">
        <f>((AY24)/(AVERAGE('Balance Sheet'!AX6:AY6)))</f>
        <v>0.13090134168782463</v>
      </c>
      <c r="AZ25" s="179">
        <f>(1+(AZ24)/(AVERAGE('Balance Sheet'!AY6:AZ6)))^4-1</f>
        <v>0</v>
      </c>
      <c r="BA25" s="179" t="e">
        <f>(1+(BA24)/(AVERAGE('Balance Sheet'!AZ6:BA6)))^4-1</f>
        <v>#DIV/0!</v>
      </c>
      <c r="BB25" s="179" t="e">
        <f>(1+(BB24)/(AVERAGE('Balance Sheet'!BA6:BB6)))^4-1</f>
        <v>#DIV/0!</v>
      </c>
      <c r="BC25" s="179">
        <f>(1+(BC24)/(AVERAGE('Balance Sheet'!BB6:BC6)))^4-1</f>
        <v>0.24370116016855303</v>
      </c>
      <c r="BD25" s="180">
        <f>((BD24)/(AVERAGE('Balance Sheet'!BC6:BD6)))</f>
        <v>5.6036696473170632E-2</v>
      </c>
      <c r="BE25" s="179">
        <f>(1+(BE24)/(AVERAGE('Balance Sheet'!BD6:BE6)))^4-1</f>
        <v>0</v>
      </c>
      <c r="BF25" s="179" t="e">
        <f>(1+(BF24)/(AVERAGE('Balance Sheet'!BE6:BF6)))^4-1</f>
        <v>#DIV/0!</v>
      </c>
      <c r="BG25" s="179" t="e">
        <f>(1+(BG24)/(AVERAGE('Balance Sheet'!BF6:BG6)))^4-1</f>
        <v>#DIV/0!</v>
      </c>
      <c r="BH25" s="179">
        <f>(1+(BH24)/(AVERAGE('Balance Sheet'!BG6:BH6)))^4-1</f>
        <v>0.45156713353862421</v>
      </c>
      <c r="BI25" s="180">
        <f>((BI24)/(AVERAGE('Balance Sheet'!BH6:BI6)))</f>
        <v>9.7638373480547075E-2</v>
      </c>
      <c r="BJ25" s="179">
        <f>(1+(BJ24)/(AVERAGE('Balance Sheet'!BI6:BJ6)))^4-1</f>
        <v>0</v>
      </c>
      <c r="BK25" s="179" t="e">
        <f>(1+(BK24)/(AVERAGE('Balance Sheet'!BJ6:BK6)))^4-1</f>
        <v>#DIV/0!</v>
      </c>
      <c r="BL25" s="179" t="e">
        <f>(1+(BL24)/(AVERAGE('Balance Sheet'!BK6:BL6)))^4-1</f>
        <v>#DIV/0!</v>
      </c>
      <c r="BM25" s="179">
        <f>(1+(BM24)/(AVERAGE('Balance Sheet'!BL6:BM6)))^4-1</f>
        <v>0.42180976331527376</v>
      </c>
      <c r="BN25" s="180">
        <f>((BN24)/(AVERAGE('Balance Sheet'!BM6:BN6)))</f>
        <v>9.1969160190182947E-2</v>
      </c>
      <c r="BO25" s="179">
        <f>(1+(BO24)/(AVERAGE('Balance Sheet'!BN6:BO6)))^4-1</f>
        <v>0</v>
      </c>
      <c r="BP25" s="179" t="e">
        <f>(1+(BP24)/(AVERAGE('Balance Sheet'!BO6:BP6)))^4-1</f>
        <v>#DIV/0!</v>
      </c>
      <c r="BQ25" s="179" t="e">
        <f>(1+(BQ24)/(AVERAGE('Balance Sheet'!BP6:BQ6)))^4-1</f>
        <v>#DIV/0!</v>
      </c>
      <c r="BR25" s="179">
        <f>(1+(BR24)/(AVERAGE('Balance Sheet'!BQ6:BR6)))^4-1</f>
        <v>0.47718907099100716</v>
      </c>
      <c r="BS25" s="180">
        <f>((BS24)/(AVERAGE('Balance Sheet'!BR6:BS6)))</f>
        <v>0.10245030376915559</v>
      </c>
      <c r="BT25" s="179">
        <f>(1+(BT24)/(AVERAGE('Balance Sheet'!BS6:BT6)))^4-1</f>
        <v>0</v>
      </c>
      <c r="BU25" s="179" t="e">
        <f>(1+(BU24)/(AVERAGE('Balance Sheet'!BT6:BU6)))^4-1</f>
        <v>#DIV/0!</v>
      </c>
      <c r="BV25" s="179" t="e">
        <f>(1+(BV24)/(AVERAGE('Balance Sheet'!BU6:BV6)))^4-1</f>
        <v>#DIV/0!</v>
      </c>
      <c r="BW25" s="179">
        <f>(1+(BW24)/(AVERAGE('Balance Sheet'!BV6:BW6)))^4-1</f>
        <v>0.18958846091178372</v>
      </c>
      <c r="BX25" s="180">
        <f>((BX24)/(AVERAGE('Balance Sheet'!BW6:BX6)))</f>
        <v>4.4357489809173534E-2</v>
      </c>
      <c r="BY25" s="179">
        <f>(1+(BY24)/(AVERAGE('Balance Sheet'!BX6:BY6)))^4-1</f>
        <v>4.8878663854786009E-2</v>
      </c>
      <c r="BZ25" s="179" t="e">
        <f>(1+(BZ24)/(AVERAGE('Balance Sheet'!BY6:BZ6)))^4-1</f>
        <v>#DIV/0!</v>
      </c>
      <c r="CA25" s="179" t="e">
        <f>(1+(CA24)/(AVERAGE('Balance Sheet'!BZ6:CA6)))^4-1</f>
        <v>#DIV/0!</v>
      </c>
      <c r="CB25" s="179">
        <f>(1+(CB24)/(AVERAGE('Balance Sheet'!CA6:CB6)))^4-1</f>
        <v>4.477377276534944E-2</v>
      </c>
      <c r="CC25" s="180">
        <f>((CC24)/(AVERAGE('Balance Sheet'!CB6:CC6)))</f>
        <v>4.8593415472906985E-2</v>
      </c>
      <c r="CD25" s="179">
        <f>(1+(CD24)/(AVERAGE('Balance Sheet'!CC6:CD6)))^4-1</f>
        <v>3.5263980258667837E-2</v>
      </c>
      <c r="CE25" s="179">
        <f>(1+(CE24)/(AVERAGE('Balance Sheet'!CD6:CE6)))^4-1</f>
        <v>3.0440933936463077E-2</v>
      </c>
      <c r="CF25" s="179">
        <f>(1+(CF24)/(AVERAGE('Balance Sheet'!CE6:CF6)))^4-1</f>
        <v>4.2591193359569512E-2</v>
      </c>
      <c r="CG25" s="179">
        <f>(1+(CG24)/(AVERAGE('Balance Sheet'!CF6:CG6)))^4-1</f>
        <v>2.8227757914988771E-2</v>
      </c>
      <c r="CH25" s="180">
        <f>((CH24)/(AVERAGE('Balance Sheet'!CG6:CH6)))</f>
        <v>3.4052142270328475E-2</v>
      </c>
      <c r="CI25" s="179">
        <f>(1+(CI24)/(AVERAGE('Balance Sheet'!CH6:CI6)))^4-1</f>
        <v>2.0648053786519904E-2</v>
      </c>
      <c r="CJ25" s="179">
        <f>(1+(CJ24)/(AVERAGE('Balance Sheet'!CI6:CJ6)))^4-1</f>
        <v>3.4235551658339025E-2</v>
      </c>
      <c r="CK25" s="179">
        <f>(1+(CK24)/(AVERAGE('Balance Sheet'!CJ6:CK6)))^4-1</f>
        <v>8.1514973560824489E-2</v>
      </c>
      <c r="CL25" s="179">
        <f>(1+(CL24)/(AVERAGE('Balance Sheet'!CK6:CL6)))^4-1</f>
        <v>6.0376962481582197E-2</v>
      </c>
      <c r="CM25" s="180">
        <f>((CM24)/(AVERAGE('Balance Sheet'!CL6:CM6)))</f>
        <v>4.2031196645174747E-2</v>
      </c>
      <c r="CN25" s="179">
        <f>(1+(CN24)/(AVERAGE('Balance Sheet'!CM6:CN6)))^4-1</f>
        <v>8.9587699810299348E-2</v>
      </c>
      <c r="CO25" s="179">
        <f>(1+(CO24)/(AVERAGE('Balance Sheet'!CN6:CO6)))^4-1</f>
        <v>0.11441832113182948</v>
      </c>
      <c r="CP25" s="179">
        <f>(1+(CP24)/(AVERAGE('Balance Sheet'!CO6:CP6)))^4-1</f>
        <v>0.11934999114511347</v>
      </c>
      <c r="CQ25" s="179">
        <f>(1+(CQ24)/(AVERAGE('Balance Sheet'!CP6:CQ6)))^4-1</f>
        <v>8.4881952634209723E-2</v>
      </c>
      <c r="CR25" s="180">
        <f>((CR24)/(AVERAGE('Balance Sheet'!CQ6:CR6)))</f>
        <v>8.1110832427611967E-2</v>
      </c>
      <c r="CS25" s="179">
        <f>(1+(CS24)/(AVERAGE('Balance Sheet'!CR6:CS6)))^4-1</f>
        <v>0.11084642303034209</v>
      </c>
      <c r="CT25" s="179">
        <f>(1+(CT24)/(AVERAGE('Balance Sheet'!CS6:CT6)))^4-1</f>
        <v>0.10855315679607447</v>
      </c>
      <c r="CU25" s="179">
        <f>(1+(CU24)/(AVERAGE('Balance Sheet'!CT6:CU6)))^4-1</f>
        <v>8.340765050527077E-2</v>
      </c>
      <c r="CV25" s="179">
        <f>(1+(CV24)/(AVERAGE('Balance Sheet'!CU6:CV6)))^4-1</f>
        <v>0.10228936800896626</v>
      </c>
      <c r="CW25" s="180">
        <f>((CW24)/(AVERAGE('Balance Sheet'!CV6:CW6)))</f>
        <v>8.6887729033155323E-2</v>
      </c>
      <c r="CX25" s="179">
        <f>(1+(CX24)/(AVERAGE('Balance Sheet'!CW6:CX6)))^4-1</f>
        <v>8.1795259208009563E-2</v>
      </c>
      <c r="CY25" s="179">
        <f>(1+(CY24)/(AVERAGE('Balance Sheet'!CX6:CY6)))^4-1</f>
        <v>8.1286602386706708E-2</v>
      </c>
      <c r="CZ25" s="179">
        <f>(1+(CZ24)/(AVERAGE('Balance Sheet'!CY6:CZ6)))^4-1</f>
        <v>8.8785523356460949E-2</v>
      </c>
      <c r="DA25" s="179">
        <f>(1+(DA24)/(AVERAGE('Balance Sheet'!CZ6:DA6)))^4-1</f>
        <v>8.3530561338900799E-2</v>
      </c>
      <c r="DB25" s="180">
        <f>((DB24)/(AVERAGE('Balance Sheet'!DA6:DB6)))</f>
        <v>7.4903476539220859E-2</v>
      </c>
      <c r="DC25" s="179">
        <f>(1+(DC24)/(AVERAGE('Balance Sheet'!DB6:DC6)))^4-1</f>
        <v>0.10308974282569361</v>
      </c>
      <c r="DD25" s="179">
        <f>(1+(DD24)/(AVERAGE('Balance Sheet'!DC6:DD6)))^4-1</f>
        <v>9.4830702048730009E-2</v>
      </c>
      <c r="DE25" s="179">
        <f>(1+(DE24)/(AVERAGE('Balance Sheet'!DD6:DE6)))^4-1</f>
        <v>0.11971740493285576</v>
      </c>
      <c r="DF25" s="179">
        <f>(1+(DF24)/(AVERAGE('Balance Sheet'!DE6:DF6)))^4-1</f>
        <v>0.1187103790382007</v>
      </c>
      <c r="DG25" s="180">
        <f>((DG24)/(AVERAGE('Balance Sheet'!DF6:DG6)))</f>
        <v>9.4934662693327565E-2</v>
      </c>
      <c r="DH25" s="179">
        <f>(1+(DH24)/(AVERAGE('Balance Sheet'!DG6:DH6)))^4-1</f>
        <v>0.11536644720820188</v>
      </c>
      <c r="DI25" s="179">
        <f>(1+(DI24)/(AVERAGE('Balance Sheet'!DH6:DI6)))^4-1</f>
        <v>0.11857159514744464</v>
      </c>
      <c r="DJ25" s="182">
        <f>Macro!DJ17*0.85</f>
        <v>0.11687500000000001</v>
      </c>
      <c r="DK25" s="182">
        <f>Macro!DK17*0.8</f>
        <v>0.10600000000000001</v>
      </c>
      <c r="DL25" s="180">
        <f ca="1">((DL24)/(AVERAGE('Balance Sheet'!DK6:DL6)))</f>
        <v>0.10714505181843945</v>
      </c>
      <c r="DM25" s="182">
        <f>Macro!DM17*0.85</f>
        <v>0.1105</v>
      </c>
      <c r="DN25" s="182">
        <f>Macro!DN17*0.85</f>
        <v>0.1105</v>
      </c>
      <c r="DO25" s="182">
        <f>Macro!DO17*0.85</f>
        <v>0.1105</v>
      </c>
      <c r="DP25" s="182">
        <f>Macro!DP17*0.85</f>
        <v>0.1105</v>
      </c>
      <c r="DQ25" s="180">
        <f ca="1">((DQ24)/(AVERAGE('Balance Sheet'!DP6:DQ6)))</f>
        <v>9.0511632714995252E-2</v>
      </c>
      <c r="DR25" s="182">
        <f>Macro!DR17*0.9</f>
        <v>0.11700000000000001</v>
      </c>
      <c r="DS25" s="182">
        <f>Macro!DS17*0.9</f>
        <v>0.11700000000000001</v>
      </c>
      <c r="DT25" s="182">
        <f>Macro!DT17*0.9</f>
        <v>0.11700000000000001</v>
      </c>
      <c r="DU25" s="182">
        <f>Macro!DU17*0.9</f>
        <v>0.11700000000000001</v>
      </c>
      <c r="DV25" s="180">
        <f ca="1">((DV24)/(AVERAGE('Balance Sheet'!DU6:DV6)))</f>
        <v>9.2478443288233098E-2</v>
      </c>
      <c r="DW25" s="182">
        <f>Macro!DW17*0.9</f>
        <v>0.11700000000000001</v>
      </c>
      <c r="DX25" s="182">
        <f>Macro!DX17*0.9</f>
        <v>0.11700000000000001</v>
      </c>
      <c r="DY25" s="182">
        <f>Macro!DY17*0.9</f>
        <v>0.11700000000000001</v>
      </c>
      <c r="DZ25" s="182">
        <f>Macro!DZ17*0.9</f>
        <v>0.11700000000000001</v>
      </c>
      <c r="EA25" s="180">
        <f ca="1">((EA24)/(AVERAGE('Balance Sheet'!DZ6:EA6)))</f>
        <v>9.0015153696345759E-2</v>
      </c>
      <c r="EB25" s="182">
        <f>Macro!EB17*0.9</f>
        <v>0.11700000000000001</v>
      </c>
      <c r="EC25" s="182">
        <f>Macro!EC17*0.9</f>
        <v>0.11700000000000001</v>
      </c>
      <c r="ED25" s="182">
        <f>Macro!ED17*0.9</f>
        <v>0.11700000000000001</v>
      </c>
      <c r="EE25" s="182">
        <f>Macro!EE17*0.9</f>
        <v>0.11700000000000001</v>
      </c>
      <c r="EF25" s="180">
        <f ca="1">((EF24)/(AVERAGE('Balance Sheet'!EE6:EF6)))</f>
        <v>9.107125526411107E-2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</row>
    <row r="26" spans="1:158" ht="12.75" customHeight="1" outlineLevel="1">
      <c r="A26" s="9" t="s">
        <v>45</v>
      </c>
      <c r="B26" s="171"/>
      <c r="C26" s="171"/>
      <c r="D26" s="171"/>
      <c r="E26" s="171"/>
      <c r="F26" s="165">
        <f>SUM(B26:E26)</f>
        <v>0</v>
      </c>
      <c r="G26" s="171"/>
      <c r="H26" s="171"/>
      <c r="I26" s="171"/>
      <c r="J26" s="171"/>
      <c r="K26" s="165">
        <f>SUM(G26:J26)</f>
        <v>0</v>
      </c>
      <c r="L26" s="171"/>
      <c r="M26" s="171"/>
      <c r="N26" s="171"/>
      <c r="O26" s="171"/>
      <c r="P26" s="165">
        <f>SUM(L26:O26)</f>
        <v>0</v>
      </c>
      <c r="Q26" s="171"/>
      <c r="R26" s="171"/>
      <c r="S26" s="171"/>
      <c r="T26" s="171"/>
      <c r="U26" s="165">
        <f>SUM(Q26:T26)</f>
        <v>0</v>
      </c>
      <c r="V26" s="171"/>
      <c r="W26" s="171"/>
      <c r="X26" s="171"/>
      <c r="Y26" s="171"/>
      <c r="Z26" s="165">
        <f>SUM(V26:Y26)</f>
        <v>0</v>
      </c>
      <c r="AA26" s="171"/>
      <c r="AB26" s="171"/>
      <c r="AC26" s="171"/>
      <c r="AD26" s="171"/>
      <c r="AE26" s="165">
        <f>SUM(AA26:AD26)</f>
        <v>0</v>
      </c>
      <c r="AF26" s="171"/>
      <c r="AG26" s="171"/>
      <c r="AH26" s="171"/>
      <c r="AI26" s="171">
        <f>-3076.782-SUM(AF26:AH26)</f>
        <v>-3076.7820000000002</v>
      </c>
      <c r="AJ26" s="165">
        <f>SUM(AF26:AI26)</f>
        <v>-3076.7820000000002</v>
      </c>
      <c r="AK26" s="171"/>
      <c r="AL26" s="171"/>
      <c r="AM26" s="171"/>
      <c r="AN26" s="171">
        <f>-4759.544-SUM(AK26:AM26)</f>
        <v>-4759.5439999999999</v>
      </c>
      <c r="AO26" s="165">
        <f>SUM(AK26:AN26)</f>
        <v>-4759.5439999999999</v>
      </c>
      <c r="AP26" s="171"/>
      <c r="AQ26" s="171"/>
      <c r="AR26" s="171"/>
      <c r="AS26" s="171">
        <f>-5802.323-SUM(AP26:AR26)</f>
        <v>-5802.3230000000003</v>
      </c>
      <c r="AT26" s="165">
        <f>SUM(AP26:AS26)</f>
        <v>-5802.3230000000003</v>
      </c>
      <c r="AU26" s="171"/>
      <c r="AV26" s="171"/>
      <c r="AW26" s="171"/>
      <c r="AX26" s="171">
        <f>-8757.204-SUM(AU26:AW26)</f>
        <v>-8757.2039999999997</v>
      </c>
      <c r="AY26" s="165">
        <f>SUM(AU26:AX26)</f>
        <v>-8757.2039999999997</v>
      </c>
      <c r="AZ26" s="171"/>
      <c r="BA26" s="171"/>
      <c r="BB26" s="171"/>
      <c r="BC26" s="171">
        <f>-1627-SUM(AZ26:BB26)</f>
        <v>-1627</v>
      </c>
      <c r="BD26" s="165">
        <f>SUM(AZ26:BC26)</f>
        <v>-1627</v>
      </c>
      <c r="BE26" s="171"/>
      <c r="BF26" s="171"/>
      <c r="BG26" s="171"/>
      <c r="BH26" s="171">
        <f>-5171-SUM(BE26:BG26)</f>
        <v>-5171</v>
      </c>
      <c r="BI26" s="165">
        <f>SUM(BE26:BH26)</f>
        <v>-5171</v>
      </c>
      <c r="BJ26" s="171"/>
      <c r="BK26" s="171"/>
      <c r="BL26" s="171"/>
      <c r="BM26" s="171">
        <f>-4262-SUM(BJ26:BL26)</f>
        <v>-4262</v>
      </c>
      <c r="BN26" s="165">
        <f>SUM(BJ26:BM26)</f>
        <v>-4262</v>
      </c>
      <c r="BO26" s="171"/>
      <c r="BP26" s="171"/>
      <c r="BQ26" s="171"/>
      <c r="BR26" s="171">
        <f>-5280-SUM(BO26:BQ26)</f>
        <v>-5280</v>
      </c>
      <c r="BS26" s="165">
        <f>SUM(BO26:BR26)</f>
        <v>-5280</v>
      </c>
      <c r="BT26" s="171"/>
      <c r="BU26" s="171"/>
      <c r="BV26" s="171"/>
      <c r="BW26" s="171">
        <f>-8669-SUM(BT26:BV26)</f>
        <v>-8669</v>
      </c>
      <c r="BX26" s="165">
        <f>SUM(BT26:BW26)</f>
        <v>-8669</v>
      </c>
      <c r="BY26" s="171">
        <v>-3465</v>
      </c>
      <c r="BZ26" s="171">
        <v>-5215</v>
      </c>
      <c r="CA26" s="171">
        <v>-7768</v>
      </c>
      <c r="CB26" s="171">
        <f>-26689-SUM(BY26:CA26)</f>
        <v>-10241</v>
      </c>
      <c r="CC26" s="165">
        <f>SUM(BY26:CB26)</f>
        <v>-26689</v>
      </c>
      <c r="CD26" s="171">
        <v>-4959</v>
      </c>
      <c r="CE26" s="171">
        <v>-5719</v>
      </c>
      <c r="CF26" s="171">
        <v>-6639</v>
      </c>
      <c r="CG26" s="171">
        <f>-23483-SUM(CD26:CF26)</f>
        <v>-6166</v>
      </c>
      <c r="CH26" s="165">
        <f>SUM(CD26:CG26)</f>
        <v>-23483</v>
      </c>
      <c r="CI26" s="171">
        <v>-7256</v>
      </c>
      <c r="CJ26" s="171">
        <v>-9300</v>
      </c>
      <c r="CK26" s="171">
        <v>-11427</v>
      </c>
      <c r="CL26" s="171">
        <f>-49714-SUM(CI26:CK26)</f>
        <v>-21731</v>
      </c>
      <c r="CM26" s="165">
        <f>SUM(CI26:CL26)</f>
        <v>-49714</v>
      </c>
      <c r="CN26" s="171">
        <v>-17062</v>
      </c>
      <c r="CO26" s="171">
        <v>-22214</v>
      </c>
      <c r="CP26" s="171">
        <v>-22860</v>
      </c>
      <c r="CQ26" s="172">
        <f>-88468-SUM(CN26:CP26)</f>
        <v>-26332</v>
      </c>
      <c r="CR26" s="165">
        <f>SUM(CN26:CQ26)</f>
        <v>-88468</v>
      </c>
      <c r="CS26" s="171">
        <v>-25672</v>
      </c>
      <c r="CT26" s="171">
        <v>-26026</v>
      </c>
      <c r="CU26" s="171">
        <v>-23214</v>
      </c>
      <c r="CV26" s="171">
        <f>-100127-SUM(CS26:CU26)</f>
        <v>-25215</v>
      </c>
      <c r="CW26" s="165">
        <f>SUM(CS26:CV26)</f>
        <v>-100127</v>
      </c>
      <c r="CX26" s="171">
        <v>-24806</v>
      </c>
      <c r="CY26" s="171">
        <v>-31099</v>
      </c>
      <c r="CZ26" s="171">
        <v>-39673</v>
      </c>
      <c r="DA26" s="171">
        <f>-137165-SUM(CX26:CZ26)</f>
        <v>-41587</v>
      </c>
      <c r="DB26" s="165">
        <f>SUM(CX26:DA26)</f>
        <v>-137165</v>
      </c>
      <c r="DC26" s="171">
        <v>-51332</v>
      </c>
      <c r="DD26" s="171">
        <v>-50846</v>
      </c>
      <c r="DE26" s="171">
        <v>-56062</v>
      </c>
      <c r="DF26" s="171">
        <f>-217836-SUM(DC26:DE26)</f>
        <v>-59596</v>
      </c>
      <c r="DG26" s="165">
        <f>SUM(DC26:DF26)</f>
        <v>-217836</v>
      </c>
      <c r="DH26" s="171">
        <v>-59802</v>
      </c>
      <c r="DI26" s="171">
        <v>-70288</v>
      </c>
      <c r="DJ26" s="52">
        <f>DJ85+DJ84</f>
        <v>-62279.004993874507</v>
      </c>
      <c r="DK26" s="52">
        <f>DK85+DK84</f>
        <v>-62066.178556893792</v>
      </c>
      <c r="DL26" s="165">
        <f>SUM(DH26:DK26)</f>
        <v>-254435.1835507683</v>
      </c>
      <c r="DM26" s="52">
        <f>DM85+DM84</f>
        <v>-61531.135255613284</v>
      </c>
      <c r="DN26" s="52">
        <f>DN85+DN84</f>
        <v>-62323.368174843126</v>
      </c>
      <c r="DO26" s="52">
        <f>DO85+DO84</f>
        <v>-64084.085679502517</v>
      </c>
      <c r="DP26" s="52">
        <f>DP85+DP84</f>
        <v>-65638.278327801643</v>
      </c>
      <c r="DQ26" s="165">
        <f>SUM(DM26:DP26)</f>
        <v>-253576.86743776058</v>
      </c>
      <c r="DR26" s="52">
        <f>DR85+DR84</f>
        <v>-49479.5891299305</v>
      </c>
      <c r="DS26" s="52">
        <f>DS85+DS84</f>
        <v>-50485.610873965001</v>
      </c>
      <c r="DT26" s="52">
        <f>DT85+DT84</f>
        <v>-51447.456855845725</v>
      </c>
      <c r="DU26" s="52">
        <f>DU85+DU84</f>
        <v>-52374.720778688876</v>
      </c>
      <c r="DV26" s="165">
        <f>SUM(DR26:DU26)</f>
        <v>-203787.3776384301</v>
      </c>
      <c r="DW26" s="52">
        <f>DW85+DW84</f>
        <v>-53274.033817766198</v>
      </c>
      <c r="DX26" s="52">
        <f>DX85+DX84</f>
        <v>-54150.259208273703</v>
      </c>
      <c r="DY26" s="52">
        <f>DY85+DY84</f>
        <v>-55007.167608947704</v>
      </c>
      <c r="DZ26" s="52">
        <f>DZ85+DZ84</f>
        <v>-55847.822577499181</v>
      </c>
      <c r="EA26" s="165">
        <f>SUM(DW26:DZ26)</f>
        <v>-218279.28321248677</v>
      </c>
      <c r="EB26" s="52">
        <f>EB85+EB84</f>
        <v>-56674.804253763636</v>
      </c>
      <c r="EC26" s="52">
        <f>EC85+EC84</f>
        <v>-57490.342357560898</v>
      </c>
      <c r="ED26" s="52">
        <f>ED85+ED84</f>
        <v>-58296.398025915099</v>
      </c>
      <c r="EE26" s="52">
        <f>EE85+EE84</f>
        <v>-59094.716491623098</v>
      </c>
      <c r="EF26" s="165">
        <f>SUM(EB26:EE26)</f>
        <v>-231556.26112886274</v>
      </c>
    </row>
    <row r="27" spans="1:158" s="181" customFormat="1" ht="12.75" customHeight="1" outlineLevel="1">
      <c r="A27" s="178" t="s">
        <v>186</v>
      </c>
      <c r="B27" s="179" t="e">
        <f>(1-B26/'Balance Sheet'!B50)^4-1</f>
        <v>#DIV/0!</v>
      </c>
      <c r="C27" s="179" t="e">
        <f>(1-C26/'Balance Sheet'!C50)^4-1</f>
        <v>#DIV/0!</v>
      </c>
      <c r="D27" s="179" t="e">
        <f>(1-D26/'Balance Sheet'!D50)^4-1</f>
        <v>#DIV/0!</v>
      </c>
      <c r="E27" s="179" t="e">
        <f>(1-E26/'Balance Sheet'!E50)^4-1</f>
        <v>#DIV/0!</v>
      </c>
      <c r="F27" s="180" t="e">
        <f>-F26/AVERAGE('Balance Sheet'!B50:E50)</f>
        <v>#DIV/0!</v>
      </c>
      <c r="G27" s="179" t="e">
        <f>(1-G26/'Balance Sheet'!G50)^4-1</f>
        <v>#DIV/0!</v>
      </c>
      <c r="H27" s="179" t="e">
        <f>(1-H26/'Balance Sheet'!H50)^4-1</f>
        <v>#DIV/0!</v>
      </c>
      <c r="I27" s="179" t="e">
        <f>(1-I26/'Balance Sheet'!I50)^4-1</f>
        <v>#DIV/0!</v>
      </c>
      <c r="J27" s="179" t="e">
        <f>(1-J26/'Balance Sheet'!J50)^4-1</f>
        <v>#DIV/0!</v>
      </c>
      <c r="K27" s="180" t="e">
        <f>-K26/AVERAGE('Balance Sheet'!G50:J50)</f>
        <v>#DIV/0!</v>
      </c>
      <c r="L27" s="179" t="e">
        <f>(1-L26/'Balance Sheet'!L50)^4-1</f>
        <v>#DIV/0!</v>
      </c>
      <c r="M27" s="179" t="e">
        <f>(1-M26/'Balance Sheet'!M50)^4-1</f>
        <v>#DIV/0!</v>
      </c>
      <c r="N27" s="179" t="e">
        <f>(1-N26/'Balance Sheet'!N50)^4-1</f>
        <v>#DIV/0!</v>
      </c>
      <c r="O27" s="179" t="e">
        <f>(1-O26/'Balance Sheet'!O50)^4-1</f>
        <v>#DIV/0!</v>
      </c>
      <c r="P27" s="180" t="e">
        <f>-P26/AVERAGE('Balance Sheet'!L50:O50)</f>
        <v>#DIV/0!</v>
      </c>
      <c r="Q27" s="179" t="e">
        <f>(1-Q26/'Balance Sheet'!Q50)^4-1</f>
        <v>#DIV/0!</v>
      </c>
      <c r="R27" s="179" t="e">
        <f>(1-R26/'Balance Sheet'!R50)^4-1</f>
        <v>#DIV/0!</v>
      </c>
      <c r="S27" s="179" t="e">
        <f>(1-S26/'Balance Sheet'!S50)^4-1</f>
        <v>#DIV/0!</v>
      </c>
      <c r="T27" s="179" t="e">
        <f>(1-T26/'Balance Sheet'!T50)^4-1</f>
        <v>#DIV/0!</v>
      </c>
      <c r="U27" s="180" t="e">
        <f>-U26/AVERAGE('Balance Sheet'!Q50:T50)</f>
        <v>#DIV/0!</v>
      </c>
      <c r="V27" s="179" t="e">
        <f>(1-V26/'Balance Sheet'!V50)^4-1</f>
        <v>#DIV/0!</v>
      </c>
      <c r="W27" s="179" t="e">
        <f>(1-W26/'Balance Sheet'!W50)^4-1</f>
        <v>#DIV/0!</v>
      </c>
      <c r="X27" s="179" t="e">
        <f>(1-X26/'Balance Sheet'!X50)^4-1</f>
        <v>#DIV/0!</v>
      </c>
      <c r="Y27" s="179" t="e">
        <f>(1-Y26/'Balance Sheet'!Y50)^4-1</f>
        <v>#DIV/0!</v>
      </c>
      <c r="Z27" s="180" t="e">
        <f>-Z26/AVERAGE('Balance Sheet'!V50:Y50)</f>
        <v>#DIV/0!</v>
      </c>
      <c r="AA27" s="179" t="e">
        <f>(1-AA26/'Balance Sheet'!AA50)^4-1</f>
        <v>#DIV/0!</v>
      </c>
      <c r="AB27" s="179" t="e">
        <f>(1-AB26/'Balance Sheet'!AB50)^4-1</f>
        <v>#DIV/0!</v>
      </c>
      <c r="AC27" s="179" t="e">
        <f>(1-AC26/'Balance Sheet'!AC50)^4-1</f>
        <v>#DIV/0!</v>
      </c>
      <c r="AD27" s="179" t="e">
        <f>(1-AD26/'Balance Sheet'!AD50)^4-1</f>
        <v>#DIV/0!</v>
      </c>
      <c r="AE27" s="180" t="e">
        <f>-AE26/AVERAGE('Balance Sheet'!AA50:AD50)</f>
        <v>#DIV/0!</v>
      </c>
      <c r="AF27" s="179" t="e">
        <f>(1-AF26/AVERAGE('Balance Sheet'!AE50:AF50))^4-1</f>
        <v>#DIV/0!</v>
      </c>
      <c r="AG27" s="179" t="e">
        <f>(1-AG26/AVERAGE('Balance Sheet'!AF50:AG50))^4-1</f>
        <v>#DIV/0!</v>
      </c>
      <c r="AH27" s="179" t="e">
        <f>(1-AH26/AVERAGE('Balance Sheet'!AG50:AH50))^4-1</f>
        <v>#DIV/0!</v>
      </c>
      <c r="AI27" s="179">
        <f>(1-AI26/AVERAGE('Balance Sheet'!AH50:AI50))^4-1</f>
        <v>0.28166185956083489</v>
      </c>
      <c r="AJ27" s="180">
        <f>-AJ26/AVERAGE('Balance Sheet'!AF50:AI50)</f>
        <v>0.12800851198345667</v>
      </c>
      <c r="AK27" s="179">
        <f>(1-AK26/AVERAGE('Balance Sheet'!AJ50:AK50))^4-1</f>
        <v>0</v>
      </c>
      <c r="AL27" s="179" t="e">
        <f>(1-AL26/AVERAGE('Balance Sheet'!AK50:AL50))^4-1</f>
        <v>#DIV/0!</v>
      </c>
      <c r="AM27" s="179" t="e">
        <f>(1-AM26/AVERAGE('Balance Sheet'!AL50:AM50))^4-1</f>
        <v>#DIV/0!</v>
      </c>
      <c r="AN27" s="179">
        <f>(1-AN26/AVERAGE('Balance Sheet'!AM50:AN50))^4-1</f>
        <v>0.27338366210677889</v>
      </c>
      <c r="AO27" s="180">
        <f>-AO26/AVERAGE('Balance Sheet'!AK50:AN50)</f>
        <v>0.1245639793954056</v>
      </c>
      <c r="AP27" s="179">
        <f>(1-AP26/AVERAGE('Balance Sheet'!AO50:AP50))^4-1</f>
        <v>0</v>
      </c>
      <c r="AQ27" s="179" t="e">
        <f>(1-AQ26/AVERAGE('Balance Sheet'!AP50:AQ50))^4-1</f>
        <v>#DIV/0!</v>
      </c>
      <c r="AR27" s="179" t="e">
        <f>(1-AR26/AVERAGE('Balance Sheet'!AQ50:AR50))^4-1</f>
        <v>#DIV/0!</v>
      </c>
      <c r="AS27" s="179">
        <f>(1-AS26/AVERAGE('Balance Sheet'!AR50:AS50))^4-1</f>
        <v>0.51124933423569474</v>
      </c>
      <c r="AT27" s="180">
        <f>-AT26/AVERAGE('Balance Sheet'!AP50:AS50)</f>
        <v>0.21750203114296765</v>
      </c>
      <c r="AU27" s="179">
        <f>(1-AU26/AVERAGE('Balance Sheet'!AT50:AU50))^4-1</f>
        <v>0</v>
      </c>
      <c r="AV27" s="179" t="e">
        <f>(1-AV26/AVERAGE('Balance Sheet'!AU50:AV50))^4-1</f>
        <v>#DIV/0!</v>
      </c>
      <c r="AW27" s="179" t="e">
        <f>(1-AW26/AVERAGE('Balance Sheet'!AV50:AW50))^4-1</f>
        <v>#DIV/0!</v>
      </c>
      <c r="AX27" s="179">
        <f>(1-AX26/AVERAGE('Balance Sheet'!AW50:AX50))^4-1</f>
        <v>0.84145969592597947</v>
      </c>
      <c r="AY27" s="180">
        <f>-AY26/AVERAGE('Balance Sheet'!AU50:AX50)</f>
        <v>0.32981024206988108</v>
      </c>
      <c r="AZ27" s="179">
        <f>(1-AZ26/AVERAGE('Balance Sheet'!AY50:AZ50))^4-1</f>
        <v>0</v>
      </c>
      <c r="BA27" s="179" t="e">
        <f>(1-BA26/AVERAGE('Balance Sheet'!AZ50:BA50))^4-1</f>
        <v>#DIV/0!</v>
      </c>
      <c r="BB27" s="179" t="e">
        <f>(1-BB26/AVERAGE('Balance Sheet'!BA50:BB50))^4-1</f>
        <v>#DIV/0!</v>
      </c>
      <c r="BC27" s="179">
        <f>(1-BC26/AVERAGE('Balance Sheet'!BB50:BC50))^4-1</f>
        <v>8.8644708368712966E-2</v>
      </c>
      <c r="BD27" s="180">
        <f>-BD26/AVERAGE('Balance Sheet'!AZ50:BC50)</f>
        <v>4.29208325639064E-2</v>
      </c>
      <c r="BE27" s="179">
        <f>(1-BE26/AVERAGE('Balance Sheet'!BD50:BE50))^4-1</f>
        <v>0</v>
      </c>
      <c r="BF27" s="179" t="e">
        <f>(1-BF26/AVERAGE('Balance Sheet'!BE50:BF50))^4-1</f>
        <v>#DIV/0!</v>
      </c>
      <c r="BG27" s="179" t="e">
        <f>(1-BG26/AVERAGE('Balance Sheet'!BF50:BG50))^4-1</f>
        <v>#DIV/0!</v>
      </c>
      <c r="BH27" s="179">
        <f>(1-BH26/AVERAGE('Balance Sheet'!BG50:BH50))^4-1</f>
        <v>0.24195530817372024</v>
      </c>
      <c r="BI27" s="180">
        <f>-BI26/AVERAGE('Balance Sheet'!BE50:BH50)</f>
        <v>0.11133179393606657</v>
      </c>
      <c r="BJ27" s="179">
        <f>(1-BJ26/AVERAGE('Balance Sheet'!BI50:BJ50))^4-1</f>
        <v>0</v>
      </c>
      <c r="BK27" s="179" t="e">
        <f>(1-BK26/AVERAGE('Balance Sheet'!BJ50:BK50))^4-1</f>
        <v>#DIV/0!</v>
      </c>
      <c r="BL27" s="179" t="e">
        <f>(1-BL26/AVERAGE('Balance Sheet'!BK50:BL50))^4-1</f>
        <v>#DIV/0!</v>
      </c>
      <c r="BM27" s="179">
        <f>(1-BM26/AVERAGE('Balance Sheet'!BL50:BM50))^4-1</f>
        <v>0.16759439254984509</v>
      </c>
      <c r="BN27" s="180">
        <f>-BN26/AVERAGE('Balance Sheet'!BJ50:BM50)</f>
        <v>7.8992850424201982E-2</v>
      </c>
      <c r="BO27" s="179">
        <f>(1-BO26/AVERAGE('Balance Sheet'!BN50:BO50))^4-1</f>
        <v>0</v>
      </c>
      <c r="BP27" s="179" t="e">
        <f>(1-BP26/AVERAGE('Balance Sheet'!BO50:BP50))^4-1</f>
        <v>#DIV/0!</v>
      </c>
      <c r="BQ27" s="179" t="e">
        <f>(1-BQ26/AVERAGE('Balance Sheet'!BP50:BQ50))^4-1</f>
        <v>#DIV/0!</v>
      </c>
      <c r="BR27" s="179">
        <f>(1-BR26/AVERAGE('Balance Sheet'!BQ50:BR50))^4-1</f>
        <v>0.20494918807048168</v>
      </c>
      <c r="BS27" s="180">
        <f>-BS26/AVERAGE('Balance Sheet'!BO50:BR50)</f>
        <v>9.542527956624873E-2</v>
      </c>
      <c r="BT27" s="179">
        <f>(1-BT26/AVERAGE('Balance Sheet'!BS50:BT50))^4-1</f>
        <v>0</v>
      </c>
      <c r="BU27" s="179" t="e">
        <f>(1-BU26/AVERAGE('Balance Sheet'!BT50:BU50))^4-1</f>
        <v>#DIV/0!</v>
      </c>
      <c r="BV27" s="179" t="e">
        <f>(1-BV26/AVERAGE('Balance Sheet'!BU50:BV50))^4-1</f>
        <v>#DIV/0!</v>
      </c>
      <c r="BW27" s="179">
        <f>(1-BW26/AVERAGE('Balance Sheet'!BV50:BW50))^4-1</f>
        <v>0.25807627616868056</v>
      </c>
      <c r="BX27" s="180">
        <f>-BX26/AVERAGE('Balance Sheet'!BT50:BW50)</f>
        <v>0.1181501306684021</v>
      </c>
      <c r="BY27" s="179">
        <f>(1-BY26/AVERAGE('Balance Sheet'!BX50:BY50))^4-1</f>
        <v>9.7847450362699373E-2</v>
      </c>
      <c r="BZ27" s="179" t="e">
        <f>(1-BZ26/AVERAGE('Balance Sheet'!BY50:BZ50))^4-1</f>
        <v>#DIV/0!</v>
      </c>
      <c r="CA27" s="179" t="e">
        <f>(1-CA26/AVERAGE('Balance Sheet'!BZ50:CA50))^4-1</f>
        <v>#DIV/0!</v>
      </c>
      <c r="CB27" s="179">
        <f>(1-CB26/AVERAGE('Balance Sheet'!CA50:CB50))^4-1</f>
        <v>0.28240291333897916</v>
      </c>
      <c r="CC27" s="180">
        <f>-CC26/AVERAGE('Balance Sheet'!BY50:CB50)</f>
        <v>0.33440357345345084</v>
      </c>
      <c r="CD27" s="179">
        <f>(1-CD26/AVERAGE('Balance Sheet'!CC50:CD50))^4-1</f>
        <v>6.3219088577317839E-2</v>
      </c>
      <c r="CE27" s="179">
        <f>(1-CE26/AVERAGE('Balance Sheet'!CD50:CE50))^4-1</f>
        <v>6.9023308109388726E-2</v>
      </c>
      <c r="CF27" s="179">
        <f>(1-CF26/AVERAGE('Balance Sheet'!CE50:CF50))^4-1</f>
        <v>8.1578566115000362E-2</v>
      </c>
      <c r="CG27" s="179">
        <f>(1-CG26/AVERAGE('Balance Sheet'!CF50:CG50))^4-1</f>
        <v>8.5063737204374767E-2</v>
      </c>
      <c r="CH27" s="180">
        <f>-CH26/AVERAGE('Balance Sheet'!CD50:CG50)</f>
        <v>7.350813283301183E-2</v>
      </c>
      <c r="CI27" s="179">
        <f>(1-CI26/AVERAGE('Balance Sheet'!CH50:CI50))^4-1</f>
        <v>0.10661840189701133</v>
      </c>
      <c r="CJ27" s="179">
        <f>(1-CJ26/AVERAGE('Balance Sheet'!CI50:CJ50))^4-1</f>
        <v>0.14159628985321437</v>
      </c>
      <c r="CK27" s="179">
        <f>(1-CK26/AVERAGE('Balance Sheet'!CJ50:CK50))^4-1</f>
        <v>0.14540451460684989</v>
      </c>
      <c r="CL27" s="179">
        <f>(1-CL26/AVERAGE('Balance Sheet'!CK50:CL50))^4-1</f>
        <v>0.24147356035937451</v>
      </c>
      <c r="CM27" s="180">
        <f>-CM26/AVERAGE('Balance Sheet'!CI50:CL50)</f>
        <v>0.14898124923207859</v>
      </c>
      <c r="CN27" s="179">
        <f>(1-CN26/AVERAGE('Balance Sheet'!CM50:CN50))^4-1</f>
        <v>0.18628551358573731</v>
      </c>
      <c r="CO27" s="179">
        <f>(1-CO26/AVERAGE('Balance Sheet'!CN50:CO50))^4-1</f>
        <v>0.24470533056429611</v>
      </c>
      <c r="CP27" s="179">
        <f>(1-CP26/AVERAGE('Balance Sheet'!CO50:CP50))^4-1</f>
        <v>0.23167318812437609</v>
      </c>
      <c r="CQ27" s="179">
        <f>(1-CQ26/AVERAGE('Balance Sheet'!CP50:CQ50))^4-1</f>
        <v>0.24449122637994414</v>
      </c>
      <c r="CR27" s="180">
        <f>-CR26/AVERAGE('Balance Sheet'!CN50:CQ50)</f>
        <v>0.20492424615324034</v>
      </c>
      <c r="CS27" s="179">
        <f>(1-CS26/AVERAGE('Balance Sheet'!CR50:CS50))^4-1</f>
        <v>0.2328933676333409</v>
      </c>
      <c r="CT27" s="179">
        <f>(1-CT26/AVERAGE('Balance Sheet'!CS50:CT50))^4-1</f>
        <v>0.23148872313184343</v>
      </c>
      <c r="CU27" s="179">
        <f>(1-CU26/AVERAGE('Balance Sheet'!CT50:CU50))^4-1</f>
        <v>0.17227632490174538</v>
      </c>
      <c r="CV27" s="179">
        <f>(1-CV26/AVERAGE('Balance Sheet'!CU50:CV50))^4-1</f>
        <v>0.17009858356812435</v>
      </c>
      <c r="CW27" s="180">
        <f>-CW26/AVERAGE('Balance Sheet'!CS50:CV50)</f>
        <v>0.17934304886048913</v>
      </c>
      <c r="CX27" s="179">
        <f>(1-CX26/AVERAGE('Balance Sheet'!CW50:CX50))^4-1</f>
        <v>0.17357408542874109</v>
      </c>
      <c r="CY27" s="179">
        <f>(1-CY26/AVERAGE('Balance Sheet'!CX50:CY50))^4-1</f>
        <v>0.15626146009226871</v>
      </c>
      <c r="CZ27" s="179">
        <f>(1-CZ26/AVERAGE('Balance Sheet'!CY50:CZ50))^4-1</f>
        <v>0.15348996851285657</v>
      </c>
      <c r="DA27" s="179">
        <f>(1-DA26/AVERAGE('Balance Sheet'!CZ50:DA50))^4-1</f>
        <v>0.16903535528742331</v>
      </c>
      <c r="DB27" s="180">
        <f>-DB26/AVERAGE('Balance Sheet'!CX50:DA50)</f>
        <v>0.14547392507294776</v>
      </c>
      <c r="DC27" s="179">
        <f>(1-DC26/AVERAGE('Balance Sheet'!DB50:DC50))^4-1</f>
        <v>0.19362598899163452</v>
      </c>
      <c r="DD27" s="179">
        <f>(1-DD26/AVERAGE('Balance Sheet'!DC50:DD50))^4-1</f>
        <v>0.16682538654041079</v>
      </c>
      <c r="DE27" s="179">
        <f>(1-DE26/AVERAGE('Balance Sheet'!DD50:DE50))^4-1</f>
        <v>0.18203655090658777</v>
      </c>
      <c r="DF27" s="179">
        <f>(1-DF26/AVERAGE('Balance Sheet'!DE50:DF50))^4-1</f>
        <v>0.18160531767052213</v>
      </c>
      <c r="DG27" s="180">
        <f>-DG26/AVERAGE('Balance Sheet'!DC50:DF50)</f>
        <v>0.16184565685624047</v>
      </c>
      <c r="DH27" s="179">
        <f>(1-DH26/AVERAGE('Balance Sheet'!DG50:DH50))^4-1</f>
        <v>0.18039188431472786</v>
      </c>
      <c r="DI27" s="179">
        <f>(1-DI26/AVERAGE('Balance Sheet'!DH50:DI50))^4-1</f>
        <v>0.22567627158092196</v>
      </c>
      <c r="DJ27" s="179">
        <f>(1-DJ26/AVERAGE('Balance Sheet'!DI50:DJ50))^4-1</f>
        <v>0.19468255704964554</v>
      </c>
      <c r="DK27" s="179">
        <f>(1-DK26/AVERAGE('Balance Sheet'!DJ50:DK50))^4-1</f>
        <v>0.18770879840557453</v>
      </c>
      <c r="DL27" s="180">
        <f>-DL26/AVERAGE('Balance Sheet'!DH50:DK50)</f>
        <v>0.1844297471723807</v>
      </c>
      <c r="DM27" s="179">
        <f>(1-DM26/AVERAGE('Balance Sheet'!DL50:DM50))^4-1</f>
        <v>0.18421919148412269</v>
      </c>
      <c r="DN27" s="179">
        <f>(1-DN26/AVERAGE('Balance Sheet'!DM50:DN50))^4-1</f>
        <v>0.18421919148412269</v>
      </c>
      <c r="DO27" s="179">
        <f>(1-DO26/AVERAGE('Balance Sheet'!DN50:DO50))^4-1</f>
        <v>0.18421919148412269</v>
      </c>
      <c r="DP27" s="179">
        <f>(1-DP26/AVERAGE('Balance Sheet'!DO50:DP50))^4-1</f>
        <v>0.18421919148412269</v>
      </c>
      <c r="DQ27" s="180">
        <f>-DQ26/AVERAGE('Balance Sheet'!DM50:DP50)</f>
        <v>0.17112472756418109</v>
      </c>
      <c r="DR27" s="179">
        <f>(1-DR26/AVERAGE('Balance Sheet'!DQ50:DR50))^4-1</f>
        <v>0.13360496549492429</v>
      </c>
      <c r="DS27" s="179">
        <f>(1-DS26/AVERAGE('Balance Sheet'!DR50:DS50))^4-1</f>
        <v>0.13360496549492429</v>
      </c>
      <c r="DT27" s="179">
        <f>(1-DT26/AVERAGE('Balance Sheet'!DS50:DT50))^4-1</f>
        <v>0.13360496549492429</v>
      </c>
      <c r="DU27" s="179">
        <f>(1-DU26/AVERAGE('Balance Sheet'!DT50:DU50))^4-1</f>
        <v>0.13360496549492429</v>
      </c>
      <c r="DV27" s="180">
        <f>-DV26/AVERAGE('Balance Sheet'!DR50:DU50)</f>
        <v>0.12619207031950233</v>
      </c>
      <c r="DW27" s="179">
        <f>(1-DW26/AVERAGE('Balance Sheet'!DV50:DW50))^4-1</f>
        <v>0.13360496549492429</v>
      </c>
      <c r="DX27" s="179">
        <f>(1-DX26/AVERAGE('Balance Sheet'!DW50:DX50))^4-1</f>
        <v>0.13360496549492429</v>
      </c>
      <c r="DY27" s="179">
        <f>(1-DY26/AVERAGE('Balance Sheet'!DX50:DY50))^4-1</f>
        <v>0.13360496549492429</v>
      </c>
      <c r="DZ27" s="179">
        <f>(1-DZ26/AVERAGE('Balance Sheet'!DY50:DZ50))^4-1</f>
        <v>0.13360496549492429</v>
      </c>
      <c r="EA27" s="180">
        <f>-EA26/AVERAGE('Balance Sheet'!DW50:DZ50)</f>
        <v>0.12639506344254869</v>
      </c>
      <c r="EB27" s="179">
        <f>(1-EB26/AVERAGE('Balance Sheet'!EA50:EB50))^4-1</f>
        <v>0.13360496549492429</v>
      </c>
      <c r="EC27" s="179">
        <f>(1-EC26/AVERAGE('Balance Sheet'!EB50:EC50))^4-1</f>
        <v>0.13360496549492429</v>
      </c>
      <c r="ED27" s="179">
        <f>(1-ED26/AVERAGE('Balance Sheet'!EC50:ED50))^4-1</f>
        <v>0.13360496549492429</v>
      </c>
      <c r="EE27" s="179">
        <f>(1-EE26/AVERAGE('Balance Sheet'!ED50:EE50))^4-1</f>
        <v>0.13360496549492429</v>
      </c>
      <c r="EF27" s="180">
        <f>-EF26/AVERAGE('Balance Sheet'!EB50:EE50)</f>
        <v>0.12650751858807222</v>
      </c>
    </row>
    <row r="28" spans="1:158" ht="12.75" customHeight="1" outlineLevel="1">
      <c r="A28" s="9" t="s">
        <v>187</v>
      </c>
      <c r="B28" s="171"/>
      <c r="C28" s="171"/>
      <c r="D28" s="171"/>
      <c r="E28" s="171"/>
      <c r="F28" s="165">
        <f t="shared" ref="F28:F37" si="70">SUM(B28:E28)</f>
        <v>0</v>
      </c>
      <c r="G28" s="171"/>
      <c r="H28" s="171"/>
      <c r="I28" s="171"/>
      <c r="J28" s="171"/>
      <c r="K28" s="165">
        <f t="shared" ref="K28:K37" si="71">SUM(G28:J28)</f>
        <v>0</v>
      </c>
      <c r="L28" s="171"/>
      <c r="M28" s="171"/>
      <c r="N28" s="171"/>
      <c r="O28" s="171"/>
      <c r="P28" s="165">
        <f t="shared" ref="P28:P37" si="72">SUM(L28:O28)</f>
        <v>0</v>
      </c>
      <c r="Q28" s="171"/>
      <c r="R28" s="171"/>
      <c r="S28" s="171"/>
      <c r="T28" s="171"/>
      <c r="U28" s="165">
        <f t="shared" ref="U28:U37" si="73">SUM(Q28:T28)</f>
        <v>0</v>
      </c>
      <c r="V28" s="171"/>
      <c r="W28" s="171"/>
      <c r="X28" s="171"/>
      <c r="Y28" s="171"/>
      <c r="Z28" s="165">
        <f t="shared" ref="Z28:Z37" si="74">SUM(V28:Y28)</f>
        <v>0</v>
      </c>
      <c r="AA28" s="171"/>
      <c r="AB28" s="171"/>
      <c r="AC28" s="171"/>
      <c r="AD28" s="171"/>
      <c r="AE28" s="165">
        <f t="shared" ref="AE28:AE37" si="75">SUM(AA28:AD28)</f>
        <v>0</v>
      </c>
      <c r="AF28" s="171">
        <v>0</v>
      </c>
      <c r="AG28" s="171">
        <v>0</v>
      </c>
      <c r="AH28" s="171">
        <v>0</v>
      </c>
      <c r="AI28" s="171">
        <v>0</v>
      </c>
      <c r="AJ28" s="165">
        <f t="shared" ref="AJ28:AJ40" si="76">SUM(AF28:AI28)</f>
        <v>0</v>
      </c>
      <c r="AK28" s="171">
        <v>0</v>
      </c>
      <c r="AL28" s="171">
        <v>0</v>
      </c>
      <c r="AM28" s="171">
        <v>0</v>
      </c>
      <c r="AN28" s="171">
        <v>0</v>
      </c>
      <c r="AO28" s="165">
        <f t="shared" ref="AO28:AO40" si="77">SUM(AK28:AN28)</f>
        <v>0</v>
      </c>
      <c r="AP28" s="171">
        <v>0</v>
      </c>
      <c r="AQ28" s="171">
        <v>0</v>
      </c>
      <c r="AR28" s="171">
        <v>0</v>
      </c>
      <c r="AS28" s="171">
        <v>0</v>
      </c>
      <c r="AT28" s="165">
        <f t="shared" ref="AT28:AT40" si="78">SUM(AP28:AS28)</f>
        <v>0</v>
      </c>
      <c r="AU28" s="171">
        <v>0</v>
      </c>
      <c r="AV28" s="171">
        <v>0</v>
      </c>
      <c r="AW28" s="171">
        <v>0</v>
      </c>
      <c r="AX28" s="171">
        <v>0</v>
      </c>
      <c r="AY28" s="165">
        <f t="shared" ref="AY28:AY40" si="79">SUM(AU28:AX28)</f>
        <v>0</v>
      </c>
      <c r="AZ28" s="171">
        <v>0</v>
      </c>
      <c r="BA28" s="171">
        <v>0</v>
      </c>
      <c r="BB28" s="171">
        <v>0</v>
      </c>
      <c r="BC28" s="171">
        <v>0</v>
      </c>
      <c r="BD28" s="165">
        <f t="shared" ref="BD28:BD40" si="80">SUM(AZ28:BC28)</f>
        <v>0</v>
      </c>
      <c r="BE28" s="171">
        <v>0</v>
      </c>
      <c r="BF28" s="171">
        <v>0</v>
      </c>
      <c r="BG28" s="171">
        <v>0</v>
      </c>
      <c r="BH28" s="171">
        <v>0</v>
      </c>
      <c r="BI28" s="165">
        <f t="shared" ref="BI28:BI40" si="81">SUM(BE28:BH28)</f>
        <v>0</v>
      </c>
      <c r="BJ28" s="171">
        <v>0</v>
      </c>
      <c r="BK28" s="171">
        <v>0</v>
      </c>
      <c r="BL28" s="171">
        <v>0</v>
      </c>
      <c r="BM28" s="171">
        <v>0</v>
      </c>
      <c r="BN28" s="165">
        <f t="shared" ref="BN28:BN40" si="82">SUM(BJ28:BM28)</f>
        <v>0</v>
      </c>
      <c r="BO28" s="171">
        <v>0</v>
      </c>
      <c r="BP28" s="171">
        <v>0</v>
      </c>
      <c r="BQ28" s="171">
        <v>0</v>
      </c>
      <c r="BR28" s="171">
        <v>0</v>
      </c>
      <c r="BS28" s="165">
        <f t="shared" ref="BS28:BS40" si="83">SUM(BO28:BR28)</f>
        <v>0</v>
      </c>
      <c r="BT28" s="171">
        <v>0</v>
      </c>
      <c r="BU28" s="171">
        <v>0</v>
      </c>
      <c r="BV28" s="171">
        <v>0</v>
      </c>
      <c r="BW28" s="171">
        <v>0</v>
      </c>
      <c r="BX28" s="165">
        <f t="shared" ref="BX28:BX40" si="84">SUM(BT28:BW28)</f>
        <v>0</v>
      </c>
      <c r="BY28" s="171">
        <v>0</v>
      </c>
      <c r="BZ28" s="171">
        <v>0</v>
      </c>
      <c r="CA28" s="171">
        <v>0</v>
      </c>
      <c r="CB28" s="171">
        <v>0</v>
      </c>
      <c r="CC28" s="165">
        <f t="shared" ref="CC28:CC40" si="85">SUM(BY28:CB28)</f>
        <v>0</v>
      </c>
      <c r="CD28" s="171">
        <v>0</v>
      </c>
      <c r="CE28" s="171">
        <v>0</v>
      </c>
      <c r="CF28" s="171">
        <v>0</v>
      </c>
      <c r="CG28" s="171">
        <v>0</v>
      </c>
      <c r="CH28" s="165">
        <f t="shared" ref="CH28:CH40" si="86">SUM(CD28:CG28)</f>
        <v>0</v>
      </c>
      <c r="CI28" s="171">
        <v>0</v>
      </c>
      <c r="CJ28" s="171">
        <v>0</v>
      </c>
      <c r="CK28" s="171">
        <v>0</v>
      </c>
      <c r="CL28" s="171">
        <v>0</v>
      </c>
      <c r="CM28" s="165">
        <f t="shared" ref="CM28:CM40" si="87">SUM(CI28:CL28)</f>
        <v>0</v>
      </c>
      <c r="CN28" s="52">
        <f>CL28</f>
        <v>0</v>
      </c>
      <c r="CO28" s="52">
        <f>CM28</f>
        <v>0</v>
      </c>
      <c r="CP28" s="52">
        <f>CN28</f>
        <v>0</v>
      </c>
      <c r="CQ28" s="52">
        <f>CO28</f>
        <v>0</v>
      </c>
      <c r="CR28" s="165">
        <f t="shared" ref="CR28:CR40" si="88">SUM(CN28:CQ28)</f>
        <v>0</v>
      </c>
      <c r="CS28" s="52">
        <f>CQ28</f>
        <v>0</v>
      </c>
      <c r="CT28" s="52">
        <f>CR28</f>
        <v>0</v>
      </c>
      <c r="CU28" s="52">
        <f>CS28</f>
        <v>0</v>
      </c>
      <c r="CV28" s="52">
        <f>CT28</f>
        <v>0</v>
      </c>
      <c r="CW28" s="165">
        <f t="shared" ref="CW28:CW40" si="89">SUM(CS28:CV28)</f>
        <v>0</v>
      </c>
      <c r="CX28" s="52">
        <f>CV28</f>
        <v>0</v>
      </c>
      <c r="CY28" s="52">
        <f>CW28</f>
        <v>0</v>
      </c>
      <c r="CZ28" s="52">
        <f>CX28</f>
        <v>0</v>
      </c>
      <c r="DA28" s="52">
        <f>CY28</f>
        <v>0</v>
      </c>
      <c r="DB28" s="165">
        <f t="shared" ref="DB28:DB40" si="90">SUM(CX28:DA28)</f>
        <v>0</v>
      </c>
      <c r="DC28" s="52">
        <f>DA28</f>
        <v>0</v>
      </c>
      <c r="DD28" s="52">
        <f>DB28</f>
        <v>0</v>
      </c>
      <c r="DE28" s="52">
        <f>DC28</f>
        <v>0</v>
      </c>
      <c r="DF28" s="52">
        <f>DD28</f>
        <v>0</v>
      </c>
      <c r="DG28" s="165">
        <f t="shared" ref="DG28:DG40" si="91">SUM(DC28:DF28)</f>
        <v>0</v>
      </c>
      <c r="DH28" s="52">
        <f>DF28</f>
        <v>0</v>
      </c>
      <c r="DI28" s="52">
        <f>DG28</f>
        <v>0</v>
      </c>
      <c r="DJ28" s="52">
        <f>DI28</f>
        <v>0</v>
      </c>
      <c r="DK28" s="52">
        <f>DJ28</f>
        <v>0</v>
      </c>
      <c r="DL28" s="165">
        <f t="shared" ref="DL28:DL40" si="92">SUM(DH28:DK28)</f>
        <v>0</v>
      </c>
      <c r="DM28" s="52">
        <f>DK28</f>
        <v>0</v>
      </c>
      <c r="DN28" s="52">
        <f>DM28</f>
        <v>0</v>
      </c>
      <c r="DO28" s="52">
        <f>DN28</f>
        <v>0</v>
      </c>
      <c r="DP28" s="52">
        <f>DO28</f>
        <v>0</v>
      </c>
      <c r="DQ28" s="165">
        <f t="shared" ref="DQ28:DQ40" si="93">SUM(DM28:DP28)</f>
        <v>0</v>
      </c>
      <c r="DR28" s="52">
        <f>DP28</f>
        <v>0</v>
      </c>
      <c r="DS28" s="52">
        <f>DR28</f>
        <v>0</v>
      </c>
      <c r="DT28" s="52">
        <f>DS28</f>
        <v>0</v>
      </c>
      <c r="DU28" s="52">
        <f>DT28</f>
        <v>0</v>
      </c>
      <c r="DV28" s="165">
        <f t="shared" ref="DV28:DV40" si="94">SUM(DR28:DU28)</f>
        <v>0</v>
      </c>
      <c r="DW28" s="52">
        <f>DU28</f>
        <v>0</v>
      </c>
      <c r="DX28" s="52">
        <f>DW28</f>
        <v>0</v>
      </c>
      <c r="DY28" s="52">
        <f>DX28</f>
        <v>0</v>
      </c>
      <c r="DZ28" s="52">
        <f>DY28</f>
        <v>0</v>
      </c>
      <c r="EA28" s="165">
        <f t="shared" ref="EA28:EA40" si="95">SUM(DW28:DZ28)</f>
        <v>0</v>
      </c>
      <c r="EB28" s="52">
        <f>DZ28</f>
        <v>0</v>
      </c>
      <c r="EC28" s="52">
        <f>EB28</f>
        <v>0</v>
      </c>
      <c r="ED28" s="52">
        <f>EC28</f>
        <v>0</v>
      </c>
      <c r="EE28" s="52">
        <f>ED28</f>
        <v>0</v>
      </c>
      <c r="EF28" s="165">
        <f t="shared" ref="EF28:EF40" si="96">SUM(EB28:EE28)</f>
        <v>0</v>
      </c>
    </row>
    <row r="29" spans="1:158" ht="12.75" customHeight="1">
      <c r="A29" s="9" t="s">
        <v>188</v>
      </c>
      <c r="B29" s="184">
        <f>+B30+B31</f>
        <v>0</v>
      </c>
      <c r="C29" s="184">
        <f>+C30+C31</f>
        <v>0</v>
      </c>
      <c r="D29" s="184">
        <f>+D30+D31</f>
        <v>0</v>
      </c>
      <c r="E29" s="184">
        <f>+E30+E31</f>
        <v>0</v>
      </c>
      <c r="F29" s="165">
        <f t="shared" si="70"/>
        <v>0</v>
      </c>
      <c r="G29" s="184">
        <f>+G30+G31</f>
        <v>0</v>
      </c>
      <c r="H29" s="184">
        <f>+H30+H31</f>
        <v>0</v>
      </c>
      <c r="I29" s="184">
        <f>+I30+I31</f>
        <v>0</v>
      </c>
      <c r="J29" s="184">
        <f>+J30+J31</f>
        <v>0</v>
      </c>
      <c r="K29" s="165">
        <f t="shared" si="71"/>
        <v>0</v>
      </c>
      <c r="L29" s="184">
        <f>+L30+L31</f>
        <v>0</v>
      </c>
      <c r="M29" s="184">
        <f>+M30+M31</f>
        <v>0</v>
      </c>
      <c r="N29" s="184">
        <f>+N30+N31</f>
        <v>0</v>
      </c>
      <c r="O29" s="184">
        <f>+O30+O31</f>
        <v>0</v>
      </c>
      <c r="P29" s="165">
        <f t="shared" si="72"/>
        <v>0</v>
      </c>
      <c r="Q29" s="184">
        <f>+Q30+Q31</f>
        <v>0</v>
      </c>
      <c r="R29" s="184">
        <f>+R30+R31</f>
        <v>0</v>
      </c>
      <c r="S29" s="184">
        <f>+S30+S31</f>
        <v>0</v>
      </c>
      <c r="T29" s="184">
        <f>+T30+T31</f>
        <v>0</v>
      </c>
      <c r="U29" s="165">
        <f t="shared" si="73"/>
        <v>0</v>
      </c>
      <c r="V29" s="184">
        <f>+V30+V31</f>
        <v>0</v>
      </c>
      <c r="W29" s="184">
        <f>+W30+W31</f>
        <v>0</v>
      </c>
      <c r="X29" s="184">
        <f>+X30+X31</f>
        <v>0</v>
      </c>
      <c r="Y29" s="184">
        <f>+Y30+Y31</f>
        <v>0</v>
      </c>
      <c r="Z29" s="165">
        <f t="shared" si="74"/>
        <v>0</v>
      </c>
      <c r="AA29" s="184">
        <f>+AA30+AA31</f>
        <v>0</v>
      </c>
      <c r="AB29" s="184">
        <f>+AB30+AB31</f>
        <v>0</v>
      </c>
      <c r="AC29" s="184">
        <f>+AC30+AC31</f>
        <v>0</v>
      </c>
      <c r="AD29" s="184">
        <f>+AD30+AD31</f>
        <v>0</v>
      </c>
      <c r="AE29" s="165">
        <f t="shared" si="75"/>
        <v>0</v>
      </c>
      <c r="AF29" s="184">
        <f>+AF30+AF31</f>
        <v>0</v>
      </c>
      <c r="AG29" s="184">
        <f>+AG30+AG31</f>
        <v>0</v>
      </c>
      <c r="AH29" s="184">
        <f>+AH30+AH31</f>
        <v>0</v>
      </c>
      <c r="AI29" s="184">
        <f>+AI30+AI31</f>
        <v>0</v>
      </c>
      <c r="AJ29" s="165">
        <f t="shared" si="76"/>
        <v>0</v>
      </c>
      <c r="AK29" s="184">
        <f>+AK30+AK31</f>
        <v>0</v>
      </c>
      <c r="AL29" s="184">
        <f>+AL30+AL31</f>
        <v>0</v>
      </c>
      <c r="AM29" s="184">
        <f>+AM30+AM31</f>
        <v>0</v>
      </c>
      <c r="AN29" s="184">
        <f>+AN30+AN31</f>
        <v>0</v>
      </c>
      <c r="AO29" s="165">
        <f t="shared" si="77"/>
        <v>0</v>
      </c>
      <c r="AP29" s="184">
        <f>+AP30+AP31</f>
        <v>0</v>
      </c>
      <c r="AQ29" s="184">
        <f>+AQ30+AQ31</f>
        <v>0</v>
      </c>
      <c r="AR29" s="184">
        <f>+AR30+AR31</f>
        <v>0</v>
      </c>
      <c r="AS29" s="184">
        <f>+AS30+AS31</f>
        <v>0</v>
      </c>
      <c r="AT29" s="165">
        <f t="shared" si="78"/>
        <v>0</v>
      </c>
      <c r="AU29" s="184">
        <f>+AU30+AU31</f>
        <v>0</v>
      </c>
      <c r="AV29" s="184">
        <f>+AV30+AV31</f>
        <v>0</v>
      </c>
      <c r="AW29" s="184">
        <f>+AW30+AW31</f>
        <v>0</v>
      </c>
      <c r="AX29" s="184">
        <f>+AX30+AX31</f>
        <v>0</v>
      </c>
      <c r="AY29" s="165">
        <f t="shared" si="79"/>
        <v>0</v>
      </c>
      <c r="AZ29" s="184">
        <f>+AZ30+AZ31</f>
        <v>0</v>
      </c>
      <c r="BA29" s="184">
        <f>+BA30+BA31</f>
        <v>0</v>
      </c>
      <c r="BB29" s="184">
        <f>+BB30+BB31</f>
        <v>0</v>
      </c>
      <c r="BC29" s="184">
        <f>+BC30+BC31</f>
        <v>0</v>
      </c>
      <c r="BD29" s="165">
        <f t="shared" si="80"/>
        <v>0</v>
      </c>
      <c r="BE29" s="184">
        <f>+BE30+BE31</f>
        <v>0</v>
      </c>
      <c r="BF29" s="184">
        <f>+BF30+BF31</f>
        <v>0</v>
      </c>
      <c r="BG29" s="184">
        <f>+BG30+BG31</f>
        <v>0</v>
      </c>
      <c r="BH29" s="184">
        <f>+BH30+BH31</f>
        <v>0</v>
      </c>
      <c r="BI29" s="165">
        <f t="shared" si="81"/>
        <v>0</v>
      </c>
      <c r="BJ29" s="184">
        <f>+BJ30+BJ31</f>
        <v>0</v>
      </c>
      <c r="BK29" s="184">
        <f>+BK30+BK31</f>
        <v>0</v>
      </c>
      <c r="BL29" s="184">
        <f>+BL30+BL31</f>
        <v>0</v>
      </c>
      <c r="BM29" s="184">
        <f>+BM30+BM31</f>
        <v>0</v>
      </c>
      <c r="BN29" s="165">
        <f t="shared" si="82"/>
        <v>0</v>
      </c>
      <c r="BO29" s="184">
        <f>+BO30+BO31</f>
        <v>0</v>
      </c>
      <c r="BP29" s="184">
        <f>+BP30+BP31</f>
        <v>0</v>
      </c>
      <c r="BQ29" s="184">
        <f>+BQ30+BQ31</f>
        <v>0</v>
      </c>
      <c r="BR29" s="184">
        <f>+BR30+BR31</f>
        <v>0</v>
      </c>
      <c r="BS29" s="165">
        <f t="shared" si="83"/>
        <v>0</v>
      </c>
      <c r="BT29" s="184">
        <f>+BT30+BT31</f>
        <v>0</v>
      </c>
      <c r="BU29" s="184">
        <f>+BU30+BU31</f>
        <v>0</v>
      </c>
      <c r="BV29" s="184">
        <f>+BV30+BV31</f>
        <v>0</v>
      </c>
      <c r="BW29" s="184">
        <f>+BW30+BW31</f>
        <v>0</v>
      </c>
      <c r="BX29" s="165">
        <f t="shared" si="84"/>
        <v>0</v>
      </c>
      <c r="BY29" s="184">
        <f>+BY30+BY31</f>
        <v>0</v>
      </c>
      <c r="BZ29" s="184">
        <f>+BZ30+BZ31</f>
        <v>0</v>
      </c>
      <c r="CA29" s="184">
        <f>+CA30+CA31</f>
        <v>0</v>
      </c>
      <c r="CB29" s="184">
        <f>+CB30+CB31</f>
        <v>0</v>
      </c>
      <c r="CC29" s="165">
        <f t="shared" si="85"/>
        <v>0</v>
      </c>
      <c r="CD29" s="184">
        <f>+CD30+CD31</f>
        <v>0</v>
      </c>
      <c r="CE29" s="184">
        <f>+CE30+CE31</f>
        <v>0</v>
      </c>
      <c r="CF29" s="184">
        <f>+CF30+CF31</f>
        <v>0</v>
      </c>
      <c r="CG29" s="184">
        <f>+CG30+CG31</f>
        <v>0</v>
      </c>
      <c r="CH29" s="165">
        <f t="shared" si="86"/>
        <v>0</v>
      </c>
      <c r="CI29" s="184">
        <f>+CI30+CI31</f>
        <v>0</v>
      </c>
      <c r="CJ29" s="184">
        <f>+CJ30+CJ31</f>
        <v>0</v>
      </c>
      <c r="CK29" s="184">
        <f>+CK30+CK31</f>
        <v>0</v>
      </c>
      <c r="CL29" s="184">
        <f>+CL30+CL31</f>
        <v>0</v>
      </c>
      <c r="CM29" s="165">
        <f t="shared" si="87"/>
        <v>0</v>
      </c>
      <c r="CN29" s="184">
        <f>+CN30+CN31</f>
        <v>0</v>
      </c>
      <c r="CO29" s="184">
        <f>+CO30+CO31</f>
        <v>0</v>
      </c>
      <c r="CP29" s="184">
        <f>+CP30+CP31</f>
        <v>0</v>
      </c>
      <c r="CQ29" s="184">
        <f>+CQ30+CQ31</f>
        <v>0</v>
      </c>
      <c r="CR29" s="165">
        <f t="shared" si="88"/>
        <v>0</v>
      </c>
      <c r="CS29" s="184">
        <f>+CS30+CS31</f>
        <v>0</v>
      </c>
      <c r="CT29" s="184">
        <f>+CT30+CT31</f>
        <v>0</v>
      </c>
      <c r="CU29" s="184">
        <f>+CU30+CU31</f>
        <v>0</v>
      </c>
      <c r="CV29" s="184">
        <f>+CV30+CV31</f>
        <v>0</v>
      </c>
      <c r="CW29" s="165">
        <f t="shared" si="89"/>
        <v>0</v>
      </c>
      <c r="CX29" s="184">
        <f>+CX30+CX31</f>
        <v>0</v>
      </c>
      <c r="CY29" s="184">
        <f>+CY30+CY31</f>
        <v>0</v>
      </c>
      <c r="CZ29" s="184">
        <f>+CZ30+CZ31</f>
        <v>0</v>
      </c>
      <c r="DA29" s="184">
        <f>+DA30+DA31</f>
        <v>0</v>
      </c>
      <c r="DB29" s="165">
        <f t="shared" si="90"/>
        <v>0</v>
      </c>
      <c r="DC29" s="184">
        <f>+DC30+DC31</f>
        <v>0</v>
      </c>
      <c r="DD29" s="184">
        <f>+DD30+DD31</f>
        <v>0</v>
      </c>
      <c r="DE29" s="184">
        <f>+DE30+DE31</f>
        <v>0</v>
      </c>
      <c r="DF29" s="184">
        <f>+DF30+DF31</f>
        <v>0</v>
      </c>
      <c r="DG29" s="165">
        <f t="shared" si="91"/>
        <v>0</v>
      </c>
      <c r="DH29" s="184">
        <f>+DH30+DH31</f>
        <v>0</v>
      </c>
      <c r="DI29" s="184">
        <f>+DI30+DI31</f>
        <v>0</v>
      </c>
      <c r="DJ29" s="184">
        <f>+DJ30+DJ31</f>
        <v>0</v>
      </c>
      <c r="DK29" s="184">
        <f>+DK30+DK31</f>
        <v>0</v>
      </c>
      <c r="DL29" s="165">
        <f t="shared" si="92"/>
        <v>0</v>
      </c>
      <c r="DM29" s="184">
        <f>+DM30+DM31</f>
        <v>0</v>
      </c>
      <c r="DN29" s="184">
        <f>+DN30+DN31</f>
        <v>0</v>
      </c>
      <c r="DO29" s="184">
        <f>+DO30+DO31</f>
        <v>0</v>
      </c>
      <c r="DP29" s="184">
        <f>+DP30+DP31</f>
        <v>0</v>
      </c>
      <c r="DQ29" s="165">
        <f t="shared" si="93"/>
        <v>0</v>
      </c>
      <c r="DR29" s="184">
        <f>+DR30+DR31</f>
        <v>0</v>
      </c>
      <c r="DS29" s="184">
        <f>+DS30+DS31</f>
        <v>0</v>
      </c>
      <c r="DT29" s="184">
        <f>+DT30+DT31</f>
        <v>0</v>
      </c>
      <c r="DU29" s="184">
        <f>+DU30+DU31</f>
        <v>0</v>
      </c>
      <c r="DV29" s="165">
        <f t="shared" si="94"/>
        <v>0</v>
      </c>
      <c r="DW29" s="184">
        <f>+DW30+DW31</f>
        <v>0</v>
      </c>
      <c r="DX29" s="184">
        <f>+DX30+DX31</f>
        <v>0</v>
      </c>
      <c r="DY29" s="184">
        <f>+DY30+DY31</f>
        <v>0</v>
      </c>
      <c r="DZ29" s="184">
        <f>+DZ30+DZ31</f>
        <v>0</v>
      </c>
      <c r="EA29" s="165">
        <f t="shared" si="95"/>
        <v>0</v>
      </c>
      <c r="EB29" s="184">
        <f>+EB30+EB31</f>
        <v>0</v>
      </c>
      <c r="EC29" s="184">
        <f>+EC30+EC31</f>
        <v>0</v>
      </c>
      <c r="ED29" s="184">
        <f>+ED30+ED31</f>
        <v>0</v>
      </c>
      <c r="EE29" s="184">
        <f>+EE30+EE31</f>
        <v>0</v>
      </c>
      <c r="EF29" s="165">
        <f t="shared" si="96"/>
        <v>0</v>
      </c>
    </row>
    <row r="30" spans="1:158" ht="12.75" customHeight="1" outlineLevel="1">
      <c r="A30" s="9" t="s">
        <v>189</v>
      </c>
      <c r="B30" s="171"/>
      <c r="C30" s="171"/>
      <c r="D30" s="171"/>
      <c r="E30" s="171"/>
      <c r="F30" s="165">
        <f t="shared" si="70"/>
        <v>0</v>
      </c>
      <c r="G30" s="171"/>
      <c r="H30" s="171"/>
      <c r="I30" s="171"/>
      <c r="J30" s="171"/>
      <c r="K30" s="165">
        <f t="shared" si="71"/>
        <v>0</v>
      </c>
      <c r="L30" s="171"/>
      <c r="M30" s="171"/>
      <c r="N30" s="171"/>
      <c r="O30" s="171"/>
      <c r="P30" s="165">
        <f t="shared" si="72"/>
        <v>0</v>
      </c>
      <c r="Q30" s="171"/>
      <c r="R30" s="171"/>
      <c r="S30" s="171"/>
      <c r="T30" s="171"/>
      <c r="U30" s="165">
        <f t="shared" si="73"/>
        <v>0</v>
      </c>
      <c r="V30" s="171"/>
      <c r="W30" s="171"/>
      <c r="X30" s="171"/>
      <c r="Y30" s="171"/>
      <c r="Z30" s="165">
        <f t="shared" si="74"/>
        <v>0</v>
      </c>
      <c r="AA30" s="171"/>
      <c r="AB30" s="171"/>
      <c r="AC30" s="171"/>
      <c r="AD30" s="171"/>
      <c r="AE30" s="165">
        <f t="shared" si="75"/>
        <v>0</v>
      </c>
      <c r="AF30" s="171"/>
      <c r="AG30" s="171"/>
      <c r="AH30" s="171"/>
      <c r="AI30" s="171">
        <v>0</v>
      </c>
      <c r="AJ30" s="165">
        <f t="shared" si="76"/>
        <v>0</v>
      </c>
      <c r="AK30" s="171"/>
      <c r="AL30" s="171"/>
      <c r="AM30" s="171"/>
      <c r="AN30" s="171">
        <v>0</v>
      </c>
      <c r="AO30" s="165">
        <f t="shared" si="77"/>
        <v>0</v>
      </c>
      <c r="AP30" s="171"/>
      <c r="AQ30" s="171"/>
      <c r="AR30" s="171"/>
      <c r="AS30" s="171">
        <v>0</v>
      </c>
      <c r="AT30" s="165">
        <f t="shared" si="78"/>
        <v>0</v>
      </c>
      <c r="AU30" s="171"/>
      <c r="AV30" s="171"/>
      <c r="AW30" s="171"/>
      <c r="AX30" s="171">
        <v>0</v>
      </c>
      <c r="AY30" s="165">
        <f t="shared" si="79"/>
        <v>0</v>
      </c>
      <c r="AZ30" s="171"/>
      <c r="BA30" s="171"/>
      <c r="BB30" s="171"/>
      <c r="BC30" s="171">
        <v>0</v>
      </c>
      <c r="BD30" s="165">
        <f t="shared" si="80"/>
        <v>0</v>
      </c>
      <c r="BE30" s="171"/>
      <c r="BF30" s="171"/>
      <c r="BG30" s="171"/>
      <c r="BH30" s="171">
        <v>0</v>
      </c>
      <c r="BI30" s="165">
        <f t="shared" si="81"/>
        <v>0</v>
      </c>
      <c r="BJ30" s="171"/>
      <c r="BK30" s="171"/>
      <c r="BL30" s="171"/>
      <c r="BM30" s="171">
        <v>0</v>
      </c>
      <c r="BN30" s="165">
        <f t="shared" si="82"/>
        <v>0</v>
      </c>
      <c r="BO30" s="171"/>
      <c r="BP30" s="171"/>
      <c r="BQ30" s="171"/>
      <c r="BR30" s="171">
        <v>0</v>
      </c>
      <c r="BS30" s="165">
        <f t="shared" si="83"/>
        <v>0</v>
      </c>
      <c r="BT30" s="171">
        <v>0</v>
      </c>
      <c r="BU30" s="171">
        <v>0</v>
      </c>
      <c r="BV30" s="171">
        <v>0</v>
      </c>
      <c r="BW30" s="171">
        <v>0</v>
      </c>
      <c r="BX30" s="165">
        <f t="shared" si="84"/>
        <v>0</v>
      </c>
      <c r="BY30" s="171">
        <v>0</v>
      </c>
      <c r="BZ30" s="171">
        <v>0</v>
      </c>
      <c r="CA30" s="171">
        <v>0</v>
      </c>
      <c r="CB30" s="171">
        <v>0</v>
      </c>
      <c r="CC30" s="165">
        <f t="shared" si="85"/>
        <v>0</v>
      </c>
      <c r="CD30" s="171">
        <v>0</v>
      </c>
      <c r="CE30" s="171">
        <v>0</v>
      </c>
      <c r="CF30" s="171">
        <f>0%*'Balance Sheet'!CF9</f>
        <v>0</v>
      </c>
      <c r="CG30" s="171">
        <v>0</v>
      </c>
      <c r="CH30" s="165">
        <f t="shared" si="86"/>
        <v>0</v>
      </c>
      <c r="CI30" s="171">
        <v>0</v>
      </c>
      <c r="CJ30" s="171">
        <v>0</v>
      </c>
      <c r="CK30" s="171">
        <f>0%*'Balance Sheet'!CK9</f>
        <v>0</v>
      </c>
      <c r="CL30" s="171">
        <v>0</v>
      </c>
      <c r="CM30" s="165">
        <f t="shared" si="87"/>
        <v>0</v>
      </c>
      <c r="CN30" s="171">
        <f>0%*'Balance Sheet'!CN9</f>
        <v>0</v>
      </c>
      <c r="CO30" s="171">
        <v>0</v>
      </c>
      <c r="CP30" s="171">
        <v>0</v>
      </c>
      <c r="CQ30" s="171">
        <v>0</v>
      </c>
      <c r="CR30" s="165">
        <f t="shared" si="88"/>
        <v>0</v>
      </c>
      <c r="CS30" s="171">
        <f>0%*'Balance Sheet'!CS9</f>
        <v>0</v>
      </c>
      <c r="CT30" s="171">
        <v>0</v>
      </c>
      <c r="CU30" s="171">
        <v>0</v>
      </c>
      <c r="CV30" s="171">
        <v>0</v>
      </c>
      <c r="CW30" s="165">
        <f t="shared" si="89"/>
        <v>0</v>
      </c>
      <c r="CX30" s="171">
        <f>0%*'Balance Sheet'!CX9</f>
        <v>0</v>
      </c>
      <c r="CY30" s="171">
        <v>0</v>
      </c>
      <c r="CZ30" s="171">
        <v>0</v>
      </c>
      <c r="DA30" s="171">
        <v>0</v>
      </c>
      <c r="DB30" s="165">
        <f t="shared" si="90"/>
        <v>0</v>
      </c>
      <c r="DC30" s="171">
        <f>0%*'Balance Sheet'!DC9</f>
        <v>0</v>
      </c>
      <c r="DD30" s="171">
        <v>0</v>
      </c>
      <c r="DE30" s="171">
        <v>0</v>
      </c>
      <c r="DF30" s="171">
        <v>0</v>
      </c>
      <c r="DG30" s="165">
        <f t="shared" si="91"/>
        <v>0</v>
      </c>
      <c r="DH30" s="171">
        <f>0%*'Balance Sheet'!DH9</f>
        <v>0</v>
      </c>
      <c r="DI30" s="171">
        <v>0</v>
      </c>
      <c r="DJ30" s="171">
        <f>0%*'Balance Sheet'!DJ9</f>
        <v>0</v>
      </c>
      <c r="DK30" s="171">
        <f>0%*'Balance Sheet'!DK9</f>
        <v>0</v>
      </c>
      <c r="DL30" s="165">
        <f t="shared" si="92"/>
        <v>0</v>
      </c>
      <c r="DM30" s="171">
        <f>0%*'Balance Sheet'!DM9</f>
        <v>0</v>
      </c>
      <c r="DN30" s="171">
        <f>0%*'Balance Sheet'!DN9</f>
        <v>0</v>
      </c>
      <c r="DO30" s="171">
        <f>0%*'Balance Sheet'!DO9</f>
        <v>0</v>
      </c>
      <c r="DP30" s="171">
        <f>0%*'Balance Sheet'!DP9</f>
        <v>0</v>
      </c>
      <c r="DQ30" s="165">
        <f t="shared" si="93"/>
        <v>0</v>
      </c>
      <c r="DR30" s="171">
        <f>0%*'Balance Sheet'!DR9</f>
        <v>0</v>
      </c>
      <c r="DS30" s="171">
        <f>0%*'Balance Sheet'!DS9</f>
        <v>0</v>
      </c>
      <c r="DT30" s="171">
        <f>0%*'Balance Sheet'!DT9</f>
        <v>0</v>
      </c>
      <c r="DU30" s="171">
        <f>0%*'Balance Sheet'!DU9</f>
        <v>0</v>
      </c>
      <c r="DV30" s="165">
        <f t="shared" si="94"/>
        <v>0</v>
      </c>
      <c r="DW30" s="171">
        <f>0%*'Balance Sheet'!DW9</f>
        <v>0</v>
      </c>
      <c r="DX30" s="171">
        <f>0%*'Balance Sheet'!DX9</f>
        <v>0</v>
      </c>
      <c r="DY30" s="171">
        <f>0%*'Balance Sheet'!DY9</f>
        <v>0</v>
      </c>
      <c r="DZ30" s="171">
        <f>0%*'Balance Sheet'!DZ9</f>
        <v>0</v>
      </c>
      <c r="EA30" s="165">
        <f t="shared" si="95"/>
        <v>0</v>
      </c>
      <c r="EB30" s="171">
        <f>0%*'Balance Sheet'!EB9</f>
        <v>0</v>
      </c>
      <c r="EC30" s="171">
        <f>0%*'Balance Sheet'!EC9</f>
        <v>0</v>
      </c>
      <c r="ED30" s="171">
        <f>0%*'Balance Sheet'!ED9</f>
        <v>0</v>
      </c>
      <c r="EE30" s="171">
        <f>0%*'Balance Sheet'!EE9</f>
        <v>0</v>
      </c>
      <c r="EF30" s="165">
        <f t="shared" si="96"/>
        <v>0</v>
      </c>
    </row>
    <row r="31" spans="1:158" ht="12.75" customHeight="1" outlineLevel="1">
      <c r="A31" s="9" t="s">
        <v>190</v>
      </c>
      <c r="B31" s="171"/>
      <c r="C31" s="171"/>
      <c r="D31" s="171"/>
      <c r="E31" s="171"/>
      <c r="F31" s="165">
        <f t="shared" si="70"/>
        <v>0</v>
      </c>
      <c r="G31" s="171"/>
      <c r="H31" s="171"/>
      <c r="I31" s="171"/>
      <c r="J31" s="171"/>
      <c r="K31" s="165">
        <f t="shared" si="71"/>
        <v>0</v>
      </c>
      <c r="L31" s="171"/>
      <c r="M31" s="171"/>
      <c r="N31" s="171"/>
      <c r="O31" s="171"/>
      <c r="P31" s="165">
        <f t="shared" si="72"/>
        <v>0</v>
      </c>
      <c r="Q31" s="171"/>
      <c r="R31" s="171"/>
      <c r="S31" s="171"/>
      <c r="T31" s="171"/>
      <c r="U31" s="165">
        <f t="shared" si="73"/>
        <v>0</v>
      </c>
      <c r="V31" s="171"/>
      <c r="W31" s="171"/>
      <c r="X31" s="171"/>
      <c r="Y31" s="171"/>
      <c r="Z31" s="165">
        <f t="shared" si="74"/>
        <v>0</v>
      </c>
      <c r="AA31" s="171"/>
      <c r="AB31" s="171"/>
      <c r="AC31" s="171"/>
      <c r="AD31" s="171"/>
      <c r="AE31" s="165">
        <f t="shared" si="75"/>
        <v>0</v>
      </c>
      <c r="AF31" s="171"/>
      <c r="AG31" s="171"/>
      <c r="AH31" s="171"/>
      <c r="AI31" s="171">
        <v>0</v>
      </c>
      <c r="AJ31" s="165">
        <f t="shared" si="76"/>
        <v>0</v>
      </c>
      <c r="AK31" s="171"/>
      <c r="AL31" s="171"/>
      <c r="AM31" s="171"/>
      <c r="AN31" s="171">
        <v>0</v>
      </c>
      <c r="AO31" s="165">
        <f t="shared" si="77"/>
        <v>0</v>
      </c>
      <c r="AP31" s="171"/>
      <c r="AQ31" s="171"/>
      <c r="AR31" s="171"/>
      <c r="AS31" s="171">
        <v>0</v>
      </c>
      <c r="AT31" s="165">
        <f t="shared" si="78"/>
        <v>0</v>
      </c>
      <c r="AU31" s="171"/>
      <c r="AV31" s="171"/>
      <c r="AW31" s="171"/>
      <c r="AX31" s="171">
        <v>0</v>
      </c>
      <c r="AY31" s="165">
        <f t="shared" si="79"/>
        <v>0</v>
      </c>
      <c r="AZ31" s="171"/>
      <c r="BA31" s="171"/>
      <c r="BB31" s="171"/>
      <c r="BC31" s="171">
        <v>0</v>
      </c>
      <c r="BD31" s="165">
        <f t="shared" si="80"/>
        <v>0</v>
      </c>
      <c r="BE31" s="171"/>
      <c r="BF31" s="171"/>
      <c r="BG31" s="171"/>
      <c r="BH31" s="171">
        <v>0</v>
      </c>
      <c r="BI31" s="165">
        <f t="shared" si="81"/>
        <v>0</v>
      </c>
      <c r="BJ31" s="171"/>
      <c r="BK31" s="171"/>
      <c r="BL31" s="171"/>
      <c r="BM31" s="171">
        <v>0</v>
      </c>
      <c r="BN31" s="165">
        <f t="shared" si="82"/>
        <v>0</v>
      </c>
      <c r="BO31" s="171"/>
      <c r="BP31" s="171"/>
      <c r="BQ31" s="171"/>
      <c r="BR31" s="171">
        <v>0</v>
      </c>
      <c r="BS31" s="165">
        <f t="shared" si="83"/>
        <v>0</v>
      </c>
      <c r="BT31" s="171">
        <v>0</v>
      </c>
      <c r="BU31" s="171">
        <v>0</v>
      </c>
      <c r="BV31" s="171">
        <v>0</v>
      </c>
      <c r="BW31" s="171">
        <v>0</v>
      </c>
      <c r="BX31" s="165">
        <f t="shared" si="84"/>
        <v>0</v>
      </c>
      <c r="BY31" s="171">
        <v>0</v>
      </c>
      <c r="BZ31" s="171">
        <v>0</v>
      </c>
      <c r="CA31" s="171">
        <v>0</v>
      </c>
      <c r="CB31" s="171">
        <v>0</v>
      </c>
      <c r="CC31" s="165">
        <f t="shared" si="85"/>
        <v>0</v>
      </c>
      <c r="CD31" s="171">
        <v>0</v>
      </c>
      <c r="CE31" s="171">
        <v>0</v>
      </c>
      <c r="CF31" s="171">
        <f>CE31</f>
        <v>0</v>
      </c>
      <c r="CG31" s="171">
        <v>0</v>
      </c>
      <c r="CH31" s="165">
        <f t="shared" si="86"/>
        <v>0</v>
      </c>
      <c r="CI31" s="171">
        <v>0</v>
      </c>
      <c r="CJ31" s="171">
        <v>0</v>
      </c>
      <c r="CK31" s="171">
        <f>CJ31</f>
        <v>0</v>
      </c>
      <c r="CL31" s="171">
        <v>0</v>
      </c>
      <c r="CM31" s="165">
        <f t="shared" si="87"/>
        <v>0</v>
      </c>
      <c r="CN31" s="171">
        <f>CL31</f>
        <v>0</v>
      </c>
      <c r="CO31" s="171">
        <v>0</v>
      </c>
      <c r="CP31" s="171">
        <v>0</v>
      </c>
      <c r="CQ31" s="171">
        <v>0</v>
      </c>
      <c r="CR31" s="165">
        <f t="shared" si="88"/>
        <v>0</v>
      </c>
      <c r="CS31" s="171">
        <f>CQ31</f>
        <v>0</v>
      </c>
      <c r="CT31" s="171">
        <v>0</v>
      </c>
      <c r="CU31" s="171">
        <v>0</v>
      </c>
      <c r="CV31" s="171">
        <v>0</v>
      </c>
      <c r="CW31" s="165">
        <f t="shared" si="89"/>
        <v>0</v>
      </c>
      <c r="CX31" s="171">
        <f>CV31</f>
        <v>0</v>
      </c>
      <c r="CY31" s="171">
        <v>0</v>
      </c>
      <c r="CZ31" s="171">
        <v>0</v>
      </c>
      <c r="DA31" s="171">
        <v>0</v>
      </c>
      <c r="DB31" s="165">
        <f t="shared" si="90"/>
        <v>0</v>
      </c>
      <c r="DC31" s="171">
        <f>DA31</f>
        <v>0</v>
      </c>
      <c r="DD31" s="171">
        <v>0</v>
      </c>
      <c r="DE31" s="171">
        <v>0</v>
      </c>
      <c r="DF31" s="171">
        <v>0</v>
      </c>
      <c r="DG31" s="165">
        <f t="shared" si="91"/>
        <v>0</v>
      </c>
      <c r="DH31" s="171">
        <f>DF31</f>
        <v>0</v>
      </c>
      <c r="DI31" s="171">
        <v>0</v>
      </c>
      <c r="DJ31" s="171">
        <f>DI31</f>
        <v>0</v>
      </c>
      <c r="DK31" s="171">
        <f>DJ31</f>
        <v>0</v>
      </c>
      <c r="DL31" s="165">
        <f t="shared" si="92"/>
        <v>0</v>
      </c>
      <c r="DM31" s="171">
        <f>DK31</f>
        <v>0</v>
      </c>
      <c r="DN31" s="171">
        <f>DM31</f>
        <v>0</v>
      </c>
      <c r="DO31" s="171">
        <f>DN31</f>
        <v>0</v>
      </c>
      <c r="DP31" s="171">
        <f>DO31</f>
        <v>0</v>
      </c>
      <c r="DQ31" s="165">
        <f t="shared" si="93"/>
        <v>0</v>
      </c>
      <c r="DR31" s="171">
        <f>DP31</f>
        <v>0</v>
      </c>
      <c r="DS31" s="171">
        <f>DR31</f>
        <v>0</v>
      </c>
      <c r="DT31" s="171">
        <f>DS31</f>
        <v>0</v>
      </c>
      <c r="DU31" s="171">
        <f>DT31</f>
        <v>0</v>
      </c>
      <c r="DV31" s="165">
        <f t="shared" si="94"/>
        <v>0</v>
      </c>
      <c r="DW31" s="171">
        <f>DU31</f>
        <v>0</v>
      </c>
      <c r="DX31" s="171">
        <f>DW31</f>
        <v>0</v>
      </c>
      <c r="DY31" s="171">
        <f>DX31</f>
        <v>0</v>
      </c>
      <c r="DZ31" s="171">
        <f>DY31</f>
        <v>0</v>
      </c>
      <c r="EA31" s="165">
        <f t="shared" si="95"/>
        <v>0</v>
      </c>
      <c r="EB31" s="171">
        <f>DZ31</f>
        <v>0</v>
      </c>
      <c r="EC31" s="171">
        <f>EB31</f>
        <v>0</v>
      </c>
      <c r="ED31" s="171">
        <f>EC31</f>
        <v>0</v>
      </c>
      <c r="EE31" s="171">
        <f>ED31</f>
        <v>0</v>
      </c>
      <c r="EF31" s="165">
        <f t="shared" si="96"/>
        <v>0</v>
      </c>
    </row>
    <row r="32" spans="1:158" ht="12.75" customHeight="1">
      <c r="A32" s="9" t="s">
        <v>191</v>
      </c>
      <c r="B32" s="184">
        <f>B33+B34+B35</f>
        <v>0</v>
      </c>
      <c r="C32" s="184">
        <f>C33+C34+C35</f>
        <v>0</v>
      </c>
      <c r="D32" s="184">
        <f>D33+D34+D35</f>
        <v>0</v>
      </c>
      <c r="E32" s="184">
        <f>E33+E34+E35</f>
        <v>0</v>
      </c>
      <c r="F32" s="165">
        <f t="shared" si="70"/>
        <v>0</v>
      </c>
      <c r="G32" s="184">
        <f>G33+G34+G35</f>
        <v>0</v>
      </c>
      <c r="H32" s="184">
        <f>H33+H34+H35</f>
        <v>0</v>
      </c>
      <c r="I32" s="184">
        <f>I33+I34+I35</f>
        <v>0</v>
      </c>
      <c r="J32" s="184">
        <f>J33+J34+J35</f>
        <v>0</v>
      </c>
      <c r="K32" s="165">
        <f t="shared" si="71"/>
        <v>0</v>
      </c>
      <c r="L32" s="184">
        <f>L33+L34+L35</f>
        <v>0</v>
      </c>
      <c r="M32" s="184">
        <f>M33+M34+M35</f>
        <v>0</v>
      </c>
      <c r="N32" s="184">
        <f>N33+N34+N35</f>
        <v>0</v>
      </c>
      <c r="O32" s="184">
        <f>O33+O34+O35</f>
        <v>0</v>
      </c>
      <c r="P32" s="165">
        <f t="shared" si="72"/>
        <v>0</v>
      </c>
      <c r="Q32" s="184">
        <f>Q33+Q34+Q35</f>
        <v>0</v>
      </c>
      <c r="R32" s="184">
        <f>R33+R34+R35</f>
        <v>0</v>
      </c>
      <c r="S32" s="184">
        <f>S33+S34+S35</f>
        <v>0</v>
      </c>
      <c r="T32" s="184">
        <f>T33+T34+T35</f>
        <v>0</v>
      </c>
      <c r="U32" s="165">
        <f t="shared" si="73"/>
        <v>0</v>
      </c>
      <c r="V32" s="184">
        <f>V33+V34+V35</f>
        <v>0</v>
      </c>
      <c r="W32" s="184">
        <f>W33+W34+W35</f>
        <v>0</v>
      </c>
      <c r="X32" s="184">
        <f>X33+X34+X35</f>
        <v>0</v>
      </c>
      <c r="Y32" s="184">
        <f>Y33+Y34+Y35</f>
        <v>0</v>
      </c>
      <c r="Z32" s="165">
        <f t="shared" si="74"/>
        <v>0</v>
      </c>
      <c r="AA32" s="184">
        <f>AA33+AA34+AA35</f>
        <v>0</v>
      </c>
      <c r="AB32" s="184">
        <f>AB33+AB34+AB35</f>
        <v>0</v>
      </c>
      <c r="AC32" s="184">
        <f>AC33+AC34+AC35</f>
        <v>0</v>
      </c>
      <c r="AD32" s="184">
        <f>AD33+AD34+AD35</f>
        <v>0</v>
      </c>
      <c r="AE32" s="165">
        <f t="shared" si="75"/>
        <v>0</v>
      </c>
      <c r="AF32" s="184">
        <f>AF33+AF34+AF35</f>
        <v>0</v>
      </c>
      <c r="AG32" s="184">
        <f>AG33+AG34+AG35</f>
        <v>0</v>
      </c>
      <c r="AH32" s="184">
        <f>AH33+AH34+AH35</f>
        <v>0</v>
      </c>
      <c r="AI32" s="184">
        <f>AI33+AI34+AI35</f>
        <v>-89.89</v>
      </c>
      <c r="AJ32" s="165">
        <f t="shared" si="76"/>
        <v>-89.89</v>
      </c>
      <c r="AK32" s="184">
        <f>AK33+AK34+AK35</f>
        <v>0</v>
      </c>
      <c r="AL32" s="184">
        <f>AL33+AL34+AL35</f>
        <v>0</v>
      </c>
      <c r="AM32" s="184">
        <f>AM33+AM34+AM35</f>
        <v>0</v>
      </c>
      <c r="AN32" s="184">
        <f>AN33+AN34+AN35</f>
        <v>151.50700000000001</v>
      </c>
      <c r="AO32" s="165">
        <f t="shared" si="77"/>
        <v>151.50700000000001</v>
      </c>
      <c r="AP32" s="184">
        <f>AP33+AP34+AP35</f>
        <v>0</v>
      </c>
      <c r="AQ32" s="184">
        <f>AQ33+AQ34+AQ35</f>
        <v>0</v>
      </c>
      <c r="AR32" s="184">
        <f>AR33+AR34+AR35</f>
        <v>0</v>
      </c>
      <c r="AS32" s="184">
        <f>AS33+AS34+AS35</f>
        <v>-5220.2389999999996</v>
      </c>
      <c r="AT32" s="165">
        <f t="shared" si="78"/>
        <v>-5220.2389999999996</v>
      </c>
      <c r="AU32" s="184">
        <f>AU33+AU34+AU35</f>
        <v>0</v>
      </c>
      <c r="AV32" s="184">
        <f>AV33+AV34+AV35</f>
        <v>0</v>
      </c>
      <c r="AW32" s="184">
        <f>AW33+AW34+AW35</f>
        <v>0</v>
      </c>
      <c r="AX32" s="184">
        <f>AX33+AX34+AX35</f>
        <v>-2946.0430000000001</v>
      </c>
      <c r="AY32" s="165">
        <f t="shared" si="79"/>
        <v>-2946.0430000000001</v>
      </c>
      <c r="AZ32" s="184">
        <f>AZ33+AZ34+AZ35</f>
        <v>0</v>
      </c>
      <c r="BA32" s="184">
        <f>BA33+BA34+BA35</f>
        <v>0</v>
      </c>
      <c r="BB32" s="184">
        <f>BB33+BB34+BB35</f>
        <v>0</v>
      </c>
      <c r="BC32" s="184">
        <f>BC33+BC34+BC35</f>
        <v>-13514</v>
      </c>
      <c r="BD32" s="165">
        <f t="shared" si="80"/>
        <v>-13514</v>
      </c>
      <c r="BE32" s="184">
        <f>BE33+BE34+BE35</f>
        <v>0</v>
      </c>
      <c r="BF32" s="184">
        <f>BF33+BF34+BF35</f>
        <v>0</v>
      </c>
      <c r="BG32" s="184">
        <f>BG33+BG34+BG35</f>
        <v>0</v>
      </c>
      <c r="BH32" s="184">
        <f>BH33+BH34+BH35</f>
        <v>-12889</v>
      </c>
      <c r="BI32" s="165">
        <f t="shared" si="81"/>
        <v>-12889</v>
      </c>
      <c r="BJ32" s="184">
        <f>BJ33+BJ34+BJ35</f>
        <v>0</v>
      </c>
      <c r="BK32" s="184">
        <f>BK33+BK34+BK35</f>
        <v>0</v>
      </c>
      <c r="BL32" s="184">
        <f>BL33+BL34+BL35</f>
        <v>0</v>
      </c>
      <c r="BM32" s="184">
        <f>BM33+BM34+BM35</f>
        <v>-7840</v>
      </c>
      <c r="BN32" s="165">
        <f t="shared" si="82"/>
        <v>-7840</v>
      </c>
      <c r="BO32" s="184">
        <f>BO33+BO34+BO35</f>
        <v>0</v>
      </c>
      <c r="BP32" s="184">
        <f>BP33+BP34+BP35</f>
        <v>0</v>
      </c>
      <c r="BQ32" s="184">
        <f>BQ33+BQ34+BQ35</f>
        <v>0</v>
      </c>
      <c r="BR32" s="184">
        <f>BR33+BR34+BR35</f>
        <v>21796</v>
      </c>
      <c r="BS32" s="165">
        <f t="shared" si="83"/>
        <v>21796</v>
      </c>
      <c r="BT32" s="184">
        <f>BT33+BT34+BT35</f>
        <v>0</v>
      </c>
      <c r="BU32" s="184">
        <f>BU33+BU34+BU35</f>
        <v>0</v>
      </c>
      <c r="BV32" s="184">
        <f>BV33+BV34+BV35</f>
        <v>0</v>
      </c>
      <c r="BW32" s="184">
        <f>BW33+BW34+BW35</f>
        <v>5717</v>
      </c>
      <c r="BX32" s="165">
        <f t="shared" si="84"/>
        <v>5717</v>
      </c>
      <c r="BY32" s="184">
        <f>BY33+BY34+BY35</f>
        <v>12268</v>
      </c>
      <c r="BZ32" s="184">
        <f>BZ33+BZ34+BZ35</f>
        <v>26623</v>
      </c>
      <c r="CA32" s="184">
        <f>CA33+CA34+CA35</f>
        <v>18961</v>
      </c>
      <c r="CB32" s="184">
        <f>CB33+CB34+CB35</f>
        <v>18642</v>
      </c>
      <c r="CC32" s="165">
        <f t="shared" si="85"/>
        <v>76494</v>
      </c>
      <c r="CD32" s="184">
        <f>CD33+CD34+CD35</f>
        <v>-6104</v>
      </c>
      <c r="CE32" s="184">
        <f>CE33+CE34+CE35</f>
        <v>2058</v>
      </c>
      <c r="CF32" s="184">
        <f>CF33+CF34+CF35</f>
        <v>-3669</v>
      </c>
      <c r="CG32" s="184">
        <f>CG33+CG34+CG35</f>
        <v>124</v>
      </c>
      <c r="CH32" s="165">
        <f t="shared" si="86"/>
        <v>-7591</v>
      </c>
      <c r="CI32" s="184">
        <f>CI33+CI34+CI35</f>
        <v>-6859</v>
      </c>
      <c r="CJ32" s="184">
        <f>CJ33+CJ34+CJ35</f>
        <v>-11260</v>
      </c>
      <c r="CK32" s="184">
        <f>CK33+CK34+CK35</f>
        <v>-9272</v>
      </c>
      <c r="CL32" s="184">
        <f>CL33+CL34+CL35</f>
        <v>23413</v>
      </c>
      <c r="CM32" s="165">
        <f t="shared" si="87"/>
        <v>-3978</v>
      </c>
      <c r="CN32" s="184">
        <f>CN33+CN34+CN35</f>
        <v>-19752</v>
      </c>
      <c r="CO32" s="184">
        <f>CO33+CO34+CO35</f>
        <v>-15841</v>
      </c>
      <c r="CP32" s="184">
        <f>CP33+CP34+CP35</f>
        <v>-11872</v>
      </c>
      <c r="CQ32" s="184">
        <f>CQ33+CQ34+CQ35</f>
        <v>-13461</v>
      </c>
      <c r="CR32" s="165">
        <f t="shared" si="88"/>
        <v>-60926</v>
      </c>
      <c r="CS32" s="184">
        <f>CS33+CS34+CS35</f>
        <v>-13586</v>
      </c>
      <c r="CT32" s="184">
        <f>CT33+CT34+CT35</f>
        <v>-19289</v>
      </c>
      <c r="CU32" s="184">
        <f>CU33+CU34+CU35</f>
        <v>-13499</v>
      </c>
      <c r="CV32" s="184">
        <f>CV33+CV34+CV35</f>
        <v>-20648</v>
      </c>
      <c r="CW32" s="165">
        <f t="shared" si="89"/>
        <v>-67022</v>
      </c>
      <c r="CX32" s="184">
        <f>CX33+CX34+CX35</f>
        <v>-21874</v>
      </c>
      <c r="CY32" s="184">
        <f>CY33+CY34+CY35</f>
        <v>-23978</v>
      </c>
      <c r="CZ32" s="184">
        <f>CZ33+CZ34+CZ35</f>
        <v>-20472</v>
      </c>
      <c r="DA32" s="184">
        <f>DA33+DA34+DA35</f>
        <v>-21847</v>
      </c>
      <c r="DB32" s="165">
        <f t="shared" si="90"/>
        <v>-88171</v>
      </c>
      <c r="DC32" s="184">
        <f>DC33+DC34+DC35</f>
        <v>-39942</v>
      </c>
      <c r="DD32" s="184">
        <f>DD33+DD34+DD35</f>
        <v>-30720</v>
      </c>
      <c r="DE32" s="184">
        <f>DE33+DE34+DE35</f>
        <v>-39423</v>
      </c>
      <c r="DF32" s="184">
        <f>DF33+DF34+DF35</f>
        <v>-42467</v>
      </c>
      <c r="DG32" s="165">
        <f t="shared" si="91"/>
        <v>-152552</v>
      </c>
      <c r="DH32" s="184">
        <f>DH33+DH34+DH35</f>
        <v>-45003</v>
      </c>
      <c r="DI32" s="184">
        <f>DI33+DI34+DI35</f>
        <v>-45995</v>
      </c>
      <c r="DJ32" s="184">
        <f>DJ33+DJ34+DJ35</f>
        <v>-48011.12801703588</v>
      </c>
      <c r="DK32" s="184">
        <f>DK33+DK34+DK35</f>
        <v>-51921.070781156101</v>
      </c>
      <c r="DL32" s="165">
        <f t="shared" si="92"/>
        <v>-190930.198798192</v>
      </c>
      <c r="DM32" s="184">
        <f>DM33+DM34+DM35</f>
        <v>-48285.660070834303</v>
      </c>
      <c r="DN32" s="184">
        <f>DN33+DN34+DN35</f>
        <v>-49851.166784537825</v>
      </c>
      <c r="DO32" s="184">
        <f>DO33+DO34+DO35</f>
        <v>-51179.974214780821</v>
      </c>
      <c r="DP32" s="184">
        <f>DP33+DP34+DP35</f>
        <v>-52406.915822728464</v>
      </c>
      <c r="DQ32" s="165">
        <f t="shared" si="93"/>
        <v>-201723.71689288144</v>
      </c>
      <c r="DR32" s="184">
        <f>DR33+DR34+DR35</f>
        <v>-53558.604768430967</v>
      </c>
      <c r="DS32" s="184">
        <f>DS33+DS34+DS35</f>
        <v>-54653.508112278119</v>
      </c>
      <c r="DT32" s="184">
        <f>DT33+DT34+DT35</f>
        <v>-55703.626525094471</v>
      </c>
      <c r="DU32" s="184">
        <f>DU33+DU34+DU35</f>
        <v>-56717.26043813135</v>
      </c>
      <c r="DV32" s="165">
        <f t="shared" si="94"/>
        <v>-220632.9998439349</v>
      </c>
      <c r="DW32" s="184">
        <f>DW33+DW34+DW35</f>
        <v>-57700.499654658044</v>
      </c>
      <c r="DX32" s="184">
        <f>DX33+DX34+DX35</f>
        <v>-58658.066775122083</v>
      </c>
      <c r="DY32" s="184">
        <f>DY33+DY34+DY35</f>
        <v>-59593.798674230267</v>
      </c>
      <c r="DZ32" s="184">
        <f>DZ33+DZ34+DZ35</f>
        <v>-60510.925995011967</v>
      </c>
      <c r="EA32" s="165">
        <f t="shared" si="95"/>
        <v>-236463.29109902235</v>
      </c>
      <c r="EB32" s="184">
        <f>EB33+EB34+EB35</f>
        <v>-61412.239418527854</v>
      </c>
      <c r="EC32" s="184">
        <f>EC33+EC34+EC35</f>
        <v>-62300.192047928569</v>
      </c>
      <c r="ED32" s="184">
        <f>ED33+ED34+ED35</f>
        <v>-63176.965372894127</v>
      </c>
      <c r="EE32" s="184">
        <f>EE33+EE34+EE35</f>
        <v>-64044.514141625063</v>
      </c>
      <c r="EF32" s="165">
        <f t="shared" si="96"/>
        <v>-250933.9109809756</v>
      </c>
    </row>
    <row r="33" spans="1:137" ht="12.75" customHeight="1" outlineLevel="1">
      <c r="A33" s="9" t="s">
        <v>89</v>
      </c>
      <c r="B33" s="171"/>
      <c r="C33" s="171"/>
      <c r="D33" s="171"/>
      <c r="E33" s="171"/>
      <c r="F33" s="165">
        <f t="shared" si="70"/>
        <v>0</v>
      </c>
      <c r="G33" s="171"/>
      <c r="H33" s="171"/>
      <c r="I33" s="171"/>
      <c r="J33" s="171"/>
      <c r="K33" s="165">
        <f t="shared" si="71"/>
        <v>0</v>
      </c>
      <c r="L33" s="171"/>
      <c r="M33" s="171"/>
      <c r="N33" s="171"/>
      <c r="O33" s="171"/>
      <c r="P33" s="165">
        <f t="shared" si="72"/>
        <v>0</v>
      </c>
      <c r="Q33" s="171"/>
      <c r="R33" s="171"/>
      <c r="S33" s="171"/>
      <c r="T33" s="171"/>
      <c r="U33" s="165">
        <f t="shared" si="73"/>
        <v>0</v>
      </c>
      <c r="V33" s="171"/>
      <c r="W33" s="171"/>
      <c r="X33" s="171"/>
      <c r="Y33" s="171"/>
      <c r="Z33" s="165">
        <f t="shared" si="74"/>
        <v>0</v>
      </c>
      <c r="AA33" s="171"/>
      <c r="AB33" s="171"/>
      <c r="AC33" s="171"/>
      <c r="AD33" s="171"/>
      <c r="AE33" s="165">
        <f t="shared" si="75"/>
        <v>0</v>
      </c>
      <c r="AF33" s="171"/>
      <c r="AG33" s="171"/>
      <c r="AH33" s="171"/>
      <c r="AI33" s="171">
        <f>-89.89-SUM(AF33:AH33)</f>
        <v>-89.89</v>
      </c>
      <c r="AJ33" s="165">
        <f t="shared" si="76"/>
        <v>-89.89</v>
      </c>
      <c r="AK33" s="171"/>
      <c r="AL33" s="171"/>
      <c r="AM33" s="171"/>
      <c r="AN33" s="171">
        <f>151.507-SUM(AK33:AM33)</f>
        <v>151.50700000000001</v>
      </c>
      <c r="AO33" s="165">
        <f t="shared" si="77"/>
        <v>151.50700000000001</v>
      </c>
      <c r="AP33" s="171"/>
      <c r="AQ33" s="171"/>
      <c r="AR33" s="171"/>
      <c r="AS33" s="171">
        <f>-5220.239-SUM(AP33:AR33)</f>
        <v>-5220.2389999999996</v>
      </c>
      <c r="AT33" s="165">
        <f t="shared" si="78"/>
        <v>-5220.2389999999996</v>
      </c>
      <c r="AU33" s="171"/>
      <c r="AV33" s="171"/>
      <c r="AW33" s="171"/>
      <c r="AX33" s="171">
        <f>-2946.043-SUM(AU33:AW33)</f>
        <v>-2946.0430000000001</v>
      </c>
      <c r="AY33" s="165">
        <f t="shared" si="79"/>
        <v>-2946.0430000000001</v>
      </c>
      <c r="AZ33" s="171"/>
      <c r="BA33" s="171"/>
      <c r="BB33" s="171"/>
      <c r="BC33" s="171">
        <f>-8572-SUM(AZ33:BB33)</f>
        <v>-8572</v>
      </c>
      <c r="BD33" s="165">
        <f t="shared" si="80"/>
        <v>-8572</v>
      </c>
      <c r="BE33" s="171"/>
      <c r="BF33" s="171"/>
      <c r="BG33" s="171"/>
      <c r="BH33" s="171">
        <f>-9521-SUM(BE33:BG33)</f>
        <v>-9521</v>
      </c>
      <c r="BI33" s="165">
        <f t="shared" si="81"/>
        <v>-9521</v>
      </c>
      <c r="BJ33" s="171"/>
      <c r="BK33" s="171"/>
      <c r="BL33" s="171"/>
      <c r="BM33" s="171">
        <f>-2066-SUM(BJ33:BL33)</f>
        <v>-2066</v>
      </c>
      <c r="BN33" s="165">
        <f t="shared" si="82"/>
        <v>-2066</v>
      </c>
      <c r="BO33" s="171"/>
      <c r="BP33" s="171"/>
      <c r="BQ33" s="171"/>
      <c r="BR33" s="172">
        <f>71520-42253-SUM(BO33:BQ33)</f>
        <v>29267</v>
      </c>
      <c r="BS33" s="165">
        <f t="shared" si="83"/>
        <v>29267</v>
      </c>
      <c r="BT33" s="171"/>
      <c r="BU33" s="171"/>
      <c r="BV33" s="171"/>
      <c r="BW33" s="172">
        <f>38408-28973-SUM(BT33:BV33)</f>
        <v>9435</v>
      </c>
      <c r="BX33" s="165">
        <f t="shared" si="84"/>
        <v>9435</v>
      </c>
      <c r="BY33" s="171">
        <f>23718-9596</f>
        <v>14122</v>
      </c>
      <c r="BZ33" s="171">
        <f>28892-2090</f>
        <v>26802</v>
      </c>
      <c r="CA33" s="171">
        <f>20410-1050</f>
        <v>19360</v>
      </c>
      <c r="CB33" s="172">
        <f>120320-42671-SUM(BY33:CA33)</f>
        <v>17365</v>
      </c>
      <c r="CC33" s="165">
        <f t="shared" si="85"/>
        <v>77649</v>
      </c>
      <c r="CD33" s="171">
        <f>1328-4507</f>
        <v>-3179</v>
      </c>
      <c r="CE33" s="171">
        <f>9179-6814</f>
        <v>2365</v>
      </c>
      <c r="CF33" s="171">
        <f>2943-6247</f>
        <v>-3304</v>
      </c>
      <c r="CG33" s="171">
        <f>11840-17872-SUM(CD33:CF33)</f>
        <v>-1914</v>
      </c>
      <c r="CH33" s="165">
        <f t="shared" si="86"/>
        <v>-6032</v>
      </c>
      <c r="CI33" s="171">
        <f>0-6524</f>
        <v>-6524</v>
      </c>
      <c r="CJ33" s="171">
        <f>0-10905</f>
        <v>-10905</v>
      </c>
      <c r="CK33" s="171">
        <v>-8907</v>
      </c>
      <c r="CL33" s="172">
        <f>40444-42984-SUM(CI33:CK33)</f>
        <v>23796</v>
      </c>
      <c r="CM33" s="165">
        <f t="shared" si="87"/>
        <v>-2540</v>
      </c>
      <c r="CN33" s="171">
        <f>0-19298</f>
        <v>-19298</v>
      </c>
      <c r="CO33" s="171">
        <f>0-15382</f>
        <v>-15382</v>
      </c>
      <c r="CP33" s="171">
        <v>-11456</v>
      </c>
      <c r="CQ33" s="171">
        <f>2756-61830-SUM(CN33:CP33)</f>
        <v>-12938</v>
      </c>
      <c r="CR33" s="165">
        <f t="shared" si="88"/>
        <v>-59074</v>
      </c>
      <c r="CS33" s="171">
        <f>-12810</f>
        <v>-12810</v>
      </c>
      <c r="CT33" s="171">
        <f>0-18568</f>
        <v>-18568</v>
      </c>
      <c r="CU33" s="171">
        <v>-12803</v>
      </c>
      <c r="CV33" s="171">
        <f>0-64047-SUM(CS33:CU33)</f>
        <v>-19866</v>
      </c>
      <c r="CW33" s="165">
        <f t="shared" si="89"/>
        <v>-64047</v>
      </c>
      <c r="CX33" s="171">
        <v>-21345</v>
      </c>
      <c r="CY33" s="172">
        <f>0-23250</f>
        <v>-23250</v>
      </c>
      <c r="CZ33" s="171">
        <v>-19747</v>
      </c>
      <c r="DA33" s="171">
        <f>2965-88463-SUM(CX33:CZ33)</f>
        <v>-21156</v>
      </c>
      <c r="DB33" s="165">
        <f t="shared" si="90"/>
        <v>-85498</v>
      </c>
      <c r="DC33" s="172">
        <v>-39738</v>
      </c>
      <c r="DD33" s="171">
        <f>0-30494</f>
        <v>-30494</v>
      </c>
      <c r="DE33" s="171">
        <v>-39204</v>
      </c>
      <c r="DF33" s="171">
        <f>-151687-SUM(DC33:DE33)</f>
        <v>-42251</v>
      </c>
      <c r="DG33" s="165">
        <f t="shared" si="91"/>
        <v>-151687</v>
      </c>
      <c r="DH33" s="171">
        <v>-44791</v>
      </c>
      <c r="DI33" s="171">
        <f>-45797</f>
        <v>-45797</v>
      </c>
      <c r="DJ33" s="171">
        <f>-2.75%*DJ5</f>
        <v>-47137.678725422229</v>
      </c>
      <c r="DK33" s="171">
        <f>-2.75%*DK5</f>
        <v>-51043.146222648189</v>
      </c>
      <c r="DL33" s="165">
        <f t="shared" si="92"/>
        <v>-188768.82494807043</v>
      </c>
      <c r="DM33" s="171">
        <f>-2.5%*DM5</f>
        <v>-47403.237315636477</v>
      </c>
      <c r="DN33" s="171">
        <f>-2.5%*DN5</f>
        <v>-48964.22278536969</v>
      </c>
      <c r="DO33" s="171">
        <f>-2.5%*DO5</f>
        <v>-50288.485806275305</v>
      </c>
      <c r="DP33" s="171">
        <f>-2.5%*DP5</f>
        <v>-51510.859720826775</v>
      </c>
      <c r="DQ33" s="165">
        <f t="shared" si="93"/>
        <v>-198166.80562810827</v>
      </c>
      <c r="DR33" s="171">
        <f>-2.5%*DR5</f>
        <v>-52657.957569774444</v>
      </c>
      <c r="DS33" s="171">
        <f>-2.5%*DS5</f>
        <v>-53748.246293596996</v>
      </c>
      <c r="DT33" s="171">
        <f>-2.5%*DT5</f>
        <v>-54793.726442593477</v>
      </c>
      <c r="DU33" s="171">
        <f>-2.5%*DU5</f>
        <v>-55802.698326872196</v>
      </c>
      <c r="DV33" s="165">
        <f t="shared" si="94"/>
        <v>-217002.62863283712</v>
      </c>
      <c r="DW33" s="171">
        <f>-2.5%*DW5</f>
        <v>-56781.251627938705</v>
      </c>
      <c r="DX33" s="171">
        <f>-2.5%*DX5</f>
        <v>-57734.108823852934</v>
      </c>
      <c r="DY33" s="171">
        <f>-2.5%*DY5</f>
        <v>-58665.106666306994</v>
      </c>
      <c r="DZ33" s="171">
        <f>-2.5%*DZ5</f>
        <v>-59577.475674685302</v>
      </c>
      <c r="EA33" s="165">
        <f t="shared" si="95"/>
        <v>-232757.94279278393</v>
      </c>
      <c r="EB33" s="171">
        <f>-2.5%*EB5</f>
        <v>-60474.006405770037</v>
      </c>
      <c r="EC33" s="171">
        <f>-2.5%*EC5</f>
        <v>-61357.151837796613</v>
      </c>
      <c r="ED33" s="171">
        <f>-2.5%*ED5</f>
        <v>-62229.093334889752</v>
      </c>
      <c r="EE33" s="171">
        <f>-2.5%*EE5</f>
        <v>-63091.785519051438</v>
      </c>
      <c r="EF33" s="165">
        <f t="shared" si="96"/>
        <v>-247152.03709750785</v>
      </c>
      <c r="EG33" s="162"/>
    </row>
    <row r="34" spans="1:137" ht="12.75" customHeight="1" outlineLevel="1">
      <c r="A34" s="9" t="s">
        <v>318</v>
      </c>
      <c r="B34" s="185"/>
      <c r="C34" s="185"/>
      <c r="D34" s="185"/>
      <c r="E34" s="185"/>
      <c r="F34" s="20">
        <f t="shared" si="70"/>
        <v>0</v>
      </c>
      <c r="G34" s="185"/>
      <c r="H34" s="185"/>
      <c r="I34" s="185"/>
      <c r="J34" s="185"/>
      <c r="K34" s="20">
        <f t="shared" si="71"/>
        <v>0</v>
      </c>
      <c r="L34" s="185"/>
      <c r="M34" s="185"/>
      <c r="N34" s="185"/>
      <c r="O34" s="185"/>
      <c r="P34" s="20">
        <f t="shared" si="72"/>
        <v>0</v>
      </c>
      <c r="Q34" s="185"/>
      <c r="R34" s="185"/>
      <c r="S34" s="185"/>
      <c r="T34" s="185"/>
      <c r="U34" s="20">
        <f t="shared" si="73"/>
        <v>0</v>
      </c>
      <c r="V34" s="185"/>
      <c r="W34" s="185"/>
      <c r="X34" s="185"/>
      <c r="Y34" s="185"/>
      <c r="Z34" s="20">
        <f t="shared" si="74"/>
        <v>0</v>
      </c>
      <c r="AA34" s="185"/>
      <c r="AB34" s="185"/>
      <c r="AC34" s="185"/>
      <c r="AD34" s="185"/>
      <c r="AE34" s="20">
        <f t="shared" si="75"/>
        <v>0</v>
      </c>
      <c r="AF34" s="171"/>
      <c r="AG34" s="171"/>
      <c r="AH34" s="171"/>
      <c r="AI34" s="172"/>
      <c r="AJ34" s="165">
        <f t="shared" si="76"/>
        <v>0</v>
      </c>
      <c r="AK34" s="171"/>
      <c r="AL34" s="171"/>
      <c r="AM34" s="171"/>
      <c r="AN34" s="172"/>
      <c r="AO34" s="165">
        <f t="shared" si="77"/>
        <v>0</v>
      </c>
      <c r="AP34" s="171"/>
      <c r="AQ34" s="171"/>
      <c r="AR34" s="171"/>
      <c r="AS34" s="172"/>
      <c r="AT34" s="165">
        <f t="shared" si="78"/>
        <v>0</v>
      </c>
      <c r="AU34" s="171"/>
      <c r="AV34" s="171"/>
      <c r="AW34" s="171"/>
      <c r="AX34" s="172"/>
      <c r="AY34" s="165">
        <f t="shared" si="79"/>
        <v>0</v>
      </c>
      <c r="AZ34" s="171"/>
      <c r="BA34" s="171"/>
      <c r="BB34" s="171"/>
      <c r="BC34" s="171">
        <v>-4942</v>
      </c>
      <c r="BD34" s="165">
        <f t="shared" si="80"/>
        <v>-4942</v>
      </c>
      <c r="BE34" s="171"/>
      <c r="BF34" s="171"/>
      <c r="BG34" s="171"/>
      <c r="BH34" s="171">
        <v>-3368</v>
      </c>
      <c r="BI34" s="165">
        <f t="shared" si="81"/>
        <v>-3368</v>
      </c>
      <c r="BJ34" s="171"/>
      <c r="BK34" s="171"/>
      <c r="BL34" s="171"/>
      <c r="BM34" s="171">
        <v>-5774</v>
      </c>
      <c r="BN34" s="165">
        <f t="shared" si="82"/>
        <v>-5774</v>
      </c>
      <c r="BO34" s="171"/>
      <c r="BP34" s="171"/>
      <c r="BQ34" s="171"/>
      <c r="BR34" s="171">
        <f>-7471</f>
        <v>-7471</v>
      </c>
      <c r="BS34" s="165">
        <f t="shared" si="83"/>
        <v>-7471</v>
      </c>
      <c r="BT34" s="171"/>
      <c r="BU34" s="171"/>
      <c r="BV34" s="171"/>
      <c r="BW34" s="171">
        <f>-3718</f>
        <v>-3718</v>
      </c>
      <c r="BX34" s="165">
        <f t="shared" si="84"/>
        <v>-3718</v>
      </c>
      <c r="BY34" s="172">
        <v>-1854</v>
      </c>
      <c r="BZ34" s="171">
        <v>-179</v>
      </c>
      <c r="CA34" s="171">
        <v>-399</v>
      </c>
      <c r="CB34" s="172">
        <f>-1155-SUM(BY34:CA34)</f>
        <v>1277</v>
      </c>
      <c r="CC34" s="165">
        <f t="shared" si="85"/>
        <v>-1155</v>
      </c>
      <c r="CD34" s="172">
        <v>-2925</v>
      </c>
      <c r="CE34" s="171">
        <v>-307</v>
      </c>
      <c r="CF34" s="171">
        <v>-365</v>
      </c>
      <c r="CG34" s="171">
        <f>-1559-SUM(CD34:CF34)</f>
        <v>2038</v>
      </c>
      <c r="CH34" s="165">
        <f t="shared" si="86"/>
        <v>-1559</v>
      </c>
      <c r="CI34" s="171">
        <v>-335</v>
      </c>
      <c r="CJ34" s="171">
        <v>-355</v>
      </c>
      <c r="CK34" s="171">
        <v>-365</v>
      </c>
      <c r="CL34" s="171">
        <f>-1438-SUM(CI34:CK34)</f>
        <v>-383</v>
      </c>
      <c r="CM34" s="165">
        <f t="shared" si="87"/>
        <v>-1438</v>
      </c>
      <c r="CN34" s="171">
        <v>-454</v>
      </c>
      <c r="CO34" s="171">
        <v>-459</v>
      </c>
      <c r="CP34" s="171">
        <v>-416</v>
      </c>
      <c r="CQ34" s="171">
        <f>-1852-SUM(CN34:CP34)</f>
        <v>-523</v>
      </c>
      <c r="CR34" s="165">
        <f t="shared" si="88"/>
        <v>-1852</v>
      </c>
      <c r="CS34" s="171">
        <v>-776</v>
      </c>
      <c r="CT34" s="171">
        <v>-721</v>
      </c>
      <c r="CU34" s="171">
        <v>-696</v>
      </c>
      <c r="CV34" s="171">
        <f>-2975-SUM(CS34:CU34)</f>
        <v>-782</v>
      </c>
      <c r="CW34" s="165">
        <f t="shared" si="89"/>
        <v>-2975</v>
      </c>
      <c r="CX34" s="477">
        <v>-529</v>
      </c>
      <c r="CY34" s="171">
        <v>-728</v>
      </c>
      <c r="CZ34" s="171">
        <v>-725</v>
      </c>
      <c r="DA34" s="171">
        <f>-2673-SUM(CX34:CZ34)</f>
        <v>-691</v>
      </c>
      <c r="DB34" s="165">
        <f t="shared" si="90"/>
        <v>-2673</v>
      </c>
      <c r="DC34" s="477">
        <v>-204</v>
      </c>
      <c r="DD34" s="171">
        <v>-226</v>
      </c>
      <c r="DE34" s="171">
        <v>-219</v>
      </c>
      <c r="DF34" s="171">
        <f>-865-SUM(DC34:DE34)</f>
        <v>-216</v>
      </c>
      <c r="DG34" s="165">
        <f t="shared" si="91"/>
        <v>-865</v>
      </c>
      <c r="DH34" s="477">
        <v>-212</v>
      </c>
      <c r="DI34" s="171">
        <v>-198</v>
      </c>
      <c r="DJ34" s="52">
        <f>DJ68*DI34/DI68</f>
        <v>-873.44929161365451</v>
      </c>
      <c r="DK34" s="52">
        <f>DK68*DJ34/DJ68</f>
        <v>-877.92455850791214</v>
      </c>
      <c r="DL34" s="165">
        <f t="shared" si="92"/>
        <v>-2161.3738501215666</v>
      </c>
      <c r="DM34" s="52">
        <f>DM68*DK34/DK68</f>
        <v>-882.42275519782834</v>
      </c>
      <c r="DN34" s="52">
        <f>DN68*DM34/DM68</f>
        <v>-886.9439991681345</v>
      </c>
      <c r="DO34" s="52">
        <f>DO68*DN34/DN68</f>
        <v>-891.48840850551505</v>
      </c>
      <c r="DP34" s="52">
        <f>DP68*DO34/DO68</f>
        <v>-896.05610190169182</v>
      </c>
      <c r="DQ34" s="165">
        <f t="shared" si="93"/>
        <v>-3556.9112647731695</v>
      </c>
      <c r="DR34" s="52">
        <f>DR68*DP34/DP68</f>
        <v>-900.64719865652432</v>
      </c>
      <c r="DS34" s="52">
        <f>DS68*DR34/DR68</f>
        <v>-905.26181868112474</v>
      </c>
      <c r="DT34" s="52">
        <f>DT68*DS34/DS68</f>
        <v>-909.90008250099049</v>
      </c>
      <c r="DU34" s="52">
        <f>DU68*DT34/DT68</f>
        <v>-914.56211125915218</v>
      </c>
      <c r="DV34" s="165">
        <f t="shared" si="94"/>
        <v>-3630.3712110977917</v>
      </c>
      <c r="DW34" s="52">
        <f>DW68*DU34/DU68</f>
        <v>-919.24802671933742</v>
      </c>
      <c r="DX34" s="52">
        <f>DX68*DW34/DW68</f>
        <v>-923.95795126915118</v>
      </c>
      <c r="DY34" s="52">
        <f>DY68*DX34/DX68</f>
        <v>-928.69200792327217</v>
      </c>
      <c r="DZ34" s="52">
        <f>DZ68*DY34/DY68</f>
        <v>-933.45032032666575</v>
      </c>
      <c r="EA34" s="165">
        <f t="shared" si="95"/>
        <v>-3705.3483062384266</v>
      </c>
      <c r="EB34" s="52">
        <f>EB68*DZ34/DZ68</f>
        <v>-938.23301275781353</v>
      </c>
      <c r="EC34" s="52">
        <f>EC68*EB34/EB68</f>
        <v>-943.04021013195904</v>
      </c>
      <c r="ED34" s="52">
        <f>ED68*EC34/EC68</f>
        <v>-947.87203800437101</v>
      </c>
      <c r="EE34" s="52">
        <f>EE68*ED34/ED68</f>
        <v>-952.72862257362101</v>
      </c>
      <c r="EF34" s="165">
        <f t="shared" si="96"/>
        <v>-3781.8738834677647</v>
      </c>
    </row>
    <row r="35" spans="1:137" ht="12.75" customHeight="1" outlineLevel="1">
      <c r="A35" s="9" t="s">
        <v>190</v>
      </c>
      <c r="B35" s="171"/>
      <c r="C35" s="171"/>
      <c r="D35" s="171"/>
      <c r="E35" s="171"/>
      <c r="F35" s="165">
        <f t="shared" si="70"/>
        <v>0</v>
      </c>
      <c r="G35" s="171"/>
      <c r="H35" s="171"/>
      <c r="I35" s="171"/>
      <c r="J35" s="171"/>
      <c r="K35" s="165">
        <f t="shared" si="71"/>
        <v>0</v>
      </c>
      <c r="L35" s="171"/>
      <c r="M35" s="171"/>
      <c r="N35" s="171"/>
      <c r="O35" s="171"/>
      <c r="P35" s="165">
        <f t="shared" si="72"/>
        <v>0</v>
      </c>
      <c r="Q35" s="171"/>
      <c r="R35" s="171"/>
      <c r="S35" s="171"/>
      <c r="T35" s="171"/>
      <c r="U35" s="165">
        <f t="shared" si="73"/>
        <v>0</v>
      </c>
      <c r="V35" s="171"/>
      <c r="W35" s="171"/>
      <c r="X35" s="171"/>
      <c r="Y35" s="171"/>
      <c r="Z35" s="165">
        <f t="shared" si="74"/>
        <v>0</v>
      </c>
      <c r="AA35" s="171"/>
      <c r="AB35" s="171"/>
      <c r="AC35" s="171"/>
      <c r="AD35" s="171"/>
      <c r="AE35" s="165">
        <f t="shared" si="75"/>
        <v>0</v>
      </c>
      <c r="AF35" s="171"/>
      <c r="AG35" s="171"/>
      <c r="AH35" s="171"/>
      <c r="AI35" s="171">
        <v>0</v>
      </c>
      <c r="AJ35" s="165">
        <f t="shared" si="76"/>
        <v>0</v>
      </c>
      <c r="AK35" s="171"/>
      <c r="AL35" s="171"/>
      <c r="AM35" s="171"/>
      <c r="AN35" s="171">
        <v>0</v>
      </c>
      <c r="AO35" s="165">
        <f t="shared" si="77"/>
        <v>0</v>
      </c>
      <c r="AP35" s="171"/>
      <c r="AQ35" s="171"/>
      <c r="AR35" s="171"/>
      <c r="AS35" s="171">
        <v>0</v>
      </c>
      <c r="AT35" s="165">
        <f t="shared" si="78"/>
        <v>0</v>
      </c>
      <c r="AU35" s="171"/>
      <c r="AV35" s="171"/>
      <c r="AW35" s="171"/>
      <c r="AX35" s="171">
        <v>0</v>
      </c>
      <c r="AY35" s="165">
        <f t="shared" si="79"/>
        <v>0</v>
      </c>
      <c r="AZ35" s="171"/>
      <c r="BA35" s="171"/>
      <c r="BB35" s="171"/>
      <c r="BC35" s="171">
        <v>0</v>
      </c>
      <c r="BD35" s="165">
        <f t="shared" si="80"/>
        <v>0</v>
      </c>
      <c r="BE35" s="171"/>
      <c r="BF35" s="171"/>
      <c r="BG35" s="171"/>
      <c r="BH35" s="171">
        <v>0</v>
      </c>
      <c r="BI35" s="165">
        <f t="shared" si="81"/>
        <v>0</v>
      </c>
      <c r="BJ35" s="171"/>
      <c r="BK35" s="171"/>
      <c r="BL35" s="171"/>
      <c r="BM35" s="171">
        <v>0</v>
      </c>
      <c r="BN35" s="165">
        <f t="shared" si="82"/>
        <v>0</v>
      </c>
      <c r="BO35" s="171"/>
      <c r="BP35" s="171"/>
      <c r="BQ35" s="171"/>
      <c r="BR35" s="171">
        <v>0</v>
      </c>
      <c r="BS35" s="165">
        <f t="shared" si="83"/>
        <v>0</v>
      </c>
      <c r="BT35" s="171">
        <v>0</v>
      </c>
      <c r="BU35" s="171">
        <v>0</v>
      </c>
      <c r="BV35" s="171">
        <v>0</v>
      </c>
      <c r="BW35" s="171">
        <v>0</v>
      </c>
      <c r="BX35" s="165">
        <f t="shared" si="84"/>
        <v>0</v>
      </c>
      <c r="BY35" s="171">
        <v>0</v>
      </c>
      <c r="BZ35" s="171">
        <v>0</v>
      </c>
      <c r="CA35" s="171">
        <v>0</v>
      </c>
      <c r="CB35" s="171">
        <v>0</v>
      </c>
      <c r="CC35" s="165">
        <f t="shared" si="85"/>
        <v>0</v>
      </c>
      <c r="CD35" s="171">
        <v>0</v>
      </c>
      <c r="CE35" s="171">
        <v>0</v>
      </c>
      <c r="CF35" s="171">
        <v>0</v>
      </c>
      <c r="CG35" s="171">
        <v>0</v>
      </c>
      <c r="CH35" s="165">
        <f t="shared" si="86"/>
        <v>0</v>
      </c>
      <c r="CI35" s="171">
        <v>0</v>
      </c>
      <c r="CJ35" s="171">
        <v>0</v>
      </c>
      <c r="CK35" s="171">
        <v>0</v>
      </c>
      <c r="CL35" s="171">
        <v>0</v>
      </c>
      <c r="CM35" s="165">
        <f t="shared" si="87"/>
        <v>0</v>
      </c>
      <c r="CN35" s="171">
        <v>0</v>
      </c>
      <c r="CO35" s="171">
        <v>0</v>
      </c>
      <c r="CP35" s="171">
        <v>0</v>
      </c>
      <c r="CQ35" s="171">
        <v>0</v>
      </c>
      <c r="CR35" s="165">
        <f t="shared" si="88"/>
        <v>0</v>
      </c>
      <c r="CS35" s="171">
        <v>0</v>
      </c>
      <c r="CT35" s="171">
        <v>0</v>
      </c>
      <c r="CU35" s="171">
        <v>0</v>
      </c>
      <c r="CV35" s="171">
        <v>0</v>
      </c>
      <c r="CW35" s="165">
        <f t="shared" si="89"/>
        <v>0</v>
      </c>
      <c r="CX35" s="171">
        <v>0</v>
      </c>
      <c r="CY35" s="171">
        <v>0</v>
      </c>
      <c r="CZ35" s="171">
        <v>0</v>
      </c>
      <c r="DA35" s="171">
        <v>0</v>
      </c>
      <c r="DB35" s="165">
        <f t="shared" si="90"/>
        <v>0</v>
      </c>
      <c r="DC35" s="171">
        <v>0</v>
      </c>
      <c r="DD35" s="171">
        <v>0</v>
      </c>
      <c r="DE35" s="171">
        <v>0</v>
      </c>
      <c r="DF35" s="171">
        <v>0</v>
      </c>
      <c r="DG35" s="165">
        <f t="shared" si="91"/>
        <v>0</v>
      </c>
      <c r="DH35" s="171">
        <v>0</v>
      </c>
      <c r="DI35" s="171">
        <v>0</v>
      </c>
      <c r="DJ35" s="171">
        <f>DI35</f>
        <v>0</v>
      </c>
      <c r="DK35" s="171">
        <f>DJ35</f>
        <v>0</v>
      </c>
      <c r="DL35" s="165">
        <f t="shared" si="92"/>
        <v>0</v>
      </c>
      <c r="DM35" s="171">
        <f>DK35</f>
        <v>0</v>
      </c>
      <c r="DN35" s="171">
        <f>DM35</f>
        <v>0</v>
      </c>
      <c r="DO35" s="171">
        <f>DN35</f>
        <v>0</v>
      </c>
      <c r="DP35" s="171">
        <f>DO35</f>
        <v>0</v>
      </c>
      <c r="DQ35" s="165">
        <f t="shared" si="93"/>
        <v>0</v>
      </c>
      <c r="DR35" s="171">
        <f>DP35</f>
        <v>0</v>
      </c>
      <c r="DS35" s="171">
        <f>DR35</f>
        <v>0</v>
      </c>
      <c r="DT35" s="171">
        <f>DS35</f>
        <v>0</v>
      </c>
      <c r="DU35" s="171">
        <f>DT35</f>
        <v>0</v>
      </c>
      <c r="DV35" s="165">
        <f t="shared" si="94"/>
        <v>0</v>
      </c>
      <c r="DW35" s="171">
        <f>DU35</f>
        <v>0</v>
      </c>
      <c r="DX35" s="171">
        <f>DW35</f>
        <v>0</v>
      </c>
      <c r="DY35" s="171">
        <f>DX35</f>
        <v>0</v>
      </c>
      <c r="DZ35" s="171">
        <f>DY35</f>
        <v>0</v>
      </c>
      <c r="EA35" s="165">
        <f t="shared" si="95"/>
        <v>0</v>
      </c>
      <c r="EB35" s="171">
        <f>DZ35</f>
        <v>0</v>
      </c>
      <c r="EC35" s="171">
        <f>EB35</f>
        <v>0</v>
      </c>
      <c r="ED35" s="171">
        <f>EC35</f>
        <v>0</v>
      </c>
      <c r="EE35" s="171">
        <f>ED35</f>
        <v>0</v>
      </c>
      <c r="EF35" s="165">
        <f t="shared" si="96"/>
        <v>0</v>
      </c>
    </row>
    <row r="36" spans="1:137" ht="12.75" customHeight="1">
      <c r="A36" s="9" t="s">
        <v>36</v>
      </c>
      <c r="B36" s="171"/>
      <c r="C36" s="171"/>
      <c r="D36" s="171"/>
      <c r="E36" s="171"/>
      <c r="F36" s="165">
        <f t="shared" si="70"/>
        <v>0</v>
      </c>
      <c r="G36" s="171"/>
      <c r="H36" s="171"/>
      <c r="I36" s="171"/>
      <c r="J36" s="171"/>
      <c r="K36" s="165">
        <f t="shared" si="71"/>
        <v>0</v>
      </c>
      <c r="L36" s="171"/>
      <c r="M36" s="171"/>
      <c r="N36" s="171"/>
      <c r="O36" s="171"/>
      <c r="P36" s="165">
        <f t="shared" si="72"/>
        <v>0</v>
      </c>
      <c r="Q36" s="171"/>
      <c r="R36" s="171"/>
      <c r="S36" s="171"/>
      <c r="T36" s="171"/>
      <c r="U36" s="165">
        <f t="shared" si="73"/>
        <v>0</v>
      </c>
      <c r="V36" s="171"/>
      <c r="W36" s="171"/>
      <c r="X36" s="171"/>
      <c r="Y36" s="171"/>
      <c r="Z36" s="165">
        <f t="shared" si="74"/>
        <v>0</v>
      </c>
      <c r="AA36" s="171"/>
      <c r="AB36" s="171"/>
      <c r="AC36" s="171"/>
      <c r="AD36" s="171"/>
      <c r="AE36" s="165">
        <f t="shared" si="75"/>
        <v>0</v>
      </c>
      <c r="AF36" s="171"/>
      <c r="AG36" s="171"/>
      <c r="AH36" s="171"/>
      <c r="AI36" s="171">
        <v>0</v>
      </c>
      <c r="AJ36" s="165">
        <f t="shared" si="76"/>
        <v>0</v>
      </c>
      <c r="AK36" s="171"/>
      <c r="AL36" s="171"/>
      <c r="AM36" s="171"/>
      <c r="AN36" s="171">
        <v>0</v>
      </c>
      <c r="AO36" s="165">
        <f t="shared" si="77"/>
        <v>0</v>
      </c>
      <c r="AP36" s="171"/>
      <c r="AQ36" s="171"/>
      <c r="AR36" s="171"/>
      <c r="AS36" s="171">
        <f>12836.41-SUM(AP36:AR36)</f>
        <v>12836.41</v>
      </c>
      <c r="AT36" s="165">
        <f t="shared" si="78"/>
        <v>12836.41</v>
      </c>
      <c r="AU36" s="171"/>
      <c r="AV36" s="171"/>
      <c r="AW36" s="171"/>
      <c r="AX36" s="171">
        <f>2995.612-SUM(AU36:AW36)</f>
        <v>2995.6120000000001</v>
      </c>
      <c r="AY36" s="165">
        <f t="shared" si="79"/>
        <v>2995.6120000000001</v>
      </c>
      <c r="AZ36" s="171"/>
      <c r="BA36" s="171"/>
      <c r="BB36" s="171"/>
      <c r="BC36" s="171">
        <f>7534-SUM(AZ36:BB36)</f>
        <v>7534</v>
      </c>
      <c r="BD36" s="165">
        <f t="shared" si="80"/>
        <v>7534</v>
      </c>
      <c r="BE36" s="171"/>
      <c r="BF36" s="171"/>
      <c r="BG36" s="171"/>
      <c r="BH36" s="171">
        <f>8164-SUM(BE36:BG36)</f>
        <v>8164</v>
      </c>
      <c r="BI36" s="165">
        <f t="shared" si="81"/>
        <v>8164</v>
      </c>
      <c r="BJ36" s="171"/>
      <c r="BK36" s="171"/>
      <c r="BL36" s="171"/>
      <c r="BM36" s="171">
        <f>-355-SUM(BJ36:BL36)</f>
        <v>-355</v>
      </c>
      <c r="BN36" s="165">
        <f t="shared" si="82"/>
        <v>-355</v>
      </c>
      <c r="BO36" s="171"/>
      <c r="BP36" s="171"/>
      <c r="BQ36" s="171"/>
      <c r="BR36" s="171">
        <v>1042</v>
      </c>
      <c r="BS36" s="165">
        <f t="shared" si="83"/>
        <v>1042</v>
      </c>
      <c r="BT36" s="171"/>
      <c r="BU36" s="171"/>
      <c r="BV36" s="171"/>
      <c r="BW36" s="171">
        <v>-498</v>
      </c>
      <c r="BX36" s="165">
        <f t="shared" si="84"/>
        <v>-498</v>
      </c>
      <c r="BY36" s="171">
        <v>-359</v>
      </c>
      <c r="BZ36" s="171">
        <v>-1062</v>
      </c>
      <c r="CA36" s="171">
        <v>849</v>
      </c>
      <c r="CB36" s="171">
        <f>1486-SUM(BY36:CA36)</f>
        <v>2058</v>
      </c>
      <c r="CC36" s="165">
        <f t="shared" si="85"/>
        <v>1486</v>
      </c>
      <c r="CD36" s="171">
        <v>791</v>
      </c>
      <c r="CE36" s="171">
        <v>195</v>
      </c>
      <c r="CF36" s="171">
        <v>336</v>
      </c>
      <c r="CG36" s="171">
        <f>2360-SUM(CD36:CF36)</f>
        <v>1038</v>
      </c>
      <c r="CH36" s="165">
        <f t="shared" si="86"/>
        <v>2360</v>
      </c>
      <c r="CI36" s="171">
        <v>1138</v>
      </c>
      <c r="CJ36" s="171">
        <v>1726</v>
      </c>
      <c r="CK36" s="171">
        <v>-946</v>
      </c>
      <c r="CL36" s="171">
        <f>927-SUM(CI36:CK36)</f>
        <v>-991</v>
      </c>
      <c r="CM36" s="165">
        <f t="shared" si="87"/>
        <v>927</v>
      </c>
      <c r="CN36" s="171">
        <v>-311</v>
      </c>
      <c r="CO36" s="171">
        <v>-141</v>
      </c>
      <c r="CP36" s="171">
        <v>976</v>
      </c>
      <c r="CQ36" s="171">
        <f>379-SUM(CN36:CP36)</f>
        <v>-145</v>
      </c>
      <c r="CR36" s="165">
        <f t="shared" si="88"/>
        <v>379</v>
      </c>
      <c r="CS36" s="171">
        <v>-110</v>
      </c>
      <c r="CT36" s="171">
        <v>696</v>
      </c>
      <c r="CU36" s="171">
        <v>-295</v>
      </c>
      <c r="CV36" s="171">
        <f>1647-SUM(CS36:CU36)</f>
        <v>1356</v>
      </c>
      <c r="CW36" s="165">
        <f t="shared" si="89"/>
        <v>1647</v>
      </c>
      <c r="CX36" s="171">
        <v>1299</v>
      </c>
      <c r="CY36" s="171">
        <v>2806</v>
      </c>
      <c r="CZ36" s="171">
        <v>3390</v>
      </c>
      <c r="DA36" s="171">
        <f>8539-SUM(CX36:CZ36)</f>
        <v>1044</v>
      </c>
      <c r="DB36" s="165">
        <f t="shared" si="90"/>
        <v>8539</v>
      </c>
      <c r="DC36" s="171">
        <v>688</v>
      </c>
      <c r="DD36" s="171">
        <v>1091</v>
      </c>
      <c r="DE36" s="171">
        <v>2474</v>
      </c>
      <c r="DF36" s="171">
        <f>7390-SUM(DC36:DE36)</f>
        <v>3137</v>
      </c>
      <c r="DG36" s="165">
        <f t="shared" si="91"/>
        <v>7390</v>
      </c>
      <c r="DH36" s="171">
        <v>2282</v>
      </c>
      <c r="DI36" s="171">
        <v>1014</v>
      </c>
      <c r="DJ36" s="171">
        <f>15%*('Balance Sheet'!DI20-'Balance Sheet'!DI136)/4</f>
        <v>1142.6624999999999</v>
      </c>
      <c r="DK36" s="171">
        <f>15%*('Balance Sheet'!DJ20-'Balance Sheet'!DJ136)/4</f>
        <v>1164.087421875</v>
      </c>
      <c r="DL36" s="165">
        <f t="shared" si="92"/>
        <v>5602.7499218749999</v>
      </c>
      <c r="DM36" s="171">
        <f>15%*('Balance Sheet'!DL20-'Balance Sheet'!DL136)/4</f>
        <v>1185.9140610351562</v>
      </c>
      <c r="DN36" s="171">
        <f>15%*('Balance Sheet'!DM20-'Balance Sheet'!DM136)/4</f>
        <v>1208.1499496795655</v>
      </c>
      <c r="DO36" s="171">
        <f>15%*('Balance Sheet'!DN20-'Balance Sheet'!DN136)/4</f>
        <v>1230.8027612360572</v>
      </c>
      <c r="DP36" s="171">
        <f>15%*('Balance Sheet'!DO20-'Balance Sheet'!DO136)/4</f>
        <v>1253.8803130092333</v>
      </c>
      <c r="DQ36" s="165">
        <f t="shared" si="93"/>
        <v>4878.7470849600122</v>
      </c>
      <c r="DR36" s="171">
        <f>15%*('Balance Sheet'!DQ20-'Balance Sheet'!DQ136)/4</f>
        <v>1277.3905688781563</v>
      </c>
      <c r="DS36" s="171">
        <f>15%*('Balance Sheet'!DR20-'Balance Sheet'!DR136)/4</f>
        <v>1301.3416420446217</v>
      </c>
      <c r="DT36" s="171">
        <f>15%*('Balance Sheet'!DS20-'Balance Sheet'!DS136)/4</f>
        <v>1325.7417978329584</v>
      </c>
      <c r="DU36" s="171">
        <f>15%*('Balance Sheet'!DT20-'Balance Sheet'!DT136)/4</f>
        <v>1350.5994565423264</v>
      </c>
      <c r="DV36" s="165">
        <f t="shared" si="94"/>
        <v>5255.0734652980627</v>
      </c>
      <c r="DW36" s="171">
        <f>15%*('Balance Sheet'!DV20-'Balance Sheet'!DV136)/4</f>
        <v>1375.9231963524951</v>
      </c>
      <c r="DX36" s="171">
        <f>15%*('Balance Sheet'!DW20-'Balance Sheet'!DW136)/4</f>
        <v>1401.7217562841042</v>
      </c>
      <c r="DY36" s="171">
        <f>15%*('Balance Sheet'!DX20-'Balance Sheet'!DX136)/4</f>
        <v>1428.0040392144313</v>
      </c>
      <c r="DZ36" s="171">
        <f>15%*('Balance Sheet'!DY20-'Balance Sheet'!DY136)/4</f>
        <v>1454.7791149497018</v>
      </c>
      <c r="EA36" s="165">
        <f t="shared" si="95"/>
        <v>5660.4281068007322</v>
      </c>
      <c r="EB36" s="171">
        <f>15%*('Balance Sheet'!EA20-'Balance Sheet'!EA136)/4</f>
        <v>1482.0562233550088</v>
      </c>
      <c r="EC36" s="171">
        <f>15%*('Balance Sheet'!EB20-'Balance Sheet'!EB136)/4</f>
        <v>1509.8447775429154</v>
      </c>
      <c r="ED36" s="171">
        <f>15%*('Balance Sheet'!EC20-'Balance Sheet'!EC136)/4</f>
        <v>1538.1543671218449</v>
      </c>
      <c r="EE36" s="171">
        <f>15%*('Balance Sheet'!ED20-'Balance Sheet'!ED136)/4</f>
        <v>1566.9947615053795</v>
      </c>
      <c r="EF36" s="165">
        <f t="shared" si="96"/>
        <v>6097.0501295251488</v>
      </c>
    </row>
    <row r="37" spans="1:137" ht="12.75" customHeight="1" outlineLevel="1">
      <c r="A37" s="15" t="s">
        <v>37</v>
      </c>
      <c r="B37" s="166">
        <f>B16+B17</f>
        <v>0</v>
      </c>
      <c r="C37" s="166">
        <f>C16+C17</f>
        <v>0</v>
      </c>
      <c r="D37" s="166">
        <f>D16+D17</f>
        <v>0</v>
      </c>
      <c r="E37" s="166">
        <f>E16+E17</f>
        <v>0</v>
      </c>
      <c r="F37" s="167">
        <f t="shared" si="70"/>
        <v>0</v>
      </c>
      <c r="G37" s="166">
        <f>G16+G17</f>
        <v>0</v>
      </c>
      <c r="H37" s="166">
        <f>H16+H17</f>
        <v>0</v>
      </c>
      <c r="I37" s="166">
        <f>I16+I17</f>
        <v>0</v>
      </c>
      <c r="J37" s="166">
        <f>J16+J17</f>
        <v>0</v>
      </c>
      <c r="K37" s="167">
        <f t="shared" si="71"/>
        <v>0</v>
      </c>
      <c r="L37" s="166">
        <f>L16+L17</f>
        <v>0</v>
      </c>
      <c r="M37" s="166">
        <f>M16+M17</f>
        <v>0</v>
      </c>
      <c r="N37" s="166">
        <f>N16+N17</f>
        <v>0</v>
      </c>
      <c r="O37" s="166">
        <f>O16+O17</f>
        <v>0</v>
      </c>
      <c r="P37" s="167">
        <f t="shared" si="72"/>
        <v>0</v>
      </c>
      <c r="Q37" s="166">
        <f>Q16+Q17</f>
        <v>0</v>
      </c>
      <c r="R37" s="166">
        <f>R16+R17</f>
        <v>0</v>
      </c>
      <c r="S37" s="166">
        <f>S16+S17</f>
        <v>0</v>
      </c>
      <c r="T37" s="166">
        <f>T16+T17</f>
        <v>0</v>
      </c>
      <c r="U37" s="167">
        <f t="shared" si="73"/>
        <v>0</v>
      </c>
      <c r="V37" s="166">
        <f>V16+V17</f>
        <v>0</v>
      </c>
      <c r="W37" s="166">
        <f>W16+W17</f>
        <v>0</v>
      </c>
      <c r="X37" s="166">
        <f>X16+X17</f>
        <v>0</v>
      </c>
      <c r="Y37" s="166">
        <f>Y16+Y17</f>
        <v>0</v>
      </c>
      <c r="Z37" s="167">
        <f t="shared" si="74"/>
        <v>0</v>
      </c>
      <c r="AA37" s="166">
        <f>AA16+AA17</f>
        <v>0</v>
      </c>
      <c r="AB37" s="166">
        <f>AB16+AB17</f>
        <v>0</v>
      </c>
      <c r="AC37" s="166">
        <f>AC16+AC17</f>
        <v>0</v>
      </c>
      <c r="AD37" s="166">
        <f>AD16+AD17</f>
        <v>0</v>
      </c>
      <c r="AE37" s="167">
        <f t="shared" si="75"/>
        <v>0</v>
      </c>
      <c r="AF37" s="166">
        <f>AF16+AF17</f>
        <v>0</v>
      </c>
      <c r="AG37" s="166">
        <f>AG16+AG17</f>
        <v>0</v>
      </c>
      <c r="AH37" s="166">
        <f>AH16+AH17</f>
        <v>0</v>
      </c>
      <c r="AI37" s="166">
        <f>AI16+AI17</f>
        <v>58071.810000000027</v>
      </c>
      <c r="AJ37" s="167">
        <f t="shared" si="76"/>
        <v>58071.810000000027</v>
      </c>
      <c r="AK37" s="166">
        <f>AK16+AK17</f>
        <v>0</v>
      </c>
      <c r="AL37" s="166">
        <f>AL16+AL17</f>
        <v>0</v>
      </c>
      <c r="AM37" s="166">
        <f>AM16+AM17</f>
        <v>0</v>
      </c>
      <c r="AN37" s="166">
        <f>AN16+AN17</f>
        <v>101770.817</v>
      </c>
      <c r="AO37" s="167">
        <f t="shared" si="77"/>
        <v>101770.817</v>
      </c>
      <c r="AP37" s="166">
        <f>AP16+AP17</f>
        <v>0</v>
      </c>
      <c r="AQ37" s="166">
        <f>AQ16+AQ17</f>
        <v>0</v>
      </c>
      <c r="AR37" s="166">
        <f>AR16+AR17</f>
        <v>0</v>
      </c>
      <c r="AS37" s="166">
        <f>AS16+AS17</f>
        <v>134961.81400000001</v>
      </c>
      <c r="AT37" s="167">
        <f t="shared" si="78"/>
        <v>134961.81400000001</v>
      </c>
      <c r="AU37" s="166">
        <f>AU16+AU17</f>
        <v>0</v>
      </c>
      <c r="AV37" s="166">
        <f>AV16+AV17</f>
        <v>0</v>
      </c>
      <c r="AW37" s="166">
        <f>AW16+AW17</f>
        <v>0</v>
      </c>
      <c r="AX37" s="166">
        <f>AX16+AX17</f>
        <v>185290.56399999995</v>
      </c>
      <c r="AY37" s="167">
        <f t="shared" si="79"/>
        <v>185290.56399999995</v>
      </c>
      <c r="AZ37" s="166">
        <f>AZ16+AZ17</f>
        <v>0</v>
      </c>
      <c r="BA37" s="166">
        <f>BA16+BA17</f>
        <v>0</v>
      </c>
      <c r="BB37" s="166">
        <f>BB16+BB17</f>
        <v>0</v>
      </c>
      <c r="BC37" s="166">
        <f>BC16+BC17</f>
        <v>184594</v>
      </c>
      <c r="BD37" s="167">
        <f t="shared" si="80"/>
        <v>184594</v>
      </c>
      <c r="BE37" s="166">
        <f>BE16+BE17</f>
        <v>0</v>
      </c>
      <c r="BF37" s="166">
        <f>BF16+BF17</f>
        <v>0</v>
      </c>
      <c r="BG37" s="166">
        <f>BG16+BG17</f>
        <v>0</v>
      </c>
      <c r="BH37" s="166">
        <f>BH16+BH17</f>
        <v>171769</v>
      </c>
      <c r="BI37" s="167">
        <f t="shared" si="81"/>
        <v>171769</v>
      </c>
      <c r="BJ37" s="166">
        <f>BJ16+BJ17</f>
        <v>0</v>
      </c>
      <c r="BK37" s="166">
        <f>BK16+BK17</f>
        <v>0</v>
      </c>
      <c r="BL37" s="166">
        <f>BL16+BL17</f>
        <v>0</v>
      </c>
      <c r="BM37" s="166">
        <f>BM16+BM17</f>
        <v>123109</v>
      </c>
      <c r="BN37" s="167">
        <f t="shared" si="82"/>
        <v>123109</v>
      </c>
      <c r="BO37" s="166">
        <f>BO16+BO17</f>
        <v>0</v>
      </c>
      <c r="BP37" s="166">
        <f>BP16+BP17</f>
        <v>0</v>
      </c>
      <c r="BQ37" s="166">
        <f>BQ16+BQ17</f>
        <v>0</v>
      </c>
      <c r="BR37" s="166">
        <f>BR16+BR17</f>
        <v>142596</v>
      </c>
      <c r="BS37" s="167">
        <f t="shared" si="83"/>
        <v>142596</v>
      </c>
      <c r="BT37" s="166">
        <f>BT16+BT17</f>
        <v>0</v>
      </c>
      <c r="BU37" s="166">
        <f>BU16+BU17</f>
        <v>0</v>
      </c>
      <c r="BV37" s="166">
        <f>BV16+BV17</f>
        <v>0</v>
      </c>
      <c r="BW37" s="166">
        <f>BW16+BW17</f>
        <v>194461</v>
      </c>
      <c r="BX37" s="167">
        <f t="shared" si="84"/>
        <v>194461</v>
      </c>
      <c r="BY37" s="166">
        <f>BY16+BY17</f>
        <v>28257</v>
      </c>
      <c r="BZ37" s="166">
        <f>BZ16+BZ17</f>
        <v>79268</v>
      </c>
      <c r="CA37" s="166">
        <f>CA16+CA17</f>
        <v>45183</v>
      </c>
      <c r="CB37" s="166">
        <f>CB16+CB17</f>
        <v>73387</v>
      </c>
      <c r="CC37" s="167">
        <f t="shared" si="85"/>
        <v>226095</v>
      </c>
      <c r="CD37" s="166">
        <f>CD16+CD17</f>
        <v>23155</v>
      </c>
      <c r="CE37" s="166">
        <f>CE16+CE17</f>
        <v>45884</v>
      </c>
      <c r="CF37" s="166">
        <f>CF16+CF17</f>
        <v>66118</v>
      </c>
      <c r="CG37" s="166">
        <f>CG16+CG17</f>
        <v>81055</v>
      </c>
      <c r="CH37" s="167">
        <f t="shared" si="86"/>
        <v>216212</v>
      </c>
      <c r="CI37" s="166">
        <f>CI16+CI17</f>
        <v>58947</v>
      </c>
      <c r="CJ37" s="166">
        <f>CJ16+CJ17</f>
        <v>85365</v>
      </c>
      <c r="CK37" s="166">
        <f>CK16+CK17</f>
        <v>84976</v>
      </c>
      <c r="CL37" s="166">
        <f>CL16+CL17</f>
        <v>122353</v>
      </c>
      <c r="CM37" s="167">
        <f t="shared" si="87"/>
        <v>351641</v>
      </c>
      <c r="CN37" s="166">
        <f>CN16+CN17</f>
        <v>74988</v>
      </c>
      <c r="CO37" s="166">
        <f>CO16+CO17</f>
        <v>107387</v>
      </c>
      <c r="CP37" s="166">
        <f>CP16+CP17</f>
        <v>110405</v>
      </c>
      <c r="CQ37" s="166">
        <f>CQ16+CQ17</f>
        <v>112224</v>
      </c>
      <c r="CR37" s="167">
        <f t="shared" si="88"/>
        <v>405004</v>
      </c>
      <c r="CS37" s="166">
        <f>CS16+CS17</f>
        <v>109392</v>
      </c>
      <c r="CT37" s="166">
        <f>CT16+CT17</f>
        <v>142265</v>
      </c>
      <c r="CU37" s="166">
        <f>CU16+CU17</f>
        <v>132019</v>
      </c>
      <c r="CV37" s="166">
        <f>CV16+CV17</f>
        <v>184353</v>
      </c>
      <c r="CW37" s="167">
        <f t="shared" si="89"/>
        <v>568029</v>
      </c>
      <c r="CX37" s="166">
        <f>CX16+CX17</f>
        <v>174256</v>
      </c>
      <c r="CY37" s="166">
        <f>CY16+CY17</f>
        <v>196190</v>
      </c>
      <c r="CZ37" s="166">
        <f>CZ16+CZ17</f>
        <v>203590</v>
      </c>
      <c r="DA37" s="166">
        <f>DA16+DA17</f>
        <v>214560</v>
      </c>
      <c r="DB37" s="167">
        <f t="shared" si="90"/>
        <v>788596</v>
      </c>
      <c r="DC37" s="166">
        <f>DC16+DC17</f>
        <v>264667</v>
      </c>
      <c r="DD37" s="166">
        <f>DD16+DD17</f>
        <v>298596</v>
      </c>
      <c r="DE37" s="166">
        <f>DE16+DE17</f>
        <v>319973</v>
      </c>
      <c r="DF37" s="166">
        <f>DF16+DF17</f>
        <v>337010</v>
      </c>
      <c r="DG37" s="167">
        <f t="shared" si="91"/>
        <v>1220246</v>
      </c>
      <c r="DH37" s="166">
        <f>DH16+DH17</f>
        <v>392436</v>
      </c>
      <c r="DI37" s="166">
        <f>DI16+DI17</f>
        <v>356305</v>
      </c>
      <c r="DJ37" s="166">
        <f ca="1">DJ16+DJ17</f>
        <v>384038.84438960347</v>
      </c>
      <c r="DK37" s="166">
        <f ca="1">DK16+DK17</f>
        <v>444716.232788119</v>
      </c>
      <c r="DL37" s="167">
        <f t="shared" ca="1" si="92"/>
        <v>1577496.0771777225</v>
      </c>
      <c r="DM37" s="166">
        <f ca="1">DM16+DM17</f>
        <v>444420.43367186619</v>
      </c>
      <c r="DN37" s="166">
        <f ca="1">DN16+DN17</f>
        <v>458696.18572926283</v>
      </c>
      <c r="DO37" s="166">
        <f ca="1">DO16+DO17</f>
        <v>464668.55710972875</v>
      </c>
      <c r="DP37" s="166">
        <f ca="1">DP16+DP17</f>
        <v>478867.89482466306</v>
      </c>
      <c r="DQ37" s="167">
        <f t="shared" ca="1" si="93"/>
        <v>1846653.0713355206</v>
      </c>
      <c r="DR37" s="166">
        <f ca="1">DR16+DR17</f>
        <v>496192.44596448436</v>
      </c>
      <c r="DS37" s="166">
        <f ca="1">DS16+DS17</f>
        <v>494992.23535073275</v>
      </c>
      <c r="DT37" s="166">
        <f ca="1">DT16+DT17</f>
        <v>511224.95180133666</v>
      </c>
      <c r="DU37" s="166">
        <f ca="1">DU16+DU17</f>
        <v>531129.87342469161</v>
      </c>
      <c r="DV37" s="167">
        <f t="shared" ca="1" si="94"/>
        <v>2033539.5065412454</v>
      </c>
      <c r="DW37" s="166">
        <f ca="1">DW16+DW17</f>
        <v>528440.16031695914</v>
      </c>
      <c r="DX37" s="166">
        <f ca="1">DX16+DX17</f>
        <v>525333.90153442882</v>
      </c>
      <c r="DY37" s="166">
        <f ca="1">DY16+DY17</f>
        <v>544634.21706097818</v>
      </c>
      <c r="DZ37" s="166">
        <f ca="1">DZ16+DZ17</f>
        <v>564300.64440691355</v>
      </c>
      <c r="EA37" s="167">
        <f t="shared" ca="1" si="95"/>
        <v>2162708.9233192792</v>
      </c>
      <c r="EB37" s="166">
        <f ca="1">EB16+EB17</f>
        <v>560394.54251565714</v>
      </c>
      <c r="EC37" s="166">
        <f ca="1">EC16+EC17</f>
        <v>556156.68319637049</v>
      </c>
      <c r="ED37" s="166">
        <f ca="1">ED16+ED17</f>
        <v>575513.92088162247</v>
      </c>
      <c r="EE37" s="166">
        <f ca="1">EE16+EE17</f>
        <v>595200.58169283171</v>
      </c>
      <c r="EF37" s="167">
        <f t="shared" ca="1" si="96"/>
        <v>2287265.7282864819</v>
      </c>
      <c r="EG37" s="162"/>
    </row>
    <row r="38" spans="1:137" ht="12.75" customHeight="1" outlineLevel="1">
      <c r="A38" s="15" t="s">
        <v>192</v>
      </c>
      <c r="B38" s="186">
        <v>0</v>
      </c>
      <c r="C38" s="186">
        <v>0</v>
      </c>
      <c r="D38" s="186">
        <v>0</v>
      </c>
      <c r="E38" s="186">
        <v>0</v>
      </c>
      <c r="F38" s="167">
        <v>0</v>
      </c>
      <c r="G38" s="186">
        <v>0</v>
      </c>
      <c r="H38" s="186">
        <v>0</v>
      </c>
      <c r="I38" s="186">
        <v>0</v>
      </c>
      <c r="J38" s="186">
        <v>0</v>
      </c>
      <c r="K38" s="167">
        <v>0</v>
      </c>
      <c r="L38" s="186">
        <v>0</v>
      </c>
      <c r="M38" s="186">
        <v>0</v>
      </c>
      <c r="N38" s="186">
        <v>0</v>
      </c>
      <c r="O38" s="186">
        <v>0</v>
      </c>
      <c r="P38" s="167">
        <v>0</v>
      </c>
      <c r="Q38" s="186">
        <v>0</v>
      </c>
      <c r="R38" s="186">
        <v>0</v>
      </c>
      <c r="S38" s="186">
        <v>0</v>
      </c>
      <c r="T38" s="186">
        <v>0</v>
      </c>
      <c r="U38" s="167">
        <v>0</v>
      </c>
      <c r="V38" s="186">
        <v>0</v>
      </c>
      <c r="W38" s="186">
        <v>0</v>
      </c>
      <c r="X38" s="186">
        <v>0</v>
      </c>
      <c r="Y38" s="186">
        <v>0</v>
      </c>
      <c r="Z38" s="167">
        <v>0</v>
      </c>
      <c r="AA38" s="186">
        <v>0</v>
      </c>
      <c r="AB38" s="186">
        <v>0</v>
      </c>
      <c r="AC38" s="186">
        <v>0</v>
      </c>
      <c r="AD38" s="186">
        <v>0</v>
      </c>
      <c r="AE38" s="167">
        <v>0</v>
      </c>
      <c r="AF38" s="162">
        <f>AD38</f>
        <v>0</v>
      </c>
      <c r="AG38" s="162">
        <f>AF38</f>
        <v>0</v>
      </c>
      <c r="AH38" s="162">
        <f>AG38</f>
        <v>0</v>
      </c>
      <c r="AI38" s="162">
        <f>AH38</f>
        <v>0</v>
      </c>
      <c r="AJ38" s="167">
        <f t="shared" si="76"/>
        <v>0</v>
      </c>
      <c r="AK38" s="162">
        <f>AI38</f>
        <v>0</v>
      </c>
      <c r="AL38" s="162">
        <f>AK38</f>
        <v>0</v>
      </c>
      <c r="AM38" s="162">
        <f>AL38</f>
        <v>0</v>
      </c>
      <c r="AN38" s="162">
        <f>AM38</f>
        <v>0</v>
      </c>
      <c r="AO38" s="167">
        <f t="shared" si="77"/>
        <v>0</v>
      </c>
      <c r="AP38" s="162">
        <f>AN38</f>
        <v>0</v>
      </c>
      <c r="AQ38" s="162">
        <f>AP38</f>
        <v>0</v>
      </c>
      <c r="AR38" s="162">
        <f>AQ38</f>
        <v>0</v>
      </c>
      <c r="AS38" s="162">
        <f>AR38</f>
        <v>0</v>
      </c>
      <c r="AT38" s="167">
        <f t="shared" si="78"/>
        <v>0</v>
      </c>
      <c r="AU38" s="162">
        <f>AS38</f>
        <v>0</v>
      </c>
      <c r="AV38" s="162">
        <f>AU38</f>
        <v>0</v>
      </c>
      <c r="AW38" s="162">
        <f>AV38</f>
        <v>0</v>
      </c>
      <c r="AX38" s="162">
        <f>AW38</f>
        <v>0</v>
      </c>
      <c r="AY38" s="167">
        <f t="shared" si="79"/>
        <v>0</v>
      </c>
      <c r="AZ38" s="162">
        <f>AX38</f>
        <v>0</v>
      </c>
      <c r="BA38" s="162">
        <f>AZ38</f>
        <v>0</v>
      </c>
      <c r="BB38" s="162">
        <f>BA38</f>
        <v>0</v>
      </c>
      <c r="BC38" s="162">
        <f>BB38</f>
        <v>0</v>
      </c>
      <c r="BD38" s="167">
        <f t="shared" si="80"/>
        <v>0</v>
      </c>
      <c r="BE38" s="162">
        <f>BC38</f>
        <v>0</v>
      </c>
      <c r="BF38" s="162">
        <f>BE38</f>
        <v>0</v>
      </c>
      <c r="BG38" s="162">
        <f>BF38</f>
        <v>0</v>
      </c>
      <c r="BH38" s="162">
        <f>BG38</f>
        <v>0</v>
      </c>
      <c r="BI38" s="167">
        <f t="shared" si="81"/>
        <v>0</v>
      </c>
      <c r="BJ38" s="162">
        <f>BH38</f>
        <v>0</v>
      </c>
      <c r="BK38" s="162">
        <f>BJ38</f>
        <v>0</v>
      </c>
      <c r="BL38" s="162">
        <f>BK38</f>
        <v>0</v>
      </c>
      <c r="BM38" s="162">
        <f>BL38</f>
        <v>0</v>
      </c>
      <c r="BN38" s="167">
        <f t="shared" si="82"/>
        <v>0</v>
      </c>
      <c r="BO38" s="162">
        <f>BM38</f>
        <v>0</v>
      </c>
      <c r="BP38" s="162">
        <f>BO38</f>
        <v>0</v>
      </c>
      <c r="BQ38" s="162">
        <f>BP38</f>
        <v>0</v>
      </c>
      <c r="BR38" s="162">
        <f>BQ38</f>
        <v>0</v>
      </c>
      <c r="BS38" s="167">
        <f t="shared" si="83"/>
        <v>0</v>
      </c>
      <c r="BT38" s="162">
        <f>BR38</f>
        <v>0</v>
      </c>
      <c r="BU38" s="162">
        <f>BT38</f>
        <v>0</v>
      </c>
      <c r="BV38" s="162">
        <f>BU38</f>
        <v>0</v>
      </c>
      <c r="BW38" s="162">
        <f>BV38</f>
        <v>0</v>
      </c>
      <c r="BX38" s="167">
        <f t="shared" si="84"/>
        <v>0</v>
      </c>
      <c r="BY38" s="162">
        <f>BW38</f>
        <v>0</v>
      </c>
      <c r="BZ38" s="162">
        <f>BY38</f>
        <v>0</v>
      </c>
      <c r="CA38" s="162">
        <f>BZ38</f>
        <v>0</v>
      </c>
      <c r="CB38" s="162">
        <f>CA38</f>
        <v>0</v>
      </c>
      <c r="CC38" s="167">
        <f t="shared" si="85"/>
        <v>0</v>
      </c>
      <c r="CD38" s="162">
        <f>CB38</f>
        <v>0</v>
      </c>
      <c r="CE38" s="162">
        <f>CD38</f>
        <v>0</v>
      </c>
      <c r="CF38" s="162">
        <f>CE38</f>
        <v>0</v>
      </c>
      <c r="CG38" s="162">
        <f>CF38</f>
        <v>0</v>
      </c>
      <c r="CH38" s="167">
        <f t="shared" si="86"/>
        <v>0</v>
      </c>
      <c r="CI38" s="162">
        <f>CG38</f>
        <v>0</v>
      </c>
      <c r="CJ38" s="162">
        <f>CI38</f>
        <v>0</v>
      </c>
      <c r="CK38" s="162">
        <f>CJ38</f>
        <v>0</v>
      </c>
      <c r="CL38" s="162">
        <f>CK38</f>
        <v>0</v>
      </c>
      <c r="CM38" s="167">
        <f t="shared" si="87"/>
        <v>0</v>
      </c>
      <c r="CN38" s="162">
        <f>CL38</f>
        <v>0</v>
      </c>
      <c r="CO38" s="162">
        <f>CN38</f>
        <v>0</v>
      </c>
      <c r="CP38" s="162">
        <f>CO38</f>
        <v>0</v>
      </c>
      <c r="CQ38" s="162">
        <f>CP38</f>
        <v>0</v>
      </c>
      <c r="CR38" s="167">
        <f t="shared" si="88"/>
        <v>0</v>
      </c>
      <c r="CS38" s="162">
        <f>CQ38</f>
        <v>0</v>
      </c>
      <c r="CT38" s="162">
        <f>CS38</f>
        <v>0</v>
      </c>
      <c r="CU38" s="162">
        <f>CT38</f>
        <v>0</v>
      </c>
      <c r="CV38" s="162">
        <f>CU38</f>
        <v>0</v>
      </c>
      <c r="CW38" s="167">
        <f t="shared" si="89"/>
        <v>0</v>
      </c>
      <c r="CX38" s="162">
        <f>CV38</f>
        <v>0</v>
      </c>
      <c r="CY38" s="162">
        <f>CX38</f>
        <v>0</v>
      </c>
      <c r="CZ38" s="162">
        <f>CY38</f>
        <v>0</v>
      </c>
      <c r="DA38" s="162">
        <f>CZ38</f>
        <v>0</v>
      </c>
      <c r="DB38" s="167">
        <f t="shared" si="90"/>
        <v>0</v>
      </c>
      <c r="DC38" s="162">
        <f>DA38</f>
        <v>0</v>
      </c>
      <c r="DD38" s="162">
        <f>DC38</f>
        <v>0</v>
      </c>
      <c r="DE38" s="162">
        <f>DD38</f>
        <v>0</v>
      </c>
      <c r="DF38" s="162">
        <f>DE38</f>
        <v>0</v>
      </c>
      <c r="DG38" s="167">
        <f t="shared" si="91"/>
        <v>0</v>
      </c>
      <c r="DH38" s="162">
        <f>DF38</f>
        <v>0</v>
      </c>
      <c r="DI38" s="162">
        <f>DH38</f>
        <v>0</v>
      </c>
      <c r="DJ38" s="162">
        <f>DI38</f>
        <v>0</v>
      </c>
      <c r="DK38" s="162">
        <f>DJ38</f>
        <v>0</v>
      </c>
      <c r="DL38" s="167">
        <f t="shared" si="92"/>
        <v>0</v>
      </c>
      <c r="DM38" s="162">
        <f>DK38</f>
        <v>0</v>
      </c>
      <c r="DN38" s="162">
        <f>DM38</f>
        <v>0</v>
      </c>
      <c r="DO38" s="162">
        <f>DN38</f>
        <v>0</v>
      </c>
      <c r="DP38" s="162">
        <f>DO38</f>
        <v>0</v>
      </c>
      <c r="DQ38" s="167">
        <f t="shared" si="93"/>
        <v>0</v>
      </c>
      <c r="DR38" s="162">
        <f>DP38</f>
        <v>0</v>
      </c>
      <c r="DS38" s="162">
        <f>DR38</f>
        <v>0</v>
      </c>
      <c r="DT38" s="162">
        <f>DS38</f>
        <v>0</v>
      </c>
      <c r="DU38" s="162">
        <f>DT38</f>
        <v>0</v>
      </c>
      <c r="DV38" s="167">
        <f t="shared" si="94"/>
        <v>0</v>
      </c>
      <c r="DW38" s="162">
        <f>DU38</f>
        <v>0</v>
      </c>
      <c r="DX38" s="162">
        <f>DW38</f>
        <v>0</v>
      </c>
      <c r="DY38" s="162">
        <f>DX38</f>
        <v>0</v>
      </c>
      <c r="DZ38" s="162">
        <f>DY38</f>
        <v>0</v>
      </c>
      <c r="EA38" s="167">
        <f t="shared" si="95"/>
        <v>0</v>
      </c>
      <c r="EB38" s="162">
        <f>DZ38</f>
        <v>0</v>
      </c>
      <c r="EC38" s="162">
        <f>EB38</f>
        <v>0</v>
      </c>
      <c r="ED38" s="162">
        <f>EC38</f>
        <v>0</v>
      </c>
      <c r="EE38" s="162">
        <f>ED38</f>
        <v>0</v>
      </c>
      <c r="EF38" s="167">
        <f t="shared" si="96"/>
        <v>0</v>
      </c>
    </row>
    <row r="39" spans="1:137" ht="12.75" customHeight="1">
      <c r="A39" s="15" t="s">
        <v>38</v>
      </c>
      <c r="B39" s="166">
        <f>B37+B38</f>
        <v>0</v>
      </c>
      <c r="C39" s="166">
        <f>C37+C38</f>
        <v>0</v>
      </c>
      <c r="D39" s="166">
        <f>D37+D38</f>
        <v>0</v>
      </c>
      <c r="E39" s="166">
        <f>E37+E38</f>
        <v>0</v>
      </c>
      <c r="F39" s="167">
        <f>SUM(B39:E39)</f>
        <v>0</v>
      </c>
      <c r="G39" s="166">
        <f>G37+G38</f>
        <v>0</v>
      </c>
      <c r="H39" s="166">
        <f>H37+H38</f>
        <v>0</v>
      </c>
      <c r="I39" s="166">
        <f>I37+I38</f>
        <v>0</v>
      </c>
      <c r="J39" s="166">
        <f>J37+J38</f>
        <v>0</v>
      </c>
      <c r="K39" s="167">
        <f>SUM(G39:J39)</f>
        <v>0</v>
      </c>
      <c r="L39" s="166">
        <f>L37+L38</f>
        <v>0</v>
      </c>
      <c r="M39" s="166">
        <f>M37+M38</f>
        <v>0</v>
      </c>
      <c r="N39" s="166">
        <f>N37+N38</f>
        <v>0</v>
      </c>
      <c r="O39" s="166">
        <f>O37+O38</f>
        <v>0</v>
      </c>
      <c r="P39" s="167">
        <f>SUM(L39:O39)</f>
        <v>0</v>
      </c>
      <c r="Q39" s="166">
        <f>Q37+Q38</f>
        <v>0</v>
      </c>
      <c r="R39" s="166">
        <f>R37+R38</f>
        <v>0</v>
      </c>
      <c r="S39" s="166">
        <f>S37+S38</f>
        <v>0</v>
      </c>
      <c r="T39" s="166">
        <f>T37+T38</f>
        <v>0</v>
      </c>
      <c r="U39" s="167">
        <f>SUM(Q39:T39)</f>
        <v>0</v>
      </c>
      <c r="V39" s="166">
        <f>V37+V38</f>
        <v>0</v>
      </c>
      <c r="W39" s="166">
        <f>W37+W38</f>
        <v>0</v>
      </c>
      <c r="X39" s="166">
        <f>X37+X38</f>
        <v>0</v>
      </c>
      <c r="Y39" s="166">
        <f>Y37+Y38</f>
        <v>0</v>
      </c>
      <c r="Z39" s="167">
        <f>SUM(V39:Y39)</f>
        <v>0</v>
      </c>
      <c r="AA39" s="166">
        <f>AA37+AA38</f>
        <v>0</v>
      </c>
      <c r="AB39" s="166">
        <f>AB37+AB38</f>
        <v>0</v>
      </c>
      <c r="AC39" s="166">
        <f>AC37+AC38</f>
        <v>0</v>
      </c>
      <c r="AD39" s="166">
        <f>AD37+AD38</f>
        <v>0</v>
      </c>
      <c r="AE39" s="167">
        <f>SUM(AA39:AD39)</f>
        <v>0</v>
      </c>
      <c r="AF39" s="166">
        <f>AF37+AF38</f>
        <v>0</v>
      </c>
      <c r="AG39" s="166">
        <f>AG37+AG38</f>
        <v>0</v>
      </c>
      <c r="AH39" s="166">
        <f>AH37+AH38</f>
        <v>0</v>
      </c>
      <c r="AI39" s="166">
        <f>AI37+AI38</f>
        <v>58071.810000000027</v>
      </c>
      <c r="AJ39" s="167">
        <f t="shared" si="76"/>
        <v>58071.810000000027</v>
      </c>
      <c r="AK39" s="166">
        <f>AK37+AK38</f>
        <v>0</v>
      </c>
      <c r="AL39" s="166">
        <f>AL37+AL38</f>
        <v>0</v>
      </c>
      <c r="AM39" s="166">
        <f>AM37+AM38</f>
        <v>0</v>
      </c>
      <c r="AN39" s="166">
        <f>AN37+AN38</f>
        <v>101770.817</v>
      </c>
      <c r="AO39" s="167">
        <f t="shared" si="77"/>
        <v>101770.817</v>
      </c>
      <c r="AP39" s="166">
        <f>AP37+AP38</f>
        <v>0</v>
      </c>
      <c r="AQ39" s="166">
        <f>AQ37+AQ38</f>
        <v>0</v>
      </c>
      <c r="AR39" s="166">
        <f>AR37+AR38</f>
        <v>0</v>
      </c>
      <c r="AS39" s="166">
        <f>AS37+AS38</f>
        <v>134961.81400000001</v>
      </c>
      <c r="AT39" s="167">
        <f t="shared" si="78"/>
        <v>134961.81400000001</v>
      </c>
      <c r="AU39" s="166">
        <f>AU37+AU38</f>
        <v>0</v>
      </c>
      <c r="AV39" s="166">
        <f>AV37+AV38</f>
        <v>0</v>
      </c>
      <c r="AW39" s="166">
        <f>AW37+AW38</f>
        <v>0</v>
      </c>
      <c r="AX39" s="166">
        <f>AX37+AX38</f>
        <v>185290.56399999995</v>
      </c>
      <c r="AY39" s="167">
        <f t="shared" si="79"/>
        <v>185290.56399999995</v>
      </c>
      <c r="AZ39" s="166">
        <f>AZ37+AZ38</f>
        <v>0</v>
      </c>
      <c r="BA39" s="166">
        <f>BA37+BA38</f>
        <v>0</v>
      </c>
      <c r="BB39" s="166">
        <f>BB37+BB38</f>
        <v>0</v>
      </c>
      <c r="BC39" s="166">
        <f>BC37+BC38</f>
        <v>184594</v>
      </c>
      <c r="BD39" s="167">
        <f t="shared" si="80"/>
        <v>184594</v>
      </c>
      <c r="BE39" s="166">
        <f>BE37+BE38</f>
        <v>0</v>
      </c>
      <c r="BF39" s="166">
        <f>BF37+BF38</f>
        <v>0</v>
      </c>
      <c r="BG39" s="166">
        <f>BG37+BG38</f>
        <v>0</v>
      </c>
      <c r="BH39" s="166">
        <f>BH37+BH38</f>
        <v>171769</v>
      </c>
      <c r="BI39" s="167">
        <f t="shared" si="81"/>
        <v>171769</v>
      </c>
      <c r="BJ39" s="166">
        <f>BJ37+BJ38</f>
        <v>0</v>
      </c>
      <c r="BK39" s="166">
        <f>BK37+BK38</f>
        <v>0</v>
      </c>
      <c r="BL39" s="166">
        <f>BL37+BL38</f>
        <v>0</v>
      </c>
      <c r="BM39" s="166">
        <f>BM37+BM38</f>
        <v>123109</v>
      </c>
      <c r="BN39" s="167">
        <f t="shared" si="82"/>
        <v>123109</v>
      </c>
      <c r="BO39" s="166">
        <f>BO37+BO38</f>
        <v>0</v>
      </c>
      <c r="BP39" s="166">
        <f>BP37+BP38</f>
        <v>0</v>
      </c>
      <c r="BQ39" s="166">
        <f>BQ37+BQ38</f>
        <v>0</v>
      </c>
      <c r="BR39" s="166">
        <f>BR37+BR38</f>
        <v>142596</v>
      </c>
      <c r="BS39" s="167">
        <f t="shared" si="83"/>
        <v>142596</v>
      </c>
      <c r="BT39" s="166">
        <f>BT37+BT38</f>
        <v>0</v>
      </c>
      <c r="BU39" s="166">
        <f>BU37+BU38</f>
        <v>0</v>
      </c>
      <c r="BV39" s="166">
        <f>BV37+BV38</f>
        <v>0</v>
      </c>
      <c r="BW39" s="166">
        <f>BW37+BW38</f>
        <v>194461</v>
      </c>
      <c r="BX39" s="167">
        <f t="shared" si="84"/>
        <v>194461</v>
      </c>
      <c r="BY39" s="166">
        <f>BY37+BY38</f>
        <v>28257</v>
      </c>
      <c r="BZ39" s="166">
        <f>BZ37+BZ38</f>
        <v>79268</v>
      </c>
      <c r="CA39" s="166">
        <f>CA37+CA38</f>
        <v>45183</v>
      </c>
      <c r="CB39" s="166">
        <f>CB37+CB38</f>
        <v>73387</v>
      </c>
      <c r="CC39" s="167">
        <f t="shared" si="85"/>
        <v>226095</v>
      </c>
      <c r="CD39" s="166">
        <f>CD37+CD38</f>
        <v>23155</v>
      </c>
      <c r="CE39" s="166">
        <f>CE37+CE38</f>
        <v>45884</v>
      </c>
      <c r="CF39" s="166">
        <f>CF37+CF38</f>
        <v>66118</v>
      </c>
      <c r="CG39" s="166">
        <f>CG37+CG38</f>
        <v>81055</v>
      </c>
      <c r="CH39" s="167">
        <f t="shared" si="86"/>
        <v>216212</v>
      </c>
      <c r="CI39" s="166">
        <f>CI37+CI38</f>
        <v>58947</v>
      </c>
      <c r="CJ39" s="166">
        <f>CJ37+CJ38</f>
        <v>85365</v>
      </c>
      <c r="CK39" s="166">
        <f>CK37+CK38</f>
        <v>84976</v>
      </c>
      <c r="CL39" s="166">
        <f>CL37+CL38</f>
        <v>122353</v>
      </c>
      <c r="CM39" s="167">
        <f t="shared" si="87"/>
        <v>351641</v>
      </c>
      <c r="CN39" s="166">
        <f>CN37+CN38</f>
        <v>74988</v>
      </c>
      <c r="CO39" s="166">
        <f>CO37+CO38</f>
        <v>107387</v>
      </c>
      <c r="CP39" s="166">
        <f>CP37+CP38</f>
        <v>110405</v>
      </c>
      <c r="CQ39" s="166">
        <f>CQ37+CQ38</f>
        <v>112224</v>
      </c>
      <c r="CR39" s="167">
        <f t="shared" si="88"/>
        <v>405004</v>
      </c>
      <c r="CS39" s="166">
        <f>CS37+CS38</f>
        <v>109392</v>
      </c>
      <c r="CT39" s="166">
        <f>CT37+CT38</f>
        <v>142265</v>
      </c>
      <c r="CU39" s="166">
        <f>CU37+CU38</f>
        <v>132019</v>
      </c>
      <c r="CV39" s="166">
        <f>CV37+CV38</f>
        <v>184353</v>
      </c>
      <c r="CW39" s="167">
        <f t="shared" si="89"/>
        <v>568029</v>
      </c>
      <c r="CX39" s="166">
        <f>CX37+CX38</f>
        <v>174256</v>
      </c>
      <c r="CY39" s="166">
        <f>CY37+CY38</f>
        <v>196190</v>
      </c>
      <c r="CZ39" s="166">
        <f>CZ37+CZ38</f>
        <v>203590</v>
      </c>
      <c r="DA39" s="166">
        <f>DA37+DA38</f>
        <v>214560</v>
      </c>
      <c r="DB39" s="167">
        <f t="shared" si="90"/>
        <v>788596</v>
      </c>
      <c r="DC39" s="166">
        <f>DC37+DC38</f>
        <v>264667</v>
      </c>
      <c r="DD39" s="166">
        <f>DD37+DD38</f>
        <v>298596</v>
      </c>
      <c r="DE39" s="166">
        <f>DE37+DE38</f>
        <v>319973</v>
      </c>
      <c r="DF39" s="166">
        <f>DF37+DF38</f>
        <v>337010</v>
      </c>
      <c r="DG39" s="167">
        <f t="shared" si="91"/>
        <v>1220246</v>
      </c>
      <c r="DH39" s="166">
        <f>DH37+DH38</f>
        <v>392436</v>
      </c>
      <c r="DI39" s="166">
        <f>DI37+DI38</f>
        <v>356305</v>
      </c>
      <c r="DJ39" s="166">
        <f ca="1">DJ37+DJ38</f>
        <v>384038.84438960347</v>
      </c>
      <c r="DK39" s="166">
        <f ca="1">DK37+DK38</f>
        <v>444716.232788119</v>
      </c>
      <c r="DL39" s="167">
        <f t="shared" ca="1" si="92"/>
        <v>1577496.0771777225</v>
      </c>
      <c r="DM39" s="166">
        <f ca="1">DM37+DM38</f>
        <v>444420.43367186619</v>
      </c>
      <c r="DN39" s="166">
        <f ca="1">DN37+DN38</f>
        <v>458696.18572926283</v>
      </c>
      <c r="DO39" s="166">
        <f ca="1">DO37+DO38</f>
        <v>464668.55710972875</v>
      </c>
      <c r="DP39" s="166">
        <f ca="1">DP37+DP38</f>
        <v>478867.89482466306</v>
      </c>
      <c r="DQ39" s="167">
        <f t="shared" ca="1" si="93"/>
        <v>1846653.0713355206</v>
      </c>
      <c r="DR39" s="166">
        <f ca="1">DR37+DR38</f>
        <v>496192.44596448436</v>
      </c>
      <c r="DS39" s="166">
        <f ca="1">DS37+DS38</f>
        <v>494992.23535073275</v>
      </c>
      <c r="DT39" s="166">
        <f ca="1">DT37+DT38</f>
        <v>511224.95180133666</v>
      </c>
      <c r="DU39" s="166">
        <f ca="1">DU37+DU38</f>
        <v>531129.87342469161</v>
      </c>
      <c r="DV39" s="167">
        <f t="shared" ca="1" si="94"/>
        <v>2033539.5065412454</v>
      </c>
      <c r="DW39" s="166">
        <f ca="1">DW37+DW38</f>
        <v>528440.16031695914</v>
      </c>
      <c r="DX39" s="166">
        <f ca="1">DX37+DX38</f>
        <v>525333.90153442882</v>
      </c>
      <c r="DY39" s="166">
        <f ca="1">DY37+DY38</f>
        <v>544634.21706097818</v>
      </c>
      <c r="DZ39" s="166">
        <f ca="1">DZ37+DZ38</f>
        <v>564300.64440691355</v>
      </c>
      <c r="EA39" s="167">
        <f t="shared" ca="1" si="95"/>
        <v>2162708.9233192792</v>
      </c>
      <c r="EB39" s="166">
        <f ca="1">EB37+EB38</f>
        <v>560394.54251565714</v>
      </c>
      <c r="EC39" s="166">
        <f ca="1">EC37+EC38</f>
        <v>556156.68319637049</v>
      </c>
      <c r="ED39" s="166">
        <f ca="1">ED37+ED38</f>
        <v>575513.92088162247</v>
      </c>
      <c r="EE39" s="166">
        <f ca="1">EE37+EE38</f>
        <v>595200.58169283171</v>
      </c>
      <c r="EF39" s="167">
        <f t="shared" ca="1" si="96"/>
        <v>2287265.7282864819</v>
      </c>
      <c r="EG39" s="162"/>
    </row>
    <row r="40" spans="1:137" ht="12.75" customHeight="1">
      <c r="A40" s="15" t="s">
        <v>39</v>
      </c>
      <c r="B40" s="186"/>
      <c r="C40" s="186"/>
      <c r="D40" s="186"/>
      <c r="E40" s="186"/>
      <c r="F40" s="167">
        <f>SUM(B40:E40)</f>
        <v>0</v>
      </c>
      <c r="G40" s="186"/>
      <c r="H40" s="186"/>
      <c r="I40" s="186"/>
      <c r="J40" s="186"/>
      <c r="K40" s="167">
        <f>SUM(G40:J40)</f>
        <v>0</v>
      </c>
      <c r="L40" s="186"/>
      <c r="M40" s="186"/>
      <c r="N40" s="186"/>
      <c r="O40" s="186"/>
      <c r="P40" s="167">
        <f>SUM(L40:O40)</f>
        <v>0</v>
      </c>
      <c r="Q40" s="186"/>
      <c r="R40" s="186"/>
      <c r="S40" s="186"/>
      <c r="T40" s="186"/>
      <c r="U40" s="167">
        <f>SUM(Q40:T40)</f>
        <v>0</v>
      </c>
      <c r="V40" s="186"/>
      <c r="W40" s="186"/>
      <c r="X40" s="186"/>
      <c r="Y40" s="186"/>
      <c r="Z40" s="167">
        <f>SUM(V40:Y40)</f>
        <v>0</v>
      </c>
      <c r="AA40" s="186"/>
      <c r="AB40" s="186"/>
      <c r="AC40" s="186"/>
      <c r="AD40" s="186"/>
      <c r="AE40" s="167">
        <f>SUM(AA40:AD40)</f>
        <v>0</v>
      </c>
      <c r="AF40" s="186"/>
      <c r="AG40" s="186"/>
      <c r="AH40" s="186"/>
      <c r="AI40" s="186">
        <f>-2746.112-SUM(AF40:AH40)</f>
        <v>-2746.1120000000001</v>
      </c>
      <c r="AJ40" s="167">
        <f t="shared" si="76"/>
        <v>-2746.1120000000001</v>
      </c>
      <c r="AK40" s="186"/>
      <c r="AL40" s="186"/>
      <c r="AM40" s="186"/>
      <c r="AN40" s="186">
        <f>-9523.458-SUM(AK40:AM40)</f>
        <v>-9523.4580000000005</v>
      </c>
      <c r="AO40" s="167">
        <f t="shared" si="77"/>
        <v>-9523.4580000000005</v>
      </c>
      <c r="AP40" s="186"/>
      <c r="AQ40" s="186"/>
      <c r="AR40" s="186"/>
      <c r="AS40" s="186">
        <f>-11627.113-SUM(AP40:AR40)</f>
        <v>-11627.112999999999</v>
      </c>
      <c r="AT40" s="167">
        <f t="shared" si="78"/>
        <v>-11627.112999999999</v>
      </c>
      <c r="AU40" s="186"/>
      <c r="AV40" s="186"/>
      <c r="AW40" s="186"/>
      <c r="AX40" s="186">
        <f>-13554.618-SUM(AU40:AW40)</f>
        <v>-13554.618</v>
      </c>
      <c r="AY40" s="167">
        <f t="shared" si="79"/>
        <v>-13554.618</v>
      </c>
      <c r="AZ40" s="186"/>
      <c r="BA40" s="186"/>
      <c r="BB40" s="186"/>
      <c r="BC40" s="186">
        <f>-11220-SUM(AZ40:BB40)</f>
        <v>-11220</v>
      </c>
      <c r="BD40" s="167">
        <f t="shared" si="80"/>
        <v>-11220</v>
      </c>
      <c r="BE40" s="186"/>
      <c r="BF40" s="186"/>
      <c r="BG40" s="186"/>
      <c r="BH40" s="186">
        <f>-10765-SUM(BE40:BG40)</f>
        <v>-10765</v>
      </c>
      <c r="BI40" s="167">
        <f t="shared" si="81"/>
        <v>-10765</v>
      </c>
      <c r="BJ40" s="186"/>
      <c r="BK40" s="186"/>
      <c r="BL40" s="186"/>
      <c r="BM40" s="186">
        <f>-11226-SUM(BJ40:BL40)</f>
        <v>-11226</v>
      </c>
      <c r="BN40" s="167">
        <f t="shared" si="82"/>
        <v>-11226</v>
      </c>
      <c r="BO40" s="186"/>
      <c r="BP40" s="186"/>
      <c r="BQ40" s="186"/>
      <c r="BR40" s="186">
        <f>-13399-SUM(BO40:BQ40)</f>
        <v>-13399</v>
      </c>
      <c r="BS40" s="167">
        <f t="shared" si="83"/>
        <v>-13399</v>
      </c>
      <c r="BT40" s="186"/>
      <c r="BU40" s="186"/>
      <c r="BV40" s="186"/>
      <c r="BW40" s="186">
        <f>-17745-SUM(BT40:BV40)</f>
        <v>-17745</v>
      </c>
      <c r="BX40" s="167">
        <f t="shared" si="84"/>
        <v>-17745</v>
      </c>
      <c r="BY40" s="186">
        <v>-4567</v>
      </c>
      <c r="BZ40" s="186">
        <v>-5053</v>
      </c>
      <c r="CA40" s="186">
        <v>-5661</v>
      </c>
      <c r="CB40" s="186">
        <f>-21283-SUM(BY40:CA40)</f>
        <v>-6002</v>
      </c>
      <c r="CC40" s="167">
        <f t="shared" si="85"/>
        <v>-21283</v>
      </c>
      <c r="CD40" s="186">
        <v>-7071</v>
      </c>
      <c r="CE40" s="186">
        <v>-5058</v>
      </c>
      <c r="CF40" s="186">
        <v>-5901</v>
      </c>
      <c r="CG40" s="186">
        <f>-24650-SUM(CD40:CF40)</f>
        <v>-6620</v>
      </c>
      <c r="CH40" s="167">
        <f t="shared" si="86"/>
        <v>-24650</v>
      </c>
      <c r="CI40" s="186">
        <v>-5387</v>
      </c>
      <c r="CJ40" s="186">
        <v>-6221</v>
      </c>
      <c r="CK40" s="186">
        <v>-9486</v>
      </c>
      <c r="CL40" s="186">
        <f>-31893-SUM(CI40:CK40)</f>
        <v>-10799</v>
      </c>
      <c r="CM40" s="167">
        <f t="shared" si="87"/>
        <v>-31893</v>
      </c>
      <c r="CN40" s="186">
        <v>-9507</v>
      </c>
      <c r="CO40" s="186">
        <v>-12324</v>
      </c>
      <c r="CP40" s="186">
        <v>-13899</v>
      </c>
      <c r="CQ40" s="186">
        <f>-50756-SUM(CN40:CP40)</f>
        <v>-15026</v>
      </c>
      <c r="CR40" s="167">
        <f t="shared" si="88"/>
        <v>-50756</v>
      </c>
      <c r="CS40" s="186">
        <v>-13709</v>
      </c>
      <c r="CT40" s="186">
        <v>-15906</v>
      </c>
      <c r="CU40" s="186">
        <v>-18328</v>
      </c>
      <c r="CV40" s="186">
        <f>-67835-SUM(CS40:CU40)</f>
        <v>-19892</v>
      </c>
      <c r="CW40" s="167">
        <f t="shared" si="89"/>
        <v>-67835</v>
      </c>
      <c r="CX40" s="186">
        <v>-17229</v>
      </c>
      <c r="CY40" s="186">
        <v>-19957</v>
      </c>
      <c r="CZ40" s="186">
        <v>-21440</v>
      </c>
      <c r="DA40" s="186">
        <f>-86551-SUM(CX40:CZ40)</f>
        <v>-27925</v>
      </c>
      <c r="DB40" s="167">
        <f t="shared" si="90"/>
        <v>-86551</v>
      </c>
      <c r="DC40" s="186">
        <v>-22310</v>
      </c>
      <c r="DD40" s="186">
        <v>-28545</v>
      </c>
      <c r="DE40" s="186">
        <v>-37023</v>
      </c>
      <c r="DF40" s="186">
        <f>-127835-SUM(DC40:DE40)</f>
        <v>-39957</v>
      </c>
      <c r="DG40" s="167">
        <f t="shared" si="91"/>
        <v>-127835</v>
      </c>
      <c r="DH40" s="186">
        <v>-37247</v>
      </c>
      <c r="DI40" s="186">
        <v>-42103</v>
      </c>
      <c r="DJ40" s="162">
        <f>-DJ41*(DJ4+'Balance Sheet'!DJ63)</f>
        <v>-31145.687680788084</v>
      </c>
      <c r="DK40" s="162">
        <f>-DK41*(DK4+'Balance Sheet'!DK63)</f>
        <v>-33179.115521517226</v>
      </c>
      <c r="DL40" s="167">
        <f t="shared" si="92"/>
        <v>-143674.80320230531</v>
      </c>
      <c r="DM40" s="162">
        <f>-DM41*(DM4+'Balance Sheet'!DM63)</f>
        <v>-37252.485970244627</v>
      </c>
      <c r="DN40" s="162">
        <f>-DN41*(DN4+'Balance Sheet'!DN63)</f>
        <v>-35840.42082803935</v>
      </c>
      <c r="DO40" s="162">
        <f>-DO41*(DO4+'Balance Sheet'!DO63)</f>
        <v>-37138.419281825845</v>
      </c>
      <c r="DP40" s="162">
        <f>-DP41*(DP4+'Balance Sheet'!DP63)</f>
        <v>-38199.136088125349</v>
      </c>
      <c r="DQ40" s="167">
        <f t="shared" si="93"/>
        <v>-148430.46216823516</v>
      </c>
      <c r="DR40" s="162">
        <f>-DR41*(DR4+'Balance Sheet'!DR63)</f>
        <v>-39170.567069631987</v>
      </c>
      <c r="DS40" s="162">
        <f>-DS41*(DS4+'Balance Sheet'!DS63)</f>
        <v>-40076.521762963152</v>
      </c>
      <c r="DT40" s="162">
        <f>-DT41*(DT4+'Balance Sheet'!DT63)</f>
        <v>-40933.85438000047</v>
      </c>
      <c r="DU40" s="162">
        <f>-DU41*(DU4+'Balance Sheet'!DU63)</f>
        <v>-41753.31230626905</v>
      </c>
      <c r="DV40" s="167">
        <f t="shared" si="94"/>
        <v>-161934.25551886467</v>
      </c>
      <c r="DW40" s="162">
        <f>-DW41*(DW4+'Balance Sheet'!DW63)</f>
        <v>-42542.186557626796</v>
      </c>
      <c r="DX40" s="162">
        <f>-DX41*(DX4+'Balance Sheet'!DX63)</f>
        <v>-43305.722228642917</v>
      </c>
      <c r="DY40" s="162">
        <f>-DY41*(DY4+'Balance Sheet'!DY63)</f>
        <v>-44047.915490460087</v>
      </c>
      <c r="DZ40" s="162">
        <f>-DZ41*(DZ4+'Balance Sheet'!DZ63)</f>
        <v>-44771.966668401903</v>
      </c>
      <c r="EA40" s="167">
        <f t="shared" si="95"/>
        <v>-174667.79094513171</v>
      </c>
      <c r="EB40" s="162">
        <f>-EB41*(EB4+'Balance Sheet'!EB63)</f>
        <v>-45480.541604909216</v>
      </c>
      <c r="EC40" s="162">
        <f>-EC41*(EC4+'Balance Sheet'!EC63)</f>
        <v>-46175.925724305467</v>
      </c>
      <c r="ED40" s="162">
        <f>-ED41*(ED4+'Balance Sheet'!ED63)</f>
        <v>-46860.117708092454</v>
      </c>
      <c r="EE40" s="162">
        <f>-EE41*(EE4+'Balance Sheet'!EE63)</f>
        <v>-47534.888878820937</v>
      </c>
      <c r="EF40" s="167">
        <f t="shared" si="96"/>
        <v>-186051.47391612804</v>
      </c>
      <c r="EG40" s="162"/>
    </row>
    <row r="41" spans="1:137" ht="12.75" customHeight="1" outlineLevel="1">
      <c r="A41" s="173" t="s">
        <v>291</v>
      </c>
      <c r="B41" s="174" t="e">
        <f>-B40/#REF!</f>
        <v>#REF!</v>
      </c>
      <c r="C41" s="174" t="e">
        <f>-C40/#REF!</f>
        <v>#REF!</v>
      </c>
      <c r="D41" s="174" t="e">
        <f>-D40/#REF!</f>
        <v>#REF!</v>
      </c>
      <c r="E41" s="174" t="e">
        <f>-E40/#REF!</f>
        <v>#REF!</v>
      </c>
      <c r="F41" s="175" t="e">
        <f>-F40/#REF!</f>
        <v>#REF!</v>
      </c>
      <c r="G41" s="174" t="e">
        <f>-G40/#REF!</f>
        <v>#REF!</v>
      </c>
      <c r="H41" s="174" t="e">
        <f>-H40/#REF!</f>
        <v>#REF!</v>
      </c>
      <c r="I41" s="174" t="e">
        <f>-I40/#REF!</f>
        <v>#REF!</v>
      </c>
      <c r="J41" s="174" t="e">
        <f>-J40/#REF!</f>
        <v>#REF!</v>
      </c>
      <c r="K41" s="175" t="e">
        <f>-K40/#REF!</f>
        <v>#REF!</v>
      </c>
      <c r="L41" s="174" t="e">
        <f>-L40/#REF!</f>
        <v>#REF!</v>
      </c>
      <c r="M41" s="174" t="e">
        <f>-M40/#REF!</f>
        <v>#REF!</v>
      </c>
      <c r="N41" s="174" t="e">
        <f>-N40/#REF!</f>
        <v>#REF!</v>
      </c>
      <c r="O41" s="174" t="e">
        <f>-O40/#REF!</f>
        <v>#REF!</v>
      </c>
      <c r="P41" s="175" t="e">
        <f>-P40/#REF!</f>
        <v>#REF!</v>
      </c>
      <c r="Q41" s="174" t="e">
        <f>-Q40/#REF!</f>
        <v>#REF!</v>
      </c>
      <c r="R41" s="174" t="e">
        <f>-R40/#REF!</f>
        <v>#REF!</v>
      </c>
      <c r="S41" s="174" t="e">
        <f>-S40/#REF!</f>
        <v>#REF!</v>
      </c>
      <c r="T41" s="174" t="e">
        <f>-T40/#REF!</f>
        <v>#REF!</v>
      </c>
      <c r="U41" s="175" t="e">
        <f>-U40/#REF!</f>
        <v>#REF!</v>
      </c>
      <c r="V41" s="174" t="e">
        <f>-V40/#REF!</f>
        <v>#REF!</v>
      </c>
      <c r="W41" s="174" t="e">
        <f>-W40/#REF!</f>
        <v>#REF!</v>
      </c>
      <c r="X41" s="174" t="e">
        <f>-X40/#REF!</f>
        <v>#REF!</v>
      </c>
      <c r="Y41" s="174" t="e">
        <f>-Y40/#REF!</f>
        <v>#REF!</v>
      </c>
      <c r="Z41" s="175" t="e">
        <f>-Z40/#REF!</f>
        <v>#REF!</v>
      </c>
      <c r="AA41" s="174" t="e">
        <f>-AA40/#REF!</f>
        <v>#REF!</v>
      </c>
      <c r="AB41" s="174" t="e">
        <f>-AB40/#REF!</f>
        <v>#REF!</v>
      </c>
      <c r="AC41" s="174" t="e">
        <f>-AC40/#REF!</f>
        <v>#REF!</v>
      </c>
      <c r="AD41" s="174" t="e">
        <f>-AD40/#REF!</f>
        <v>#REF!</v>
      </c>
      <c r="AE41" s="175" t="e">
        <f>-AE40/#REF!</f>
        <v>#REF!</v>
      </c>
      <c r="AF41" s="174" t="e">
        <f>-AF40/(AF4+'Balance Sheet'!AF63)</f>
        <v>#DIV/0!</v>
      </c>
      <c r="AG41" s="174" t="e">
        <f>-AG40/(AG4+'Balance Sheet'!AG63)</f>
        <v>#DIV/0!</v>
      </c>
      <c r="AH41" s="174" t="e">
        <f>-AH40/(AH4+'Balance Sheet'!AH63)</f>
        <v>#DIV/0!</v>
      </c>
      <c r="AI41" s="174">
        <f>-AI40/(AI4+'Balance Sheet'!AI63)</f>
        <v>0.26107833183820361</v>
      </c>
      <c r="AJ41" s="175">
        <f>-AJ40/(AJ4+'Balance Sheet'!AJ63)</f>
        <v>0.26107833183820361</v>
      </c>
      <c r="AK41" s="174">
        <f>-AK40/(AK4+'Balance Sheet'!AK63)</f>
        <v>0</v>
      </c>
      <c r="AL41" s="174" t="e">
        <f>-AL40/(AL4+'Balance Sheet'!AL63)</f>
        <v>#DIV/0!</v>
      </c>
      <c r="AM41" s="174" t="e">
        <f>-AM40/(AM4+'Balance Sheet'!AM63)</f>
        <v>#DIV/0!</v>
      </c>
      <c r="AN41" s="174">
        <f>-AN40/(AN4+'Balance Sheet'!AN63)</f>
        <v>8.0284644023188564E-2</v>
      </c>
      <c r="AO41" s="175">
        <f>-AO40/(AO4+'Balance Sheet'!AO63)</f>
        <v>2.6997829181536134E-2</v>
      </c>
      <c r="AP41" s="174">
        <f>-AP40/(AP4+'Balance Sheet'!AP63)</f>
        <v>0</v>
      </c>
      <c r="AQ41" s="174" t="e">
        <f>-AQ40/(AQ4+'Balance Sheet'!AQ63)</f>
        <v>#DIV/0!</v>
      </c>
      <c r="AR41" s="174" t="e">
        <f>-AR40/(AR4+'Balance Sheet'!AR63)</f>
        <v>#DIV/0!</v>
      </c>
      <c r="AS41" s="174">
        <f>-AS40/(AS4+'Balance Sheet'!AS63)</f>
        <v>9.3418199559724385E-2</v>
      </c>
      <c r="AT41" s="175">
        <f>-AT40/(AT4+'Balance Sheet'!AT63)</f>
        <v>2.6471721437292876E-2</v>
      </c>
      <c r="AU41" s="174">
        <f>-AU40/(AU4+'Balance Sheet'!AU63)</f>
        <v>0</v>
      </c>
      <c r="AV41" s="174" t="e">
        <f>-AV40/(AV4+'Balance Sheet'!AV63)</f>
        <v>#DIV/0!</v>
      </c>
      <c r="AW41" s="174" t="e">
        <f>-AW40/(AW4+'Balance Sheet'!AW63)</f>
        <v>#DIV/0!</v>
      </c>
      <c r="AX41" s="174">
        <f>-AX40/(AX4+'Balance Sheet'!AX63)</f>
        <v>4.4467124487181396E-2</v>
      </c>
      <c r="AY41" s="175">
        <f>-AY40/(AY4+'Balance Sheet'!AY63)</f>
        <v>2.0092522593598811E-2</v>
      </c>
      <c r="AZ41" s="174">
        <f>-AZ40/(AZ4+'Balance Sheet'!AZ63)</f>
        <v>0</v>
      </c>
      <c r="BA41" s="174" t="e">
        <f>-BA40/(BA4+'Balance Sheet'!BA63)</f>
        <v>#DIV/0!</v>
      </c>
      <c r="BB41" s="174" t="e">
        <f>-BB40/(BB4+'Balance Sheet'!BB63)</f>
        <v>#DIV/0!</v>
      </c>
      <c r="BC41" s="174">
        <f>-BC40/(BC4+'Balance Sheet'!BC63)</f>
        <v>2.8619674623378347E-2</v>
      </c>
      <c r="BD41" s="175">
        <f>-BD40/(BD4+'Balance Sheet'!BD63)</f>
        <v>1.335237415208854E-2</v>
      </c>
      <c r="BE41" s="174">
        <f>-BE40/(BE4+'Balance Sheet'!BE63)</f>
        <v>0</v>
      </c>
      <c r="BF41" s="174" t="e">
        <f>-BF40/(BF4+'Balance Sheet'!BF63)</f>
        <v>#DIV/0!</v>
      </c>
      <c r="BG41" s="174" t="e">
        <f>-BG40/(BG4+'Balance Sheet'!BG63)</f>
        <v>#DIV/0!</v>
      </c>
      <c r="BH41" s="174">
        <f>-BH40/(BH4+'Balance Sheet'!BH63)</f>
        <v>4.1371703522647789E-2</v>
      </c>
      <c r="BI41" s="175">
        <f>-BI40/(BI4+'Balance Sheet'!BI63)</f>
        <v>1.3781316810262055E-2</v>
      </c>
      <c r="BJ41" s="174">
        <f>-BJ40/(BJ4+'Balance Sheet'!BJ63)</f>
        <v>0</v>
      </c>
      <c r="BK41" s="174" t="e">
        <f>-BK40/(BK4+'Balance Sheet'!BK63)</f>
        <v>#DIV/0!</v>
      </c>
      <c r="BL41" s="174" t="e">
        <f>-BL40/(BL4+'Balance Sheet'!BL63)</f>
        <v>#DIV/0!</v>
      </c>
      <c r="BM41" s="174">
        <f>-BM40/(BM4+'Balance Sheet'!BM63)</f>
        <v>6.5046586010290647E-2</v>
      </c>
      <c r="BN41" s="175">
        <f>-BN40/(BN4+'Balance Sheet'!BN63)</f>
        <v>1.4316941842046866E-2</v>
      </c>
      <c r="BO41" s="174">
        <f>-BO40/(BO4+'Balance Sheet'!BO63)</f>
        <v>0</v>
      </c>
      <c r="BP41" s="174" t="e">
        <f>-BP40/(BP4+'Balance Sheet'!BP63)</f>
        <v>#DIV/0!</v>
      </c>
      <c r="BQ41" s="174" t="e">
        <f>-BQ40/(BQ4+'Balance Sheet'!BQ63)</f>
        <v>#DIV/0!</v>
      </c>
      <c r="BR41" s="174">
        <f>-BR40/(BR4+'Balance Sheet'!BR63)</f>
        <v>0.20111371277617676</v>
      </c>
      <c r="BS41" s="175">
        <f>-BS40/(BS4+'Balance Sheet'!BS63)</f>
        <v>1.8717608437521828E-2</v>
      </c>
      <c r="BT41" s="174">
        <f>-BT40/(BT4+'Balance Sheet'!BT63)</f>
        <v>0</v>
      </c>
      <c r="BU41" s="174" t="e">
        <f>-BU40/(BU4+'Balance Sheet'!BU63)</f>
        <v>#DIV/0!</v>
      </c>
      <c r="BV41" s="174" t="e">
        <f>-BV40/(BV4+'Balance Sheet'!BV63)</f>
        <v>#DIV/0!</v>
      </c>
      <c r="BW41" s="174">
        <f>-BW40/(BW4+'Balance Sheet'!BW63)</f>
        <v>4.5985798693894478E-2</v>
      </c>
      <c r="BX41" s="175">
        <f>-BX40/(BX4+'Balance Sheet'!BX63)</f>
        <v>1.541464482469262E-2</v>
      </c>
      <c r="BY41" s="174">
        <f>-BY40/(BY4+'Balance Sheet'!BY63)</f>
        <v>6.086476746913449E-3</v>
      </c>
      <c r="BZ41" s="174">
        <f>-BZ40/(BZ4+'Balance Sheet'!BZ63)</f>
        <v>1.846789225540002E-2</v>
      </c>
      <c r="CA41" s="174">
        <f>-CA40/(CA4+'Balance Sheet'!CA63)</f>
        <v>2.1109350237717907E-2</v>
      </c>
      <c r="CB41" s="174">
        <f>-CB40/(CB4+'Balance Sheet'!CB63)</f>
        <v>-1.7118247675546174E-2</v>
      </c>
      <c r="CC41" s="175">
        <f>-CC40/(CC4+'Balance Sheet'!CC63)</f>
        <v>2.2605008725280585E-2</v>
      </c>
      <c r="CD41" s="174">
        <f>-CD40/(CD4+'Balance Sheet'!CD63)</f>
        <v>2.4639433547402424E-2</v>
      </c>
      <c r="CE41" s="174">
        <f>-CE40/(CE4+'Balance Sheet'!CE63)</f>
        <v>2.9366853427003802E-2</v>
      </c>
      <c r="CF41" s="174">
        <f>-CF40/(CF4+'Balance Sheet'!CF63)</f>
        <v>3.120175123199594E-2</v>
      </c>
      <c r="CG41" s="174">
        <f>-CG40/(CG4+'Balance Sheet'!CG63)</f>
        <v>1.7206156789154402E-2</v>
      </c>
      <c r="CH41" s="175">
        <f>-CH40/(CH4+'Balance Sheet'!CH63)</f>
        <v>2.386059604059302E-2</v>
      </c>
      <c r="CI41" s="174">
        <f>-CI40/(CI4+'Balance Sheet'!CI63)</f>
        <v>2.5863600355282425E-2</v>
      </c>
      <c r="CJ41" s="174">
        <f>-CJ40/(CJ4+'Balance Sheet'!CJ63)</f>
        <v>1.7725515225251665E-2</v>
      </c>
      <c r="CK41" s="174">
        <f>-CK40/(CK4+'Balance Sheet'!CK63)</f>
        <v>2.3162685758098149E-2</v>
      </c>
      <c r="CL41" s="174">
        <f>-CL40/(CL4+'Balance Sheet'!CL63)</f>
        <v>3.2621336934095774E-2</v>
      </c>
      <c r="CM41" s="175">
        <f>-CM40/(CM4+'Balance Sheet'!CM63)</f>
        <v>2.4536342143993008E-2</v>
      </c>
      <c r="CN41" s="174">
        <f>-CN40/(CN4+'Balance Sheet'!CN63)</f>
        <v>9.0322641939651893E-2</v>
      </c>
      <c r="CO41" s="174">
        <f>-CO40/(CO4+'Balance Sheet'!CO63)</f>
        <v>1.7855849225000508E-2</v>
      </c>
      <c r="CP41" s="174">
        <f>-CP40/(CP4+'Balance Sheet'!CP63)</f>
        <v>1.7427601287979856E-2</v>
      </c>
      <c r="CQ41" s="174">
        <f>-CQ40/(CQ4+'Balance Sheet'!CQ63)</f>
        <v>1.8462634851202909E-2</v>
      </c>
      <c r="CR41" s="175">
        <f>-CR40/(CR4+'Balance Sheet'!CR63)</f>
        <v>2.1088249396095625E-2</v>
      </c>
      <c r="CS41" s="174">
        <f>-CS40/(CS4+'Balance Sheet'!CS63)</f>
        <v>1.8625118708129485E-2</v>
      </c>
      <c r="CT41" s="174">
        <f>-CT40/(CT4+'Balance Sheet'!CT63)</f>
        <v>2.2456617897243961E-2</v>
      </c>
      <c r="CU41" s="174">
        <f>-CU40/(CU4+'Balance Sheet'!CU63)</f>
        <v>2.3696333196716542E-2</v>
      </c>
      <c r="CV41" s="174">
        <f>-CV40/(CV4+'Balance Sheet'!CV63)</f>
        <v>2.4298095069411788E-2</v>
      </c>
      <c r="CW41" s="175">
        <f>-CW40/(CW4+'Balance Sheet'!CW63)</f>
        <v>2.2340115120669884E-2</v>
      </c>
      <c r="CX41" s="174">
        <f>-CX40/(CX4+'Balance Sheet'!CX63)</f>
        <v>2.6084073409051684E-2</v>
      </c>
      <c r="CY41" s="174">
        <f>-CY40/(CY4+'Balance Sheet'!CY63)</f>
        <v>2.1602412559859369E-2</v>
      </c>
      <c r="CZ41" s="174">
        <f>-CZ40/(CZ4+'Balance Sheet'!CZ63)</f>
        <v>2.1368032466652316E-2</v>
      </c>
      <c r="DA41" s="174">
        <f>-DA40/(DA4+'Balance Sheet'!DA63)</f>
        <v>2.6013792666579102E-2</v>
      </c>
      <c r="DB41" s="175">
        <f>-DB40/(DB4+'Balance Sheet'!DB63)</f>
        <v>2.3640147307416967E-2</v>
      </c>
      <c r="DC41" s="174">
        <f>-DC40/(DC4+'Balance Sheet'!DC63)</f>
        <v>2.8422699430272022E-2</v>
      </c>
      <c r="DD41" s="174">
        <f>-DD40/(DD4+'Balance Sheet'!DD63)</f>
        <v>2.5072728039294223E-2</v>
      </c>
      <c r="DE41" s="174">
        <f>-DE40/(DE4+'Balance Sheet'!DE63)</f>
        <v>2.6743959258857947E-2</v>
      </c>
      <c r="DF41" s="174">
        <f>-DF40/(DF4+'Balance Sheet'!DF63)</f>
        <v>2.6733259514737515E-2</v>
      </c>
      <c r="DG41" s="175">
        <f>-DG40/(DG4+'Balance Sheet'!DG63)</f>
        <v>2.6618821433903553E-2</v>
      </c>
      <c r="DH41" s="174">
        <f>-DH40/(DH4+'Balance Sheet'!DH63)</f>
        <v>2.9725379218650368E-2</v>
      </c>
      <c r="DI41" s="174">
        <f>-DI40/(DI4+'Balance Sheet'!DI63)</f>
        <v>2.7114350003928402E-2</v>
      </c>
      <c r="DJ41" s="182">
        <f>1.26%+0.66%</f>
        <v>1.9200000000000002E-2</v>
      </c>
      <c r="DK41" s="182">
        <f>1.26%+0.66%</f>
        <v>1.9200000000000002E-2</v>
      </c>
      <c r="DL41" s="175">
        <f>-DL40/(DL4+'Balance Sheet'!DL63)</f>
        <v>2.3338679154761486E-2</v>
      </c>
      <c r="DM41" s="182">
        <f>1.26%+0.66%</f>
        <v>1.9200000000000002E-2</v>
      </c>
      <c r="DN41" s="182">
        <f>1.26%+0.66%</f>
        <v>1.9200000000000002E-2</v>
      </c>
      <c r="DO41" s="182">
        <f>1.26%+0.66%</f>
        <v>1.9200000000000002E-2</v>
      </c>
      <c r="DP41" s="182">
        <f>1.26%+0.66%</f>
        <v>1.9200000000000002E-2</v>
      </c>
      <c r="DQ41" s="175">
        <f>-DQ40/(DQ4+'Balance Sheet'!DQ63)</f>
        <v>1.9199999999999998E-2</v>
      </c>
      <c r="DR41" s="182">
        <f>1.26%+0.66%</f>
        <v>1.9200000000000002E-2</v>
      </c>
      <c r="DS41" s="182">
        <f>DR41</f>
        <v>1.9200000000000002E-2</v>
      </c>
      <c r="DT41" s="182">
        <f>DS41</f>
        <v>1.9200000000000002E-2</v>
      </c>
      <c r="DU41" s="182">
        <f>DT41</f>
        <v>1.9200000000000002E-2</v>
      </c>
      <c r="DV41" s="175">
        <f>-DV40/(DV4+'Balance Sheet'!DV63)</f>
        <v>1.9200000000000002E-2</v>
      </c>
      <c r="DW41" s="182">
        <v>1.9199999999999998E-2</v>
      </c>
      <c r="DX41" s="182">
        <f>DW41</f>
        <v>1.9199999999999998E-2</v>
      </c>
      <c r="DY41" s="182">
        <f>DX41</f>
        <v>1.9199999999999998E-2</v>
      </c>
      <c r="DZ41" s="182">
        <f>DY41</f>
        <v>1.9199999999999998E-2</v>
      </c>
      <c r="EA41" s="175">
        <f>-EA40/(EA4+'Balance Sheet'!EA63)</f>
        <v>1.9199999999999998E-2</v>
      </c>
      <c r="EB41" s="182">
        <v>1.9199999999999998E-2</v>
      </c>
      <c r="EC41" s="182">
        <f>EB41</f>
        <v>1.9199999999999998E-2</v>
      </c>
      <c r="ED41" s="182">
        <f>EC41</f>
        <v>1.9199999999999998E-2</v>
      </c>
      <c r="EE41" s="182">
        <f>ED41</f>
        <v>1.9199999999999998E-2</v>
      </c>
      <c r="EF41" s="175">
        <f>-EF40/(EF4+'Balance Sheet'!EF63)</f>
        <v>1.9199999999999995E-2</v>
      </c>
    </row>
    <row r="42" spans="1:137" ht="12.75" customHeight="1">
      <c r="A42" s="15" t="s">
        <v>40</v>
      </c>
      <c r="B42" s="186"/>
      <c r="C42" s="186"/>
      <c r="D42" s="186"/>
      <c r="E42" s="186"/>
      <c r="F42" s="167">
        <f>SUM(B42:E42)</f>
        <v>0</v>
      </c>
      <c r="G42" s="186"/>
      <c r="H42" s="186"/>
      <c r="I42" s="186"/>
      <c r="J42" s="186"/>
      <c r="K42" s="167">
        <f>SUM(G42:J42)</f>
        <v>0</v>
      </c>
      <c r="L42" s="186"/>
      <c r="M42" s="186"/>
      <c r="N42" s="186"/>
      <c r="O42" s="186"/>
      <c r="P42" s="167">
        <f>SUM(L42:O42)</f>
        <v>0</v>
      </c>
      <c r="Q42" s="186"/>
      <c r="R42" s="186"/>
      <c r="S42" s="186"/>
      <c r="T42" s="186"/>
      <c r="U42" s="167">
        <f>SUM(Q42:T42)</f>
        <v>0</v>
      </c>
      <c r="V42" s="186"/>
      <c r="W42" s="186"/>
      <c r="X42" s="186"/>
      <c r="Y42" s="186"/>
      <c r="Z42" s="167">
        <f>SUM(V42:Y42)</f>
        <v>0</v>
      </c>
      <c r="AA42" s="186"/>
      <c r="AB42" s="186"/>
      <c r="AC42" s="186"/>
      <c r="AD42" s="186"/>
      <c r="AE42" s="167">
        <f>SUM(AA42:AD42)</f>
        <v>0</v>
      </c>
      <c r="AF42" s="186"/>
      <c r="AG42" s="186"/>
      <c r="AH42" s="186"/>
      <c r="AI42" s="186">
        <f>-3227.931-SUM(AF42:AH42)</f>
        <v>-3227.931</v>
      </c>
      <c r="AJ42" s="167">
        <f>SUM(AF42:AI42)</f>
        <v>-3227.931</v>
      </c>
      <c r="AK42" s="186"/>
      <c r="AL42" s="186"/>
      <c r="AM42" s="186"/>
      <c r="AN42" s="186">
        <f>-2244.486-SUM(AK42:AM42)</f>
        <v>-2244.4859999999999</v>
      </c>
      <c r="AO42" s="167">
        <f>SUM(AK42:AN42)</f>
        <v>-2244.4859999999999</v>
      </c>
      <c r="AP42" s="186"/>
      <c r="AQ42" s="186"/>
      <c r="AR42" s="186"/>
      <c r="AS42" s="186">
        <v>0</v>
      </c>
      <c r="AT42" s="167">
        <f>SUM(AP42:AS42)</f>
        <v>0</v>
      </c>
      <c r="AU42" s="186"/>
      <c r="AV42" s="186"/>
      <c r="AW42" s="186"/>
      <c r="AX42" s="186">
        <v>0</v>
      </c>
      <c r="AY42" s="167">
        <f>SUM(AU42:AX42)</f>
        <v>0</v>
      </c>
      <c r="AZ42" s="186"/>
      <c r="BA42" s="186"/>
      <c r="BB42" s="186"/>
      <c r="BC42" s="186">
        <f>-585-SUM(AZ42:BB42)</f>
        <v>-585</v>
      </c>
      <c r="BD42" s="167">
        <f>SUM(AZ42:BC42)</f>
        <v>-585</v>
      </c>
      <c r="BE42" s="186"/>
      <c r="BF42" s="186"/>
      <c r="BG42" s="186"/>
      <c r="BH42" s="186">
        <f>325-SUM(BE42:BG42)</f>
        <v>325</v>
      </c>
      <c r="BI42" s="167">
        <f>SUM(BE42:BH42)</f>
        <v>325</v>
      </c>
      <c r="BJ42" s="186"/>
      <c r="BK42" s="186"/>
      <c r="BL42" s="186"/>
      <c r="BM42" s="186">
        <f>-87-SUM(BJ42:BL42)</f>
        <v>-87</v>
      </c>
      <c r="BN42" s="167">
        <f>SUM(BJ42:BM42)</f>
        <v>-87</v>
      </c>
      <c r="BO42" s="186"/>
      <c r="BP42" s="186"/>
      <c r="BQ42" s="186"/>
      <c r="BR42" s="186">
        <f>-420-SUM(BO42:BQ42)</f>
        <v>-420</v>
      </c>
      <c r="BS42" s="167">
        <f>SUM(BO42:BR42)</f>
        <v>-420</v>
      </c>
      <c r="BT42" s="186"/>
      <c r="BU42" s="186"/>
      <c r="BV42" s="186"/>
      <c r="BW42" s="186">
        <f>-705-SUM(BT42:BV42)</f>
        <v>-705</v>
      </c>
      <c r="BX42" s="167">
        <f>SUM(BT42:BW42)</f>
        <v>-705</v>
      </c>
      <c r="BY42" s="186">
        <v>-184</v>
      </c>
      <c r="BZ42" s="186">
        <v>-481</v>
      </c>
      <c r="CA42" s="186">
        <v>782</v>
      </c>
      <c r="CB42" s="186">
        <f>-756-SUM(BY42:CA42)</f>
        <v>-873</v>
      </c>
      <c r="CC42" s="167">
        <f>SUM(BY42:CB42)</f>
        <v>-756</v>
      </c>
      <c r="CD42" s="186">
        <v>-666</v>
      </c>
      <c r="CE42" s="186">
        <v>186</v>
      </c>
      <c r="CF42" s="186">
        <v>-1002</v>
      </c>
      <c r="CG42" s="186">
        <f>-1564-SUM(CD42:CF42)</f>
        <v>-82</v>
      </c>
      <c r="CH42" s="167">
        <f>SUM(CD42:CG42)</f>
        <v>-1564</v>
      </c>
      <c r="CI42" s="186">
        <v>-1492</v>
      </c>
      <c r="CJ42" s="186">
        <v>-2193</v>
      </c>
      <c r="CK42" s="186">
        <v>-843</v>
      </c>
      <c r="CL42" s="186">
        <f>-4439-SUM(CI42:CK42)</f>
        <v>89</v>
      </c>
      <c r="CM42" s="167">
        <f>SUM(CI42:CL42)</f>
        <v>-4439</v>
      </c>
      <c r="CN42" s="186">
        <v>-2130</v>
      </c>
      <c r="CO42" s="186">
        <v>-2124</v>
      </c>
      <c r="CP42" s="186">
        <v>-1635</v>
      </c>
      <c r="CQ42" s="186">
        <f>-5808-SUM(CN42:CP42)</f>
        <v>81</v>
      </c>
      <c r="CR42" s="167">
        <f>SUM(CN42:CQ42)</f>
        <v>-5808</v>
      </c>
      <c r="CS42" s="186">
        <v>-1627</v>
      </c>
      <c r="CT42" s="186">
        <v>-2289</v>
      </c>
      <c r="CU42" s="186">
        <v>-800</v>
      </c>
      <c r="CV42" s="186">
        <f>-4583-SUM(CS42:CU42)</f>
        <v>133</v>
      </c>
      <c r="CW42" s="167">
        <f>SUM(CS42:CV42)</f>
        <v>-4583</v>
      </c>
      <c r="CX42" s="186">
        <v>-2957</v>
      </c>
      <c r="CY42" s="186">
        <v>-951</v>
      </c>
      <c r="CZ42" s="186">
        <v>-1562</v>
      </c>
      <c r="DA42" s="186">
        <f>-3233-SUM(CX42:CZ42)</f>
        <v>2237</v>
      </c>
      <c r="DB42" s="167">
        <f>SUM(CX42:DA42)</f>
        <v>-3233</v>
      </c>
      <c r="DC42" s="186">
        <v>-8693</v>
      </c>
      <c r="DD42" s="186">
        <v>-2894</v>
      </c>
      <c r="DE42" s="186">
        <v>260</v>
      </c>
      <c r="DF42" s="186">
        <f>-11191-SUM(DC42:DE42)</f>
        <v>136</v>
      </c>
      <c r="DG42" s="167">
        <f>SUM(DC42:DF42)</f>
        <v>-11191</v>
      </c>
      <c r="DH42" s="186">
        <v>-4033</v>
      </c>
      <c r="DI42" s="186">
        <v>-3011</v>
      </c>
      <c r="DJ42" s="162">
        <f>-DJ43*DJ11-DJ40</f>
        <v>-1144.8928722528908</v>
      </c>
      <c r="DK42" s="162">
        <f>-DK43*DK11-DK40</f>
        <v>-1786.8155414852226</v>
      </c>
      <c r="DL42" s="167">
        <f>SUM(DH42:DK42)</f>
        <v>-9975.7084137381134</v>
      </c>
      <c r="DM42" s="162">
        <f>-DM43*DM11-DM40</f>
        <v>1532.7410900422474</v>
      </c>
      <c r="DN42" s="162">
        <f>-DN43*DN11-DN40</f>
        <v>-1055.5728886993675</v>
      </c>
      <c r="DO42" s="162">
        <f>-DO43*DO11-DO40</f>
        <v>-755.4458871529423</v>
      </c>
      <c r="DP42" s="162">
        <f>-DP43*DP11-DP40</f>
        <v>-615.82407032138144</v>
      </c>
      <c r="DQ42" s="167">
        <f>SUM(DM42:DP42)</f>
        <v>-894.10175613144384</v>
      </c>
      <c r="DR42" s="162">
        <f>-DR43*DR11-DR40</f>
        <v>-508.76533082454262</v>
      </c>
      <c r="DS42" s="162">
        <f>-DS43*DS11-DS40</f>
        <v>-424.37551926268497</v>
      </c>
      <c r="DT42" s="162">
        <f>-DT43*DT11-DT40</f>
        <v>-354.84319423521083</v>
      </c>
      <c r="DU42" s="162">
        <f>-DU43*DU11-DU40</f>
        <v>-295.67549999778566</v>
      </c>
      <c r="DV42" s="167">
        <f>SUM(DR42:DU42)</f>
        <v>-1583.6595443202241</v>
      </c>
      <c r="DW42" s="162">
        <f>-DW43*DW11-DW40</f>
        <v>-244.17017627329187</v>
      </c>
      <c r="DX42" s="162">
        <f>-DX43*DX11-DX40</f>
        <v>-198.64065573781409</v>
      </c>
      <c r="DY42" s="162">
        <f>-DY43*DY11-DY40</f>
        <v>-157.98187341301673</v>
      </c>
      <c r="DZ42" s="162">
        <f>-DZ43*DZ11-DZ40</f>
        <v>-121.42779612018785</v>
      </c>
      <c r="EA42" s="167">
        <f>SUM(DW42:DZ42)</f>
        <v>-722.22050154431054</v>
      </c>
      <c r="EB42" s="162">
        <f>-EB43*EB11-EB40</f>
        <v>-88.415348697242734</v>
      </c>
      <c r="EC42" s="162">
        <f>-EC43*EC11-EC40</f>
        <v>-58.507498654849769</v>
      </c>
      <c r="ED42" s="162">
        <f>-ED43*ED11-ED40</f>
        <v>-31.349287039258343</v>
      </c>
      <c r="EE42" s="162">
        <f>-EE43*EE11-EE40</f>
        <v>-6.6422569350979757</v>
      </c>
      <c r="EF42" s="167">
        <f>SUM(EB42:EE42)</f>
        <v>-184.91439132644882</v>
      </c>
      <c r="EG42" s="162"/>
    </row>
    <row r="43" spans="1:137" ht="12.75" customHeight="1" outlineLevel="1">
      <c r="A43" s="173" t="s">
        <v>292</v>
      </c>
      <c r="B43" s="174" t="e">
        <f t="shared" ref="B43:AG43" si="97">-(B40+B42)/B11</f>
        <v>#DIV/0!</v>
      </c>
      <c r="C43" s="174" t="e">
        <f t="shared" si="97"/>
        <v>#DIV/0!</v>
      </c>
      <c r="D43" s="174" t="e">
        <f t="shared" si="97"/>
        <v>#DIV/0!</v>
      </c>
      <c r="E43" s="174" t="e">
        <f t="shared" si="97"/>
        <v>#DIV/0!</v>
      </c>
      <c r="F43" s="175" t="e">
        <f t="shared" si="97"/>
        <v>#DIV/0!</v>
      </c>
      <c r="G43" s="174" t="e">
        <f t="shared" si="97"/>
        <v>#DIV/0!</v>
      </c>
      <c r="H43" s="174" t="e">
        <f t="shared" si="97"/>
        <v>#DIV/0!</v>
      </c>
      <c r="I43" s="174" t="e">
        <f t="shared" si="97"/>
        <v>#DIV/0!</v>
      </c>
      <c r="J43" s="174" t="e">
        <f t="shared" si="97"/>
        <v>#DIV/0!</v>
      </c>
      <c r="K43" s="175" t="e">
        <f t="shared" si="97"/>
        <v>#DIV/0!</v>
      </c>
      <c r="L43" s="174" t="e">
        <f t="shared" si="97"/>
        <v>#DIV/0!</v>
      </c>
      <c r="M43" s="174" t="e">
        <f t="shared" si="97"/>
        <v>#DIV/0!</v>
      </c>
      <c r="N43" s="174" t="e">
        <f t="shared" si="97"/>
        <v>#DIV/0!</v>
      </c>
      <c r="O43" s="174" t="e">
        <f t="shared" si="97"/>
        <v>#DIV/0!</v>
      </c>
      <c r="P43" s="175" t="e">
        <f t="shared" si="97"/>
        <v>#DIV/0!</v>
      </c>
      <c r="Q43" s="174" t="e">
        <f t="shared" si="97"/>
        <v>#DIV/0!</v>
      </c>
      <c r="R43" s="174" t="e">
        <f t="shared" si="97"/>
        <v>#DIV/0!</v>
      </c>
      <c r="S43" s="174" t="e">
        <f t="shared" si="97"/>
        <v>#DIV/0!</v>
      </c>
      <c r="T43" s="174" t="e">
        <f t="shared" si="97"/>
        <v>#DIV/0!</v>
      </c>
      <c r="U43" s="175" t="e">
        <f t="shared" si="97"/>
        <v>#DIV/0!</v>
      </c>
      <c r="V43" s="174" t="e">
        <f t="shared" si="97"/>
        <v>#DIV/0!</v>
      </c>
      <c r="W43" s="174" t="e">
        <f t="shared" si="97"/>
        <v>#DIV/0!</v>
      </c>
      <c r="X43" s="174" t="e">
        <f t="shared" si="97"/>
        <v>#DIV/0!</v>
      </c>
      <c r="Y43" s="174" t="e">
        <f t="shared" si="97"/>
        <v>#DIV/0!</v>
      </c>
      <c r="Z43" s="175" t="e">
        <f t="shared" si="97"/>
        <v>#DIV/0!</v>
      </c>
      <c r="AA43" s="174" t="e">
        <f t="shared" si="97"/>
        <v>#DIV/0!</v>
      </c>
      <c r="AB43" s="174" t="e">
        <f t="shared" si="97"/>
        <v>#DIV/0!</v>
      </c>
      <c r="AC43" s="174" t="e">
        <f t="shared" si="97"/>
        <v>#DIV/0!</v>
      </c>
      <c r="AD43" s="174" t="e">
        <f t="shared" si="97"/>
        <v>#DIV/0!</v>
      </c>
      <c r="AE43" s="175" t="e">
        <f t="shared" si="97"/>
        <v>#DIV/0!</v>
      </c>
      <c r="AF43" s="174" t="e">
        <f t="shared" si="97"/>
        <v>#DIV/0!</v>
      </c>
      <c r="AG43" s="174" t="e">
        <f t="shared" si="97"/>
        <v>#DIV/0!</v>
      </c>
      <c r="AH43" s="174" t="e">
        <f t="shared" ref="AH43:BM43" si="98">-(AH40+AH42)/AH11</f>
        <v>#DIV/0!</v>
      </c>
      <c r="AI43" s="174">
        <f t="shared" si="98"/>
        <v>2.4937817973414295E-2</v>
      </c>
      <c r="AJ43" s="175">
        <f t="shared" si="98"/>
        <v>2.4937817973414295E-2</v>
      </c>
      <c r="AK43" s="174" t="e">
        <f t="shared" si="98"/>
        <v>#DIV/0!</v>
      </c>
      <c r="AL43" s="174" t="e">
        <f t="shared" si="98"/>
        <v>#DIV/0!</v>
      </c>
      <c r="AM43" s="174" t="e">
        <f t="shared" si="98"/>
        <v>#DIV/0!</v>
      </c>
      <c r="AN43" s="174">
        <f t="shared" si="98"/>
        <v>2.7730295455898415E-2</v>
      </c>
      <c r="AO43" s="175">
        <f t="shared" si="98"/>
        <v>2.7730295455898415E-2</v>
      </c>
      <c r="AP43" s="174" t="e">
        <f t="shared" si="98"/>
        <v>#DIV/0!</v>
      </c>
      <c r="AQ43" s="174" t="e">
        <f t="shared" si="98"/>
        <v>#DIV/0!</v>
      </c>
      <c r="AR43" s="174" t="e">
        <f t="shared" si="98"/>
        <v>#DIV/0!</v>
      </c>
      <c r="AS43" s="174">
        <f t="shared" si="98"/>
        <v>2.4024481781395095E-2</v>
      </c>
      <c r="AT43" s="175">
        <f t="shared" si="98"/>
        <v>2.4024481781395095E-2</v>
      </c>
      <c r="AU43" s="174" t="e">
        <f t="shared" si="98"/>
        <v>#DIV/0!</v>
      </c>
      <c r="AV43" s="174" t="e">
        <f t="shared" si="98"/>
        <v>#DIV/0!</v>
      </c>
      <c r="AW43" s="174" t="e">
        <f t="shared" si="98"/>
        <v>#DIV/0!</v>
      </c>
      <c r="AX43" s="174">
        <f t="shared" si="98"/>
        <v>1.8381107573777873E-2</v>
      </c>
      <c r="AY43" s="175">
        <f t="shared" si="98"/>
        <v>1.8381107573777873E-2</v>
      </c>
      <c r="AZ43" s="174" t="e">
        <f t="shared" si="98"/>
        <v>#DIV/0!</v>
      </c>
      <c r="BA43" s="174" t="e">
        <f t="shared" si="98"/>
        <v>#DIV/0!</v>
      </c>
      <c r="BB43" s="174" t="e">
        <f t="shared" si="98"/>
        <v>#DIV/0!</v>
      </c>
      <c r="BC43" s="174">
        <f t="shared" si="98"/>
        <v>1.3125840170519173E-2</v>
      </c>
      <c r="BD43" s="175">
        <f t="shared" si="98"/>
        <v>1.3125840170519173E-2</v>
      </c>
      <c r="BE43" s="174" t="e">
        <f t="shared" si="98"/>
        <v>#DIV/0!</v>
      </c>
      <c r="BF43" s="174" t="e">
        <f t="shared" si="98"/>
        <v>#DIV/0!</v>
      </c>
      <c r="BG43" s="174" t="e">
        <f t="shared" si="98"/>
        <v>#DIV/0!</v>
      </c>
      <c r="BH43" s="174">
        <f t="shared" si="98"/>
        <v>1.2133679677829884E-2</v>
      </c>
      <c r="BI43" s="175">
        <f t="shared" si="98"/>
        <v>1.2133679677829884E-2</v>
      </c>
      <c r="BJ43" s="174" t="e">
        <f t="shared" si="98"/>
        <v>#DIV/0!</v>
      </c>
      <c r="BK43" s="174" t="e">
        <f t="shared" si="98"/>
        <v>#DIV/0!</v>
      </c>
      <c r="BL43" s="174" t="e">
        <f t="shared" si="98"/>
        <v>#DIV/0!</v>
      </c>
      <c r="BM43" s="174">
        <f t="shared" si="98"/>
        <v>1.3988028631379032E-2</v>
      </c>
      <c r="BN43" s="175">
        <f t="shared" ref="BN43:CS43" si="99">-(BN40+BN42)/BN11</f>
        <v>1.3988028631379032E-2</v>
      </c>
      <c r="BO43" s="174" t="e">
        <f t="shared" si="99"/>
        <v>#DIV/0!</v>
      </c>
      <c r="BP43" s="174" t="e">
        <f t="shared" si="99"/>
        <v>#DIV/0!</v>
      </c>
      <c r="BQ43" s="174" t="e">
        <f t="shared" si="99"/>
        <v>#DIV/0!</v>
      </c>
      <c r="BR43" s="174">
        <f t="shared" si="99"/>
        <v>1.6968632771969031E-2</v>
      </c>
      <c r="BS43" s="175">
        <f t="shared" si="99"/>
        <v>1.6968632771969031E-2</v>
      </c>
      <c r="BT43" s="174" t="e">
        <f t="shared" si="99"/>
        <v>#DIV/0!</v>
      </c>
      <c r="BU43" s="174" t="e">
        <f t="shared" si="99"/>
        <v>#DIV/0!</v>
      </c>
      <c r="BV43" s="174" t="e">
        <f t="shared" si="99"/>
        <v>#DIV/0!</v>
      </c>
      <c r="BW43" s="174">
        <f t="shared" si="99"/>
        <v>2.0048834396627885E-2</v>
      </c>
      <c r="BX43" s="175">
        <f t="shared" si="99"/>
        <v>2.0048834396627885E-2</v>
      </c>
      <c r="BY43" s="174">
        <f t="shared" si="99"/>
        <v>2.5221638265116527E-2</v>
      </c>
      <c r="BZ43" s="174">
        <f t="shared" si="99"/>
        <v>2.0669846451502057E-2</v>
      </c>
      <c r="CA43" s="174">
        <f t="shared" si="99"/>
        <v>1.8656031568804392E-2</v>
      </c>
      <c r="CB43" s="174">
        <f t="shared" si="99"/>
        <v>2.2791314437261727E-2</v>
      </c>
      <c r="CC43" s="175">
        <f t="shared" si="99"/>
        <v>2.1622189061462193E-2</v>
      </c>
      <c r="CD43" s="174">
        <f t="shared" si="99"/>
        <v>3.4035570844752575E-2</v>
      </c>
      <c r="CE43" s="174">
        <f t="shared" si="99"/>
        <v>1.9788468099624701E-2</v>
      </c>
      <c r="CF43" s="174">
        <f t="shared" si="99"/>
        <v>2.1181538952491124E-2</v>
      </c>
      <c r="CG43" s="174">
        <f t="shared" si="99"/>
        <v>1.9411458031628338E-2</v>
      </c>
      <c r="CH43" s="175">
        <f t="shared" si="99"/>
        <v>2.2900683333886618E-2</v>
      </c>
      <c r="CI43" s="174">
        <f t="shared" si="99"/>
        <v>2.0274930294795542E-2</v>
      </c>
      <c r="CJ43" s="174">
        <f t="shared" si="99"/>
        <v>1.8642389168182533E-2</v>
      </c>
      <c r="CK43" s="174">
        <f t="shared" si="99"/>
        <v>2.2629034130866758E-2</v>
      </c>
      <c r="CL43" s="174">
        <f t="shared" si="99"/>
        <v>2.1802725035269113E-2</v>
      </c>
      <c r="CM43" s="175">
        <f t="shared" si="99"/>
        <v>2.0900940289191421E-2</v>
      </c>
      <c r="CN43" s="174">
        <f t="shared" si="99"/>
        <v>2.6011793264695757E-2</v>
      </c>
      <c r="CO43" s="174">
        <f t="shared" si="99"/>
        <v>2.396882460188824E-2</v>
      </c>
      <c r="CP43" s="174">
        <f t="shared" si="99"/>
        <v>2.4788601137141573E-2</v>
      </c>
      <c r="CQ43" s="174">
        <f t="shared" si="99"/>
        <v>2.5746023105096143E-2</v>
      </c>
      <c r="CR43" s="175">
        <f t="shared" si="99"/>
        <v>2.5058322044004901E-2</v>
      </c>
      <c r="CS43" s="174">
        <f t="shared" si="99"/>
        <v>2.5776696091811831E-2</v>
      </c>
      <c r="CT43" s="174">
        <f t="shared" ref="CT43:DD43" si="100">-(CT40+CT42)/CT11</f>
        <v>2.5001855042830878E-2</v>
      </c>
      <c r="CU43" s="174">
        <f t="shared" si="100"/>
        <v>2.5440432838480916E-2</v>
      </c>
      <c r="CV43" s="174">
        <f t="shared" si="100"/>
        <v>2.4345856805602788E-2</v>
      </c>
      <c r="CW43" s="175">
        <f t="shared" si="100"/>
        <v>2.5091366696094342E-2</v>
      </c>
      <c r="CX43" s="174">
        <f t="shared" si="100"/>
        <v>2.4106083006322086E-2</v>
      </c>
      <c r="CY43" s="174">
        <f t="shared" si="100"/>
        <v>2.0948115641453383E-2</v>
      </c>
      <c r="CZ43" s="174">
        <f t="shared" si="100"/>
        <v>2.1784837556067402E-2</v>
      </c>
      <c r="DA43" s="174">
        <f t="shared" si="100"/>
        <v>2.4820019111646607E-2</v>
      </c>
      <c r="DB43" s="175">
        <f t="shared" si="100"/>
        <v>2.2867272324396188E-2</v>
      </c>
      <c r="DC43" s="174">
        <f t="shared" si="100"/>
        <v>2.5492030811127265E-2</v>
      </c>
      <c r="DD43" s="174">
        <f t="shared" si="100"/>
        <v>2.3346965206420024E-2</v>
      </c>
      <c r="DE43" s="174">
        <f t="shared" ref="DE43" si="101">-(DE40+DE42)/DE11</f>
        <v>2.594560336954788E-2</v>
      </c>
      <c r="DF43" s="174">
        <f>-(DF40+DF42)/DF11</f>
        <v>2.8048587216448373E-2</v>
      </c>
      <c r="DG43" s="175">
        <f>-(DG40+DG42)/DG11</f>
        <v>2.5748302041106608E-2</v>
      </c>
      <c r="DH43" s="174">
        <f t="shared" ref="DH43:DI43" si="102">-(DH40+DH42)/DH11</f>
        <v>2.5598872855830845E-2</v>
      </c>
      <c r="DI43" s="174">
        <f t="shared" si="102"/>
        <v>2.6685295227594562E-2</v>
      </c>
      <c r="DJ43" s="182">
        <f>1.26%+0.66%</f>
        <v>1.9200000000000002E-2</v>
      </c>
      <c r="DK43" s="182">
        <f>1.26%+0.66%</f>
        <v>1.9200000000000002E-2</v>
      </c>
      <c r="DL43" s="175">
        <f>-(DL40+DL42)/DL11</f>
        <v>2.2575384425632377E-2</v>
      </c>
      <c r="DM43" s="182">
        <f>1.26%+0.66%</f>
        <v>1.9200000000000002E-2</v>
      </c>
      <c r="DN43" s="182">
        <f>1.26%+0.66%</f>
        <v>1.9200000000000002E-2</v>
      </c>
      <c r="DO43" s="182">
        <f>1.26%+0.66%</f>
        <v>1.9200000000000002E-2</v>
      </c>
      <c r="DP43" s="182">
        <f>1.26%+0.66%</f>
        <v>1.9200000000000002E-2</v>
      </c>
      <c r="DQ43" s="175">
        <f>-(DQ40+DQ42)/DQ11</f>
        <v>1.9200000000000002E-2</v>
      </c>
      <c r="DR43" s="182">
        <f>1.26%+0.66%</f>
        <v>1.9200000000000002E-2</v>
      </c>
      <c r="DS43" s="182">
        <f t="shared" ref="DS43:DU44" si="103">DR43</f>
        <v>1.9200000000000002E-2</v>
      </c>
      <c r="DT43" s="182">
        <f t="shared" si="103"/>
        <v>1.9200000000000002E-2</v>
      </c>
      <c r="DU43" s="182">
        <f t="shared" si="103"/>
        <v>1.9200000000000002E-2</v>
      </c>
      <c r="DV43" s="175">
        <f>-(DV40+DV42)/DV11</f>
        <v>1.9199999999999998E-2</v>
      </c>
      <c r="DW43" s="182">
        <v>1.9199999999999998E-2</v>
      </c>
      <c r="DX43" s="182">
        <f t="shared" ref="DX43:DZ44" si="104">DW43</f>
        <v>1.9199999999999998E-2</v>
      </c>
      <c r="DY43" s="182">
        <f t="shared" si="104"/>
        <v>1.9199999999999998E-2</v>
      </c>
      <c r="DZ43" s="182">
        <f t="shared" si="104"/>
        <v>1.9199999999999998E-2</v>
      </c>
      <c r="EA43" s="175">
        <f>-(EA40+EA42)/EA11</f>
        <v>1.9199999999999998E-2</v>
      </c>
      <c r="EB43" s="182">
        <v>1.9199999999999998E-2</v>
      </c>
      <c r="EC43" s="182">
        <f t="shared" ref="EC43:EE44" si="105">EB43</f>
        <v>1.9199999999999998E-2</v>
      </c>
      <c r="ED43" s="182">
        <f t="shared" si="105"/>
        <v>1.9199999999999998E-2</v>
      </c>
      <c r="EE43" s="182">
        <f t="shared" si="105"/>
        <v>1.9199999999999998E-2</v>
      </c>
      <c r="EF43" s="175">
        <f>-(EF40+EF42)/EF11</f>
        <v>1.9199999999999995E-2</v>
      </c>
    </row>
    <row r="44" spans="1:137" ht="12.75" customHeight="1">
      <c r="A44" s="15" t="s">
        <v>193</v>
      </c>
      <c r="B44" s="186"/>
      <c r="C44" s="186"/>
      <c r="D44" s="186"/>
      <c r="E44" s="186"/>
      <c r="F44" s="167">
        <f>SUM(B44:E44)</f>
        <v>0</v>
      </c>
      <c r="G44" s="186"/>
      <c r="H44" s="186"/>
      <c r="I44" s="186"/>
      <c r="J44" s="186"/>
      <c r="K44" s="167">
        <f>SUM(G44:J44)</f>
        <v>0</v>
      </c>
      <c r="L44" s="186"/>
      <c r="M44" s="186"/>
      <c r="N44" s="186"/>
      <c r="O44" s="186"/>
      <c r="P44" s="167">
        <f>SUM(L44:O44)</f>
        <v>0</v>
      </c>
      <c r="Q44" s="186"/>
      <c r="R44" s="186"/>
      <c r="S44" s="186"/>
      <c r="T44" s="186"/>
      <c r="U44" s="167">
        <f>SUM(Q44:T44)</f>
        <v>0</v>
      </c>
      <c r="V44" s="186"/>
      <c r="W44" s="186"/>
      <c r="X44" s="186"/>
      <c r="Y44" s="186"/>
      <c r="Z44" s="167">
        <f>SUM(V44:Y44)</f>
        <v>0</v>
      </c>
      <c r="AA44" s="186"/>
      <c r="AB44" s="186"/>
      <c r="AC44" s="186"/>
      <c r="AD44" s="186"/>
      <c r="AE44" s="167">
        <f>SUM(AA44:AD44)</f>
        <v>0</v>
      </c>
      <c r="AF44" s="186"/>
      <c r="AG44" s="186"/>
      <c r="AH44" s="186"/>
      <c r="AI44" s="186">
        <v>0</v>
      </c>
      <c r="AJ44" s="167">
        <f>SUM(AF44:AI44)</f>
        <v>0</v>
      </c>
      <c r="AK44" s="186"/>
      <c r="AL44" s="186"/>
      <c r="AM44" s="186"/>
      <c r="AN44" s="186">
        <v>0</v>
      </c>
      <c r="AO44" s="167">
        <f>SUM(AK44:AN44)</f>
        <v>0</v>
      </c>
      <c r="AP44" s="186"/>
      <c r="AQ44" s="186"/>
      <c r="AR44" s="186"/>
      <c r="AS44" s="186">
        <v>0</v>
      </c>
      <c r="AT44" s="167">
        <f>SUM(AP44:AS44)</f>
        <v>0</v>
      </c>
      <c r="AU44" s="186"/>
      <c r="AV44" s="186"/>
      <c r="AW44" s="186"/>
      <c r="AX44" s="186">
        <v>0</v>
      </c>
      <c r="AY44" s="167">
        <f>SUM(AU44:AX44)</f>
        <v>0</v>
      </c>
      <c r="AZ44" s="186"/>
      <c r="BA44" s="186"/>
      <c r="BB44" s="186"/>
      <c r="BC44" s="186">
        <v>0</v>
      </c>
      <c r="BD44" s="167">
        <f>SUM(AZ44:BC44)</f>
        <v>0</v>
      </c>
      <c r="BE44" s="186"/>
      <c r="BF44" s="186"/>
      <c r="BG44" s="186"/>
      <c r="BH44" s="186">
        <v>0</v>
      </c>
      <c r="BI44" s="167">
        <f>SUM(BE44:BH44)</f>
        <v>0</v>
      </c>
      <c r="BJ44" s="186"/>
      <c r="BK44" s="186"/>
      <c r="BL44" s="186"/>
      <c r="BM44" s="186">
        <v>0</v>
      </c>
      <c r="BN44" s="167">
        <f>SUM(BJ44:BM44)</f>
        <v>0</v>
      </c>
      <c r="BO44" s="186"/>
      <c r="BP44" s="186"/>
      <c r="BQ44" s="186"/>
      <c r="BR44" s="186">
        <v>0</v>
      </c>
      <c r="BS44" s="167">
        <f>SUM(BO44:BR44)</f>
        <v>0</v>
      </c>
      <c r="BT44" s="186">
        <v>0</v>
      </c>
      <c r="BU44" s="186">
        <v>0</v>
      </c>
      <c r="BV44" s="186">
        <v>0</v>
      </c>
      <c r="BW44" s="186">
        <v>0</v>
      </c>
      <c r="BX44" s="167">
        <f>SUM(BT44:BW44)</f>
        <v>0</v>
      </c>
      <c r="BY44" s="186">
        <v>0</v>
      </c>
      <c r="BZ44" s="186">
        <v>0</v>
      </c>
      <c r="CA44" s="186">
        <v>0</v>
      </c>
      <c r="CB44" s="186">
        <v>0</v>
      </c>
      <c r="CC44" s="167">
        <f>SUM(BY44:CB44)</f>
        <v>0</v>
      </c>
      <c r="CD44" s="186">
        <v>0</v>
      </c>
      <c r="CE44" s="186">
        <v>0</v>
      </c>
      <c r="CF44" s="186">
        <v>0</v>
      </c>
      <c r="CG44" s="186">
        <v>0</v>
      </c>
      <c r="CH44" s="167">
        <f>SUM(CD44:CG44)</f>
        <v>0</v>
      </c>
      <c r="CI44" s="186">
        <v>0</v>
      </c>
      <c r="CJ44" s="186">
        <v>0</v>
      </c>
      <c r="CK44" s="186">
        <v>0</v>
      </c>
      <c r="CL44" s="186">
        <v>0</v>
      </c>
      <c r="CM44" s="167">
        <f>SUM(CI44:CL44)</f>
        <v>0</v>
      </c>
      <c r="CN44" s="186">
        <v>0</v>
      </c>
      <c r="CO44" s="186">
        <v>0</v>
      </c>
      <c r="CP44" s="186">
        <v>0</v>
      </c>
      <c r="CQ44" s="186">
        <v>0</v>
      </c>
      <c r="CR44" s="167">
        <f>SUM(CN44:CQ44)</f>
        <v>0</v>
      </c>
      <c r="CS44" s="186">
        <v>0</v>
      </c>
      <c r="CT44" s="186">
        <v>0</v>
      </c>
      <c r="CU44" s="186">
        <v>0</v>
      </c>
      <c r="CV44" s="186">
        <v>0</v>
      </c>
      <c r="CW44" s="167">
        <f>SUM(CS44:CV44)</f>
        <v>0</v>
      </c>
      <c r="CX44" s="186">
        <v>0</v>
      </c>
      <c r="CY44" s="186">
        <v>0</v>
      </c>
      <c r="CZ44" s="186">
        <v>0</v>
      </c>
      <c r="DA44" s="186">
        <v>0</v>
      </c>
      <c r="DB44" s="167">
        <f>SUM(CX44:DA44)</f>
        <v>0</v>
      </c>
      <c r="DC44" s="186">
        <v>0</v>
      </c>
      <c r="DD44" s="186">
        <v>0</v>
      </c>
      <c r="DE44" s="186">
        <v>0</v>
      </c>
      <c r="DF44" s="186">
        <v>0</v>
      </c>
      <c r="DG44" s="167">
        <f>SUM(DC44:DF44)</f>
        <v>0</v>
      </c>
      <c r="DH44" s="186">
        <v>0</v>
      </c>
      <c r="DI44" s="186">
        <v>0</v>
      </c>
      <c r="DJ44" s="162">
        <f t="shared" ref="DJ44:DK44" si="106">DI44</f>
        <v>0</v>
      </c>
      <c r="DK44" s="162">
        <f t="shared" si="106"/>
        <v>0</v>
      </c>
      <c r="DL44" s="167">
        <f>SUM(DH44:DK44)</f>
        <v>0</v>
      </c>
      <c r="DM44" s="162">
        <f>DK44</f>
        <v>0</v>
      </c>
      <c r="DN44" s="162">
        <f t="shared" ref="DN44:DP44" si="107">DM44</f>
        <v>0</v>
      </c>
      <c r="DO44" s="162">
        <f t="shared" si="107"/>
        <v>0</v>
      </c>
      <c r="DP44" s="162">
        <f t="shared" si="107"/>
        <v>0</v>
      </c>
      <c r="DQ44" s="167">
        <f>SUM(DM44:DP44)</f>
        <v>0</v>
      </c>
      <c r="DR44" s="162">
        <f>DP44</f>
        <v>0</v>
      </c>
      <c r="DS44" s="162">
        <f t="shared" si="103"/>
        <v>0</v>
      </c>
      <c r="DT44" s="162">
        <f t="shared" si="103"/>
        <v>0</v>
      </c>
      <c r="DU44" s="162">
        <f t="shared" si="103"/>
        <v>0</v>
      </c>
      <c r="DV44" s="167">
        <f>SUM(DR44:DU44)</f>
        <v>0</v>
      </c>
      <c r="DW44" s="162">
        <f>DU44</f>
        <v>0</v>
      </c>
      <c r="DX44" s="162">
        <f t="shared" si="104"/>
        <v>0</v>
      </c>
      <c r="DY44" s="162">
        <f t="shared" si="104"/>
        <v>0</v>
      </c>
      <c r="DZ44" s="162">
        <f t="shared" si="104"/>
        <v>0</v>
      </c>
      <c r="EA44" s="167">
        <f>SUM(DW44:DZ44)</f>
        <v>0</v>
      </c>
      <c r="EB44" s="162">
        <f>DZ44</f>
        <v>0</v>
      </c>
      <c r="EC44" s="162">
        <f t="shared" si="105"/>
        <v>0</v>
      </c>
      <c r="ED44" s="162">
        <f t="shared" si="105"/>
        <v>0</v>
      </c>
      <c r="EE44" s="162">
        <f t="shared" si="105"/>
        <v>0</v>
      </c>
      <c r="EF44" s="167">
        <f>SUM(EB44:EE44)</f>
        <v>0</v>
      </c>
    </row>
    <row r="45" spans="1:137" ht="12.75" customHeight="1">
      <c r="A45" s="15" t="s">
        <v>194</v>
      </c>
      <c r="B45" s="166">
        <f>+B39+B40+B42+B44</f>
        <v>0</v>
      </c>
      <c r="C45" s="166">
        <f>+C39+C40+C42+C44</f>
        <v>0</v>
      </c>
      <c r="D45" s="166">
        <f>+D39+D40+D42+D44</f>
        <v>0</v>
      </c>
      <c r="E45" s="166">
        <f>+E39+E40+E42+E44</f>
        <v>0</v>
      </c>
      <c r="F45" s="167">
        <f>SUM(B45:E45)</f>
        <v>0</v>
      </c>
      <c r="G45" s="166">
        <f>+G39+G40+G42+G44</f>
        <v>0</v>
      </c>
      <c r="H45" s="166">
        <f>+H39+H40+H42+H44</f>
        <v>0</v>
      </c>
      <c r="I45" s="166">
        <f>+I39+I40+I42+I44</f>
        <v>0</v>
      </c>
      <c r="J45" s="166">
        <f>+J39+J40+J42+J44</f>
        <v>0</v>
      </c>
      <c r="K45" s="167">
        <f>SUM(G45:J45)</f>
        <v>0</v>
      </c>
      <c r="L45" s="166">
        <f>+L39+L40+L42+L44</f>
        <v>0</v>
      </c>
      <c r="M45" s="166">
        <f>+M39+M40+M42+M44</f>
        <v>0</v>
      </c>
      <c r="N45" s="166">
        <f>+N39+N40+N42+N44</f>
        <v>0</v>
      </c>
      <c r="O45" s="166">
        <f>+O39+O40+O42+O44</f>
        <v>0</v>
      </c>
      <c r="P45" s="167">
        <f>SUM(L45:O45)</f>
        <v>0</v>
      </c>
      <c r="Q45" s="166">
        <f>+Q39+Q40+Q42+Q44</f>
        <v>0</v>
      </c>
      <c r="R45" s="166">
        <f>+R39+R40+R42+R44</f>
        <v>0</v>
      </c>
      <c r="S45" s="166">
        <f>+S39+S40+S42+S44</f>
        <v>0</v>
      </c>
      <c r="T45" s="166">
        <f>+T39+T40+T42+T44</f>
        <v>0</v>
      </c>
      <c r="U45" s="167">
        <f>SUM(Q45:T45)</f>
        <v>0</v>
      </c>
      <c r="V45" s="166">
        <f>+V39+V40+V42+V44</f>
        <v>0</v>
      </c>
      <c r="W45" s="166">
        <f>+W39+W40+W42+W44</f>
        <v>0</v>
      </c>
      <c r="X45" s="166">
        <f>+X39+X40+X42+X44</f>
        <v>0</v>
      </c>
      <c r="Y45" s="166">
        <f>+Y39+Y40+Y42+Y44</f>
        <v>0</v>
      </c>
      <c r="Z45" s="167">
        <f>SUM(V45:Y45)</f>
        <v>0</v>
      </c>
      <c r="AA45" s="166">
        <f>+AA39+AA40+AA42+AA44</f>
        <v>0</v>
      </c>
      <c r="AB45" s="166">
        <f>+AB39+AB40+AB42+AB44</f>
        <v>0</v>
      </c>
      <c r="AC45" s="166">
        <f>+AC39+AC40+AC42+AC44</f>
        <v>0</v>
      </c>
      <c r="AD45" s="166">
        <f>+AD39+AD40+AD42+AD44</f>
        <v>0</v>
      </c>
      <c r="AE45" s="167">
        <f>SUM(AA45:AD45)</f>
        <v>0</v>
      </c>
      <c r="AF45" s="166">
        <f>+AF39+AF40+AF42+AF44</f>
        <v>0</v>
      </c>
      <c r="AG45" s="166">
        <f>+AG39+AG40+AG42+AG44</f>
        <v>0</v>
      </c>
      <c r="AH45" s="166">
        <f>+AH39+AH40+AH42+AH44</f>
        <v>0</v>
      </c>
      <c r="AI45" s="166">
        <f>+AI39+AI40+AI42+AI44</f>
        <v>52097.767000000029</v>
      </c>
      <c r="AJ45" s="167">
        <f>SUM(AF45:AI45)</f>
        <v>52097.767000000029</v>
      </c>
      <c r="AK45" s="166">
        <f>+AK39+AK40+AK42+AK44</f>
        <v>0</v>
      </c>
      <c r="AL45" s="166">
        <f>+AL39+AL40+AL42+AL44</f>
        <v>0</v>
      </c>
      <c r="AM45" s="166">
        <f>+AM39+AM40+AM42+AM44</f>
        <v>0</v>
      </c>
      <c r="AN45" s="166">
        <f>+AN39+AN40+AN42+AN44</f>
        <v>90002.872999999992</v>
      </c>
      <c r="AO45" s="167">
        <f>SUM(AK45:AN45)</f>
        <v>90002.872999999992</v>
      </c>
      <c r="AP45" s="166">
        <f>+AP39+AP40+AP42+AP44</f>
        <v>0</v>
      </c>
      <c r="AQ45" s="166">
        <f>+AQ39+AQ40+AQ42+AQ44</f>
        <v>0</v>
      </c>
      <c r="AR45" s="166">
        <f>+AR39+AR40+AR42+AR44</f>
        <v>0</v>
      </c>
      <c r="AS45" s="166">
        <f>+AS39+AS40+AS42+AS44</f>
        <v>123334.70100000002</v>
      </c>
      <c r="AT45" s="167">
        <f>SUM(AP45:AS45)</f>
        <v>123334.70100000002</v>
      </c>
      <c r="AU45" s="166">
        <f>+AU39+AU40+AU42+AU44</f>
        <v>0</v>
      </c>
      <c r="AV45" s="166">
        <f>+AV39+AV40+AV42+AV44</f>
        <v>0</v>
      </c>
      <c r="AW45" s="166">
        <f>+AW39+AW40+AW42+AW44</f>
        <v>0</v>
      </c>
      <c r="AX45" s="166">
        <f>+AX39+AX40+AX42+AX44</f>
        <v>171735.94599999997</v>
      </c>
      <c r="AY45" s="167">
        <f>SUM(AU45:AX45)</f>
        <v>171735.94599999997</v>
      </c>
      <c r="AZ45" s="166">
        <f>+AZ39+AZ40+AZ42+AZ44</f>
        <v>0</v>
      </c>
      <c r="BA45" s="166">
        <f>+BA39+BA40+BA42+BA44</f>
        <v>0</v>
      </c>
      <c r="BB45" s="166">
        <f>+BB39+BB40+BB42+BB44</f>
        <v>0</v>
      </c>
      <c r="BC45" s="166">
        <f>+BC39+BC40+BC42+BC44</f>
        <v>172789</v>
      </c>
      <c r="BD45" s="167">
        <f>SUM(AZ45:BC45)</f>
        <v>172789</v>
      </c>
      <c r="BE45" s="166">
        <f>+BE39+BE40+BE42+BE44</f>
        <v>0</v>
      </c>
      <c r="BF45" s="166">
        <f>+BF39+BF40+BF42+BF44</f>
        <v>0</v>
      </c>
      <c r="BG45" s="166">
        <f>+BG39+BG40+BG42+BG44</f>
        <v>0</v>
      </c>
      <c r="BH45" s="166">
        <f>+BH39+BH40+BH42+BH44</f>
        <v>161329</v>
      </c>
      <c r="BI45" s="167">
        <f>SUM(BE45:BH45)</f>
        <v>161329</v>
      </c>
      <c r="BJ45" s="166">
        <f>+BJ39+BJ40+BJ42+BJ44</f>
        <v>0</v>
      </c>
      <c r="BK45" s="166">
        <f>+BK39+BK40+BK42+BK44</f>
        <v>0</v>
      </c>
      <c r="BL45" s="166">
        <f>+BL39+BL40+BL42+BL44</f>
        <v>0</v>
      </c>
      <c r="BM45" s="166">
        <f>+BM39+BM40+BM42+BM44</f>
        <v>111796</v>
      </c>
      <c r="BN45" s="167">
        <f>SUM(BJ45:BM45)</f>
        <v>111796</v>
      </c>
      <c r="BO45" s="166">
        <f>+BO39+BO40+BO42+BO44</f>
        <v>0</v>
      </c>
      <c r="BP45" s="166">
        <f>+BP39+BP40+BP42+BP44</f>
        <v>0</v>
      </c>
      <c r="BQ45" s="166">
        <f>+BQ39+BQ40+BQ42+BQ44</f>
        <v>0</v>
      </c>
      <c r="BR45" s="166">
        <f>+BR39+BR40+BR42+BR44</f>
        <v>128777</v>
      </c>
      <c r="BS45" s="167">
        <f>SUM(BO45:BR45)</f>
        <v>128777</v>
      </c>
      <c r="BT45" s="166">
        <f>+BT39+BT40+BT42+BT44</f>
        <v>0</v>
      </c>
      <c r="BU45" s="166">
        <f>+BU39+BU40+BU42+BU44</f>
        <v>0</v>
      </c>
      <c r="BV45" s="166">
        <f>+BV39+BV40+BV42+BV44</f>
        <v>0</v>
      </c>
      <c r="BW45" s="166">
        <f>+BW39+BW40+BW42+BW44</f>
        <v>176011</v>
      </c>
      <c r="BX45" s="167">
        <f>SUM(BT45:BW45)</f>
        <v>176011</v>
      </c>
      <c r="BY45" s="166">
        <f>+BY39+BY40+BY42+BY44</f>
        <v>23506</v>
      </c>
      <c r="BZ45" s="166">
        <f>+BZ39+BZ40+BZ42+BZ44</f>
        <v>73734</v>
      </c>
      <c r="CA45" s="166">
        <f>+CA39+CA40+CA42+CA44</f>
        <v>40304</v>
      </c>
      <c r="CB45" s="166">
        <f>+CB39+CB40+CB42+CB44</f>
        <v>66512</v>
      </c>
      <c r="CC45" s="167">
        <f>SUM(BY45:CB45)</f>
        <v>204056</v>
      </c>
      <c r="CD45" s="166">
        <f>+CD39+CD40+CD42+CD44</f>
        <v>15418</v>
      </c>
      <c r="CE45" s="166">
        <f>+CE39+CE40+CE42+CE44</f>
        <v>41012</v>
      </c>
      <c r="CF45" s="166">
        <f>+CF39+CF40+CF42+CF44</f>
        <v>59215</v>
      </c>
      <c r="CG45" s="166">
        <f>+CG39+CG40+CG42+CG44</f>
        <v>74353</v>
      </c>
      <c r="CH45" s="167">
        <f>SUM(CD45:CG45)</f>
        <v>189998</v>
      </c>
      <c r="CI45" s="166">
        <f>+CI39+CI40+CI42+CI44</f>
        <v>52068</v>
      </c>
      <c r="CJ45" s="166">
        <f>+CJ39+CJ40+CJ42+CJ44</f>
        <v>76951</v>
      </c>
      <c r="CK45" s="166">
        <f>+CK39+CK40+CK42+CK44</f>
        <v>74647</v>
      </c>
      <c r="CL45" s="166">
        <f>+CL39+CL40+CL42+CL44</f>
        <v>111643</v>
      </c>
      <c r="CM45" s="167">
        <f>SUM(CI45:CL45)</f>
        <v>315309</v>
      </c>
      <c r="CN45" s="166">
        <f>+CN39+CN40+CN42+CN44</f>
        <v>63351</v>
      </c>
      <c r="CO45" s="166">
        <f>+CO39+CO40+CO42+CO44</f>
        <v>92939</v>
      </c>
      <c r="CP45" s="166">
        <f>+CP39+CP40+CP42+CP44</f>
        <v>94871</v>
      </c>
      <c r="CQ45" s="166">
        <f>+CQ39+CQ40+CQ42+CQ44</f>
        <v>97279</v>
      </c>
      <c r="CR45" s="167">
        <f>SUM(CN45:CQ45)</f>
        <v>348440</v>
      </c>
      <c r="CS45" s="166">
        <f>+CS39+CS40+CS42+CS44</f>
        <v>94056</v>
      </c>
      <c r="CT45" s="166">
        <f>+CT39+CT40+CT42+CT44</f>
        <v>124070</v>
      </c>
      <c r="CU45" s="166">
        <f>+CU39+CU40+CU42+CU44</f>
        <v>112891</v>
      </c>
      <c r="CV45" s="166">
        <f>+CV39+CV40+CV42+CV44</f>
        <v>164594</v>
      </c>
      <c r="CW45" s="167">
        <f>SUM(CS45:CV45)</f>
        <v>495611</v>
      </c>
      <c r="CX45" s="166">
        <f>+CX39+CX40+CX42+CX44</f>
        <v>154070</v>
      </c>
      <c r="CY45" s="166">
        <f>+CY39+CY40+CY42+CY44</f>
        <v>175282</v>
      </c>
      <c r="CZ45" s="166">
        <f>+CZ39+CZ40+CZ42+CZ44</f>
        <v>180588</v>
      </c>
      <c r="DA45" s="166">
        <f>+DA39+DA40+DA42+DA44</f>
        <v>188872</v>
      </c>
      <c r="DB45" s="167">
        <f>SUM(CX45:DA45)</f>
        <v>698812</v>
      </c>
      <c r="DC45" s="166">
        <f>+DC39+DC40+DC42+DC44</f>
        <v>233664</v>
      </c>
      <c r="DD45" s="166">
        <f>+DD39+DD40+DD42+DD44</f>
        <v>267157</v>
      </c>
      <c r="DE45" s="166">
        <f>+DE39+DE40+DE42+DE44</f>
        <v>283210</v>
      </c>
      <c r="DF45" s="166">
        <f>+DF39+DF40+DF42+DF44</f>
        <v>297189</v>
      </c>
      <c r="DG45" s="167">
        <f>SUM(DC45:DF45)</f>
        <v>1081220</v>
      </c>
      <c r="DH45" s="166">
        <f>+DH39+DH40+DH42+DH44</f>
        <v>351156</v>
      </c>
      <c r="DI45" s="166">
        <f>+DI39+DI40+DI42+DI44</f>
        <v>311191</v>
      </c>
      <c r="DJ45" s="166">
        <f ca="1">+DJ39+DJ40+DJ42+DJ44</f>
        <v>351748.26383656246</v>
      </c>
      <c r="DK45" s="166">
        <f ca="1">+DK39+DK40+DK42+DK44</f>
        <v>409750.30172511656</v>
      </c>
      <c r="DL45" s="167">
        <f ca="1">SUM(DH45:DK45)</f>
        <v>1423845.565561679</v>
      </c>
      <c r="DM45" s="166">
        <f ca="1">+DM39+DM40+DM42+DM44</f>
        <v>408700.68879166379</v>
      </c>
      <c r="DN45" s="166">
        <f ca="1">+DN39+DN40+DN42+DN44</f>
        <v>421800.19201252412</v>
      </c>
      <c r="DO45" s="166">
        <f ca="1">+DO39+DO40+DO42+DO44</f>
        <v>426774.69194075</v>
      </c>
      <c r="DP45" s="166">
        <f ca="1">+DP39+DP40+DP42+DP44</f>
        <v>440052.93466621632</v>
      </c>
      <c r="DQ45" s="167">
        <f ca="1">SUM(DM45:DP45)</f>
        <v>1697328.5074111542</v>
      </c>
      <c r="DR45" s="166">
        <f ca="1">+DR39+DR40+DR42+DR44</f>
        <v>456513.11356402782</v>
      </c>
      <c r="DS45" s="166">
        <f ca="1">+DS39+DS40+DS42+DS44</f>
        <v>454491.33806850691</v>
      </c>
      <c r="DT45" s="166">
        <f ca="1">+DT39+DT40+DT42+DT44</f>
        <v>469936.25422710099</v>
      </c>
      <c r="DU45" s="166">
        <f ca="1">+DU39+DU40+DU42+DU44</f>
        <v>489080.88561842474</v>
      </c>
      <c r="DV45" s="167">
        <f ca="1">SUM(DR45:DU45)</f>
        <v>1870021.5914780605</v>
      </c>
      <c r="DW45" s="166">
        <f ca="1">+DW39+DW40+DW42+DW44</f>
        <v>485653.80358305905</v>
      </c>
      <c r="DX45" s="166">
        <f ca="1">+DX39+DX40+DX42+DX44</f>
        <v>481829.53865004808</v>
      </c>
      <c r="DY45" s="166">
        <f ca="1">+DY39+DY40+DY42+DY44</f>
        <v>500428.31969710503</v>
      </c>
      <c r="DZ45" s="166">
        <f ca="1">+DZ39+DZ40+DZ42+DZ44</f>
        <v>519407.24994239147</v>
      </c>
      <c r="EA45" s="167">
        <f ca="1">SUM(DW45:DZ45)</f>
        <v>1987318.9118726037</v>
      </c>
      <c r="EB45" s="166">
        <f ca="1">+EB39+EB40+EB42+EB44</f>
        <v>514825.58556205069</v>
      </c>
      <c r="EC45" s="166">
        <f ca="1">+EC39+EC40+EC42+EC44</f>
        <v>509922.24997341022</v>
      </c>
      <c r="ED45" s="166">
        <f ca="1">+ED39+ED40+ED42+ED44</f>
        <v>528622.45388649078</v>
      </c>
      <c r="EE45" s="166">
        <f ca="1">+EE39+EE40+EE42+EE44</f>
        <v>547659.05055707565</v>
      </c>
      <c r="EF45" s="167">
        <f ca="1">SUM(EB45:EE45)</f>
        <v>2101029.3399790274</v>
      </c>
    </row>
    <row r="46" spans="1:137" ht="12.75" customHeight="1">
      <c r="A46" s="15" t="s">
        <v>195</v>
      </c>
      <c r="B46" s="186"/>
      <c r="C46" s="186"/>
      <c r="D46" s="186"/>
      <c r="E46" s="186"/>
      <c r="F46" s="167">
        <f>SUM(B46:E46)</f>
        <v>0</v>
      </c>
      <c r="G46" s="186"/>
      <c r="H46" s="186"/>
      <c r="I46" s="186"/>
      <c r="J46" s="186"/>
      <c r="K46" s="167">
        <f>SUM(G46:J46)</f>
        <v>0</v>
      </c>
      <c r="L46" s="186"/>
      <c r="M46" s="186"/>
      <c r="N46" s="186"/>
      <c r="O46" s="186"/>
      <c r="P46" s="167">
        <f>SUM(L46:O46)</f>
        <v>0</v>
      </c>
      <c r="Q46" s="186"/>
      <c r="R46" s="186"/>
      <c r="S46" s="186"/>
      <c r="T46" s="186"/>
      <c r="U46" s="167">
        <f>SUM(Q46:T46)</f>
        <v>0</v>
      </c>
      <c r="V46" s="186"/>
      <c r="W46" s="186"/>
      <c r="X46" s="186"/>
      <c r="Y46" s="186"/>
      <c r="Z46" s="167">
        <f>SUM(V46:Y46)</f>
        <v>0</v>
      </c>
      <c r="AA46" s="186"/>
      <c r="AB46" s="186"/>
      <c r="AC46" s="186"/>
      <c r="AD46" s="186"/>
      <c r="AE46" s="167">
        <f>SUM(AA46:AD46)</f>
        <v>0</v>
      </c>
      <c r="AF46" s="186"/>
      <c r="AG46" s="186"/>
      <c r="AH46" s="186"/>
      <c r="AI46" s="186">
        <v>0</v>
      </c>
      <c r="AJ46" s="167">
        <f>SUM(AF46:AI46)</f>
        <v>0</v>
      </c>
      <c r="AK46" s="186"/>
      <c r="AL46" s="186"/>
      <c r="AM46" s="186"/>
      <c r="AN46" s="186">
        <v>0</v>
      </c>
      <c r="AO46" s="167">
        <f>SUM(AK46:AN46)</f>
        <v>0</v>
      </c>
      <c r="AP46" s="186"/>
      <c r="AQ46" s="186"/>
      <c r="AR46" s="186"/>
      <c r="AS46" s="186">
        <f>-43253.514-SUM(AP46:AR46)</f>
        <v>-43253.514000000003</v>
      </c>
      <c r="AT46" s="167">
        <f>SUM(AP46:AS46)</f>
        <v>-43253.514000000003</v>
      </c>
      <c r="AU46" s="186"/>
      <c r="AV46" s="186"/>
      <c r="AW46" s="186"/>
      <c r="AX46" s="186">
        <f>-66655.695-SUM(AU46:AW46)</f>
        <v>-66655.695000000007</v>
      </c>
      <c r="AY46" s="167">
        <f>SUM(AU46:AX46)</f>
        <v>-66655.695000000007</v>
      </c>
      <c r="AZ46" s="186"/>
      <c r="BA46" s="186"/>
      <c r="BB46" s="186"/>
      <c r="BC46" s="186">
        <f>-38258-SUM(AZ46:BB46)</f>
        <v>-38258</v>
      </c>
      <c r="BD46" s="167">
        <f>SUM(AZ46:BC46)</f>
        <v>-38258</v>
      </c>
      <c r="BE46" s="186"/>
      <c r="BF46" s="186"/>
      <c r="BG46" s="186"/>
      <c r="BH46" s="186">
        <f>-30221-SUM(BE46:BG46)</f>
        <v>-30221</v>
      </c>
      <c r="BI46" s="167">
        <f>SUM(BE46:BH46)</f>
        <v>-30221</v>
      </c>
      <c r="BJ46" s="186"/>
      <c r="BK46" s="186"/>
      <c r="BL46" s="186"/>
      <c r="BM46" s="186">
        <f>-20810-SUM(BJ46:BL46)</f>
        <v>-20810</v>
      </c>
      <c r="BN46" s="167">
        <f>SUM(BJ46:BM46)</f>
        <v>-20810</v>
      </c>
      <c r="BO46" s="186"/>
      <c r="BP46" s="186"/>
      <c r="BQ46" s="186"/>
      <c r="BR46" s="186">
        <v>-15943</v>
      </c>
      <c r="BS46" s="167">
        <f>SUM(BO46:BR46)</f>
        <v>-15943</v>
      </c>
      <c r="BT46" s="186"/>
      <c r="BU46" s="186"/>
      <c r="BV46" s="186"/>
      <c r="BW46" s="186">
        <v>-45012</v>
      </c>
      <c r="BX46" s="167">
        <f>SUM(BT46:BW46)</f>
        <v>-45012</v>
      </c>
      <c r="BY46" s="186">
        <v>-5130</v>
      </c>
      <c r="BZ46" s="186">
        <v>-12661</v>
      </c>
      <c r="CA46" s="186">
        <v>-9996</v>
      </c>
      <c r="CB46" s="186">
        <f>-43928-SUM(BY46:CA46)</f>
        <v>-16141</v>
      </c>
      <c r="CC46" s="167">
        <f>SUM(BY46:CB46)</f>
        <v>-43928</v>
      </c>
      <c r="CD46" s="186">
        <v>-8918</v>
      </c>
      <c r="CE46" s="186">
        <v>-4023</v>
      </c>
      <c r="CF46" s="186">
        <v>-9861</v>
      </c>
      <c r="CG46" s="186">
        <f>-29186-SUM(CD46:CF46)</f>
        <v>-6384</v>
      </c>
      <c r="CH46" s="167">
        <f>SUM(CD46:CG46)</f>
        <v>-29186</v>
      </c>
      <c r="CI46" s="186">
        <v>-2075</v>
      </c>
      <c r="CJ46" s="186">
        <v>1652</v>
      </c>
      <c r="CK46" s="186">
        <v>-7242</v>
      </c>
      <c r="CL46" s="186">
        <f>-15560-SUM(CI46:CK46)</f>
        <v>-7895</v>
      </c>
      <c r="CM46" s="167">
        <f>SUM(CI46:CL46)</f>
        <v>-15560</v>
      </c>
      <c r="CN46" s="186">
        <v>-1448</v>
      </c>
      <c r="CO46" s="186">
        <v>-6614</v>
      </c>
      <c r="CP46" s="186">
        <v>-4999</v>
      </c>
      <c r="CQ46" s="186">
        <f>-18555-SUM(CN46:CP46)</f>
        <v>-5494</v>
      </c>
      <c r="CR46" s="167">
        <f>SUM(CN46:CQ46)</f>
        <v>-18555</v>
      </c>
      <c r="CS46" s="186">
        <v>-2207</v>
      </c>
      <c r="CT46" s="186">
        <v>-2697</v>
      </c>
      <c r="CU46" s="186">
        <v>-4671</v>
      </c>
      <c r="CV46" s="186">
        <f>-13846-SUM(CS46:CU46)</f>
        <v>-4271</v>
      </c>
      <c r="CW46" s="167">
        <f>SUM(CS46:CV46)</f>
        <v>-13846</v>
      </c>
      <c r="CX46" s="186">
        <v>-12829</v>
      </c>
      <c r="CY46" s="186">
        <v>-3035</v>
      </c>
      <c r="CZ46" s="186">
        <v>-10017</v>
      </c>
      <c r="DA46" s="190">
        <f>-48969-SUM(CX46:CZ46)</f>
        <v>-23088</v>
      </c>
      <c r="DB46" s="167">
        <f>SUM(CX46:DA46)</f>
        <v>-48969</v>
      </c>
      <c r="DC46" s="186">
        <v>-20189</v>
      </c>
      <c r="DD46" s="186">
        <v>-30426</v>
      </c>
      <c r="DE46" s="186">
        <v>-27957</v>
      </c>
      <c r="DF46" s="186">
        <f>-105684-SUM(DC46:DE46)</f>
        <v>-27112</v>
      </c>
      <c r="DG46" s="167">
        <f>SUM(DC46:DF46)</f>
        <v>-105684</v>
      </c>
      <c r="DH46" s="186">
        <v>-48319</v>
      </c>
      <c r="DI46" s="186">
        <v>-40740</v>
      </c>
      <c r="DJ46" s="186">
        <f>-45%*'Balance Sheet'!DI42/4</f>
        <v>-44304.412499999999</v>
      </c>
      <c r="DK46" s="186">
        <f>-45%*'Balance Sheet'!DJ42/4</f>
        <v>-46796.535703125002</v>
      </c>
      <c r="DL46" s="167">
        <f>SUM(DH46:DK46)</f>
        <v>-180159.94820312501</v>
      </c>
      <c r="DM46" s="186">
        <f>-35%*'Balance Sheet'!DL42/4</f>
        <v>-38444.653983886717</v>
      </c>
      <c r="DN46" s="186">
        <f>-35%*'Balance Sheet'!DM42/4</f>
        <v>-40126.607595681759</v>
      </c>
      <c r="DO46" s="186">
        <f>-35%*'Balance Sheet'!DN42/4</f>
        <v>-41882.146677992838</v>
      </c>
      <c r="DP46" s="186">
        <f>-35%*'Balance Sheet'!DO42/4</f>
        <v>-43714.490595155032</v>
      </c>
      <c r="DQ46" s="167">
        <f>SUM(DM46:DP46)</f>
        <v>-164167.89885271632</v>
      </c>
      <c r="DR46" s="186">
        <f>-30%*'Balance Sheet'!DQ42/4</f>
        <v>-39108.856764594057</v>
      </c>
      <c r="DS46" s="186">
        <f>-30%*'Balance Sheet'!DR42/4</f>
        <v>-40575.438893266335</v>
      </c>
      <c r="DT46" s="186">
        <f>-30%*'Balance Sheet'!DS42/4</f>
        <v>-42097.01785176382</v>
      </c>
      <c r="DU46" s="186">
        <f>-30%*'Balance Sheet'!DT42/4</f>
        <v>-43675.656021204959</v>
      </c>
      <c r="DV46" s="167">
        <f>SUM(DR46:DU46)</f>
        <v>-165456.96953082917</v>
      </c>
      <c r="DW46" s="186">
        <f>-30%*'Balance Sheet'!DV42/4</f>
        <v>-45313.493122000153</v>
      </c>
      <c r="DX46" s="186">
        <f>-30%*'Balance Sheet'!DW42/4</f>
        <v>-47012.749114075159</v>
      </c>
      <c r="DY46" s="186">
        <f>-30%*'Balance Sheet'!DX42/4</f>
        <v>-48775.727205852978</v>
      </c>
      <c r="DZ46" s="186">
        <f>-30%*'Balance Sheet'!DY42/4</f>
        <v>-50604.816976072463</v>
      </c>
      <c r="EA46" s="167">
        <f>SUM(DW46:DZ46)</f>
        <v>-191706.78641800076</v>
      </c>
      <c r="EB46" s="186">
        <f>-30%*'Balance Sheet'!EA42/4</f>
        <v>-52502.497612675186</v>
      </c>
      <c r="EC46" s="186">
        <f>-30%*'Balance Sheet'!EB42/4</f>
        <v>-54471.341273150501</v>
      </c>
      <c r="ED46" s="186">
        <f>-30%*'Balance Sheet'!EC42/4</f>
        <v>-56514.016570893647</v>
      </c>
      <c r="EE46" s="186">
        <f>-30%*'Balance Sheet'!ED42/4</f>
        <v>-58633.292192302157</v>
      </c>
      <c r="EF46" s="167">
        <f>SUM(EB46:EE46)</f>
        <v>-222121.14764902147</v>
      </c>
      <c r="EG46" s="162"/>
    </row>
    <row r="47" spans="1:137" s="131" customFormat="1" ht="12.75" customHeight="1" outlineLevel="1">
      <c r="A47" s="187" t="s">
        <v>293</v>
      </c>
      <c r="B47" s="179" t="e">
        <f t="shared" ref="B47:K47" si="108">-B46/B45</f>
        <v>#DIV/0!</v>
      </c>
      <c r="C47" s="179" t="e">
        <f t="shared" si="108"/>
        <v>#DIV/0!</v>
      </c>
      <c r="D47" s="179" t="e">
        <f t="shared" si="108"/>
        <v>#DIV/0!</v>
      </c>
      <c r="E47" s="179" t="e">
        <f t="shared" si="108"/>
        <v>#DIV/0!</v>
      </c>
      <c r="F47" s="180" t="e">
        <f t="shared" si="108"/>
        <v>#DIV/0!</v>
      </c>
      <c r="G47" s="179" t="e">
        <f t="shared" si="108"/>
        <v>#DIV/0!</v>
      </c>
      <c r="H47" s="179" t="e">
        <f t="shared" si="108"/>
        <v>#DIV/0!</v>
      </c>
      <c r="I47" s="179" t="e">
        <f t="shared" si="108"/>
        <v>#DIV/0!</v>
      </c>
      <c r="J47" s="179" t="e">
        <f t="shared" si="108"/>
        <v>#DIV/0!</v>
      </c>
      <c r="K47" s="180" t="e">
        <f t="shared" si="108"/>
        <v>#DIV/0!</v>
      </c>
      <c r="L47" s="179" t="e">
        <f t="shared" ref="L47:AE47" si="109">-L46/L45</f>
        <v>#DIV/0!</v>
      </c>
      <c r="M47" s="179" t="e">
        <f t="shared" si="109"/>
        <v>#DIV/0!</v>
      </c>
      <c r="N47" s="179" t="e">
        <f t="shared" si="109"/>
        <v>#DIV/0!</v>
      </c>
      <c r="O47" s="179" t="e">
        <f t="shared" si="109"/>
        <v>#DIV/0!</v>
      </c>
      <c r="P47" s="180" t="e">
        <f t="shared" si="109"/>
        <v>#DIV/0!</v>
      </c>
      <c r="Q47" s="179" t="e">
        <f t="shared" si="109"/>
        <v>#DIV/0!</v>
      </c>
      <c r="R47" s="179" t="e">
        <f t="shared" si="109"/>
        <v>#DIV/0!</v>
      </c>
      <c r="S47" s="179" t="e">
        <f t="shared" si="109"/>
        <v>#DIV/0!</v>
      </c>
      <c r="T47" s="179" t="e">
        <f t="shared" si="109"/>
        <v>#DIV/0!</v>
      </c>
      <c r="U47" s="180" t="e">
        <f t="shared" si="109"/>
        <v>#DIV/0!</v>
      </c>
      <c r="V47" s="179" t="e">
        <f t="shared" si="109"/>
        <v>#DIV/0!</v>
      </c>
      <c r="W47" s="179" t="e">
        <f t="shared" si="109"/>
        <v>#DIV/0!</v>
      </c>
      <c r="X47" s="179" t="e">
        <f t="shared" si="109"/>
        <v>#DIV/0!</v>
      </c>
      <c r="Y47" s="179" t="e">
        <f t="shared" si="109"/>
        <v>#DIV/0!</v>
      </c>
      <c r="Z47" s="180" t="e">
        <f t="shared" si="109"/>
        <v>#DIV/0!</v>
      </c>
      <c r="AA47" s="179" t="e">
        <f t="shared" si="109"/>
        <v>#DIV/0!</v>
      </c>
      <c r="AB47" s="179" t="e">
        <f t="shared" si="109"/>
        <v>#DIV/0!</v>
      </c>
      <c r="AC47" s="179" t="e">
        <f t="shared" si="109"/>
        <v>#DIV/0!</v>
      </c>
      <c r="AD47" s="179" t="e">
        <f t="shared" si="109"/>
        <v>#DIV/0!</v>
      </c>
      <c r="AE47" s="180" t="e">
        <f t="shared" si="109"/>
        <v>#DIV/0!</v>
      </c>
      <c r="AF47" s="179" t="e">
        <f t="shared" ref="AF47:BK47" si="110">-AF46/AF45</f>
        <v>#DIV/0!</v>
      </c>
      <c r="AG47" s="179" t="e">
        <f t="shared" si="110"/>
        <v>#DIV/0!</v>
      </c>
      <c r="AH47" s="179" t="e">
        <f t="shared" si="110"/>
        <v>#DIV/0!</v>
      </c>
      <c r="AI47" s="179">
        <f t="shared" si="110"/>
        <v>0</v>
      </c>
      <c r="AJ47" s="180">
        <f t="shared" si="110"/>
        <v>0</v>
      </c>
      <c r="AK47" s="179" t="e">
        <f t="shared" si="110"/>
        <v>#DIV/0!</v>
      </c>
      <c r="AL47" s="179" t="e">
        <f t="shared" si="110"/>
        <v>#DIV/0!</v>
      </c>
      <c r="AM47" s="179" t="e">
        <f t="shared" si="110"/>
        <v>#DIV/0!</v>
      </c>
      <c r="AN47" s="179">
        <f t="shared" si="110"/>
        <v>0</v>
      </c>
      <c r="AO47" s="180">
        <f t="shared" si="110"/>
        <v>0</v>
      </c>
      <c r="AP47" s="179" t="e">
        <f t="shared" si="110"/>
        <v>#DIV/0!</v>
      </c>
      <c r="AQ47" s="179" t="e">
        <f t="shared" si="110"/>
        <v>#DIV/0!</v>
      </c>
      <c r="AR47" s="179" t="e">
        <f t="shared" si="110"/>
        <v>#DIV/0!</v>
      </c>
      <c r="AS47" s="179">
        <f t="shared" si="110"/>
        <v>0.35070027858582958</v>
      </c>
      <c r="AT47" s="180">
        <f t="shared" si="110"/>
        <v>0.35070027858582958</v>
      </c>
      <c r="AU47" s="179" t="e">
        <f t="shared" si="110"/>
        <v>#DIV/0!</v>
      </c>
      <c r="AV47" s="179" t="e">
        <f t="shared" si="110"/>
        <v>#DIV/0!</v>
      </c>
      <c r="AW47" s="179" t="e">
        <f t="shared" si="110"/>
        <v>#DIV/0!</v>
      </c>
      <c r="AX47" s="179">
        <f t="shared" si="110"/>
        <v>0.38812896514978884</v>
      </c>
      <c r="AY47" s="180">
        <f t="shared" si="110"/>
        <v>0.38812896514978884</v>
      </c>
      <c r="AZ47" s="179" t="e">
        <f t="shared" si="110"/>
        <v>#DIV/0!</v>
      </c>
      <c r="BA47" s="179" t="e">
        <f t="shared" si="110"/>
        <v>#DIV/0!</v>
      </c>
      <c r="BB47" s="179" t="e">
        <f t="shared" si="110"/>
        <v>#DIV/0!</v>
      </c>
      <c r="BC47" s="179">
        <f t="shared" si="110"/>
        <v>0.22141455763966456</v>
      </c>
      <c r="BD47" s="180">
        <f t="shared" si="110"/>
        <v>0.22141455763966456</v>
      </c>
      <c r="BE47" s="179" t="e">
        <f t="shared" si="110"/>
        <v>#DIV/0!</v>
      </c>
      <c r="BF47" s="179" t="e">
        <f t="shared" si="110"/>
        <v>#DIV/0!</v>
      </c>
      <c r="BG47" s="179" t="e">
        <f t="shared" si="110"/>
        <v>#DIV/0!</v>
      </c>
      <c r="BH47" s="179">
        <f t="shared" si="110"/>
        <v>0.18732527939800037</v>
      </c>
      <c r="BI47" s="180">
        <f t="shared" si="110"/>
        <v>0.18732527939800037</v>
      </c>
      <c r="BJ47" s="179" t="e">
        <f t="shared" si="110"/>
        <v>#DIV/0!</v>
      </c>
      <c r="BK47" s="179" t="e">
        <f t="shared" si="110"/>
        <v>#DIV/0!</v>
      </c>
      <c r="BL47" s="179" t="e">
        <f t="shared" ref="BL47:CG47" si="111">-BL46/BL45</f>
        <v>#DIV/0!</v>
      </c>
      <c r="BM47" s="179">
        <f t="shared" si="111"/>
        <v>0.18614261690937065</v>
      </c>
      <c r="BN47" s="180">
        <f t="shared" si="111"/>
        <v>0.18614261690937065</v>
      </c>
      <c r="BO47" s="179" t="e">
        <f t="shared" si="111"/>
        <v>#DIV/0!</v>
      </c>
      <c r="BP47" s="179" t="e">
        <f t="shared" si="111"/>
        <v>#DIV/0!</v>
      </c>
      <c r="BQ47" s="179" t="e">
        <f t="shared" si="111"/>
        <v>#DIV/0!</v>
      </c>
      <c r="BR47" s="179">
        <f t="shared" si="111"/>
        <v>0.12380316360840833</v>
      </c>
      <c r="BS47" s="180">
        <f t="shared" si="111"/>
        <v>0.12380316360840833</v>
      </c>
      <c r="BT47" s="179" t="e">
        <f t="shared" si="111"/>
        <v>#DIV/0!</v>
      </c>
      <c r="BU47" s="179" t="e">
        <f t="shared" si="111"/>
        <v>#DIV/0!</v>
      </c>
      <c r="BV47" s="179" t="e">
        <f t="shared" si="111"/>
        <v>#DIV/0!</v>
      </c>
      <c r="BW47" s="179">
        <f t="shared" si="111"/>
        <v>0.255734016623961</v>
      </c>
      <c r="BX47" s="180">
        <f t="shared" si="111"/>
        <v>0.255734016623961</v>
      </c>
      <c r="BY47" s="179">
        <f t="shared" si="111"/>
        <v>0.21824215094018548</v>
      </c>
      <c r="BZ47" s="179">
        <f t="shared" si="111"/>
        <v>0.17171182900697102</v>
      </c>
      <c r="CA47" s="179">
        <f t="shared" si="111"/>
        <v>0.24801508535132991</v>
      </c>
      <c r="CB47" s="179">
        <f t="shared" si="111"/>
        <v>0.24267801299013711</v>
      </c>
      <c r="CC47" s="180">
        <f t="shared" si="111"/>
        <v>0.21527423844434862</v>
      </c>
      <c r="CD47" s="179">
        <f t="shared" si="111"/>
        <v>0.57841483979763908</v>
      </c>
      <c r="CE47" s="179">
        <f t="shared" si="111"/>
        <v>9.8093241002633377E-2</v>
      </c>
      <c r="CF47" s="179">
        <f t="shared" si="111"/>
        <v>0.16652875116102339</v>
      </c>
      <c r="CG47" s="179">
        <f t="shared" si="111"/>
        <v>8.5860691565908573E-2</v>
      </c>
      <c r="CH47" s="180">
        <f t="shared" ref="CH47:DG47" si="112">-CH46/CH45</f>
        <v>0.15361214328571879</v>
      </c>
      <c r="CI47" s="179">
        <f t="shared" si="112"/>
        <v>3.9851732350003839E-2</v>
      </c>
      <c r="CJ47" s="179">
        <f t="shared" si="112"/>
        <v>-2.1468207040844175E-2</v>
      </c>
      <c r="CK47" s="179">
        <f t="shared" si="112"/>
        <v>9.7016624914598046E-2</v>
      </c>
      <c r="CL47" s="179">
        <f>-CL46/CL45</f>
        <v>7.0716480209238375E-2</v>
      </c>
      <c r="CM47" s="180">
        <f t="shared" si="112"/>
        <v>4.9348416949722335E-2</v>
      </c>
      <c r="CN47" s="179">
        <f>-CN46/CN45</f>
        <v>2.2856782055531877E-2</v>
      </c>
      <c r="CO47" s="179">
        <f>-CO46/CO45</f>
        <v>7.1164957660400902E-2</v>
      </c>
      <c r="CP47" s="179">
        <f>-CP46/CP45</f>
        <v>5.2692603640733207E-2</v>
      </c>
      <c r="CQ47" s="179">
        <f>-CQ46/CQ45</f>
        <v>5.6476731874299697E-2</v>
      </c>
      <c r="CR47" s="180">
        <f t="shared" si="112"/>
        <v>5.3251635862702332E-2</v>
      </c>
      <c r="CS47" s="179">
        <f t="shared" si="112"/>
        <v>2.346474440758697E-2</v>
      </c>
      <c r="CT47" s="179">
        <f t="shared" si="112"/>
        <v>2.1737728701539453E-2</v>
      </c>
      <c r="CU47" s="179">
        <f>-CU46/CU45</f>
        <v>4.1376194736515756E-2</v>
      </c>
      <c r="CV47" s="179">
        <f>-CV46/CV45</f>
        <v>2.5948698008432872E-2</v>
      </c>
      <c r="CW47" s="180">
        <f t="shared" si="112"/>
        <v>2.7937233031550955E-2</v>
      </c>
      <c r="CX47" s="179">
        <f>-CX46/CX45</f>
        <v>8.3267346011553195E-2</v>
      </c>
      <c r="CY47" s="179">
        <f>-CY46/CY45</f>
        <v>1.7314955329126778E-2</v>
      </c>
      <c r="CZ47" s="179">
        <f>-CZ46/CZ45</f>
        <v>5.5468801913748422E-2</v>
      </c>
      <c r="DA47" s="179">
        <f>-DA46/DA45</f>
        <v>0.12224151806514465</v>
      </c>
      <c r="DB47" s="180">
        <f t="shared" si="112"/>
        <v>7.0074640962089943E-2</v>
      </c>
      <c r="DC47" s="179">
        <f t="shared" si="112"/>
        <v>8.6401841961106549E-2</v>
      </c>
      <c r="DD47" s="179">
        <f t="shared" si="112"/>
        <v>0.11388808827767942</v>
      </c>
      <c r="DE47" s="179">
        <f>-DE46/DE45</f>
        <v>9.8714734649200234E-2</v>
      </c>
      <c r="DF47" s="179">
        <f>-DF46/DF45</f>
        <v>9.122814101464051E-2</v>
      </c>
      <c r="DG47" s="180">
        <f t="shared" si="112"/>
        <v>9.7745139749542187E-2</v>
      </c>
      <c r="DH47" s="179">
        <f t="shared" ref="DH47:DI47" si="113">-DH46/DH45</f>
        <v>0.13759981318844047</v>
      </c>
      <c r="DI47" s="179">
        <f t="shared" si="113"/>
        <v>0.13091638254319693</v>
      </c>
      <c r="DJ47" s="179">
        <f t="shared" ref="DJ47:EF47" ca="1" si="114">-DJ46/DJ45</f>
        <v>0.1259548860789424</v>
      </c>
      <c r="DK47" s="179">
        <f t="shared" ca="1" si="114"/>
        <v>0.11420744659882823</v>
      </c>
      <c r="DL47" s="180">
        <f t="shared" ca="1" si="114"/>
        <v>0.1265305399410051</v>
      </c>
      <c r="DM47" s="179">
        <f t="shared" ca="1" si="114"/>
        <v>9.4065547326454294E-2</v>
      </c>
      <c r="DN47" s="179">
        <f t="shared" ca="1" si="114"/>
        <v>9.513179072827524E-2</v>
      </c>
      <c r="DO47" s="179">
        <f t="shared" ca="1" si="114"/>
        <v>9.8136434678294887E-2</v>
      </c>
      <c r="DP47" s="179">
        <f t="shared" ca="1" si="114"/>
        <v>9.9339163885619405E-2</v>
      </c>
      <c r="DQ47" s="180">
        <f t="shared" ca="1" si="114"/>
        <v>9.6721346596077007E-2</v>
      </c>
      <c r="DR47" s="179">
        <f t="shared" ca="1" si="114"/>
        <v>8.5668638211219492E-2</v>
      </c>
      <c r="DS47" s="179">
        <f t="shared" ca="1" si="114"/>
        <v>8.9276594501676229E-2</v>
      </c>
      <c r="DT47" s="179">
        <f t="shared" ca="1" si="114"/>
        <v>8.9580272798914659E-2</v>
      </c>
      <c r="DU47" s="179">
        <f t="shared" ca="1" si="114"/>
        <v>8.9301498597678178E-2</v>
      </c>
      <c r="DV47" s="180">
        <f t="shared" ca="1" si="114"/>
        <v>8.8478641254645829E-2</v>
      </c>
      <c r="DW47" s="179">
        <f t="shared" ca="1" si="114"/>
        <v>9.330410425633659E-2</v>
      </c>
      <c r="DX47" s="179">
        <f t="shared" ca="1" si="114"/>
        <v>9.7571330404092216E-2</v>
      </c>
      <c r="DY47" s="179">
        <f t="shared" ca="1" si="114"/>
        <v>9.7467959517909639E-2</v>
      </c>
      <c r="DZ47" s="179">
        <f t="shared" ca="1" si="114"/>
        <v>9.7428014302236146E-2</v>
      </c>
      <c r="EA47" s="180">
        <f t="shared" ca="1" si="114"/>
        <v>9.6465034007732556E-2</v>
      </c>
      <c r="EB47" s="179">
        <f t="shared" ca="1" si="114"/>
        <v>0.10198113513600265</v>
      </c>
      <c r="EC47" s="179">
        <f t="shared" ca="1" si="114"/>
        <v>0.10682283676774429</v>
      </c>
      <c r="ED47" s="179">
        <f t="shared" ca="1" si="114"/>
        <v>0.10690808942260463</v>
      </c>
      <c r="EE47" s="179">
        <f t="shared" ca="1" si="114"/>
        <v>0.10706166935917649</v>
      </c>
      <c r="EF47" s="180">
        <f t="shared" ca="1" si="114"/>
        <v>0.10572015507943297</v>
      </c>
    </row>
    <row r="48" spans="1:137" s="32" customFormat="1" ht="12.75" customHeight="1">
      <c r="A48" s="121" t="s">
        <v>196</v>
      </c>
      <c r="B48" s="188">
        <f>+B45+B46</f>
        <v>0</v>
      </c>
      <c r="C48" s="188">
        <f>+C45+C46</f>
        <v>0</v>
      </c>
      <c r="D48" s="188">
        <f>+D45+D46</f>
        <v>0</v>
      </c>
      <c r="E48" s="188">
        <f>+E45+E46</f>
        <v>0</v>
      </c>
      <c r="F48" s="189">
        <f>SUM(B48:E48)</f>
        <v>0</v>
      </c>
      <c r="G48" s="188">
        <f>+G45+G46</f>
        <v>0</v>
      </c>
      <c r="H48" s="188">
        <f>+H45+H46</f>
        <v>0</v>
      </c>
      <c r="I48" s="188">
        <f>+I45+I46</f>
        <v>0</v>
      </c>
      <c r="J48" s="188">
        <f>+J45+J46</f>
        <v>0</v>
      </c>
      <c r="K48" s="189">
        <f>SUM(G48:J48)</f>
        <v>0</v>
      </c>
      <c r="L48" s="188">
        <f>+L45+L46</f>
        <v>0</v>
      </c>
      <c r="M48" s="188">
        <f>+M45+M46</f>
        <v>0</v>
      </c>
      <c r="N48" s="188">
        <f>+N45+N46</f>
        <v>0</v>
      </c>
      <c r="O48" s="188">
        <f>+O45+O46</f>
        <v>0</v>
      </c>
      <c r="P48" s="189">
        <f>SUM(L48:O48)</f>
        <v>0</v>
      </c>
      <c r="Q48" s="188">
        <f>+Q45+Q46</f>
        <v>0</v>
      </c>
      <c r="R48" s="188">
        <f>+R45+R46</f>
        <v>0</v>
      </c>
      <c r="S48" s="188">
        <f>+S45+S46</f>
        <v>0</v>
      </c>
      <c r="T48" s="188">
        <f>+T45+T46</f>
        <v>0</v>
      </c>
      <c r="U48" s="189">
        <f>SUM(Q48:T48)</f>
        <v>0</v>
      </c>
      <c r="V48" s="188">
        <f>+V45+V46</f>
        <v>0</v>
      </c>
      <c r="W48" s="188">
        <f>+W45+W46</f>
        <v>0</v>
      </c>
      <c r="X48" s="188">
        <f>+X45+X46</f>
        <v>0</v>
      </c>
      <c r="Y48" s="188">
        <f>+Y45+Y46</f>
        <v>0</v>
      </c>
      <c r="Z48" s="189">
        <f>SUM(V48:Y48)</f>
        <v>0</v>
      </c>
      <c r="AA48" s="188">
        <f>+AA45+AA46</f>
        <v>0</v>
      </c>
      <c r="AB48" s="188">
        <f>+AB45+AB46</f>
        <v>0</v>
      </c>
      <c r="AC48" s="188">
        <f>+AC45+AC46</f>
        <v>0</v>
      </c>
      <c r="AD48" s="188">
        <f>+AD45+AD46</f>
        <v>0</v>
      </c>
      <c r="AE48" s="189">
        <f>SUM(AA48:AD48)</f>
        <v>0</v>
      </c>
      <c r="AF48" s="188">
        <f>+AF45+AF46</f>
        <v>0</v>
      </c>
      <c r="AG48" s="188">
        <f>+AG45+AG46</f>
        <v>0</v>
      </c>
      <c r="AH48" s="188">
        <f>+AH45+AH46</f>
        <v>0</v>
      </c>
      <c r="AI48" s="188">
        <f>+AI45+AI46</f>
        <v>52097.767000000029</v>
      </c>
      <c r="AJ48" s="189">
        <f>SUM(AF48:AI48)</f>
        <v>52097.767000000029</v>
      </c>
      <c r="AK48" s="188">
        <f>+AK45+AK46</f>
        <v>0</v>
      </c>
      <c r="AL48" s="188">
        <f>+AL45+AL46</f>
        <v>0</v>
      </c>
      <c r="AM48" s="188">
        <f>+AM45+AM46</f>
        <v>0</v>
      </c>
      <c r="AN48" s="188">
        <f>+AN45+AN46</f>
        <v>90002.872999999992</v>
      </c>
      <c r="AO48" s="189">
        <f>SUM(AK48:AN48)</f>
        <v>90002.872999999992</v>
      </c>
      <c r="AP48" s="188">
        <f>+AP45+AP46</f>
        <v>0</v>
      </c>
      <c r="AQ48" s="188">
        <f>+AQ45+AQ46</f>
        <v>0</v>
      </c>
      <c r="AR48" s="188">
        <f>+AR45+AR46</f>
        <v>0</v>
      </c>
      <c r="AS48" s="188">
        <f>+AS45+AS46</f>
        <v>80081.187000000005</v>
      </c>
      <c r="AT48" s="189">
        <f>SUM(AP48:AS48)</f>
        <v>80081.187000000005</v>
      </c>
      <c r="AU48" s="188">
        <f>+AU45+AU46</f>
        <v>0</v>
      </c>
      <c r="AV48" s="188">
        <f>+AV45+AV46</f>
        <v>0</v>
      </c>
      <c r="AW48" s="188">
        <f>+AW45+AW46</f>
        <v>0</v>
      </c>
      <c r="AX48" s="188">
        <f>+AX45+AX46</f>
        <v>105080.25099999996</v>
      </c>
      <c r="AY48" s="189">
        <f>SUM(AU48:AX48)</f>
        <v>105080.25099999996</v>
      </c>
      <c r="AZ48" s="188">
        <f>+AZ45+AZ46</f>
        <v>0</v>
      </c>
      <c r="BA48" s="188">
        <f>+BA45+BA46</f>
        <v>0</v>
      </c>
      <c r="BB48" s="188">
        <f>+BB45+BB46</f>
        <v>0</v>
      </c>
      <c r="BC48" s="188">
        <f>+BC45+BC46</f>
        <v>134531</v>
      </c>
      <c r="BD48" s="189">
        <f>SUM(AZ48:BC48)</f>
        <v>134531</v>
      </c>
      <c r="BE48" s="188">
        <f>+BE45+BE46</f>
        <v>0</v>
      </c>
      <c r="BF48" s="188">
        <f>+BF45+BF46</f>
        <v>0</v>
      </c>
      <c r="BG48" s="188">
        <f>+BG45+BG46</f>
        <v>0</v>
      </c>
      <c r="BH48" s="188">
        <f>+BH45+BH46</f>
        <v>131108</v>
      </c>
      <c r="BI48" s="189">
        <f>SUM(BE48:BH48)</f>
        <v>131108</v>
      </c>
      <c r="BJ48" s="188">
        <f>+BJ45+BJ46</f>
        <v>0</v>
      </c>
      <c r="BK48" s="188">
        <f>+BK45+BK46</f>
        <v>0</v>
      </c>
      <c r="BL48" s="188">
        <f>+BL45+BL46</f>
        <v>0</v>
      </c>
      <c r="BM48" s="188">
        <f>+BM45+BM46</f>
        <v>90986</v>
      </c>
      <c r="BN48" s="189">
        <f>SUM(BJ48:BM48)</f>
        <v>90986</v>
      </c>
      <c r="BO48" s="188">
        <f>+BO45+BO46</f>
        <v>0</v>
      </c>
      <c r="BP48" s="188">
        <f>+BP45+BP46</f>
        <v>0</v>
      </c>
      <c r="BQ48" s="188">
        <f>+BQ45+BQ46</f>
        <v>0</v>
      </c>
      <c r="BR48" s="188">
        <f>+BR45+BR46</f>
        <v>112834</v>
      </c>
      <c r="BS48" s="189">
        <f>SUM(BO48:BR48)</f>
        <v>112834</v>
      </c>
      <c r="BT48" s="188">
        <f>+BT45+BT46</f>
        <v>0</v>
      </c>
      <c r="BU48" s="188">
        <f>+BU45+BU46</f>
        <v>0</v>
      </c>
      <c r="BV48" s="188">
        <f>+BV45+BV46</f>
        <v>0</v>
      </c>
      <c r="BW48" s="188">
        <f>+BW45+BW46</f>
        <v>130999</v>
      </c>
      <c r="BX48" s="189">
        <f>SUM(BT48:BW48)</f>
        <v>130999</v>
      </c>
      <c r="BY48" s="188">
        <f>+BY45+BY46</f>
        <v>18376</v>
      </c>
      <c r="BZ48" s="188">
        <f>+BZ45+BZ46</f>
        <v>61073</v>
      </c>
      <c r="CA48" s="188">
        <f>+CA45+CA46</f>
        <v>30308</v>
      </c>
      <c r="CB48" s="188">
        <f>+CB45+CB46</f>
        <v>50371</v>
      </c>
      <c r="CC48" s="189">
        <f>SUM(BY48:CB48)</f>
        <v>160128</v>
      </c>
      <c r="CD48" s="188">
        <f>+CD45+CD46</f>
        <v>6500</v>
      </c>
      <c r="CE48" s="188">
        <f>+CE45+CE46</f>
        <v>36989</v>
      </c>
      <c r="CF48" s="188">
        <f>+CF45+CF46</f>
        <v>49354</v>
      </c>
      <c r="CG48" s="188">
        <f>+CG45+CG46</f>
        <v>67969</v>
      </c>
      <c r="CH48" s="189">
        <f>SUM(CD48:CG48)</f>
        <v>160812</v>
      </c>
      <c r="CI48" s="188">
        <f>+CI45+CI46</f>
        <v>49993</v>
      </c>
      <c r="CJ48" s="188">
        <f>+CJ45+CJ46</f>
        <v>78603</v>
      </c>
      <c r="CK48" s="188">
        <f>+CK45+CK46</f>
        <v>67405</v>
      </c>
      <c r="CL48" s="188">
        <f>+CL45+CL46</f>
        <v>103748</v>
      </c>
      <c r="CM48" s="189">
        <f>SUM(CI48:CL48)</f>
        <v>299749</v>
      </c>
      <c r="CN48" s="188">
        <f>+CN45+CN46</f>
        <v>61903</v>
      </c>
      <c r="CO48" s="188">
        <f>+CO45+CO46</f>
        <v>86325</v>
      </c>
      <c r="CP48" s="188">
        <f>+CP45+CP46</f>
        <v>89872</v>
      </c>
      <c r="CQ48" s="188">
        <f>+CQ45+CQ46</f>
        <v>91785</v>
      </c>
      <c r="CR48" s="189">
        <f>SUM(CN48:CQ48)</f>
        <v>329885</v>
      </c>
      <c r="CS48" s="188">
        <f>+CS45+CS46</f>
        <v>91849</v>
      </c>
      <c r="CT48" s="188">
        <f>+CT45+CT46</f>
        <v>121373</v>
      </c>
      <c r="CU48" s="188">
        <f>+CU45+CU46</f>
        <v>108220</v>
      </c>
      <c r="CV48" s="188">
        <f>+CV45+CV46</f>
        <v>160323</v>
      </c>
      <c r="CW48" s="189">
        <f>SUM(CS48:CV48)</f>
        <v>481765</v>
      </c>
      <c r="CX48" s="188">
        <f>+CX45+CX46</f>
        <v>141241</v>
      </c>
      <c r="CY48" s="188">
        <f>+CY45+CY46</f>
        <v>172247</v>
      </c>
      <c r="CZ48" s="188">
        <f>+CZ45+CZ46</f>
        <v>170571</v>
      </c>
      <c r="DA48" s="188">
        <f>+DA45+DA46</f>
        <v>165784</v>
      </c>
      <c r="DB48" s="189">
        <f>SUM(CX48:DA48)</f>
        <v>649843</v>
      </c>
      <c r="DC48" s="188">
        <f>+DC45+DC46</f>
        <v>213475</v>
      </c>
      <c r="DD48" s="188">
        <f>+DD45+DD46</f>
        <v>236731</v>
      </c>
      <c r="DE48" s="188">
        <f>+DE45+DE46</f>
        <v>255253</v>
      </c>
      <c r="DF48" s="188">
        <f>+DF45+DF46</f>
        <v>270077</v>
      </c>
      <c r="DG48" s="189">
        <f>SUM(DC48:DF48)</f>
        <v>975536</v>
      </c>
      <c r="DH48" s="188">
        <f>+DH45+DH46</f>
        <v>302837</v>
      </c>
      <c r="DI48" s="188">
        <f>+DI45+DI46</f>
        <v>270451</v>
      </c>
      <c r="DJ48" s="188">
        <f ca="1">+DJ45+DJ46</f>
        <v>307443.85133656248</v>
      </c>
      <c r="DK48" s="188">
        <f ca="1">+DK45+DK46</f>
        <v>362953.76602199156</v>
      </c>
      <c r="DL48" s="189">
        <f ca="1">SUM(DH48:DK48)</f>
        <v>1243685.6173585542</v>
      </c>
      <c r="DM48" s="188">
        <f ca="1">+DM45+DM46</f>
        <v>370256.03480777709</v>
      </c>
      <c r="DN48" s="188">
        <f ca="1">+DN45+DN46</f>
        <v>381673.58441684238</v>
      </c>
      <c r="DO48" s="188">
        <f ca="1">+DO45+DO46</f>
        <v>384892.54526275716</v>
      </c>
      <c r="DP48" s="188">
        <f ca="1">+DP45+DP46</f>
        <v>396338.44407106127</v>
      </c>
      <c r="DQ48" s="189">
        <f ca="1">SUM(DM48:DP48)</f>
        <v>1533160.6085584378</v>
      </c>
      <c r="DR48" s="188">
        <f ca="1">+DR45+DR46</f>
        <v>417404.25679943379</v>
      </c>
      <c r="DS48" s="188">
        <f ca="1">+DS45+DS46</f>
        <v>413915.8991752406</v>
      </c>
      <c r="DT48" s="188">
        <f ca="1">+DT45+DT46</f>
        <v>427839.23637533718</v>
      </c>
      <c r="DU48" s="188">
        <f ca="1">+DU45+DU46</f>
        <v>445405.22959721979</v>
      </c>
      <c r="DV48" s="189">
        <f ca="1">SUM(DR48:DU48)</f>
        <v>1704564.6219472312</v>
      </c>
      <c r="DW48" s="188">
        <f ca="1">+DW45+DW46</f>
        <v>440340.31046105892</v>
      </c>
      <c r="DX48" s="188">
        <f ca="1">+DX45+DX46</f>
        <v>434816.78953597293</v>
      </c>
      <c r="DY48" s="188">
        <f ca="1">+DY45+DY46</f>
        <v>451652.59249125206</v>
      </c>
      <c r="DZ48" s="188">
        <f ca="1">+DZ45+DZ46</f>
        <v>468802.43296631903</v>
      </c>
      <c r="EA48" s="189">
        <f ca="1">SUM(DW48:DZ48)</f>
        <v>1795612.1254546028</v>
      </c>
      <c r="EB48" s="188">
        <f ca="1">+EB45+EB46</f>
        <v>462323.08794937551</v>
      </c>
      <c r="EC48" s="188">
        <f ca="1">+EC45+EC46</f>
        <v>455450.90870025969</v>
      </c>
      <c r="ED48" s="188">
        <f ca="1">+ED45+ED46</f>
        <v>472108.43731559714</v>
      </c>
      <c r="EE48" s="188">
        <f ca="1">+EE45+EE46</f>
        <v>489025.75836477347</v>
      </c>
      <c r="EF48" s="189">
        <f ca="1">SUM(EB48:EE48)</f>
        <v>1878908.192330006</v>
      </c>
    </row>
    <row r="49" spans="1:136" ht="12.75" customHeight="1">
      <c r="B49" s="68"/>
      <c r="C49" s="68"/>
      <c r="D49" s="68"/>
      <c r="E49" s="147"/>
      <c r="F49" s="28"/>
      <c r="G49" s="68"/>
      <c r="H49" s="68"/>
      <c r="I49" s="68"/>
      <c r="J49" s="147"/>
      <c r="K49" s="28"/>
      <c r="L49" s="68"/>
      <c r="M49" s="68"/>
      <c r="N49" s="68"/>
      <c r="O49" s="147"/>
      <c r="P49" s="28"/>
      <c r="Q49" s="68"/>
      <c r="R49" s="68"/>
      <c r="S49" s="68"/>
      <c r="T49" s="147"/>
      <c r="U49" s="28"/>
      <c r="V49" s="68"/>
      <c r="W49" s="68"/>
      <c r="X49" s="68"/>
      <c r="Y49" s="147"/>
      <c r="Z49" s="28"/>
      <c r="AA49" s="68"/>
      <c r="AB49" s="68"/>
      <c r="AC49" s="68"/>
      <c r="AD49" s="147"/>
      <c r="AE49" s="28"/>
      <c r="AF49" s="68"/>
      <c r="AG49" s="68"/>
      <c r="AH49" s="60"/>
      <c r="AI49" s="147"/>
      <c r="AJ49" s="28"/>
      <c r="AK49" s="68"/>
      <c r="AL49" s="68"/>
      <c r="AM49" s="60"/>
      <c r="AN49" s="147"/>
      <c r="AO49" s="28"/>
      <c r="AP49" s="68"/>
      <c r="AQ49" s="68"/>
      <c r="AR49" s="60"/>
      <c r="AS49" s="147"/>
      <c r="AT49" s="28"/>
      <c r="AU49" s="68"/>
      <c r="AV49" s="68"/>
      <c r="AW49" s="60"/>
      <c r="AX49" s="147"/>
      <c r="AY49" s="28"/>
      <c r="AZ49" s="68"/>
      <c r="BA49" s="68"/>
      <c r="BB49" s="60"/>
      <c r="BC49" s="147"/>
      <c r="BD49" s="28"/>
      <c r="BE49" s="68"/>
      <c r="BF49" s="68"/>
      <c r="BG49" s="60"/>
      <c r="BH49" s="147"/>
      <c r="BI49" s="28"/>
      <c r="BJ49" s="68"/>
      <c r="BK49" s="68"/>
      <c r="BL49" s="60"/>
      <c r="BM49" s="147"/>
      <c r="BN49" s="28"/>
      <c r="BO49" s="68"/>
      <c r="BP49" s="68"/>
      <c r="BQ49" s="60"/>
      <c r="BR49" s="147"/>
      <c r="BS49" s="28"/>
      <c r="BT49" s="68"/>
      <c r="BU49" s="68"/>
      <c r="BV49" s="60"/>
      <c r="BW49" s="147"/>
      <c r="BX49" s="28"/>
      <c r="BY49" s="68"/>
      <c r="BZ49" s="68"/>
      <c r="CA49" s="60"/>
      <c r="CB49" s="147"/>
      <c r="CC49" s="28"/>
      <c r="CD49" s="68"/>
      <c r="CE49" s="464"/>
      <c r="CF49" s="463"/>
      <c r="CG49" s="147"/>
      <c r="CH49" s="422"/>
      <c r="CI49" s="68"/>
      <c r="CJ49" s="468"/>
      <c r="CK49" s="68"/>
      <c r="CL49" s="293"/>
      <c r="CM49" s="28"/>
      <c r="CN49" s="463"/>
      <c r="CO49" s="68"/>
      <c r="CP49" s="68"/>
      <c r="CQ49" s="147"/>
      <c r="CR49" s="28"/>
      <c r="CS49" s="68"/>
      <c r="CT49" s="68"/>
      <c r="CU49" s="68"/>
      <c r="CV49" s="147"/>
      <c r="CW49" s="28"/>
      <c r="CX49" s="68"/>
      <c r="CY49" s="68"/>
      <c r="CZ49" s="68"/>
      <c r="DA49" s="474"/>
      <c r="DB49" s="28">
        <f>DB48/CW48-1</f>
        <v>0.34887964048862008</v>
      </c>
      <c r="DC49" s="68"/>
      <c r="DD49" s="68"/>
      <c r="DE49" s="430"/>
      <c r="DF49" s="430"/>
      <c r="DG49" s="28">
        <f>DG48/DB48-1</f>
        <v>0.50118720983375975</v>
      </c>
      <c r="DH49" s="68"/>
      <c r="DI49" s="463"/>
      <c r="DJ49" s="68"/>
      <c r="DK49" s="147"/>
      <c r="DL49" s="28">
        <f ca="1">DL48/DG48-1</f>
        <v>0.27487413827737184</v>
      </c>
      <c r="DM49" s="68"/>
      <c r="DN49" s="68"/>
      <c r="DO49" s="68"/>
      <c r="DP49" s="147"/>
      <c r="DQ49" s="28">
        <f ca="1">DQ48/DL48-1</f>
        <v>0.23275576010494947</v>
      </c>
      <c r="DR49" s="68"/>
      <c r="DS49" s="68"/>
      <c r="DT49" s="68"/>
      <c r="DU49" s="147"/>
      <c r="DV49" s="28">
        <f ca="1">DV48/DQ48-1</f>
        <v>0.11179781976655212</v>
      </c>
      <c r="DW49" s="68"/>
      <c r="DX49" s="68"/>
      <c r="DY49" s="68"/>
      <c r="DZ49" s="147"/>
      <c r="EA49" s="28">
        <f ca="1">EA48/DV48-1</f>
        <v>5.3413934757933879E-2</v>
      </c>
      <c r="EB49" s="68"/>
      <c r="EC49" s="68"/>
      <c r="ED49" s="68"/>
      <c r="EE49" s="147"/>
      <c r="EF49" s="28">
        <f ca="1">EF48/EA48-1</f>
        <v>4.6388674755866166E-2</v>
      </c>
    </row>
    <row r="50" spans="1:136" ht="12.75" customHeight="1">
      <c r="A50" s="15" t="s">
        <v>90</v>
      </c>
      <c r="B50" s="186"/>
      <c r="C50" s="186"/>
      <c r="D50" s="186"/>
      <c r="E50" s="186"/>
      <c r="F50" s="167">
        <f>SUM(B50:E50)</f>
        <v>0</v>
      </c>
      <c r="G50" s="186"/>
      <c r="H50" s="186"/>
      <c r="I50" s="186"/>
      <c r="J50" s="186"/>
      <c r="K50" s="167">
        <f>SUM(G50:J50)</f>
        <v>0</v>
      </c>
      <c r="L50" s="186"/>
      <c r="M50" s="186"/>
      <c r="N50" s="186"/>
      <c r="O50" s="186"/>
      <c r="P50" s="167">
        <f>SUM(L50:O50)</f>
        <v>0</v>
      </c>
      <c r="Q50" s="186"/>
      <c r="R50" s="186"/>
      <c r="S50" s="186"/>
      <c r="T50" s="186"/>
      <c r="U50" s="167">
        <f>SUM(Q50:T50)</f>
        <v>0</v>
      </c>
      <c r="V50" s="186"/>
      <c r="W50" s="186"/>
      <c r="X50" s="186"/>
      <c r="Y50" s="186"/>
      <c r="Z50" s="167">
        <f>SUM(V50:Y50)</f>
        <v>0</v>
      </c>
      <c r="AA50" s="186"/>
      <c r="AB50" s="186"/>
      <c r="AC50" s="186"/>
      <c r="AD50" s="186"/>
      <c r="AE50" s="167">
        <f>SUM(AA50:AD50)</f>
        <v>0</v>
      </c>
      <c r="AF50" s="186">
        <v>0</v>
      </c>
      <c r="AG50" s="186">
        <v>0</v>
      </c>
      <c r="AH50" s="186">
        <v>0</v>
      </c>
      <c r="AI50" s="186">
        <v>0</v>
      </c>
      <c r="AJ50" s="167">
        <f>SUM(AF50:AI50)</f>
        <v>0</v>
      </c>
      <c r="AK50" s="186">
        <v>0</v>
      </c>
      <c r="AL50" s="186">
        <v>0</v>
      </c>
      <c r="AM50" s="186">
        <v>0</v>
      </c>
      <c r="AN50" s="186">
        <v>0</v>
      </c>
      <c r="AO50" s="167">
        <f>SUM(AK50:AN50)</f>
        <v>0</v>
      </c>
      <c r="AP50" s="186">
        <v>0</v>
      </c>
      <c r="AQ50" s="186">
        <v>0</v>
      </c>
      <c r="AR50" s="186">
        <v>0</v>
      </c>
      <c r="AS50" s="186">
        <v>0</v>
      </c>
      <c r="AT50" s="167">
        <f>SUM(AP50:AS50)</f>
        <v>0</v>
      </c>
      <c r="AU50" s="186">
        <v>0</v>
      </c>
      <c r="AV50" s="186">
        <v>0</v>
      </c>
      <c r="AW50" s="186">
        <v>0</v>
      </c>
      <c r="AX50" s="186">
        <v>0</v>
      </c>
      <c r="AY50" s="167">
        <f>SUM(AU50:AX50)</f>
        <v>0</v>
      </c>
      <c r="AZ50" s="186">
        <v>0</v>
      </c>
      <c r="BA50" s="186">
        <v>0</v>
      </c>
      <c r="BB50" s="186">
        <v>0</v>
      </c>
      <c r="BC50" s="186">
        <v>0</v>
      </c>
      <c r="BD50" s="167">
        <f>SUM(AZ50:BC50)</f>
        <v>0</v>
      </c>
      <c r="BE50" s="186">
        <v>0</v>
      </c>
      <c r="BF50" s="186">
        <v>0</v>
      </c>
      <c r="BG50" s="186">
        <v>0</v>
      </c>
      <c r="BH50" s="186">
        <v>80000</v>
      </c>
      <c r="BI50" s="167">
        <f>SUM(BE50:BH50)</f>
        <v>80000</v>
      </c>
      <c r="BJ50" s="186">
        <v>0</v>
      </c>
      <c r="BK50" s="186">
        <v>0</v>
      </c>
      <c r="BL50" s="186">
        <v>0</v>
      </c>
      <c r="BM50" s="186">
        <v>69000</v>
      </c>
      <c r="BN50" s="167">
        <f>SUM(BJ50:BM50)</f>
        <v>69000</v>
      </c>
      <c r="BO50" s="186">
        <v>0</v>
      </c>
      <c r="BP50" s="186">
        <v>0</v>
      </c>
      <c r="BQ50" s="186">
        <v>0</v>
      </c>
      <c r="BR50" s="186">
        <v>69000</v>
      </c>
      <c r="BS50" s="167">
        <f>SUM(BO50:BR50)</f>
        <v>69000</v>
      </c>
      <c r="BT50" s="186">
        <v>0</v>
      </c>
      <c r="BU50" s="186">
        <v>0</v>
      </c>
      <c r="BV50" s="186">
        <v>0</v>
      </c>
      <c r="BW50" s="186">
        <v>141000</v>
      </c>
      <c r="BX50" s="167">
        <f>SUM(BT50:BW50)</f>
        <v>141000</v>
      </c>
      <c r="BY50" s="186">
        <v>0</v>
      </c>
      <c r="BZ50" s="186">
        <v>0</v>
      </c>
      <c r="CA50" s="186">
        <v>0</v>
      </c>
      <c r="CB50" s="186">
        <v>134000</v>
      </c>
      <c r="CC50" s="167">
        <f>SUM(BY50:CB50)</f>
        <v>134000</v>
      </c>
      <c r="CD50" s="186">
        <v>0</v>
      </c>
      <c r="CE50" s="186">
        <v>0</v>
      </c>
      <c r="CF50" s="186">
        <v>0</v>
      </c>
      <c r="CG50" s="186">
        <v>38193</v>
      </c>
      <c r="CH50" s="167">
        <f>SUM(CD50:CG50)</f>
        <v>38193</v>
      </c>
      <c r="CI50" s="186">
        <v>0</v>
      </c>
      <c r="CJ50" s="186">
        <v>115000</v>
      </c>
      <c r="CK50" s="186">
        <v>0</v>
      </c>
      <c r="CL50" s="186">
        <v>50000</v>
      </c>
      <c r="CM50" s="167">
        <f>SUM(CI50:CL50)</f>
        <v>165000</v>
      </c>
      <c r="CN50" s="186">
        <v>0</v>
      </c>
      <c r="CO50" s="186">
        <v>150000</v>
      </c>
      <c r="CP50" s="186">
        <v>0</v>
      </c>
      <c r="CQ50" s="186">
        <v>0</v>
      </c>
      <c r="CR50" s="167">
        <f>SUM(CN50:CQ50)</f>
        <v>150000</v>
      </c>
      <c r="CS50" s="186">
        <v>60000</v>
      </c>
      <c r="CT50" s="186">
        <v>18300</v>
      </c>
      <c r="CU50" s="186">
        <v>150000</v>
      </c>
      <c r="CV50" s="186">
        <v>100000</v>
      </c>
      <c r="CW50" s="167">
        <f>SUM(CS50:CV50)</f>
        <v>328300</v>
      </c>
      <c r="CX50" s="186">
        <v>0</v>
      </c>
      <c r="CY50" s="186">
        <v>118500</v>
      </c>
      <c r="CZ50" s="186">
        <v>265000</v>
      </c>
      <c r="DA50" s="186">
        <v>100000</v>
      </c>
      <c r="DB50" s="167">
        <f>SUM(CX50:DA50)</f>
        <v>483500</v>
      </c>
      <c r="DC50" s="186">
        <v>175000</v>
      </c>
      <c r="DD50" s="186">
        <v>154337.61611999999</v>
      </c>
      <c r="DE50" s="186">
        <v>0</v>
      </c>
      <c r="DF50" s="190">
        <f>200000+250000+573000</f>
        <v>1023000</v>
      </c>
      <c r="DG50" s="167">
        <f>SUM(DC50:DF50)</f>
        <v>1352337.6161199999</v>
      </c>
      <c r="DH50" s="186">
        <v>140000</v>
      </c>
      <c r="DI50" s="186">
        <v>160000</v>
      </c>
      <c r="DJ50" s="186">
        <v>190000</v>
      </c>
      <c r="DK50" s="186">
        <f>(DG48*0.8-DI50-DH50)/2.2</f>
        <v>218376.72727272726</v>
      </c>
      <c r="DL50" s="167">
        <f>SUM(DH50:DK50)</f>
        <v>708376.72727272729</v>
      </c>
      <c r="DM50" s="186">
        <f ca="1">+DL48*80%/4</f>
        <v>248737.12347171083</v>
      </c>
      <c r="DN50" s="186">
        <f ca="1">+DL48*80%/4</f>
        <v>248737.12347171083</v>
      </c>
      <c r="DO50" s="186">
        <f ca="1">+DL48*80%/4</f>
        <v>248737.12347171083</v>
      </c>
      <c r="DP50" s="186">
        <f ca="1">+DL48*80%/4</f>
        <v>248737.12347171083</v>
      </c>
      <c r="DQ50" s="167">
        <f ca="1">SUM(DM50:DP50)</f>
        <v>994948.49388684332</v>
      </c>
      <c r="DR50" s="186">
        <f ca="1">DQ48*0.8</f>
        <v>1226528.4868467504</v>
      </c>
      <c r="DS50" s="186">
        <v>0</v>
      </c>
      <c r="DT50" s="186">
        <v>0</v>
      </c>
      <c r="DU50" s="186">
        <v>0</v>
      </c>
      <c r="DV50" s="167">
        <f ca="1">SUM(DR50:DU50)</f>
        <v>1226528.4868467504</v>
      </c>
      <c r="DW50" s="186">
        <f ca="1">DV48*0.9</f>
        <v>1534108.1597525082</v>
      </c>
      <c r="DX50" s="186">
        <v>0</v>
      </c>
      <c r="DY50" s="186">
        <v>0</v>
      </c>
      <c r="DZ50" s="186">
        <v>0</v>
      </c>
      <c r="EA50" s="167">
        <f ca="1">SUM(DW50:DZ50)</f>
        <v>1534108.1597525082</v>
      </c>
      <c r="EB50" s="186">
        <f ca="1">EA48*0.9</f>
        <v>1616050.9129091424</v>
      </c>
      <c r="EC50" s="186">
        <v>0</v>
      </c>
      <c r="ED50" s="186">
        <v>0</v>
      </c>
      <c r="EE50" s="186">
        <v>0</v>
      </c>
      <c r="EF50" s="167">
        <f ca="1">SUM(EB50:EE50)</f>
        <v>1616050.9129091424</v>
      </c>
    </row>
    <row r="51" spans="1:136" ht="12.75" customHeight="1" outlineLevel="1">
      <c r="A51" s="173" t="s">
        <v>197</v>
      </c>
      <c r="B51" s="174" t="e">
        <f>-SUM(B50:B50)/SUM(B$11:B$11)</f>
        <v>#DIV/0!</v>
      </c>
      <c r="C51" s="174" t="e">
        <f>-SUM(B50:C50)/SUM(B$11:C$11)</f>
        <v>#DIV/0!</v>
      </c>
      <c r="D51" s="174" t="e">
        <f>-SUM(B50:D50)/SUM(B$11:D$11)</f>
        <v>#DIV/0!</v>
      </c>
      <c r="E51" s="174" t="e">
        <f>-SUM(B50:E50)/SUM(B$11:E$11)</f>
        <v>#DIV/0!</v>
      </c>
      <c r="F51" s="175" t="e">
        <f>+F50/F48</f>
        <v>#DIV/0!</v>
      </c>
      <c r="G51" s="174" t="e">
        <f>-SUM(G50:G50)/SUM(G$11:G$11)</f>
        <v>#DIV/0!</v>
      </c>
      <c r="H51" s="174" t="e">
        <f>-SUM(G50:H50)/SUM(G$11:H$11)</f>
        <v>#DIV/0!</v>
      </c>
      <c r="I51" s="174" t="e">
        <f>-SUM(G50:I50)/SUM(G$11:I$11)</f>
        <v>#DIV/0!</v>
      </c>
      <c r="J51" s="174" t="e">
        <f>-SUM(G50:J50)/SUM(G$11:J$11)</f>
        <v>#DIV/0!</v>
      </c>
      <c r="K51" s="175" t="e">
        <f>+K50/K48</f>
        <v>#DIV/0!</v>
      </c>
      <c r="L51" s="174" t="e">
        <f>-SUM(L50:L50)/SUM(L$11:L$11)</f>
        <v>#DIV/0!</v>
      </c>
      <c r="M51" s="174" t="e">
        <f>-SUM(L50:M50)/SUM(L$11:M$11)</f>
        <v>#DIV/0!</v>
      </c>
      <c r="N51" s="174" t="e">
        <f>-SUM(L50:N50)/SUM(L$11:N$11)</f>
        <v>#DIV/0!</v>
      </c>
      <c r="O51" s="174" t="e">
        <f>-SUM(L50:O50)/SUM(L$11:O$11)</f>
        <v>#DIV/0!</v>
      </c>
      <c r="P51" s="175" t="e">
        <f>+P50/P48</f>
        <v>#DIV/0!</v>
      </c>
      <c r="Q51" s="174" t="e">
        <f>-SUM(Q50:Q50)/SUM(Q$11:Q$11)</f>
        <v>#DIV/0!</v>
      </c>
      <c r="R51" s="174" t="e">
        <f>-SUM(Q50:R50)/SUM(Q$11:R$11)</f>
        <v>#DIV/0!</v>
      </c>
      <c r="S51" s="174" t="e">
        <f>-SUM(Q50:S50)/SUM(Q$11:S$11)</f>
        <v>#DIV/0!</v>
      </c>
      <c r="T51" s="174" t="e">
        <f>-SUM(Q50:T50)/SUM(Q$11:T$11)</f>
        <v>#DIV/0!</v>
      </c>
      <c r="U51" s="175" t="e">
        <f>+U50/U48</f>
        <v>#DIV/0!</v>
      </c>
      <c r="V51" s="174" t="e">
        <f>-SUM(V50:V50)/SUM(V$11:V$11)</f>
        <v>#DIV/0!</v>
      </c>
      <c r="W51" s="174" t="e">
        <f>-SUM(V50:W50)/SUM(V$11:W$11)</f>
        <v>#DIV/0!</v>
      </c>
      <c r="X51" s="174" t="e">
        <f>-SUM(V50:X50)/SUM(V$11:X$11)</f>
        <v>#DIV/0!</v>
      </c>
      <c r="Y51" s="174" t="e">
        <f>-SUM(V50:Y50)/SUM(V$11:Y$11)</f>
        <v>#DIV/0!</v>
      </c>
      <c r="Z51" s="175" t="e">
        <f>+Z50/Z48</f>
        <v>#DIV/0!</v>
      </c>
      <c r="AA51" s="174" t="e">
        <f>-SUM(AA50:AA50)/SUM(AA$11:AA$11)</f>
        <v>#DIV/0!</v>
      </c>
      <c r="AB51" s="174" t="e">
        <f>-SUM(AA50:AB50)/SUM(AA$11:AB$11)</f>
        <v>#DIV/0!</v>
      </c>
      <c r="AC51" s="174" t="e">
        <f>-SUM(AA50:AC50)/SUM(AA$11:AC$11)</f>
        <v>#DIV/0!</v>
      </c>
      <c r="AD51" s="174" t="e">
        <f>-SUM(AA50:AD50)/SUM(AA$11:AD$11)</f>
        <v>#DIV/0!</v>
      </c>
      <c r="AE51" s="175" t="e">
        <f>+AE50/AE48</f>
        <v>#DIV/0!</v>
      </c>
      <c r="AF51" s="174" t="e">
        <f>AF50/AF48</f>
        <v>#DIV/0!</v>
      </c>
      <c r="AG51" s="174" t="e">
        <f>AG50/AG48</f>
        <v>#DIV/0!</v>
      </c>
      <c r="AH51" s="174" t="e">
        <f>AH50/AH48</f>
        <v>#DIV/0!</v>
      </c>
      <c r="AI51" s="174">
        <f>AI50/AI48</f>
        <v>0</v>
      </c>
      <c r="AJ51" s="175">
        <f>+AJ50/AJ48</f>
        <v>0</v>
      </c>
      <c r="AK51" s="174" t="e">
        <f>AK50/AK48</f>
        <v>#DIV/0!</v>
      </c>
      <c r="AL51" s="174" t="e">
        <f>AL50/AL48</f>
        <v>#DIV/0!</v>
      </c>
      <c r="AM51" s="174" t="e">
        <f>AM50/AM48</f>
        <v>#DIV/0!</v>
      </c>
      <c r="AN51" s="174">
        <f>AN50/AN48</f>
        <v>0</v>
      </c>
      <c r="AO51" s="175">
        <f>+AO50/AO48</f>
        <v>0</v>
      </c>
      <c r="AP51" s="174" t="e">
        <f>AP50/AP48</f>
        <v>#DIV/0!</v>
      </c>
      <c r="AQ51" s="174" t="e">
        <f>AQ50/AQ48</f>
        <v>#DIV/0!</v>
      </c>
      <c r="AR51" s="174" t="e">
        <f>AR50/AR48</f>
        <v>#DIV/0!</v>
      </c>
      <c r="AS51" s="174">
        <f>AS50/AS48</f>
        <v>0</v>
      </c>
      <c r="AT51" s="175">
        <f>+AT50/AT48</f>
        <v>0</v>
      </c>
      <c r="AU51" s="174" t="e">
        <f>AU50/AU48</f>
        <v>#DIV/0!</v>
      </c>
      <c r="AV51" s="174" t="e">
        <f>AV50/AV48</f>
        <v>#DIV/0!</v>
      </c>
      <c r="AW51" s="174" t="e">
        <f>AW50/AW48</f>
        <v>#DIV/0!</v>
      </c>
      <c r="AX51" s="174">
        <f>AX50/AX48</f>
        <v>0</v>
      </c>
      <c r="AY51" s="175">
        <f>+AY50/AY48</f>
        <v>0</v>
      </c>
      <c r="AZ51" s="174" t="e">
        <f>AZ50/AZ48</f>
        <v>#DIV/0!</v>
      </c>
      <c r="BA51" s="174" t="e">
        <f>BA50/BA48</f>
        <v>#DIV/0!</v>
      </c>
      <c r="BB51" s="174" t="e">
        <f>BB50/BB48</f>
        <v>#DIV/0!</v>
      </c>
      <c r="BC51" s="174">
        <f>BC50/BC48</f>
        <v>0</v>
      </c>
      <c r="BD51" s="175">
        <f>+BD50/BD48</f>
        <v>0</v>
      </c>
      <c r="BE51" s="174" t="e">
        <f>BE50/BE48</f>
        <v>#DIV/0!</v>
      </c>
      <c r="BF51" s="174" t="e">
        <f>BF50/BF48</f>
        <v>#DIV/0!</v>
      </c>
      <c r="BG51" s="174" t="e">
        <f>BG50/BG48</f>
        <v>#DIV/0!</v>
      </c>
      <c r="BH51" s="174">
        <f>BH50/BH48</f>
        <v>0.61018397046709583</v>
      </c>
      <c r="BI51" s="175">
        <f>+BI50/BI48</f>
        <v>0.61018397046709583</v>
      </c>
      <c r="BJ51" s="174" t="e">
        <f>BJ50/BJ48</f>
        <v>#DIV/0!</v>
      </c>
      <c r="BK51" s="174" t="e">
        <f>BK50/BK48</f>
        <v>#DIV/0!</v>
      </c>
      <c r="BL51" s="174" t="e">
        <f>BL50/BL48</f>
        <v>#DIV/0!</v>
      </c>
      <c r="BM51" s="174">
        <f>BM50/BM48</f>
        <v>0.75835842876926118</v>
      </c>
      <c r="BN51" s="175">
        <f>+BN50/BN48</f>
        <v>0.75835842876926118</v>
      </c>
      <c r="BO51" s="174" t="e">
        <f>BO50/BO48</f>
        <v>#DIV/0!</v>
      </c>
      <c r="BP51" s="174" t="e">
        <f>BP50/BP48</f>
        <v>#DIV/0!</v>
      </c>
      <c r="BQ51" s="174" t="e">
        <f>BQ50/BQ48</f>
        <v>#DIV/0!</v>
      </c>
      <c r="BR51" s="174">
        <f>BR50/BR48</f>
        <v>0.61151780491695762</v>
      </c>
      <c r="BS51" s="175">
        <f>+BS50/BS48</f>
        <v>0.61151780491695762</v>
      </c>
      <c r="BT51" s="174" t="e">
        <f>BT50/BT48</f>
        <v>#DIV/0!</v>
      </c>
      <c r="BU51" s="174" t="e">
        <f>BU50/BU48</f>
        <v>#DIV/0!</v>
      </c>
      <c r="BV51" s="174" t="e">
        <f>BV50/BV48</f>
        <v>#DIV/0!</v>
      </c>
      <c r="BW51" s="174">
        <f>BW50/BW48</f>
        <v>1.0763440942297269</v>
      </c>
      <c r="BX51" s="175">
        <f>+BX50/BX48</f>
        <v>1.0763440942297269</v>
      </c>
      <c r="BY51" s="174">
        <f>BY50/BY48</f>
        <v>0</v>
      </c>
      <c r="BZ51" s="174">
        <f>BZ50/BZ48</f>
        <v>0</v>
      </c>
      <c r="CA51" s="174">
        <f>CA50/CA48</f>
        <v>0</v>
      </c>
      <c r="CB51" s="174">
        <f>CB50/CB48</f>
        <v>2.6602608643862542</v>
      </c>
      <c r="CC51" s="175">
        <f>+CC50/CC48</f>
        <v>0.83683053557154274</v>
      </c>
      <c r="CD51" s="174">
        <f>CD50/CD48</f>
        <v>0</v>
      </c>
      <c r="CE51" s="174">
        <f>CE50/CE48</f>
        <v>0</v>
      </c>
      <c r="CF51" s="174">
        <f>CF50/CF48</f>
        <v>0</v>
      </c>
      <c r="CG51" s="174">
        <f>CG50/CG48</f>
        <v>0.56191793317541816</v>
      </c>
      <c r="CH51" s="175">
        <f>+CH50/CH48</f>
        <v>0.23750093276621148</v>
      </c>
      <c r="CI51" s="174">
        <f>CI50/CI48</f>
        <v>0</v>
      </c>
      <c r="CJ51" s="174">
        <f>CJ50/CJ48</f>
        <v>1.4630484841545488</v>
      </c>
      <c r="CK51" s="174">
        <f>CK50/CK48</f>
        <v>0</v>
      </c>
      <c r="CL51" s="174">
        <f>CL50/CM48</f>
        <v>0.16680622787732402</v>
      </c>
      <c r="CM51" s="175">
        <f>+CM50/CM48</f>
        <v>0.5504605519951693</v>
      </c>
      <c r="CN51" s="174">
        <f>CN50/CN48</f>
        <v>0</v>
      </c>
      <c r="CO51" s="174">
        <f>CO50/CO48</f>
        <v>1.737619461337967</v>
      </c>
      <c r="CP51" s="174">
        <f>CP50/CP48</f>
        <v>0</v>
      </c>
      <c r="CQ51" s="174">
        <f>CQ50/CR48</f>
        <v>0</v>
      </c>
      <c r="CR51" s="175">
        <f>+CR50/CR48</f>
        <v>0.45470391196932264</v>
      </c>
      <c r="CS51" s="174">
        <f>CS50/CS48</f>
        <v>0.65324608868904399</v>
      </c>
      <c r="CT51" s="174">
        <f>CT50/CT48</f>
        <v>0.15077488403516434</v>
      </c>
      <c r="CU51" s="174">
        <f>CU50/CU48</f>
        <v>1.3860654222879321</v>
      </c>
      <c r="CV51" s="174">
        <f>CV50/CW48</f>
        <v>0.2075700808485465</v>
      </c>
      <c r="CW51" s="175">
        <f>+CW50/CW48</f>
        <v>0.68145257542577808</v>
      </c>
      <c r="CX51" s="174">
        <f>CX50/CX48</f>
        <v>0</v>
      </c>
      <c r="CY51" s="174">
        <f>CY50/CY48</f>
        <v>0.68796553786132708</v>
      </c>
      <c r="CZ51" s="174">
        <f>CZ50/CZ48</f>
        <v>1.5536052435642635</v>
      </c>
      <c r="DA51" s="174">
        <f>DA50/DB48</f>
        <v>0.15388332258714799</v>
      </c>
      <c r="DB51" s="175">
        <f>+DB50/DB48</f>
        <v>0.74402586470886045</v>
      </c>
      <c r="DC51" s="174">
        <f>DC50/DC48</f>
        <v>0.81976812273099897</v>
      </c>
      <c r="DD51" s="174">
        <f>DD50/DD48</f>
        <v>0.65195355116144482</v>
      </c>
      <c r="DE51" s="174">
        <f>DE50/DE48</f>
        <v>0</v>
      </c>
      <c r="DF51" s="174">
        <f>DF50/DG48</f>
        <v>1.0486542782634367</v>
      </c>
      <c r="DG51" s="175">
        <f>+DG50/DG48</f>
        <v>1.3862508570877958</v>
      </c>
      <c r="DH51" s="174">
        <f>DH49/DH48</f>
        <v>0</v>
      </c>
      <c r="DI51" s="174">
        <f>DI50/DI48</f>
        <v>0.59160439414163746</v>
      </c>
      <c r="DJ51" s="174">
        <f ca="1">DJ50/DJ48</f>
        <v>0.61799902380225102</v>
      </c>
      <c r="DK51" s="174">
        <f ca="1">DK50/DL48</f>
        <v>0.17558836753015961</v>
      </c>
      <c r="DL51" s="175">
        <f ca="1">+DL50/DL48</f>
        <v>0.56957861165688994</v>
      </c>
      <c r="DM51" s="174">
        <f ca="1">DM50/DM48</f>
        <v>0.6717976213428789</v>
      </c>
      <c r="DN51" s="174">
        <f ca="1">DN50/DN48</f>
        <v>0.65170117510687919</v>
      </c>
      <c r="DO51" s="174">
        <f ca="1">DO50/DO48</f>
        <v>0.64625082125688815</v>
      </c>
      <c r="DP51" s="174">
        <f ca="1">DP50/DQ48</f>
        <v>0.16223813870719467</v>
      </c>
      <c r="DQ51" s="175">
        <f ca="1">+DQ50/DQ48</f>
        <v>0.64895255482877867</v>
      </c>
      <c r="DR51" s="174">
        <f ca="1">DR50/DR48</f>
        <v>2.9384666468222136</v>
      </c>
      <c r="DS51" s="174">
        <f ca="1">DS50/DS48</f>
        <v>0</v>
      </c>
      <c r="DT51" s="174">
        <f ca="1">DT50/DT48</f>
        <v>0</v>
      </c>
      <c r="DU51" s="174">
        <f ca="1">DU50/DV48</f>
        <v>0</v>
      </c>
      <c r="DV51" s="175">
        <f ca="1">+DV50/DV48</f>
        <v>0.71955528764031829</v>
      </c>
      <c r="DW51" s="174">
        <f ca="1">DW50/DW48</f>
        <v>3.4839148797125072</v>
      </c>
      <c r="DX51" s="174">
        <f ca="1">DX50/DX48</f>
        <v>0</v>
      </c>
      <c r="DY51" s="174">
        <f ca="1">DY50/DY48</f>
        <v>0</v>
      </c>
      <c r="DZ51" s="174">
        <f ca="1">DZ50/EA48</f>
        <v>0</v>
      </c>
      <c r="EA51" s="175">
        <f ca="1">+EA50/EA48</f>
        <v>0.8543650034464495</v>
      </c>
      <c r="EB51" s="174">
        <f ca="1">EB50/EB48</f>
        <v>3.4955012090724322</v>
      </c>
      <c r="EC51" s="174">
        <f ca="1">EC50/EC48</f>
        <v>0</v>
      </c>
      <c r="ED51" s="174">
        <f ca="1">ED50/ED48</f>
        <v>0</v>
      </c>
      <c r="EE51" s="174">
        <f ca="1">EE50/EF48</f>
        <v>0</v>
      </c>
      <c r="EF51" s="175">
        <f ca="1">+EF50/EF48</f>
        <v>0.86010105203974963</v>
      </c>
    </row>
    <row r="52" spans="1:136" s="8" customFormat="1" ht="12.75" customHeight="1" thickBot="1">
      <c r="A52" s="4" t="s">
        <v>198</v>
      </c>
      <c r="B52" s="30" t="str">
        <f>Macro!B$9</f>
        <v>1Q04</v>
      </c>
      <c r="C52" s="30" t="str">
        <f>Macro!C$9</f>
        <v>2Q04</v>
      </c>
      <c r="D52" s="30" t="str">
        <f>Macro!D$9</f>
        <v>3Q04</v>
      </c>
      <c r="E52" s="31" t="str">
        <f>Macro!E$9</f>
        <v>4Q04</v>
      </c>
      <c r="F52" s="29" t="str">
        <f>Macro!F$9</f>
        <v>2004</v>
      </c>
      <c r="G52" s="30" t="str">
        <f>Macro!G$9</f>
        <v>1Q05</v>
      </c>
      <c r="H52" s="30" t="str">
        <f>Macro!H$9</f>
        <v>2Q05</v>
      </c>
      <c r="I52" s="30" t="str">
        <f>Macro!I$9</f>
        <v>3Q05</v>
      </c>
      <c r="J52" s="31" t="str">
        <f>Macro!J$9</f>
        <v>4Q05</v>
      </c>
      <c r="K52" s="29" t="str">
        <f>Macro!K$9</f>
        <v>2005</v>
      </c>
      <c r="L52" s="30" t="str">
        <f>Macro!L$9</f>
        <v>1Q06</v>
      </c>
      <c r="M52" s="30" t="str">
        <f>Macro!M$9</f>
        <v>2Q06</v>
      </c>
      <c r="N52" s="30" t="str">
        <f>Macro!N$9</f>
        <v>3Q06</v>
      </c>
      <c r="O52" s="31" t="str">
        <f>Macro!O$9</f>
        <v>4Q06</v>
      </c>
      <c r="P52" s="29" t="str">
        <f>Macro!P$9</f>
        <v>2006</v>
      </c>
      <c r="Q52" s="30" t="str">
        <f>Macro!Q$9</f>
        <v>1Q07</v>
      </c>
      <c r="R52" s="30" t="str">
        <f>Macro!R$9</f>
        <v>2Q07</v>
      </c>
      <c r="S52" s="30" t="str">
        <f>Macro!S$9</f>
        <v>3Q07</v>
      </c>
      <c r="T52" s="31" t="str">
        <f>Macro!T$9</f>
        <v>4Q07</v>
      </c>
      <c r="U52" s="29" t="str">
        <f>Macro!U$9</f>
        <v>2007</v>
      </c>
      <c r="V52" s="30" t="str">
        <f>Macro!V$9</f>
        <v>1Q08</v>
      </c>
      <c r="W52" s="30" t="str">
        <f>Macro!W$9</f>
        <v>2Q08</v>
      </c>
      <c r="X52" s="30" t="str">
        <f>Macro!X$9</f>
        <v>3Q08</v>
      </c>
      <c r="Y52" s="31" t="str">
        <f>Macro!Y$9</f>
        <v>4Q08</v>
      </c>
      <c r="Z52" s="29" t="str">
        <f>Macro!Z$9</f>
        <v>2008</v>
      </c>
      <c r="AA52" s="30" t="str">
        <f>Macro!AA$9</f>
        <v>1Q09</v>
      </c>
      <c r="AB52" s="30" t="str">
        <f>Macro!AB$9</f>
        <v>2Q09</v>
      </c>
      <c r="AC52" s="30" t="str">
        <f>Macro!AC$9</f>
        <v>3Q09</v>
      </c>
      <c r="AD52" s="31" t="str">
        <f>Macro!AD$9</f>
        <v>4Q09</v>
      </c>
      <c r="AE52" s="29" t="str">
        <f>Macro!AE$9</f>
        <v>2009</v>
      </c>
      <c r="AF52" s="30" t="str">
        <f>Macro!AF$9</f>
        <v>1Q10</v>
      </c>
      <c r="AG52" s="30" t="str">
        <f>Macro!AG$9</f>
        <v>2Q10</v>
      </c>
      <c r="AH52" s="30" t="str">
        <f>Macro!AH$9</f>
        <v>3Q10</v>
      </c>
      <c r="AI52" s="31" t="str">
        <f>Macro!AI$9</f>
        <v>4Q10</v>
      </c>
      <c r="AJ52" s="29" t="str">
        <f>Macro!AJ$9</f>
        <v>2010</v>
      </c>
      <c r="AK52" s="30" t="str">
        <f>Macro!AK$9</f>
        <v>1Q11</v>
      </c>
      <c r="AL52" s="30" t="str">
        <f>Macro!AL$9</f>
        <v>2Q11</v>
      </c>
      <c r="AM52" s="30" t="str">
        <f>Macro!AM$9</f>
        <v>3Q11</v>
      </c>
      <c r="AN52" s="31" t="str">
        <f>Macro!AN$9</f>
        <v>4Q11</v>
      </c>
      <c r="AO52" s="29" t="str">
        <f>Macro!AO$9</f>
        <v>2011</v>
      </c>
      <c r="AP52" s="30" t="str">
        <f>Macro!AP$9</f>
        <v>1Q12</v>
      </c>
      <c r="AQ52" s="30" t="str">
        <f>Macro!AQ$9</f>
        <v>2Q12</v>
      </c>
      <c r="AR52" s="30" t="str">
        <f>Macro!AR$9</f>
        <v>3Q12</v>
      </c>
      <c r="AS52" s="31" t="str">
        <f>Macro!AS$9</f>
        <v>4Q12</v>
      </c>
      <c r="AT52" s="29" t="str">
        <f>Macro!AT$9</f>
        <v>2012</v>
      </c>
      <c r="AU52" s="30" t="str">
        <f>Macro!AU$9</f>
        <v>1Q13</v>
      </c>
      <c r="AV52" s="30" t="str">
        <f>Macro!AV$9</f>
        <v>2Q13</v>
      </c>
      <c r="AW52" s="30" t="str">
        <f>Macro!AW$9</f>
        <v>3Q13</v>
      </c>
      <c r="AX52" s="31" t="str">
        <f>Macro!AX$9</f>
        <v>4Q13</v>
      </c>
      <c r="AY52" s="29" t="str">
        <f>Macro!AY$9</f>
        <v>2013</v>
      </c>
      <c r="AZ52" s="30" t="str">
        <f>Macro!AZ$9</f>
        <v>1Q14</v>
      </c>
      <c r="BA52" s="30" t="str">
        <f>Macro!BA$9</f>
        <v>2Q14</v>
      </c>
      <c r="BB52" s="30" t="str">
        <f>Macro!BB$9</f>
        <v>3Q14</v>
      </c>
      <c r="BC52" s="31" t="str">
        <f>Macro!BC$9</f>
        <v>4Q14</v>
      </c>
      <c r="BD52" s="29" t="str">
        <f>Macro!BD$9</f>
        <v>2014</v>
      </c>
      <c r="BE52" s="30" t="str">
        <f>Macro!BE$9</f>
        <v>1Q15</v>
      </c>
      <c r="BF52" s="30" t="str">
        <f>Macro!BF$9</f>
        <v>2Q15</v>
      </c>
      <c r="BG52" s="30" t="str">
        <f>Macro!BG$9</f>
        <v>3Q15</v>
      </c>
      <c r="BH52" s="31" t="str">
        <f>Macro!BH$9</f>
        <v>4Q15</v>
      </c>
      <c r="BI52" s="29" t="str">
        <f>Macro!BI$9</f>
        <v>2015</v>
      </c>
      <c r="BJ52" s="30" t="str">
        <f>Macro!BJ$9</f>
        <v>1Q16</v>
      </c>
      <c r="BK52" s="30" t="str">
        <f>Macro!BK$9</f>
        <v>2Q16</v>
      </c>
      <c r="BL52" s="30" t="str">
        <f>Macro!BL$9</f>
        <v>3Q16</v>
      </c>
      <c r="BM52" s="31" t="str">
        <f>Macro!BM$9</f>
        <v>4Q16</v>
      </c>
      <c r="BN52" s="29" t="str">
        <f>Macro!BN$9</f>
        <v>2016</v>
      </c>
      <c r="BO52" s="30" t="str">
        <f>Macro!BO$9</f>
        <v>1Q17</v>
      </c>
      <c r="BP52" s="30" t="str">
        <f>Macro!BP$9</f>
        <v>2Q17</v>
      </c>
      <c r="BQ52" s="30" t="str">
        <f>Macro!BQ$9</f>
        <v>3Q17</v>
      </c>
      <c r="BR52" s="31" t="str">
        <f>Macro!BR$9</f>
        <v>4Q17</v>
      </c>
      <c r="BS52" s="29" t="str">
        <f>Macro!BS$9</f>
        <v>2017</v>
      </c>
      <c r="BT52" s="30" t="str">
        <f>Macro!BT$9</f>
        <v>1Q18</v>
      </c>
      <c r="BU52" s="30" t="str">
        <f>Macro!BU$9</f>
        <v>2Q18</v>
      </c>
      <c r="BV52" s="30" t="str">
        <f>Macro!BV$9</f>
        <v>3Q18</v>
      </c>
      <c r="BW52" s="31" t="str">
        <f>Macro!BW$9</f>
        <v>4Q18</v>
      </c>
      <c r="BX52" s="29" t="str">
        <f>Macro!BX$9</f>
        <v>2018</v>
      </c>
      <c r="BY52" s="30" t="str">
        <f>Macro!BY$9</f>
        <v>1Q19</v>
      </c>
      <c r="BZ52" s="30" t="str">
        <f>Macro!BZ$9</f>
        <v>2Q19</v>
      </c>
      <c r="CA52" s="30" t="str">
        <f>Macro!CA$9</f>
        <v>3Q19</v>
      </c>
      <c r="CB52" s="31" t="str">
        <f>Macro!CB$9</f>
        <v>4Q19</v>
      </c>
      <c r="CC52" s="29" t="str">
        <f>Macro!CC$9</f>
        <v>2019</v>
      </c>
      <c r="CD52" s="30" t="str">
        <f>Macro!CD$9</f>
        <v>1Q20</v>
      </c>
      <c r="CE52" s="30" t="str">
        <f>Macro!CE$9</f>
        <v>2Q20</v>
      </c>
      <c r="CF52" s="30" t="str">
        <f>Macro!CF$9</f>
        <v>3Q20</v>
      </c>
      <c r="CG52" s="31" t="str">
        <f>Macro!CG$9</f>
        <v>4Q20</v>
      </c>
      <c r="CH52" s="29" t="str">
        <f>Macro!CH$9</f>
        <v>2020</v>
      </c>
      <c r="CI52" s="30" t="str">
        <f>Macro!CI$9</f>
        <v>1Q21</v>
      </c>
      <c r="CJ52" s="30" t="str">
        <f>Macro!CJ$9</f>
        <v>2Q21</v>
      </c>
      <c r="CK52" s="30" t="str">
        <f>Macro!CK$9</f>
        <v>3Q21</v>
      </c>
      <c r="CL52" s="31" t="str">
        <f>Macro!CL$9</f>
        <v>4Q21</v>
      </c>
      <c r="CM52" s="29" t="str">
        <f>Macro!CM$9</f>
        <v>2021</v>
      </c>
      <c r="CN52" s="30" t="str">
        <f>Macro!CN$9</f>
        <v>1Q22</v>
      </c>
      <c r="CO52" s="30" t="str">
        <f>Macro!CO$9</f>
        <v>2Q22</v>
      </c>
      <c r="CP52" s="30" t="str">
        <f>Macro!CP$9</f>
        <v>3Q22</v>
      </c>
      <c r="CQ52" s="31" t="str">
        <f>Macro!CQ$9</f>
        <v>4Q22</v>
      </c>
      <c r="CR52" s="29" t="str">
        <f>Macro!CR$9</f>
        <v>2022</v>
      </c>
      <c r="CS52" s="30" t="str">
        <f>Macro!CS$9</f>
        <v>1Q23</v>
      </c>
      <c r="CT52" s="30" t="str">
        <f>Macro!CT$9</f>
        <v>2Q23</v>
      </c>
      <c r="CU52" s="30" t="str">
        <f>Macro!CU$9</f>
        <v>3Q23</v>
      </c>
      <c r="CV52" s="31" t="str">
        <f>Macro!CV$9</f>
        <v>4Q23</v>
      </c>
      <c r="CW52" s="29" t="str">
        <f>Macro!CW$9</f>
        <v>2023</v>
      </c>
      <c r="CX52" s="30" t="str">
        <f>Macro!CX$9</f>
        <v>1Q24</v>
      </c>
      <c r="CY52" s="30" t="str">
        <f>Macro!CY$9</f>
        <v>2Q24</v>
      </c>
      <c r="CZ52" s="30" t="str">
        <f>Macro!CZ$9</f>
        <v>3Q24</v>
      </c>
      <c r="DA52" s="31" t="str">
        <f>Macro!DA$9</f>
        <v>4Q24</v>
      </c>
      <c r="DB52" s="29" t="str">
        <f>Macro!DB$9</f>
        <v>2024</v>
      </c>
      <c r="DC52" s="30" t="str">
        <f>Macro!DC$9</f>
        <v>1Q25</v>
      </c>
      <c r="DD52" s="30" t="str">
        <f>Macro!DD$9</f>
        <v>2Q25</v>
      </c>
      <c r="DE52" s="30" t="str">
        <f>Macro!DE$9</f>
        <v>3Q25</v>
      </c>
      <c r="DF52" s="31" t="str">
        <f>Macro!DF$9</f>
        <v>4Q25</v>
      </c>
      <c r="DG52" s="29" t="str">
        <f>Macro!DG$9</f>
        <v>2025</v>
      </c>
      <c r="DH52" s="30" t="str">
        <f>Macro!DH$9</f>
        <v>1Q26</v>
      </c>
      <c r="DI52" s="30" t="str">
        <f>Macro!DI$9</f>
        <v>2Q26</v>
      </c>
      <c r="DJ52" s="30" t="str">
        <f>Macro!DJ$9</f>
        <v>3Q26E</v>
      </c>
      <c r="DK52" s="31" t="str">
        <f>Macro!DK$9</f>
        <v>4Q26E</v>
      </c>
      <c r="DL52" s="29" t="str">
        <f>Macro!DL$9</f>
        <v>2026E</v>
      </c>
      <c r="DM52" s="30" t="str">
        <f>Macro!DM$9</f>
        <v>1Q27E</v>
      </c>
      <c r="DN52" s="30" t="str">
        <f>Macro!DN$9</f>
        <v>2Q27E</v>
      </c>
      <c r="DO52" s="30" t="str">
        <f>Macro!DO$9</f>
        <v>3Q27E</v>
      </c>
      <c r="DP52" s="31" t="str">
        <f>Macro!DP$9</f>
        <v>4Q27E</v>
      </c>
      <c r="DQ52" s="29" t="str">
        <f>Macro!DQ$9</f>
        <v>2027E</v>
      </c>
      <c r="DR52" s="30" t="str">
        <f>Macro!DR$9</f>
        <v>1Q28E</v>
      </c>
      <c r="DS52" s="30" t="str">
        <f>Macro!DS$9</f>
        <v>2Q28E</v>
      </c>
      <c r="DT52" s="30" t="str">
        <f>Macro!DT$9</f>
        <v>3Q28E</v>
      </c>
      <c r="DU52" s="31" t="str">
        <f>Macro!DU$9</f>
        <v>4Q28E</v>
      </c>
      <c r="DV52" s="29" t="str">
        <f>Macro!DV$9</f>
        <v>2028E</v>
      </c>
      <c r="DW52" s="30" t="str">
        <f>Macro!DW$9</f>
        <v>1Q29E</v>
      </c>
      <c r="DX52" s="30" t="str">
        <f>Macro!DX$9</f>
        <v>2Q29E</v>
      </c>
      <c r="DY52" s="30" t="str">
        <f>Macro!DY$9</f>
        <v>3Q29E</v>
      </c>
      <c r="DZ52" s="31" t="str">
        <f>Macro!DZ$9</f>
        <v>4Q29E</v>
      </c>
      <c r="EA52" s="29" t="str">
        <f>Macro!EA$9</f>
        <v>2029E</v>
      </c>
      <c r="EB52" s="30" t="str">
        <f>Macro!EB$9</f>
        <v>1Q30E</v>
      </c>
      <c r="EC52" s="30" t="str">
        <f>Macro!EC$9</f>
        <v>2Q30E</v>
      </c>
      <c r="ED52" s="30" t="str">
        <f>Macro!ED$9</f>
        <v>3Q30E</v>
      </c>
      <c r="EE52" s="31" t="str">
        <f>Macro!EE$9</f>
        <v>4Q30E</v>
      </c>
      <c r="EF52" s="29" t="str">
        <f>Macro!EF$9</f>
        <v>2030E</v>
      </c>
    </row>
    <row r="53" spans="1:136" s="3" customFormat="1" ht="12.75" customHeight="1">
      <c r="A53" s="58" t="s">
        <v>0</v>
      </c>
      <c r="B53" s="162">
        <f t="shared" ref="B53:AG53" si="115">B11</f>
        <v>0</v>
      </c>
      <c r="C53" s="162">
        <f t="shared" si="115"/>
        <v>0</v>
      </c>
      <c r="D53" s="162">
        <f t="shared" si="115"/>
        <v>0</v>
      </c>
      <c r="E53" s="162">
        <f t="shared" si="115"/>
        <v>0</v>
      </c>
      <c r="F53" s="163">
        <f t="shared" si="115"/>
        <v>0</v>
      </c>
      <c r="G53" s="162">
        <f t="shared" si="115"/>
        <v>0</v>
      </c>
      <c r="H53" s="162">
        <f t="shared" si="115"/>
        <v>0</v>
      </c>
      <c r="I53" s="162">
        <f t="shared" si="115"/>
        <v>0</v>
      </c>
      <c r="J53" s="162">
        <f t="shared" si="115"/>
        <v>0</v>
      </c>
      <c r="K53" s="163">
        <f t="shared" si="115"/>
        <v>0</v>
      </c>
      <c r="L53" s="162">
        <f t="shared" si="115"/>
        <v>0</v>
      </c>
      <c r="M53" s="162">
        <f t="shared" si="115"/>
        <v>0</v>
      </c>
      <c r="N53" s="162">
        <f t="shared" si="115"/>
        <v>0</v>
      </c>
      <c r="O53" s="162">
        <f t="shared" si="115"/>
        <v>0</v>
      </c>
      <c r="P53" s="163">
        <f t="shared" si="115"/>
        <v>0</v>
      </c>
      <c r="Q53" s="162">
        <f t="shared" si="115"/>
        <v>0</v>
      </c>
      <c r="R53" s="162">
        <f t="shared" si="115"/>
        <v>0</v>
      </c>
      <c r="S53" s="162">
        <f t="shared" si="115"/>
        <v>0</v>
      </c>
      <c r="T53" s="162">
        <f t="shared" si="115"/>
        <v>0</v>
      </c>
      <c r="U53" s="163">
        <f t="shared" si="115"/>
        <v>0</v>
      </c>
      <c r="V53" s="162">
        <f t="shared" si="115"/>
        <v>0</v>
      </c>
      <c r="W53" s="162">
        <f t="shared" si="115"/>
        <v>0</v>
      </c>
      <c r="X53" s="162">
        <f t="shared" si="115"/>
        <v>0</v>
      </c>
      <c r="Y53" s="162">
        <f t="shared" si="115"/>
        <v>0</v>
      </c>
      <c r="Z53" s="163">
        <f t="shared" si="115"/>
        <v>0</v>
      </c>
      <c r="AA53" s="162">
        <f t="shared" si="115"/>
        <v>0</v>
      </c>
      <c r="AB53" s="162">
        <f t="shared" si="115"/>
        <v>0</v>
      </c>
      <c r="AC53" s="162">
        <f t="shared" si="115"/>
        <v>0</v>
      </c>
      <c r="AD53" s="162">
        <f t="shared" si="115"/>
        <v>0</v>
      </c>
      <c r="AE53" s="163">
        <f t="shared" si="115"/>
        <v>0</v>
      </c>
      <c r="AF53" s="162">
        <f t="shared" si="115"/>
        <v>0</v>
      </c>
      <c r="AG53" s="162">
        <f t="shared" si="115"/>
        <v>0</v>
      </c>
      <c r="AH53" s="162">
        <f t="shared" ref="AH53:BM53" si="116">AH11</f>
        <v>0</v>
      </c>
      <c r="AI53" s="162">
        <f t="shared" si="116"/>
        <v>239557.56700000001</v>
      </c>
      <c r="AJ53" s="163">
        <f t="shared" si="116"/>
        <v>239557.56700000001</v>
      </c>
      <c r="AK53" s="162">
        <f t="shared" si="116"/>
        <v>0</v>
      </c>
      <c r="AL53" s="162">
        <f t="shared" si="116"/>
        <v>0</v>
      </c>
      <c r="AM53" s="162">
        <f t="shared" si="116"/>
        <v>0</v>
      </c>
      <c r="AN53" s="162">
        <f t="shared" si="116"/>
        <v>424371.38900000002</v>
      </c>
      <c r="AO53" s="163">
        <f t="shared" si="116"/>
        <v>424371.38900000002</v>
      </c>
      <c r="AP53" s="162">
        <f t="shared" si="116"/>
        <v>0</v>
      </c>
      <c r="AQ53" s="162">
        <f t="shared" si="116"/>
        <v>0</v>
      </c>
      <c r="AR53" s="162">
        <f t="shared" si="116"/>
        <v>0</v>
      </c>
      <c r="AS53" s="162">
        <f t="shared" si="116"/>
        <v>483969.35700000002</v>
      </c>
      <c r="AT53" s="163">
        <f t="shared" si="116"/>
        <v>483969.35700000002</v>
      </c>
      <c r="AU53" s="162">
        <f t="shared" si="116"/>
        <v>0</v>
      </c>
      <c r="AV53" s="162">
        <f t="shared" si="116"/>
        <v>0</v>
      </c>
      <c r="AW53" s="162">
        <f t="shared" si="116"/>
        <v>0</v>
      </c>
      <c r="AX53" s="162">
        <f t="shared" si="116"/>
        <v>737421.17799999996</v>
      </c>
      <c r="AY53" s="163">
        <f t="shared" si="116"/>
        <v>737421.17799999996</v>
      </c>
      <c r="AZ53" s="162">
        <f t="shared" si="116"/>
        <v>0</v>
      </c>
      <c r="BA53" s="162">
        <f t="shared" si="116"/>
        <v>0</v>
      </c>
      <c r="BB53" s="162">
        <f t="shared" si="116"/>
        <v>0</v>
      </c>
      <c r="BC53" s="162">
        <f t="shared" si="116"/>
        <v>899371</v>
      </c>
      <c r="BD53" s="163">
        <f t="shared" si="116"/>
        <v>899371</v>
      </c>
      <c r="BE53" s="162">
        <f t="shared" si="116"/>
        <v>0</v>
      </c>
      <c r="BF53" s="162">
        <f t="shared" si="116"/>
        <v>0</v>
      </c>
      <c r="BG53" s="162">
        <f t="shared" si="116"/>
        <v>0</v>
      </c>
      <c r="BH53" s="162">
        <f t="shared" si="116"/>
        <v>860415</v>
      </c>
      <c r="BI53" s="163">
        <f t="shared" si="116"/>
        <v>860415</v>
      </c>
      <c r="BJ53" s="162">
        <f t="shared" si="116"/>
        <v>0</v>
      </c>
      <c r="BK53" s="162">
        <f t="shared" si="116"/>
        <v>0</v>
      </c>
      <c r="BL53" s="162">
        <f t="shared" si="116"/>
        <v>0</v>
      </c>
      <c r="BM53" s="162">
        <f t="shared" si="116"/>
        <v>808763</v>
      </c>
      <c r="BN53" s="163">
        <f t="shared" ref="BN53:CS53" si="117">BN11</f>
        <v>808763</v>
      </c>
      <c r="BO53" s="162">
        <f t="shared" si="117"/>
        <v>0</v>
      </c>
      <c r="BP53" s="162">
        <f t="shared" si="117"/>
        <v>0</v>
      </c>
      <c r="BQ53" s="162">
        <f t="shared" si="117"/>
        <v>0</v>
      </c>
      <c r="BR53" s="162">
        <f t="shared" si="117"/>
        <v>814385</v>
      </c>
      <c r="BS53" s="163">
        <f t="shared" si="117"/>
        <v>814385</v>
      </c>
      <c r="BT53" s="162">
        <f t="shared" si="117"/>
        <v>0</v>
      </c>
      <c r="BU53" s="162">
        <f t="shared" si="117"/>
        <v>0</v>
      </c>
      <c r="BV53" s="162">
        <f t="shared" si="117"/>
        <v>0</v>
      </c>
      <c r="BW53" s="162">
        <f t="shared" si="117"/>
        <v>920253</v>
      </c>
      <c r="BX53" s="163">
        <f t="shared" si="117"/>
        <v>920253</v>
      </c>
      <c r="BY53" s="162">
        <f t="shared" si="117"/>
        <v>188370</v>
      </c>
      <c r="BZ53" s="162">
        <f t="shared" si="117"/>
        <v>267733</v>
      </c>
      <c r="CA53" s="162">
        <f t="shared" si="117"/>
        <v>261524</v>
      </c>
      <c r="CB53" s="162">
        <f t="shared" si="117"/>
        <v>301650</v>
      </c>
      <c r="CC53" s="163">
        <f t="shared" si="117"/>
        <v>1019277</v>
      </c>
      <c r="CD53" s="162">
        <f t="shared" si="117"/>
        <v>227321</v>
      </c>
      <c r="CE53" s="162">
        <f t="shared" si="117"/>
        <v>246204</v>
      </c>
      <c r="CF53" s="162">
        <f t="shared" si="117"/>
        <v>325897</v>
      </c>
      <c r="CG53" s="162">
        <f t="shared" si="117"/>
        <v>345260</v>
      </c>
      <c r="CH53" s="163">
        <f t="shared" si="117"/>
        <v>1144682</v>
      </c>
      <c r="CI53" s="162">
        <f t="shared" si="117"/>
        <v>339286</v>
      </c>
      <c r="CJ53" s="162">
        <f t="shared" si="117"/>
        <v>451337</v>
      </c>
      <c r="CK53" s="162">
        <f t="shared" si="117"/>
        <v>456449</v>
      </c>
      <c r="CL53" s="162">
        <f t="shared" si="117"/>
        <v>491223</v>
      </c>
      <c r="CM53" s="163">
        <f t="shared" si="117"/>
        <v>1738295</v>
      </c>
      <c r="CN53" s="162">
        <f t="shared" si="117"/>
        <v>447374</v>
      </c>
      <c r="CO53" s="162">
        <f t="shared" si="117"/>
        <v>602783</v>
      </c>
      <c r="CP53" s="162">
        <f t="shared" si="117"/>
        <v>626659</v>
      </c>
      <c r="CQ53" s="162">
        <f t="shared" si="117"/>
        <v>580478</v>
      </c>
      <c r="CR53" s="163">
        <f t="shared" si="117"/>
        <v>2257294</v>
      </c>
      <c r="CS53" s="162">
        <f t="shared" si="117"/>
        <v>594956</v>
      </c>
      <c r="CT53" s="162">
        <f t="shared" ref="CT53:DY53" si="118">CT11</f>
        <v>727746</v>
      </c>
      <c r="CU53" s="162">
        <f t="shared" si="118"/>
        <v>751874</v>
      </c>
      <c r="CV53" s="162">
        <f t="shared" si="118"/>
        <v>811596</v>
      </c>
      <c r="CW53" s="163">
        <f t="shared" si="118"/>
        <v>2886172</v>
      </c>
      <c r="CX53" s="162">
        <f t="shared" si="118"/>
        <v>837382</v>
      </c>
      <c r="CY53" s="162">
        <f t="shared" si="118"/>
        <v>998085</v>
      </c>
      <c r="CZ53" s="162">
        <f t="shared" si="118"/>
        <v>1055872</v>
      </c>
      <c r="DA53" s="162">
        <f t="shared" si="118"/>
        <v>1034971</v>
      </c>
      <c r="DB53" s="163">
        <f t="shared" si="118"/>
        <v>3926310</v>
      </c>
      <c r="DC53" s="162">
        <f t="shared" si="118"/>
        <v>1216184</v>
      </c>
      <c r="DD53" s="162">
        <f t="shared" si="118"/>
        <v>1346599</v>
      </c>
      <c r="DE53" s="162">
        <f t="shared" ref="DE53:DF53" si="119">DE11</f>
        <v>1416926</v>
      </c>
      <c r="DF53" s="162">
        <f t="shared" si="119"/>
        <v>1419715</v>
      </c>
      <c r="DG53" s="163">
        <f t="shared" si="118"/>
        <v>5399424</v>
      </c>
      <c r="DH53" s="162">
        <f t="shared" ref="DH53:DI53" si="120">DH11</f>
        <v>1612571</v>
      </c>
      <c r="DI53" s="162">
        <f t="shared" si="120"/>
        <v>1690594</v>
      </c>
      <c r="DJ53" s="162">
        <f t="shared" si="118"/>
        <v>1681801.070470884</v>
      </c>
      <c r="DK53" s="162">
        <f t="shared" si="118"/>
        <v>1821142.2428647105</v>
      </c>
      <c r="DL53" s="163">
        <f t="shared" si="118"/>
        <v>6806108.3133355947</v>
      </c>
      <c r="DM53" s="162">
        <f t="shared" si="118"/>
        <v>1860403.3791772071</v>
      </c>
      <c r="DN53" s="162">
        <f t="shared" si="118"/>
        <v>1921666.3394134745</v>
      </c>
      <c r="DO53" s="162">
        <f t="shared" si="118"/>
        <v>1973638.8108843116</v>
      </c>
      <c r="DP53" s="162">
        <f t="shared" si="118"/>
        <v>2021612.5082524337</v>
      </c>
      <c r="DQ53" s="163">
        <f t="shared" si="118"/>
        <v>7777321.0377274267</v>
      </c>
      <c r="DR53" s="162">
        <f t="shared" si="118"/>
        <v>2066631.8958571109</v>
      </c>
      <c r="DS53" s="162">
        <f t="shared" si="118"/>
        <v>2109421.7334492621</v>
      </c>
      <c r="DT53" s="162">
        <f t="shared" si="118"/>
        <v>2150452.9986581081</v>
      </c>
      <c r="DU53" s="162">
        <f t="shared" si="118"/>
        <v>2190051.4482430643</v>
      </c>
      <c r="DV53" s="163">
        <f t="shared" si="118"/>
        <v>8516558.0762075465</v>
      </c>
      <c r="DW53" s="162">
        <f t="shared" si="118"/>
        <v>2228456.0798906297</v>
      </c>
      <c r="DX53" s="162">
        <f t="shared" si="118"/>
        <v>2265852.2335614967</v>
      </c>
      <c r="DY53" s="162">
        <f t="shared" si="118"/>
        <v>2302390.4877017243</v>
      </c>
      <c r="DZ53" s="162">
        <f t="shared" ref="DZ53:EF53" si="121">DZ11</f>
        <v>2338197.6283605257</v>
      </c>
      <c r="EA53" s="163">
        <f t="shared" si="121"/>
        <v>9134896.4295143764</v>
      </c>
      <c r="EB53" s="162">
        <f t="shared" si="121"/>
        <v>2373383.1746670031</v>
      </c>
      <c r="EC53" s="162">
        <f t="shared" si="121"/>
        <v>2408043.3970291833</v>
      </c>
      <c r="ED53" s="162">
        <f t="shared" si="121"/>
        <v>2442263.9059964437</v>
      </c>
      <c r="EE53" s="162">
        <f t="shared" si="121"/>
        <v>2476121.4133206271</v>
      </c>
      <c r="EF53" s="163">
        <f t="shared" si="121"/>
        <v>9699811.8910132572</v>
      </c>
    </row>
    <row r="54" spans="1:136" ht="12.75" customHeight="1">
      <c r="A54" s="41" t="s">
        <v>1</v>
      </c>
      <c r="B54" s="52">
        <f t="shared" ref="B54:AG54" si="122">B13+B15</f>
        <v>0</v>
      </c>
      <c r="C54" s="52">
        <f t="shared" si="122"/>
        <v>0</v>
      </c>
      <c r="D54" s="52">
        <f t="shared" si="122"/>
        <v>0</v>
      </c>
      <c r="E54" s="52">
        <f t="shared" si="122"/>
        <v>0</v>
      </c>
      <c r="F54" s="67">
        <f t="shared" si="122"/>
        <v>0</v>
      </c>
      <c r="G54" s="52">
        <f t="shared" si="122"/>
        <v>0</v>
      </c>
      <c r="H54" s="52">
        <f t="shared" si="122"/>
        <v>0</v>
      </c>
      <c r="I54" s="52">
        <f t="shared" si="122"/>
        <v>0</v>
      </c>
      <c r="J54" s="52">
        <f t="shared" si="122"/>
        <v>0</v>
      </c>
      <c r="K54" s="67">
        <f t="shared" si="122"/>
        <v>0</v>
      </c>
      <c r="L54" s="52">
        <f t="shared" si="122"/>
        <v>0</v>
      </c>
      <c r="M54" s="52">
        <f t="shared" si="122"/>
        <v>0</v>
      </c>
      <c r="N54" s="52">
        <f t="shared" si="122"/>
        <v>0</v>
      </c>
      <c r="O54" s="52">
        <f t="shared" si="122"/>
        <v>0</v>
      </c>
      <c r="P54" s="67">
        <f t="shared" si="122"/>
        <v>0</v>
      </c>
      <c r="Q54" s="52">
        <f t="shared" si="122"/>
        <v>0</v>
      </c>
      <c r="R54" s="52">
        <f t="shared" si="122"/>
        <v>0</v>
      </c>
      <c r="S54" s="52">
        <f t="shared" si="122"/>
        <v>0</v>
      </c>
      <c r="T54" s="52">
        <f t="shared" si="122"/>
        <v>0</v>
      </c>
      <c r="U54" s="67">
        <f t="shared" si="122"/>
        <v>0</v>
      </c>
      <c r="V54" s="52">
        <f t="shared" si="122"/>
        <v>0</v>
      </c>
      <c r="W54" s="52">
        <f t="shared" si="122"/>
        <v>0</v>
      </c>
      <c r="X54" s="52">
        <f t="shared" si="122"/>
        <v>0</v>
      </c>
      <c r="Y54" s="52">
        <f t="shared" si="122"/>
        <v>0</v>
      </c>
      <c r="Z54" s="67">
        <f t="shared" si="122"/>
        <v>0</v>
      </c>
      <c r="AA54" s="52">
        <f t="shared" si="122"/>
        <v>0</v>
      </c>
      <c r="AB54" s="52">
        <f t="shared" si="122"/>
        <v>0</v>
      </c>
      <c r="AC54" s="52">
        <f t="shared" si="122"/>
        <v>0</v>
      </c>
      <c r="AD54" s="52">
        <f t="shared" si="122"/>
        <v>0</v>
      </c>
      <c r="AE54" s="67">
        <f t="shared" si="122"/>
        <v>0</v>
      </c>
      <c r="AF54" s="52">
        <f t="shared" si="122"/>
        <v>0</v>
      </c>
      <c r="AG54" s="52">
        <f t="shared" si="122"/>
        <v>0</v>
      </c>
      <c r="AH54" s="52">
        <f t="shared" ref="AH54:BM54" si="123">AH13+AH15</f>
        <v>0</v>
      </c>
      <c r="AI54" s="52">
        <f t="shared" si="123"/>
        <v>-158155.95799999998</v>
      </c>
      <c r="AJ54" s="67">
        <f t="shared" si="123"/>
        <v>-158155.95799999998</v>
      </c>
      <c r="AK54" s="52">
        <f t="shared" si="123"/>
        <v>0</v>
      </c>
      <c r="AL54" s="52">
        <f t="shared" si="123"/>
        <v>0</v>
      </c>
      <c r="AM54" s="52">
        <f t="shared" si="123"/>
        <v>0</v>
      </c>
      <c r="AN54" s="52">
        <f t="shared" si="123"/>
        <v>-295155.88300000003</v>
      </c>
      <c r="AO54" s="67">
        <f t="shared" si="123"/>
        <v>-295155.88300000003</v>
      </c>
      <c r="AP54" s="52">
        <f t="shared" si="123"/>
        <v>0</v>
      </c>
      <c r="AQ54" s="52">
        <f t="shared" si="123"/>
        <v>0</v>
      </c>
      <c r="AR54" s="52">
        <f t="shared" si="123"/>
        <v>0</v>
      </c>
      <c r="AS54" s="52">
        <f t="shared" si="123"/>
        <v>-292086.09600000002</v>
      </c>
      <c r="AT54" s="67">
        <f t="shared" si="123"/>
        <v>-292086.09600000002</v>
      </c>
      <c r="AU54" s="52">
        <f t="shared" si="123"/>
        <v>0</v>
      </c>
      <c r="AV54" s="52">
        <f t="shared" si="123"/>
        <v>0</v>
      </c>
      <c r="AW54" s="52">
        <f t="shared" si="123"/>
        <v>0</v>
      </c>
      <c r="AX54" s="52">
        <f t="shared" si="123"/>
        <v>-482259.995</v>
      </c>
      <c r="AY54" s="67">
        <f t="shared" si="123"/>
        <v>-482259.995</v>
      </c>
      <c r="AZ54" s="52">
        <f t="shared" si="123"/>
        <v>0</v>
      </c>
      <c r="BA54" s="52">
        <f t="shared" si="123"/>
        <v>0</v>
      </c>
      <c r="BB54" s="52">
        <f t="shared" si="123"/>
        <v>0</v>
      </c>
      <c r="BC54" s="52">
        <f t="shared" si="123"/>
        <v>-631785</v>
      </c>
      <c r="BD54" s="67">
        <f t="shared" si="123"/>
        <v>-631785</v>
      </c>
      <c r="BE54" s="52">
        <f t="shared" si="123"/>
        <v>0</v>
      </c>
      <c r="BF54" s="52">
        <f t="shared" si="123"/>
        <v>0</v>
      </c>
      <c r="BG54" s="52">
        <f t="shared" si="123"/>
        <v>0</v>
      </c>
      <c r="BH54" s="52">
        <f t="shared" si="123"/>
        <v>-598491</v>
      </c>
      <c r="BI54" s="67">
        <f t="shared" si="123"/>
        <v>-598491</v>
      </c>
      <c r="BJ54" s="52">
        <f t="shared" si="123"/>
        <v>0</v>
      </c>
      <c r="BK54" s="52">
        <f t="shared" si="123"/>
        <v>0</v>
      </c>
      <c r="BL54" s="52">
        <f t="shared" si="123"/>
        <v>0</v>
      </c>
      <c r="BM54" s="52">
        <f t="shared" si="123"/>
        <v>-589306</v>
      </c>
      <c r="BN54" s="67">
        <f t="shared" ref="BN54:CS54" si="124">BN13+BN15</f>
        <v>-589306</v>
      </c>
      <c r="BO54" s="52">
        <f t="shared" si="124"/>
        <v>0</v>
      </c>
      <c r="BP54" s="52">
        <f t="shared" si="124"/>
        <v>0</v>
      </c>
      <c r="BQ54" s="52">
        <f t="shared" si="124"/>
        <v>0</v>
      </c>
      <c r="BR54" s="52">
        <f t="shared" si="124"/>
        <v>-552804</v>
      </c>
      <c r="BS54" s="67">
        <f t="shared" si="124"/>
        <v>-552804</v>
      </c>
      <c r="BT54" s="52">
        <f t="shared" si="124"/>
        <v>0</v>
      </c>
      <c r="BU54" s="52">
        <f t="shared" si="124"/>
        <v>0</v>
      </c>
      <c r="BV54" s="52">
        <f t="shared" si="124"/>
        <v>0</v>
      </c>
      <c r="BW54" s="52">
        <f t="shared" si="124"/>
        <v>-592106</v>
      </c>
      <c r="BX54" s="67">
        <f t="shared" si="124"/>
        <v>-592106</v>
      </c>
      <c r="BY54" s="52">
        <f t="shared" si="124"/>
        <v>-131255</v>
      </c>
      <c r="BZ54" s="52">
        <f t="shared" si="124"/>
        <v>-165453</v>
      </c>
      <c r="CA54" s="52">
        <f t="shared" si="124"/>
        <v>-179543</v>
      </c>
      <c r="CB54" s="52">
        <f t="shared" si="124"/>
        <v>-180815</v>
      </c>
      <c r="CC54" s="67">
        <f t="shared" si="124"/>
        <v>-657066</v>
      </c>
      <c r="CD54" s="52">
        <f t="shared" si="124"/>
        <v>-147816</v>
      </c>
      <c r="CE54" s="52">
        <f t="shared" si="124"/>
        <v>-157451</v>
      </c>
      <c r="CF54" s="52">
        <f t="shared" si="124"/>
        <v>-202132</v>
      </c>
      <c r="CG54" s="52">
        <f t="shared" si="124"/>
        <v>-204678</v>
      </c>
      <c r="CH54" s="67">
        <f t="shared" si="124"/>
        <v>-712077</v>
      </c>
      <c r="CI54" s="52">
        <f t="shared" si="124"/>
        <v>-218822</v>
      </c>
      <c r="CJ54" s="52">
        <f t="shared" si="124"/>
        <v>-288279</v>
      </c>
      <c r="CK54" s="52">
        <f t="shared" si="124"/>
        <v>-281139</v>
      </c>
      <c r="CL54" s="52">
        <f t="shared" si="124"/>
        <v>-304050</v>
      </c>
      <c r="CM54" s="67">
        <f t="shared" si="124"/>
        <v>-1092290</v>
      </c>
      <c r="CN54" s="52">
        <f t="shared" si="124"/>
        <v>-280858</v>
      </c>
      <c r="CO54" s="52">
        <f t="shared" si="124"/>
        <v>-386722</v>
      </c>
      <c r="CP54" s="52">
        <f t="shared" si="124"/>
        <v>-391816</v>
      </c>
      <c r="CQ54" s="52">
        <f t="shared" si="124"/>
        <v>-357722</v>
      </c>
      <c r="CR54" s="67">
        <f t="shared" si="124"/>
        <v>-1417118</v>
      </c>
      <c r="CS54" s="52">
        <f t="shared" si="124"/>
        <v>-370495</v>
      </c>
      <c r="CT54" s="52">
        <f t="shared" ref="CT54:DY54" si="125">CT13+CT15</f>
        <v>-451777</v>
      </c>
      <c r="CU54" s="52">
        <f t="shared" si="125"/>
        <v>-466482</v>
      </c>
      <c r="CV54" s="52">
        <f t="shared" si="125"/>
        <v>-496101</v>
      </c>
      <c r="CW54" s="67">
        <f t="shared" si="125"/>
        <v>-1784855</v>
      </c>
      <c r="CX54" s="52">
        <f t="shared" si="125"/>
        <v>-518917</v>
      </c>
      <c r="CY54" s="52">
        <f t="shared" si="125"/>
        <v>-613427</v>
      </c>
      <c r="CZ54" s="52">
        <f t="shared" si="125"/>
        <v>-644385</v>
      </c>
      <c r="DA54" s="52">
        <f t="shared" si="125"/>
        <v>-628280</v>
      </c>
      <c r="DB54" s="67">
        <f t="shared" si="125"/>
        <v>-2405009</v>
      </c>
      <c r="DC54" s="52">
        <f t="shared" si="125"/>
        <v>-739585</v>
      </c>
      <c r="DD54" s="52">
        <f t="shared" si="125"/>
        <v>-810366</v>
      </c>
      <c r="DE54" s="52">
        <f t="shared" ref="DE54:DF54" si="126">DE13+DE15</f>
        <v>-847638</v>
      </c>
      <c r="DF54" s="52">
        <f t="shared" si="126"/>
        <v>-842692</v>
      </c>
      <c r="DG54" s="67">
        <f t="shared" si="125"/>
        <v>-3240281</v>
      </c>
      <c r="DH54" s="52">
        <f t="shared" ref="DH54:DI54" si="127">DH13+DH15</f>
        <v>-978672</v>
      </c>
      <c r="DI54" s="52">
        <f t="shared" si="127"/>
        <v>-1016957</v>
      </c>
      <c r="DJ54" s="52">
        <f t="shared" si="125"/>
        <v>-1006674.190922568</v>
      </c>
      <c r="DK54" s="52">
        <f t="shared" si="125"/>
        <v>-1084528.3913808903</v>
      </c>
      <c r="DL54" s="67">
        <f t="shared" si="125"/>
        <v>-4086831.5823034584</v>
      </c>
      <c r="DM54" s="52">
        <f t="shared" si="125"/>
        <v>-1119836.599170591</v>
      </c>
      <c r="DN54" s="52">
        <f t="shared" si="125"/>
        <v>-1159871.6715014745</v>
      </c>
      <c r="DO54" s="52">
        <f t="shared" si="125"/>
        <v>-1198962.9903943827</v>
      </c>
      <c r="DP54" s="52">
        <f t="shared" si="125"/>
        <v>-1231070.7775899307</v>
      </c>
      <c r="DQ54" s="67">
        <f t="shared" si="125"/>
        <v>-4709742.0386563791</v>
      </c>
      <c r="DR54" s="52">
        <f t="shared" si="125"/>
        <v>-1266306.5981632769</v>
      </c>
      <c r="DS54" s="52">
        <f t="shared" si="125"/>
        <v>-1295492.3780329851</v>
      </c>
      <c r="DT54" s="52">
        <f t="shared" si="125"/>
        <v>-1323470.2260693561</v>
      </c>
      <c r="DU54" s="52">
        <f t="shared" si="125"/>
        <v>-1350448.3062293243</v>
      </c>
      <c r="DV54" s="67">
        <f t="shared" si="125"/>
        <v>-5235717.5084949415</v>
      </c>
      <c r="DW54" s="52">
        <f t="shared" si="125"/>
        <v>-1376580.1426635035</v>
      </c>
      <c r="DX54" s="52">
        <f t="shared" si="125"/>
        <v>-1401985.5666008524</v>
      </c>
      <c r="DY54" s="52">
        <f t="shared" si="125"/>
        <v>-1426762.6339493569</v>
      </c>
      <c r="DZ54" s="52">
        <f t="shared" ref="DZ54:EF54" si="128">DZ13+DZ15</f>
        <v>-1450994.5139138731</v>
      </c>
      <c r="EA54" s="67">
        <f t="shared" si="128"/>
        <v>-5656322.8571275854</v>
      </c>
      <c r="EB54" s="52">
        <f t="shared" si="128"/>
        <v>-1474753.5656257649</v>
      </c>
      <c r="EC54" s="52">
        <f t="shared" si="128"/>
        <v>-1498103.8334234832</v>
      </c>
      <c r="ED54" s="52">
        <f t="shared" si="128"/>
        <v>-1521102.6446558984</v>
      </c>
      <c r="EE54" s="52">
        <f t="shared" si="128"/>
        <v>-1543801.6907622092</v>
      </c>
      <c r="EF54" s="67">
        <f t="shared" si="128"/>
        <v>-6037761.7344673555</v>
      </c>
    </row>
    <row r="55" spans="1:136" ht="12.75" customHeight="1">
      <c r="A55" s="41" t="s">
        <v>2</v>
      </c>
      <c r="B55" s="52">
        <f>B53+B54</f>
        <v>0</v>
      </c>
      <c r="C55" s="52">
        <f>C53+C54</f>
        <v>0</v>
      </c>
      <c r="D55" s="52">
        <f>D53+D54</f>
        <v>0</v>
      </c>
      <c r="E55" s="52">
        <f>E53+E54</f>
        <v>0</v>
      </c>
      <c r="F55" s="67">
        <f>F53+F54</f>
        <v>0</v>
      </c>
      <c r="G55" s="52">
        <f t="shared" ref="G55:AE55" si="129">G53+G54</f>
        <v>0</v>
      </c>
      <c r="H55" s="52">
        <f t="shared" si="129"/>
        <v>0</v>
      </c>
      <c r="I55" s="52">
        <f t="shared" si="129"/>
        <v>0</v>
      </c>
      <c r="J55" s="52">
        <f t="shared" si="129"/>
        <v>0</v>
      </c>
      <c r="K55" s="67">
        <f t="shared" si="129"/>
        <v>0</v>
      </c>
      <c r="L55" s="52">
        <f t="shared" si="129"/>
        <v>0</v>
      </c>
      <c r="M55" s="52">
        <f t="shared" si="129"/>
        <v>0</v>
      </c>
      <c r="N55" s="52">
        <f t="shared" si="129"/>
        <v>0</v>
      </c>
      <c r="O55" s="52">
        <f t="shared" si="129"/>
        <v>0</v>
      </c>
      <c r="P55" s="67">
        <f t="shared" si="129"/>
        <v>0</v>
      </c>
      <c r="Q55" s="52">
        <f t="shared" si="129"/>
        <v>0</v>
      </c>
      <c r="R55" s="52">
        <f t="shared" si="129"/>
        <v>0</v>
      </c>
      <c r="S55" s="52">
        <f t="shared" si="129"/>
        <v>0</v>
      </c>
      <c r="T55" s="52">
        <f t="shared" si="129"/>
        <v>0</v>
      </c>
      <c r="U55" s="67">
        <f t="shared" si="129"/>
        <v>0</v>
      </c>
      <c r="V55" s="52">
        <f t="shared" si="129"/>
        <v>0</v>
      </c>
      <c r="W55" s="52">
        <f t="shared" si="129"/>
        <v>0</v>
      </c>
      <c r="X55" s="52">
        <f t="shared" si="129"/>
        <v>0</v>
      </c>
      <c r="Y55" s="52">
        <f t="shared" si="129"/>
        <v>0</v>
      </c>
      <c r="Z55" s="67">
        <f t="shared" si="129"/>
        <v>0</v>
      </c>
      <c r="AA55" s="52">
        <f t="shared" si="129"/>
        <v>0</v>
      </c>
      <c r="AB55" s="52">
        <f t="shared" si="129"/>
        <v>0</v>
      </c>
      <c r="AC55" s="52">
        <f t="shared" si="129"/>
        <v>0</v>
      </c>
      <c r="AD55" s="52">
        <f t="shared" si="129"/>
        <v>0</v>
      </c>
      <c r="AE55" s="67">
        <f t="shared" si="129"/>
        <v>0</v>
      </c>
      <c r="AF55" s="52">
        <f t="shared" ref="AF55:AX55" si="130">AF53+AF54</f>
        <v>0</v>
      </c>
      <c r="AG55" s="52">
        <f t="shared" si="130"/>
        <v>0</v>
      </c>
      <c r="AH55" s="52">
        <f t="shared" si="130"/>
        <v>0</v>
      </c>
      <c r="AI55" s="52">
        <f t="shared" si="130"/>
        <v>81401.609000000026</v>
      </c>
      <c r="AJ55" s="67">
        <f t="shared" si="130"/>
        <v>81401.609000000026</v>
      </c>
      <c r="AK55" s="52">
        <f t="shared" si="130"/>
        <v>0</v>
      </c>
      <c r="AL55" s="52">
        <f t="shared" si="130"/>
        <v>0</v>
      </c>
      <c r="AM55" s="52">
        <f t="shared" si="130"/>
        <v>0</v>
      </c>
      <c r="AN55" s="52">
        <f t="shared" si="130"/>
        <v>129215.50599999999</v>
      </c>
      <c r="AO55" s="67">
        <f t="shared" si="130"/>
        <v>129215.50599999999</v>
      </c>
      <c r="AP55" s="52">
        <f t="shared" si="130"/>
        <v>0</v>
      </c>
      <c r="AQ55" s="52">
        <f t="shared" si="130"/>
        <v>0</v>
      </c>
      <c r="AR55" s="52">
        <f t="shared" si="130"/>
        <v>0</v>
      </c>
      <c r="AS55" s="52">
        <f t="shared" si="130"/>
        <v>191883.261</v>
      </c>
      <c r="AT55" s="67">
        <f t="shared" si="130"/>
        <v>191883.261</v>
      </c>
      <c r="AU55" s="52">
        <f t="shared" si="130"/>
        <v>0</v>
      </c>
      <c r="AV55" s="52">
        <f t="shared" si="130"/>
        <v>0</v>
      </c>
      <c r="AW55" s="52">
        <f t="shared" si="130"/>
        <v>0</v>
      </c>
      <c r="AX55" s="52">
        <f t="shared" si="130"/>
        <v>255161.18299999996</v>
      </c>
      <c r="AY55" s="67">
        <f t="shared" ref="AY55:CE55" si="131">AY53+AY54</f>
        <v>255161.18299999996</v>
      </c>
      <c r="AZ55" s="52">
        <f>AZ53+AZ54</f>
        <v>0</v>
      </c>
      <c r="BA55" s="52">
        <f>BA53+BA54</f>
        <v>0</v>
      </c>
      <c r="BB55" s="52">
        <f>BB53+BB54</f>
        <v>0</v>
      </c>
      <c r="BC55" s="52">
        <f>BC53+BC54</f>
        <v>267586</v>
      </c>
      <c r="BD55" s="67">
        <f>BD53+BD54</f>
        <v>267586</v>
      </c>
      <c r="BE55" s="52">
        <f t="shared" si="131"/>
        <v>0</v>
      </c>
      <c r="BF55" s="52">
        <f t="shared" si="131"/>
        <v>0</v>
      </c>
      <c r="BG55" s="52">
        <f t="shared" si="131"/>
        <v>0</v>
      </c>
      <c r="BH55" s="52">
        <f t="shared" si="131"/>
        <v>261924</v>
      </c>
      <c r="BI55" s="67">
        <f t="shared" si="131"/>
        <v>261924</v>
      </c>
      <c r="BJ55" s="52">
        <f>BJ53+BJ54</f>
        <v>0</v>
      </c>
      <c r="BK55" s="52">
        <f>BK53+BK54</f>
        <v>0</v>
      </c>
      <c r="BL55" s="52">
        <f>BL53+BL54</f>
        <v>0</v>
      </c>
      <c r="BM55" s="52">
        <f>BM53+BM54</f>
        <v>219457</v>
      </c>
      <c r="BN55" s="67">
        <f>BN53+BN54</f>
        <v>219457</v>
      </c>
      <c r="BO55" s="52">
        <f t="shared" si="131"/>
        <v>0</v>
      </c>
      <c r="BP55" s="52">
        <f t="shared" si="131"/>
        <v>0</v>
      </c>
      <c r="BQ55" s="52">
        <f t="shared" si="131"/>
        <v>0</v>
      </c>
      <c r="BR55" s="52">
        <f t="shared" si="131"/>
        <v>261581</v>
      </c>
      <c r="BS55" s="67">
        <f t="shared" si="131"/>
        <v>261581</v>
      </c>
      <c r="BT55" s="52">
        <f t="shared" si="131"/>
        <v>0</v>
      </c>
      <c r="BU55" s="52">
        <f>BU53+BU54</f>
        <v>0</v>
      </c>
      <c r="BV55" s="52">
        <f t="shared" si="131"/>
        <v>0</v>
      </c>
      <c r="BW55" s="52">
        <f>BW53+BW54</f>
        <v>328147</v>
      </c>
      <c r="BX55" s="67">
        <f t="shared" si="131"/>
        <v>328147</v>
      </c>
      <c r="BY55" s="52">
        <f>BY53+BY54</f>
        <v>57115</v>
      </c>
      <c r="BZ55" s="52">
        <f>BZ53+BZ54</f>
        <v>102280</v>
      </c>
      <c r="CA55" s="52">
        <f>CA53+CA54</f>
        <v>81981</v>
      </c>
      <c r="CB55" s="52">
        <f>CB53+CB54</f>
        <v>120835</v>
      </c>
      <c r="CC55" s="67">
        <f t="shared" si="131"/>
        <v>362211</v>
      </c>
      <c r="CD55" s="52">
        <f t="shared" si="131"/>
        <v>79505</v>
      </c>
      <c r="CE55" s="52">
        <f t="shared" si="131"/>
        <v>88753</v>
      </c>
      <c r="CF55" s="52">
        <f t="shared" ref="CF55:DG55" si="132">CF53+CF54</f>
        <v>123765</v>
      </c>
      <c r="CG55" s="52">
        <f t="shared" si="132"/>
        <v>140582</v>
      </c>
      <c r="CH55" s="67">
        <f t="shared" si="132"/>
        <v>432605</v>
      </c>
      <c r="CI55" s="52">
        <f t="shared" si="132"/>
        <v>120464</v>
      </c>
      <c r="CJ55" s="52">
        <f t="shared" si="132"/>
        <v>163058</v>
      </c>
      <c r="CK55" s="52">
        <f t="shared" si="132"/>
        <v>175310</v>
      </c>
      <c r="CL55" s="52">
        <f t="shared" si="132"/>
        <v>187173</v>
      </c>
      <c r="CM55" s="67">
        <f t="shared" si="132"/>
        <v>646005</v>
      </c>
      <c r="CN55" s="52">
        <f t="shared" si="132"/>
        <v>166516</v>
      </c>
      <c r="CO55" s="52">
        <f t="shared" si="132"/>
        <v>216061</v>
      </c>
      <c r="CP55" s="52">
        <f t="shared" si="132"/>
        <v>234843</v>
      </c>
      <c r="CQ55" s="52">
        <f t="shared" si="132"/>
        <v>222756</v>
      </c>
      <c r="CR55" s="67">
        <f t="shared" si="132"/>
        <v>840176</v>
      </c>
      <c r="CS55" s="52">
        <f t="shared" si="132"/>
        <v>224461</v>
      </c>
      <c r="CT55" s="52">
        <f t="shared" si="132"/>
        <v>275969</v>
      </c>
      <c r="CU55" s="52">
        <f t="shared" si="132"/>
        <v>285392</v>
      </c>
      <c r="CV55" s="52">
        <f t="shared" si="132"/>
        <v>315495</v>
      </c>
      <c r="CW55" s="67">
        <f t="shared" si="132"/>
        <v>1101317</v>
      </c>
      <c r="CX55" s="52">
        <f t="shared" si="132"/>
        <v>318465</v>
      </c>
      <c r="CY55" s="52">
        <f t="shared" si="132"/>
        <v>384658</v>
      </c>
      <c r="CZ55" s="52">
        <f t="shared" si="132"/>
        <v>411487</v>
      </c>
      <c r="DA55" s="52">
        <f t="shared" si="132"/>
        <v>406691</v>
      </c>
      <c r="DB55" s="67">
        <f t="shared" si="132"/>
        <v>1521301</v>
      </c>
      <c r="DC55" s="52">
        <f t="shared" si="132"/>
        <v>476599</v>
      </c>
      <c r="DD55" s="52">
        <f t="shared" si="132"/>
        <v>536233</v>
      </c>
      <c r="DE55" s="52">
        <f t="shared" ref="DE55:DF55" si="133">DE53+DE54</f>
        <v>569288</v>
      </c>
      <c r="DF55" s="52">
        <f t="shared" si="133"/>
        <v>577023</v>
      </c>
      <c r="DG55" s="67">
        <f t="shared" si="132"/>
        <v>2159143</v>
      </c>
      <c r="DH55" s="52">
        <f t="shared" ref="DH55:DI55" si="134">DH53+DH54</f>
        <v>633899</v>
      </c>
      <c r="DI55" s="52">
        <f t="shared" si="134"/>
        <v>673637</v>
      </c>
      <c r="DJ55" s="52">
        <f t="shared" ref="DJ55:EF55" si="135">DJ53+DJ54</f>
        <v>675126.87954831601</v>
      </c>
      <c r="DK55" s="52">
        <f t="shared" si="135"/>
        <v>736613.85148382024</v>
      </c>
      <c r="DL55" s="67">
        <f t="shared" si="135"/>
        <v>2719276.7310321364</v>
      </c>
      <c r="DM55" s="52">
        <f t="shared" si="135"/>
        <v>740566.78000661614</v>
      </c>
      <c r="DN55" s="52">
        <f t="shared" si="135"/>
        <v>761794.66791200009</v>
      </c>
      <c r="DO55" s="52">
        <f t="shared" si="135"/>
        <v>774675.82048992882</v>
      </c>
      <c r="DP55" s="52">
        <f t="shared" si="135"/>
        <v>790541.73066250305</v>
      </c>
      <c r="DQ55" s="67">
        <f t="shared" si="135"/>
        <v>3067578.9990710476</v>
      </c>
      <c r="DR55" s="52">
        <f t="shared" si="135"/>
        <v>800325.29769383394</v>
      </c>
      <c r="DS55" s="52">
        <f t="shared" si="135"/>
        <v>813929.35541627696</v>
      </c>
      <c r="DT55" s="52">
        <f t="shared" si="135"/>
        <v>826982.77258875198</v>
      </c>
      <c r="DU55" s="52">
        <f t="shared" si="135"/>
        <v>839603.14201374003</v>
      </c>
      <c r="DV55" s="67">
        <f t="shared" si="135"/>
        <v>3280840.567712605</v>
      </c>
      <c r="DW55" s="52">
        <f t="shared" si="135"/>
        <v>851875.93722712621</v>
      </c>
      <c r="DX55" s="52">
        <f t="shared" si="135"/>
        <v>863866.6669606443</v>
      </c>
      <c r="DY55" s="52">
        <f t="shared" si="135"/>
        <v>875627.85375236743</v>
      </c>
      <c r="DZ55" s="52">
        <f t="shared" si="135"/>
        <v>887203.11444665259</v>
      </c>
      <c r="EA55" s="67">
        <f t="shared" si="135"/>
        <v>3478573.572386791</v>
      </c>
      <c r="EB55" s="52">
        <f t="shared" si="135"/>
        <v>898629.6090412382</v>
      </c>
      <c r="EC55" s="52">
        <f t="shared" si="135"/>
        <v>909939.56360570015</v>
      </c>
      <c r="ED55" s="52">
        <f t="shared" si="135"/>
        <v>921161.26134054526</v>
      </c>
      <c r="EE55" s="52">
        <f t="shared" si="135"/>
        <v>932319.72255841782</v>
      </c>
      <c r="EF55" s="67">
        <f t="shared" si="135"/>
        <v>3662050.1565459017</v>
      </c>
    </row>
    <row r="56" spans="1:136" ht="12.75" customHeight="1">
      <c r="A56" s="41" t="s">
        <v>46</v>
      </c>
      <c r="B56" s="52">
        <f t="shared" ref="B56:AG56" si="136">B18+B21+B33+B34+B44</f>
        <v>0</v>
      </c>
      <c r="C56" s="52">
        <f t="shared" si="136"/>
        <v>0</v>
      </c>
      <c r="D56" s="52">
        <f t="shared" si="136"/>
        <v>0</v>
      </c>
      <c r="E56" s="52">
        <f t="shared" si="136"/>
        <v>0</v>
      </c>
      <c r="F56" s="67">
        <f t="shared" si="136"/>
        <v>0</v>
      </c>
      <c r="G56" s="52">
        <f t="shared" si="136"/>
        <v>0</v>
      </c>
      <c r="H56" s="52">
        <f t="shared" si="136"/>
        <v>0</v>
      </c>
      <c r="I56" s="52">
        <f t="shared" si="136"/>
        <v>0</v>
      </c>
      <c r="J56" s="52">
        <f t="shared" si="136"/>
        <v>0</v>
      </c>
      <c r="K56" s="67">
        <f t="shared" si="136"/>
        <v>0</v>
      </c>
      <c r="L56" s="52">
        <f t="shared" si="136"/>
        <v>0</v>
      </c>
      <c r="M56" s="52">
        <f t="shared" si="136"/>
        <v>0</v>
      </c>
      <c r="N56" s="52">
        <f t="shared" si="136"/>
        <v>0</v>
      </c>
      <c r="O56" s="52">
        <f t="shared" si="136"/>
        <v>0</v>
      </c>
      <c r="P56" s="67">
        <f t="shared" si="136"/>
        <v>0</v>
      </c>
      <c r="Q56" s="52">
        <f t="shared" si="136"/>
        <v>0</v>
      </c>
      <c r="R56" s="52">
        <f t="shared" si="136"/>
        <v>0</v>
      </c>
      <c r="S56" s="52">
        <f t="shared" si="136"/>
        <v>0</v>
      </c>
      <c r="T56" s="52">
        <f t="shared" si="136"/>
        <v>0</v>
      </c>
      <c r="U56" s="67">
        <f t="shared" si="136"/>
        <v>0</v>
      </c>
      <c r="V56" s="52">
        <f t="shared" si="136"/>
        <v>0</v>
      </c>
      <c r="W56" s="52">
        <f t="shared" si="136"/>
        <v>0</v>
      </c>
      <c r="X56" s="52">
        <f t="shared" si="136"/>
        <v>0</v>
      </c>
      <c r="Y56" s="52">
        <f t="shared" si="136"/>
        <v>0</v>
      </c>
      <c r="Z56" s="67">
        <f t="shared" si="136"/>
        <v>0</v>
      </c>
      <c r="AA56" s="52">
        <f t="shared" si="136"/>
        <v>0</v>
      </c>
      <c r="AB56" s="52">
        <f t="shared" si="136"/>
        <v>0</v>
      </c>
      <c r="AC56" s="52">
        <f t="shared" si="136"/>
        <v>0</v>
      </c>
      <c r="AD56" s="52">
        <f t="shared" si="136"/>
        <v>0</v>
      </c>
      <c r="AE56" s="67">
        <f t="shared" si="136"/>
        <v>0</v>
      </c>
      <c r="AF56" s="52">
        <f t="shared" si="136"/>
        <v>0</v>
      </c>
      <c r="AG56" s="52">
        <f t="shared" si="136"/>
        <v>0</v>
      </c>
      <c r="AH56" s="52">
        <f t="shared" ref="AH56:BM56" si="137">AH18+AH21+AH33+AH34+AH44</f>
        <v>0</v>
      </c>
      <c r="AI56" s="52">
        <f t="shared" si="137"/>
        <v>-26073.007000000001</v>
      </c>
      <c r="AJ56" s="67">
        <f t="shared" si="137"/>
        <v>-26073.007000000001</v>
      </c>
      <c r="AK56" s="52">
        <f t="shared" si="137"/>
        <v>0</v>
      </c>
      <c r="AL56" s="52">
        <f t="shared" si="137"/>
        <v>0</v>
      </c>
      <c r="AM56" s="52">
        <f t="shared" si="137"/>
        <v>0</v>
      </c>
      <c r="AN56" s="52">
        <f t="shared" si="137"/>
        <v>-36604.362999999998</v>
      </c>
      <c r="AO56" s="67">
        <f t="shared" si="137"/>
        <v>-36604.362999999998</v>
      </c>
      <c r="AP56" s="52">
        <f t="shared" si="137"/>
        <v>0</v>
      </c>
      <c r="AQ56" s="52">
        <f t="shared" si="137"/>
        <v>0</v>
      </c>
      <c r="AR56" s="52">
        <f t="shared" si="137"/>
        <v>0</v>
      </c>
      <c r="AS56" s="52">
        <f t="shared" si="137"/>
        <v>-79458.513000000006</v>
      </c>
      <c r="AT56" s="67">
        <f t="shared" si="137"/>
        <v>-79458.513000000006</v>
      </c>
      <c r="AU56" s="52">
        <f t="shared" si="137"/>
        <v>0</v>
      </c>
      <c r="AV56" s="52">
        <f t="shared" si="137"/>
        <v>0</v>
      </c>
      <c r="AW56" s="52">
        <f t="shared" si="137"/>
        <v>0</v>
      </c>
      <c r="AX56" s="52">
        <f t="shared" si="137"/>
        <v>-75348.478000000003</v>
      </c>
      <c r="AY56" s="67">
        <f t="shared" si="137"/>
        <v>-75348.478000000003</v>
      </c>
      <c r="AZ56" s="52">
        <f t="shared" si="137"/>
        <v>0</v>
      </c>
      <c r="BA56" s="52">
        <f t="shared" si="137"/>
        <v>0</v>
      </c>
      <c r="BB56" s="52">
        <f t="shared" si="137"/>
        <v>0</v>
      </c>
      <c r="BC56" s="52">
        <f t="shared" si="137"/>
        <v>-87113</v>
      </c>
      <c r="BD56" s="67">
        <f t="shared" si="137"/>
        <v>-87113</v>
      </c>
      <c r="BE56" s="52">
        <f t="shared" si="137"/>
        <v>0</v>
      </c>
      <c r="BF56" s="52">
        <f t="shared" si="137"/>
        <v>0</v>
      </c>
      <c r="BG56" s="52">
        <f t="shared" si="137"/>
        <v>0</v>
      </c>
      <c r="BH56" s="52">
        <f t="shared" si="137"/>
        <v>-93853</v>
      </c>
      <c r="BI56" s="67">
        <f t="shared" si="137"/>
        <v>-93853</v>
      </c>
      <c r="BJ56" s="52">
        <f t="shared" si="137"/>
        <v>0</v>
      </c>
      <c r="BK56" s="52">
        <f t="shared" si="137"/>
        <v>0</v>
      </c>
      <c r="BL56" s="52">
        <f t="shared" si="137"/>
        <v>0</v>
      </c>
      <c r="BM56" s="52">
        <f t="shared" si="137"/>
        <v>-90926</v>
      </c>
      <c r="BN56" s="67">
        <f t="shared" ref="BN56:CS56" si="138">BN18+BN21+BN33+BN34+BN44</f>
        <v>-90926</v>
      </c>
      <c r="BO56" s="52">
        <f t="shared" si="138"/>
        <v>0</v>
      </c>
      <c r="BP56" s="52">
        <f t="shared" si="138"/>
        <v>0</v>
      </c>
      <c r="BQ56" s="52">
        <f t="shared" si="138"/>
        <v>0</v>
      </c>
      <c r="BR56" s="52">
        <f t="shared" si="138"/>
        <v>-117348</v>
      </c>
      <c r="BS56" s="67">
        <f t="shared" si="138"/>
        <v>-117348</v>
      </c>
      <c r="BT56" s="52">
        <f t="shared" si="138"/>
        <v>0</v>
      </c>
      <c r="BU56" s="52">
        <f t="shared" si="138"/>
        <v>0</v>
      </c>
      <c r="BV56" s="52">
        <f t="shared" si="138"/>
        <v>0</v>
      </c>
      <c r="BW56" s="52">
        <f t="shared" si="138"/>
        <v>-122231</v>
      </c>
      <c r="BX56" s="67">
        <f t="shared" si="138"/>
        <v>-122231</v>
      </c>
      <c r="BY56" s="52">
        <f t="shared" si="138"/>
        <v>-26262</v>
      </c>
      <c r="BZ56" s="52">
        <f t="shared" si="138"/>
        <v>-20683</v>
      </c>
      <c r="CA56" s="52">
        <f t="shared" si="138"/>
        <v>-32058</v>
      </c>
      <c r="CB56" s="52">
        <f t="shared" si="138"/>
        <v>-40859</v>
      </c>
      <c r="CC56" s="67">
        <f t="shared" si="138"/>
        <v>-119862</v>
      </c>
      <c r="CD56" s="52">
        <f t="shared" si="138"/>
        <v>-53601</v>
      </c>
      <c r="CE56" s="52">
        <f t="shared" si="138"/>
        <v>-38486</v>
      </c>
      <c r="CF56" s="52">
        <f t="shared" si="138"/>
        <v>-56363</v>
      </c>
      <c r="CG56" s="52">
        <f t="shared" si="138"/>
        <v>-57278</v>
      </c>
      <c r="CH56" s="67">
        <f t="shared" si="138"/>
        <v>-205728</v>
      </c>
      <c r="CI56" s="52">
        <f t="shared" si="138"/>
        <v>-57499</v>
      </c>
      <c r="CJ56" s="52">
        <f t="shared" si="138"/>
        <v>-73901</v>
      </c>
      <c r="CK56" s="52">
        <f t="shared" si="138"/>
        <v>-87978</v>
      </c>
      <c r="CL56" s="52">
        <f t="shared" si="138"/>
        <v>-49852</v>
      </c>
      <c r="CM56" s="67">
        <f t="shared" si="138"/>
        <v>-269230</v>
      </c>
      <c r="CN56" s="52">
        <f t="shared" si="138"/>
        <v>-86525</v>
      </c>
      <c r="CO56" s="52">
        <f t="shared" si="138"/>
        <v>-103360</v>
      </c>
      <c r="CP56" s="52">
        <f t="shared" si="138"/>
        <v>-120249</v>
      </c>
      <c r="CQ56" s="52">
        <f t="shared" si="138"/>
        <v>-97696</v>
      </c>
      <c r="CR56" s="67">
        <f t="shared" si="138"/>
        <v>-407830</v>
      </c>
      <c r="CS56" s="52">
        <f t="shared" si="138"/>
        <v>-108216</v>
      </c>
      <c r="CT56" s="52">
        <f t="shared" ref="CT56:DY56" si="139">CT18+CT21+CT33+CT34+CT44</f>
        <v>-127384</v>
      </c>
      <c r="CU56" s="52">
        <f t="shared" si="139"/>
        <v>-148043</v>
      </c>
      <c r="CV56" s="52">
        <f t="shared" si="139"/>
        <v>-131417</v>
      </c>
      <c r="CW56" s="67">
        <f t="shared" si="139"/>
        <v>-515060</v>
      </c>
      <c r="CX56" s="52">
        <f t="shared" si="139"/>
        <v>-138735</v>
      </c>
      <c r="CY56" s="52">
        <f t="shared" si="139"/>
        <v>-183398</v>
      </c>
      <c r="CZ56" s="52">
        <f t="shared" si="139"/>
        <v>-201633</v>
      </c>
      <c r="DA56" s="52">
        <f t="shared" si="139"/>
        <v>-178033</v>
      </c>
      <c r="DB56" s="67">
        <f t="shared" si="139"/>
        <v>-701799</v>
      </c>
      <c r="DC56" s="52">
        <f t="shared" si="139"/>
        <v>-196329</v>
      </c>
      <c r="DD56" s="52">
        <f t="shared" si="139"/>
        <v>-219643</v>
      </c>
      <c r="DE56" s="52">
        <f t="shared" ref="DE56:DF56" si="140">DE18+DE21+DE33+DE34+DE44</f>
        <v>-240034</v>
      </c>
      <c r="DF56" s="52">
        <f t="shared" si="140"/>
        <v>-229911</v>
      </c>
      <c r="DG56" s="67">
        <f t="shared" si="139"/>
        <v>-885917</v>
      </c>
      <c r="DH56" s="52">
        <f t="shared" ref="DH56:DI56" si="141">DH18+DH21+DH33+DH34+DH44</f>
        <v>-228793</v>
      </c>
      <c r="DI56" s="52">
        <f t="shared" si="141"/>
        <v>-290951</v>
      </c>
      <c r="DJ56" s="52">
        <f t="shared" si="139"/>
        <v>-279417.32644915895</v>
      </c>
      <c r="DK56" s="52">
        <f t="shared" si="139"/>
        <v>-276537.06996394426</v>
      </c>
      <c r="DL56" s="67">
        <f t="shared" si="139"/>
        <v>-1075698.3964131032</v>
      </c>
      <c r="DM56" s="52">
        <f t="shared" si="139"/>
        <v>-288697.76417835453</v>
      </c>
      <c r="DN56" s="52">
        <f t="shared" si="139"/>
        <v>-294682.28824259911</v>
      </c>
      <c r="DO56" s="52">
        <f t="shared" si="139"/>
        <v>-299798.97797148401</v>
      </c>
      <c r="DP56" s="52">
        <f t="shared" si="139"/>
        <v>-304550.92963482061</v>
      </c>
      <c r="DQ56" s="67">
        <f t="shared" si="139"/>
        <v>-1187729.9600272584</v>
      </c>
      <c r="DR56" s="52">
        <f t="shared" si="139"/>
        <v>-309077.66806340055</v>
      </c>
      <c r="DS56" s="52">
        <f t="shared" si="139"/>
        <v>-313465.04761419189</v>
      </c>
      <c r="DT56" s="52">
        <f t="shared" si="139"/>
        <v>-317763.82386605116</v>
      </c>
      <c r="DU56" s="52">
        <f t="shared" si="139"/>
        <v>-322005.15598084015</v>
      </c>
      <c r="DV56" s="67">
        <f t="shared" si="139"/>
        <v>-1262311.6955244839</v>
      </c>
      <c r="DW56" s="52">
        <f t="shared" si="139"/>
        <v>-326209.05816385051</v>
      </c>
      <c r="DX56" s="52">
        <f t="shared" si="139"/>
        <v>-330389.11880299152</v>
      </c>
      <c r="DY56" s="52">
        <f t="shared" si="139"/>
        <v>-334555.14132250368</v>
      </c>
      <c r="DZ56" s="52">
        <f t="shared" ref="DZ56:EF56" si="142">DZ18+DZ21+DZ33+DZ34+DZ44</f>
        <v>-338714.63046015857</v>
      </c>
      <c r="EA56" s="67">
        <f t="shared" si="142"/>
        <v>-1329867.9487495043</v>
      </c>
      <c r="EB56" s="52">
        <f t="shared" si="142"/>
        <v>-342873.63618500339</v>
      </c>
      <c r="EC56" s="52">
        <f t="shared" si="142"/>
        <v>-347037.23949668469</v>
      </c>
      <c r="ED56" s="52">
        <f t="shared" si="142"/>
        <v>-351209.83790662332</v>
      </c>
      <c r="EE56" s="52">
        <f t="shared" si="142"/>
        <v>-355395.31827161997</v>
      </c>
      <c r="EF56" s="67">
        <f t="shared" si="142"/>
        <v>-1396516.0318599315</v>
      </c>
    </row>
    <row r="57" spans="1:136" ht="12.75" customHeight="1">
      <c r="A57" s="41" t="s">
        <v>3</v>
      </c>
      <c r="B57" s="52">
        <f>B55+B56</f>
        <v>0</v>
      </c>
      <c r="C57" s="52">
        <f>C55+C56</f>
        <v>0</v>
      </c>
      <c r="D57" s="52">
        <f>D55+D56</f>
        <v>0</v>
      </c>
      <c r="E57" s="52">
        <f>E55+E56</f>
        <v>0</v>
      </c>
      <c r="F57" s="67">
        <f>F55+F56</f>
        <v>0</v>
      </c>
      <c r="G57" s="52">
        <f t="shared" ref="G57:AE57" si="143">G55+G56</f>
        <v>0</v>
      </c>
      <c r="H57" s="52">
        <f t="shared" si="143"/>
        <v>0</v>
      </c>
      <c r="I57" s="52">
        <f t="shared" si="143"/>
        <v>0</v>
      </c>
      <c r="J57" s="52">
        <f t="shared" si="143"/>
        <v>0</v>
      </c>
      <c r="K57" s="67">
        <f t="shared" si="143"/>
        <v>0</v>
      </c>
      <c r="L57" s="52">
        <f t="shared" si="143"/>
        <v>0</v>
      </c>
      <c r="M57" s="52">
        <f t="shared" si="143"/>
        <v>0</v>
      </c>
      <c r="N57" s="52">
        <f t="shared" si="143"/>
        <v>0</v>
      </c>
      <c r="O57" s="52">
        <f t="shared" si="143"/>
        <v>0</v>
      </c>
      <c r="P57" s="67">
        <f t="shared" si="143"/>
        <v>0</v>
      </c>
      <c r="Q57" s="52">
        <f t="shared" si="143"/>
        <v>0</v>
      </c>
      <c r="R57" s="52">
        <f t="shared" si="143"/>
        <v>0</v>
      </c>
      <c r="S57" s="52">
        <f t="shared" si="143"/>
        <v>0</v>
      </c>
      <c r="T57" s="52">
        <f t="shared" si="143"/>
        <v>0</v>
      </c>
      <c r="U57" s="67">
        <f t="shared" si="143"/>
        <v>0</v>
      </c>
      <c r="V57" s="52">
        <f t="shared" si="143"/>
        <v>0</v>
      </c>
      <c r="W57" s="52">
        <f t="shared" si="143"/>
        <v>0</v>
      </c>
      <c r="X57" s="52">
        <f t="shared" si="143"/>
        <v>0</v>
      </c>
      <c r="Y57" s="52">
        <f t="shared" si="143"/>
        <v>0</v>
      </c>
      <c r="Z57" s="67">
        <f t="shared" si="143"/>
        <v>0</v>
      </c>
      <c r="AA57" s="52">
        <f t="shared" si="143"/>
        <v>0</v>
      </c>
      <c r="AB57" s="52">
        <f t="shared" si="143"/>
        <v>0</v>
      </c>
      <c r="AC57" s="52">
        <f t="shared" si="143"/>
        <v>0</v>
      </c>
      <c r="AD57" s="52">
        <f t="shared" si="143"/>
        <v>0</v>
      </c>
      <c r="AE57" s="67">
        <f t="shared" si="143"/>
        <v>0</v>
      </c>
      <c r="AF57" s="52">
        <f t="shared" ref="AF57:BD57" si="144">AF55+AF56</f>
        <v>0</v>
      </c>
      <c r="AG57" s="52">
        <f t="shared" si="144"/>
        <v>0</v>
      </c>
      <c r="AH57" s="52">
        <f t="shared" si="144"/>
        <v>0</v>
      </c>
      <c r="AI57" s="52">
        <f t="shared" si="144"/>
        <v>55328.602000000028</v>
      </c>
      <c r="AJ57" s="67">
        <f t="shared" si="144"/>
        <v>55328.602000000028</v>
      </c>
      <c r="AK57" s="52">
        <f t="shared" si="144"/>
        <v>0</v>
      </c>
      <c r="AL57" s="52">
        <f t="shared" si="144"/>
        <v>0</v>
      </c>
      <c r="AM57" s="52">
        <f t="shared" si="144"/>
        <v>0</v>
      </c>
      <c r="AN57" s="52">
        <f t="shared" si="144"/>
        <v>92611.142999999996</v>
      </c>
      <c r="AO57" s="67">
        <f t="shared" si="144"/>
        <v>92611.142999999996</v>
      </c>
      <c r="AP57" s="52">
        <f t="shared" si="144"/>
        <v>0</v>
      </c>
      <c r="AQ57" s="52">
        <f t="shared" si="144"/>
        <v>0</v>
      </c>
      <c r="AR57" s="52">
        <f t="shared" si="144"/>
        <v>0</v>
      </c>
      <c r="AS57" s="52">
        <f t="shared" si="144"/>
        <v>112424.74799999999</v>
      </c>
      <c r="AT57" s="67">
        <f t="shared" si="144"/>
        <v>112424.74799999999</v>
      </c>
      <c r="AU57" s="52">
        <f t="shared" si="144"/>
        <v>0</v>
      </c>
      <c r="AV57" s="52">
        <f t="shared" si="144"/>
        <v>0</v>
      </c>
      <c r="AW57" s="52">
        <f t="shared" si="144"/>
        <v>0</v>
      </c>
      <c r="AX57" s="52">
        <f t="shared" si="144"/>
        <v>179812.70499999996</v>
      </c>
      <c r="AY57" s="67">
        <f t="shared" si="144"/>
        <v>179812.70499999996</v>
      </c>
      <c r="AZ57" s="52">
        <f t="shared" si="144"/>
        <v>0</v>
      </c>
      <c r="BA57" s="52">
        <f t="shared" si="144"/>
        <v>0</v>
      </c>
      <c r="BB57" s="52">
        <f t="shared" si="144"/>
        <v>0</v>
      </c>
      <c r="BC57" s="52">
        <f t="shared" si="144"/>
        <v>180473</v>
      </c>
      <c r="BD57" s="67">
        <f t="shared" si="144"/>
        <v>180473</v>
      </c>
      <c r="BE57" s="52">
        <f t="shared" ref="BE57:CE57" si="145">BE55+BE56</f>
        <v>0</v>
      </c>
      <c r="BF57" s="52">
        <f t="shared" si="145"/>
        <v>0</v>
      </c>
      <c r="BG57" s="52">
        <f t="shared" si="145"/>
        <v>0</v>
      </c>
      <c r="BH57" s="52">
        <f t="shared" si="145"/>
        <v>168071</v>
      </c>
      <c r="BI57" s="67">
        <f t="shared" si="145"/>
        <v>168071</v>
      </c>
      <c r="BJ57" s="52">
        <f>BJ55+BJ56</f>
        <v>0</v>
      </c>
      <c r="BK57" s="52">
        <f>BK55+BK56</f>
        <v>0</v>
      </c>
      <c r="BL57" s="52">
        <f>BL55+BL56</f>
        <v>0</v>
      </c>
      <c r="BM57" s="52">
        <f>BM55+BM56</f>
        <v>128531</v>
      </c>
      <c r="BN57" s="67">
        <f>BN55+BN56</f>
        <v>128531</v>
      </c>
      <c r="BO57" s="52">
        <f t="shared" si="145"/>
        <v>0</v>
      </c>
      <c r="BP57" s="52">
        <f t="shared" si="145"/>
        <v>0</v>
      </c>
      <c r="BQ57" s="52">
        <f t="shared" si="145"/>
        <v>0</v>
      </c>
      <c r="BR57" s="52">
        <f t="shared" si="145"/>
        <v>144233</v>
      </c>
      <c r="BS57" s="67">
        <f t="shared" si="145"/>
        <v>144233</v>
      </c>
      <c r="BT57" s="52">
        <f t="shared" si="145"/>
        <v>0</v>
      </c>
      <c r="BU57" s="52">
        <f>BU55+BU56</f>
        <v>0</v>
      </c>
      <c r="BV57" s="52">
        <f t="shared" si="145"/>
        <v>0</v>
      </c>
      <c r="BW57" s="52">
        <f>BW55+BW56</f>
        <v>205916</v>
      </c>
      <c r="BX57" s="67">
        <f t="shared" si="145"/>
        <v>205916</v>
      </c>
      <c r="BY57" s="52">
        <f>BY55+BY56</f>
        <v>30853</v>
      </c>
      <c r="BZ57" s="52">
        <f>BZ55+BZ56</f>
        <v>81597</v>
      </c>
      <c r="CA57" s="52">
        <f>CA55+CA56</f>
        <v>49923</v>
      </c>
      <c r="CB57" s="52">
        <f>CB55+CB56</f>
        <v>79976</v>
      </c>
      <c r="CC57" s="67">
        <f t="shared" si="145"/>
        <v>242349</v>
      </c>
      <c r="CD57" s="52">
        <f t="shared" si="145"/>
        <v>25904</v>
      </c>
      <c r="CE57" s="52">
        <f t="shared" si="145"/>
        <v>50267</v>
      </c>
      <c r="CF57" s="52">
        <f t="shared" ref="CF57:DG57" si="146">CF55+CF56</f>
        <v>67402</v>
      </c>
      <c r="CG57" s="52">
        <f t="shared" si="146"/>
        <v>83304</v>
      </c>
      <c r="CH57" s="67">
        <f t="shared" si="146"/>
        <v>226877</v>
      </c>
      <c r="CI57" s="52">
        <f t="shared" si="146"/>
        <v>62965</v>
      </c>
      <c r="CJ57" s="52">
        <f t="shared" si="146"/>
        <v>89157</v>
      </c>
      <c r="CK57" s="52">
        <f>CK55+CK56</f>
        <v>87332</v>
      </c>
      <c r="CL57" s="52">
        <f>CL55+CL56</f>
        <v>137321</v>
      </c>
      <c r="CM57" s="67">
        <f t="shared" si="146"/>
        <v>376775</v>
      </c>
      <c r="CN57" s="52">
        <f>CN55+CN56</f>
        <v>79991</v>
      </c>
      <c r="CO57" s="52">
        <f>CO55+CO56</f>
        <v>112701</v>
      </c>
      <c r="CP57" s="52">
        <f>CP55+CP56</f>
        <v>114594</v>
      </c>
      <c r="CQ57" s="52">
        <f>CQ55+CQ56</f>
        <v>125060</v>
      </c>
      <c r="CR57" s="67">
        <f t="shared" si="146"/>
        <v>432346</v>
      </c>
      <c r="CS57" s="52">
        <f t="shared" si="146"/>
        <v>116245</v>
      </c>
      <c r="CT57" s="52">
        <f t="shared" si="146"/>
        <v>148585</v>
      </c>
      <c r="CU57" s="52">
        <f>CU55+CU56</f>
        <v>137349</v>
      </c>
      <c r="CV57" s="52">
        <f>CV55+CV56</f>
        <v>184078</v>
      </c>
      <c r="CW57" s="67">
        <f t="shared" si="146"/>
        <v>586257</v>
      </c>
      <c r="CX57" s="52">
        <f>CX55+CX56</f>
        <v>179730</v>
      </c>
      <c r="CY57" s="52">
        <f>CY55+CY56</f>
        <v>201260</v>
      </c>
      <c r="CZ57" s="52">
        <f>CZ55+CZ56</f>
        <v>209854</v>
      </c>
      <c r="DA57" s="52">
        <f>DA55+DA56</f>
        <v>228658</v>
      </c>
      <c r="DB57" s="67">
        <f t="shared" si="146"/>
        <v>819502</v>
      </c>
      <c r="DC57" s="52">
        <f t="shared" si="146"/>
        <v>280270</v>
      </c>
      <c r="DD57" s="52">
        <f t="shared" si="146"/>
        <v>316590</v>
      </c>
      <c r="DE57" s="52">
        <f>DE55+DE56</f>
        <v>329254</v>
      </c>
      <c r="DF57" s="52">
        <f>DF55+DF56</f>
        <v>347112</v>
      </c>
      <c r="DG57" s="67">
        <f t="shared" si="146"/>
        <v>1273226</v>
      </c>
      <c r="DH57" s="52">
        <f t="shared" ref="DH57:DI57" si="147">DH55+DH56</f>
        <v>405106</v>
      </c>
      <c r="DI57" s="52">
        <f t="shared" si="147"/>
        <v>382686</v>
      </c>
      <c r="DJ57" s="52">
        <f t="shared" ref="DJ57:EF57" si="148">DJ55+DJ56</f>
        <v>395709.55309915706</v>
      </c>
      <c r="DK57" s="52">
        <f t="shared" si="148"/>
        <v>460076.78151987598</v>
      </c>
      <c r="DL57" s="67">
        <f t="shared" si="148"/>
        <v>1643578.3346190332</v>
      </c>
      <c r="DM57" s="52">
        <f t="shared" si="148"/>
        <v>451869.01582826162</v>
      </c>
      <c r="DN57" s="52">
        <f t="shared" si="148"/>
        <v>467112.37966940098</v>
      </c>
      <c r="DO57" s="52">
        <f t="shared" si="148"/>
        <v>474876.84251844481</v>
      </c>
      <c r="DP57" s="52">
        <f t="shared" si="148"/>
        <v>485990.80102768244</v>
      </c>
      <c r="DQ57" s="67">
        <f t="shared" si="148"/>
        <v>1879849.0390437893</v>
      </c>
      <c r="DR57" s="52">
        <f t="shared" si="148"/>
        <v>491247.6296304334</v>
      </c>
      <c r="DS57" s="52">
        <f t="shared" si="148"/>
        <v>500464.30780208507</v>
      </c>
      <c r="DT57" s="52">
        <f t="shared" si="148"/>
        <v>509218.94872270082</v>
      </c>
      <c r="DU57" s="52">
        <f t="shared" si="148"/>
        <v>517597.98603289988</v>
      </c>
      <c r="DV57" s="67">
        <f t="shared" si="148"/>
        <v>2018528.8721881211</v>
      </c>
      <c r="DW57" s="52">
        <f t="shared" si="148"/>
        <v>525666.87906327564</v>
      </c>
      <c r="DX57" s="52">
        <f t="shared" si="148"/>
        <v>533477.54815765284</v>
      </c>
      <c r="DY57" s="52">
        <f t="shared" si="148"/>
        <v>541072.71242986375</v>
      </c>
      <c r="DZ57" s="52">
        <f t="shared" si="148"/>
        <v>548488.48398649401</v>
      </c>
      <c r="EA57" s="67">
        <f t="shared" si="148"/>
        <v>2148705.6236372869</v>
      </c>
      <c r="EB57" s="52">
        <f t="shared" si="148"/>
        <v>555755.97285623476</v>
      </c>
      <c r="EC57" s="52">
        <f t="shared" si="148"/>
        <v>562902.32410901552</v>
      </c>
      <c r="ED57" s="52">
        <f t="shared" si="148"/>
        <v>569951.423433922</v>
      </c>
      <c r="EE57" s="52">
        <f t="shared" si="148"/>
        <v>576924.40428679786</v>
      </c>
      <c r="EF57" s="67">
        <f t="shared" si="148"/>
        <v>2265534.1246859701</v>
      </c>
    </row>
    <row r="58" spans="1:136" s="3" customFormat="1">
      <c r="A58" s="193" t="s">
        <v>4</v>
      </c>
      <c r="B58" s="25">
        <f>B57+B68</f>
        <v>0</v>
      </c>
      <c r="C58" s="25">
        <f>C57+C68</f>
        <v>0</v>
      </c>
      <c r="D58" s="25">
        <f>D57+D68</f>
        <v>0</v>
      </c>
      <c r="E58" s="25">
        <f>E57+E68</f>
        <v>0</v>
      </c>
      <c r="F58" s="23">
        <f>F57+F68</f>
        <v>0</v>
      </c>
      <c r="G58" s="25">
        <f t="shared" ref="G58:AE58" si="149">G57+G68</f>
        <v>0</v>
      </c>
      <c r="H58" s="25">
        <f t="shared" si="149"/>
        <v>0</v>
      </c>
      <c r="I58" s="25">
        <f t="shared" si="149"/>
        <v>0</v>
      </c>
      <c r="J58" s="25">
        <f t="shared" si="149"/>
        <v>0</v>
      </c>
      <c r="K58" s="23">
        <f t="shared" si="149"/>
        <v>0</v>
      </c>
      <c r="L58" s="25">
        <f t="shared" si="149"/>
        <v>0</v>
      </c>
      <c r="M58" s="25">
        <f t="shared" si="149"/>
        <v>0</v>
      </c>
      <c r="N58" s="25">
        <f t="shared" si="149"/>
        <v>0</v>
      </c>
      <c r="O58" s="25">
        <f t="shared" si="149"/>
        <v>0</v>
      </c>
      <c r="P58" s="23">
        <f t="shared" si="149"/>
        <v>0</v>
      </c>
      <c r="Q58" s="25">
        <f t="shared" si="149"/>
        <v>0</v>
      </c>
      <c r="R58" s="25">
        <f t="shared" si="149"/>
        <v>0</v>
      </c>
      <c r="S58" s="25">
        <f t="shared" si="149"/>
        <v>0</v>
      </c>
      <c r="T58" s="25">
        <f t="shared" si="149"/>
        <v>0</v>
      </c>
      <c r="U58" s="23">
        <f t="shared" si="149"/>
        <v>0</v>
      </c>
      <c r="V58" s="25">
        <f t="shared" si="149"/>
        <v>0</v>
      </c>
      <c r="W58" s="25">
        <f t="shared" si="149"/>
        <v>0</v>
      </c>
      <c r="X58" s="25">
        <f t="shared" si="149"/>
        <v>0</v>
      </c>
      <c r="Y58" s="25">
        <f t="shared" si="149"/>
        <v>0</v>
      </c>
      <c r="Z58" s="23">
        <f t="shared" si="149"/>
        <v>0</v>
      </c>
      <c r="AA58" s="25">
        <f t="shared" si="149"/>
        <v>0</v>
      </c>
      <c r="AB58" s="25">
        <f t="shared" si="149"/>
        <v>0</v>
      </c>
      <c r="AC58" s="25">
        <f t="shared" si="149"/>
        <v>0</v>
      </c>
      <c r="AD58" s="25">
        <f t="shared" si="149"/>
        <v>0</v>
      </c>
      <c r="AE58" s="23">
        <f t="shared" si="149"/>
        <v>0</v>
      </c>
      <c r="AF58" s="25">
        <f t="shared" ref="AF58:BK58" si="150">AF57+AF68</f>
        <v>0</v>
      </c>
      <c r="AG58" s="25">
        <f t="shared" si="150"/>
        <v>0</v>
      </c>
      <c r="AH58" s="25">
        <f t="shared" si="150"/>
        <v>0</v>
      </c>
      <c r="AI58" s="25">
        <f t="shared" si="150"/>
        <v>55328.602000000028</v>
      </c>
      <c r="AJ58" s="23">
        <f t="shared" si="150"/>
        <v>55328.602000000028</v>
      </c>
      <c r="AK58" s="25">
        <f t="shared" si="150"/>
        <v>0</v>
      </c>
      <c r="AL58" s="25">
        <f t="shared" si="150"/>
        <v>0</v>
      </c>
      <c r="AM58" s="25">
        <f t="shared" si="150"/>
        <v>0</v>
      </c>
      <c r="AN58" s="25">
        <f t="shared" si="150"/>
        <v>92611.142999999996</v>
      </c>
      <c r="AO58" s="23">
        <f t="shared" si="150"/>
        <v>92611.142999999996</v>
      </c>
      <c r="AP58" s="25">
        <f t="shared" si="150"/>
        <v>0</v>
      </c>
      <c r="AQ58" s="25">
        <f t="shared" si="150"/>
        <v>0</v>
      </c>
      <c r="AR58" s="25">
        <f t="shared" si="150"/>
        <v>0</v>
      </c>
      <c r="AS58" s="25">
        <f t="shared" si="150"/>
        <v>112424.74799999999</v>
      </c>
      <c r="AT58" s="23">
        <f t="shared" si="150"/>
        <v>112424.74799999999</v>
      </c>
      <c r="AU58" s="25">
        <f t="shared" si="150"/>
        <v>0</v>
      </c>
      <c r="AV58" s="25">
        <f t="shared" si="150"/>
        <v>0</v>
      </c>
      <c r="AW58" s="25">
        <f t="shared" si="150"/>
        <v>0</v>
      </c>
      <c r="AX58" s="25">
        <f t="shared" si="150"/>
        <v>179812.70499999996</v>
      </c>
      <c r="AY58" s="23">
        <f t="shared" si="150"/>
        <v>179812.70499999996</v>
      </c>
      <c r="AZ58" s="25">
        <f t="shared" si="150"/>
        <v>0</v>
      </c>
      <c r="BA58" s="25">
        <f t="shared" si="150"/>
        <v>0</v>
      </c>
      <c r="BB58" s="25">
        <f t="shared" si="150"/>
        <v>0</v>
      </c>
      <c r="BC58" s="25">
        <f t="shared" si="150"/>
        <v>185415</v>
      </c>
      <c r="BD58" s="23">
        <f t="shared" si="150"/>
        <v>185415</v>
      </c>
      <c r="BE58" s="25">
        <f t="shared" si="150"/>
        <v>0</v>
      </c>
      <c r="BF58" s="25">
        <f t="shared" si="150"/>
        <v>0</v>
      </c>
      <c r="BG58" s="25">
        <f t="shared" si="150"/>
        <v>0</v>
      </c>
      <c r="BH58" s="25">
        <f t="shared" si="150"/>
        <v>171439</v>
      </c>
      <c r="BI58" s="23">
        <f t="shared" si="150"/>
        <v>171439</v>
      </c>
      <c r="BJ58" s="25">
        <f t="shared" si="150"/>
        <v>0</v>
      </c>
      <c r="BK58" s="25">
        <f t="shared" si="150"/>
        <v>0</v>
      </c>
      <c r="BL58" s="25">
        <f t="shared" ref="BL58:CQ58" si="151">BL57+BL68</f>
        <v>0</v>
      </c>
      <c r="BM58" s="25">
        <f t="shared" si="151"/>
        <v>134305</v>
      </c>
      <c r="BN58" s="23">
        <f t="shared" si="151"/>
        <v>134305</v>
      </c>
      <c r="BO58" s="25">
        <f t="shared" si="151"/>
        <v>0</v>
      </c>
      <c r="BP58" s="25">
        <f t="shared" si="151"/>
        <v>0</v>
      </c>
      <c r="BQ58" s="25">
        <f t="shared" si="151"/>
        <v>0</v>
      </c>
      <c r="BR58" s="25">
        <f t="shared" si="151"/>
        <v>151704</v>
      </c>
      <c r="BS58" s="23">
        <f t="shared" si="151"/>
        <v>151704</v>
      </c>
      <c r="BT58" s="25">
        <f t="shared" si="151"/>
        <v>0</v>
      </c>
      <c r="BU58" s="25">
        <f t="shared" si="151"/>
        <v>0</v>
      </c>
      <c r="BV58" s="25">
        <f t="shared" si="151"/>
        <v>0</v>
      </c>
      <c r="BW58" s="25">
        <f t="shared" si="151"/>
        <v>209634</v>
      </c>
      <c r="BX58" s="23">
        <f t="shared" si="151"/>
        <v>209634</v>
      </c>
      <c r="BY58" s="25">
        <f t="shared" si="151"/>
        <v>32707</v>
      </c>
      <c r="BZ58" s="25">
        <f t="shared" si="151"/>
        <v>81776</v>
      </c>
      <c r="CA58" s="25">
        <f t="shared" si="151"/>
        <v>50322</v>
      </c>
      <c r="CB58" s="25">
        <f t="shared" si="151"/>
        <v>78699</v>
      </c>
      <c r="CC58" s="23">
        <f t="shared" si="151"/>
        <v>243504</v>
      </c>
      <c r="CD58" s="25">
        <f t="shared" si="151"/>
        <v>28829</v>
      </c>
      <c r="CE58" s="25">
        <f t="shared" si="151"/>
        <v>50574</v>
      </c>
      <c r="CF58" s="25">
        <f t="shared" si="151"/>
        <v>67767</v>
      </c>
      <c r="CG58" s="25">
        <f t="shared" si="151"/>
        <v>81266</v>
      </c>
      <c r="CH58" s="23">
        <f t="shared" si="151"/>
        <v>228436</v>
      </c>
      <c r="CI58" s="25">
        <f t="shared" si="151"/>
        <v>63300</v>
      </c>
      <c r="CJ58" s="25">
        <f t="shared" si="151"/>
        <v>89512</v>
      </c>
      <c r="CK58" s="25">
        <f t="shared" si="151"/>
        <v>87697</v>
      </c>
      <c r="CL58" s="25">
        <f t="shared" si="151"/>
        <v>137704</v>
      </c>
      <c r="CM58" s="23">
        <f t="shared" si="151"/>
        <v>378213</v>
      </c>
      <c r="CN58" s="25">
        <f t="shared" si="151"/>
        <v>80445</v>
      </c>
      <c r="CO58" s="25">
        <f t="shared" si="151"/>
        <v>113160</v>
      </c>
      <c r="CP58" s="25">
        <f t="shared" si="151"/>
        <v>115010</v>
      </c>
      <c r="CQ58" s="25">
        <f t="shared" si="151"/>
        <v>125583</v>
      </c>
      <c r="CR58" s="23">
        <f t="shared" ref="CR58:DG58" si="152">CR57+CR68</f>
        <v>434198</v>
      </c>
      <c r="CS58" s="25">
        <f t="shared" si="152"/>
        <v>117021</v>
      </c>
      <c r="CT58" s="25">
        <f t="shared" si="152"/>
        <v>149306</v>
      </c>
      <c r="CU58" s="25">
        <f t="shared" si="152"/>
        <v>138045</v>
      </c>
      <c r="CV58" s="25">
        <f t="shared" si="152"/>
        <v>184860</v>
      </c>
      <c r="CW58" s="23">
        <f t="shared" si="152"/>
        <v>589232</v>
      </c>
      <c r="CX58" s="25">
        <f t="shared" si="152"/>
        <v>180259</v>
      </c>
      <c r="CY58" s="25">
        <f t="shared" si="152"/>
        <v>201988</v>
      </c>
      <c r="CZ58" s="25">
        <f t="shared" si="152"/>
        <v>210579</v>
      </c>
      <c r="DA58" s="25">
        <f t="shared" si="152"/>
        <v>229349</v>
      </c>
      <c r="DB58" s="23">
        <f t="shared" si="152"/>
        <v>822175</v>
      </c>
      <c r="DC58" s="25">
        <f t="shared" si="152"/>
        <v>280474</v>
      </c>
      <c r="DD58" s="25">
        <f t="shared" si="152"/>
        <v>316816</v>
      </c>
      <c r="DE58" s="25">
        <f t="shared" ref="DE58:DF58" si="153">DE57+DE68</f>
        <v>329473</v>
      </c>
      <c r="DF58" s="25">
        <f t="shared" si="153"/>
        <v>347328</v>
      </c>
      <c r="DG58" s="23">
        <f t="shared" si="152"/>
        <v>1274091</v>
      </c>
      <c r="DH58" s="25">
        <f t="shared" ref="DH58:DI58" si="154">DH57+DH68</f>
        <v>405318</v>
      </c>
      <c r="DI58" s="25">
        <f t="shared" si="154"/>
        <v>382884</v>
      </c>
      <c r="DJ58" s="25">
        <f t="shared" ref="DJ58:EF58" si="155">DJ57+DJ68</f>
        <v>396583.00239077071</v>
      </c>
      <c r="DK58" s="25">
        <f t="shared" si="155"/>
        <v>460954.7060783839</v>
      </c>
      <c r="DL58" s="23">
        <f t="shared" si="155"/>
        <v>1645739.7084691548</v>
      </c>
      <c r="DM58" s="25">
        <f t="shared" si="155"/>
        <v>452751.43858345947</v>
      </c>
      <c r="DN58" s="25">
        <f t="shared" si="155"/>
        <v>467999.32366856909</v>
      </c>
      <c r="DO58" s="25">
        <f t="shared" si="155"/>
        <v>475768.33092695032</v>
      </c>
      <c r="DP58" s="25">
        <f t="shared" si="155"/>
        <v>486886.85712958412</v>
      </c>
      <c r="DQ58" s="23">
        <f t="shared" si="155"/>
        <v>1883405.9503085625</v>
      </c>
      <c r="DR58" s="25">
        <f t="shared" si="155"/>
        <v>492148.27682908991</v>
      </c>
      <c r="DS58" s="25">
        <f t="shared" si="155"/>
        <v>501369.56962076621</v>
      </c>
      <c r="DT58" s="25">
        <f t="shared" si="155"/>
        <v>510128.84880520182</v>
      </c>
      <c r="DU58" s="25">
        <f t="shared" si="155"/>
        <v>518512.54814415902</v>
      </c>
      <c r="DV58" s="23">
        <f t="shared" si="155"/>
        <v>2022159.2433992189</v>
      </c>
      <c r="DW58" s="25">
        <f t="shared" si="155"/>
        <v>526586.12708999496</v>
      </c>
      <c r="DX58" s="25">
        <f t="shared" si="155"/>
        <v>534401.50610892195</v>
      </c>
      <c r="DY58" s="25">
        <f t="shared" si="155"/>
        <v>542001.40443778702</v>
      </c>
      <c r="DZ58" s="25">
        <f t="shared" si="155"/>
        <v>549421.93430682074</v>
      </c>
      <c r="EA58" s="23">
        <f t="shared" si="155"/>
        <v>2152410.9719435256</v>
      </c>
      <c r="EB58" s="25">
        <f t="shared" si="155"/>
        <v>556694.20586899261</v>
      </c>
      <c r="EC58" s="25">
        <f t="shared" si="155"/>
        <v>563845.36431914743</v>
      </c>
      <c r="ED58" s="25">
        <f t="shared" si="155"/>
        <v>570899.29547192634</v>
      </c>
      <c r="EE58" s="25">
        <f t="shared" si="155"/>
        <v>577877.13290937152</v>
      </c>
      <c r="EF58" s="23">
        <f t="shared" si="155"/>
        <v>2269315.9985694378</v>
      </c>
    </row>
    <row r="59" spans="1:136" ht="12.75" customHeight="1">
      <c r="A59" s="41" t="s">
        <v>185</v>
      </c>
      <c r="B59" s="52">
        <f>B60+B61</f>
        <v>0</v>
      </c>
      <c r="C59" s="52">
        <f>C60+C61</f>
        <v>0</v>
      </c>
      <c r="D59" s="52">
        <f>D60+D61</f>
        <v>0</v>
      </c>
      <c r="E59" s="52">
        <f>E60+E61</f>
        <v>0</v>
      </c>
      <c r="F59" s="67">
        <f>F60+F61</f>
        <v>0</v>
      </c>
      <c r="G59" s="52">
        <f t="shared" ref="G59:AE59" si="156">G60+G61</f>
        <v>0</v>
      </c>
      <c r="H59" s="52">
        <f t="shared" si="156"/>
        <v>0</v>
      </c>
      <c r="I59" s="52">
        <f t="shared" si="156"/>
        <v>0</v>
      </c>
      <c r="J59" s="52">
        <f t="shared" si="156"/>
        <v>0</v>
      </c>
      <c r="K59" s="67">
        <f t="shared" si="156"/>
        <v>0</v>
      </c>
      <c r="L59" s="52">
        <f t="shared" si="156"/>
        <v>0</v>
      </c>
      <c r="M59" s="52">
        <f t="shared" si="156"/>
        <v>0</v>
      </c>
      <c r="N59" s="52">
        <f t="shared" si="156"/>
        <v>0</v>
      </c>
      <c r="O59" s="52">
        <f t="shared" si="156"/>
        <v>0</v>
      </c>
      <c r="P59" s="67">
        <f t="shared" si="156"/>
        <v>0</v>
      </c>
      <c r="Q59" s="52">
        <f t="shared" si="156"/>
        <v>0</v>
      </c>
      <c r="R59" s="52">
        <f t="shared" si="156"/>
        <v>0</v>
      </c>
      <c r="S59" s="52">
        <f t="shared" si="156"/>
        <v>0</v>
      </c>
      <c r="T59" s="52">
        <f t="shared" si="156"/>
        <v>0</v>
      </c>
      <c r="U59" s="67">
        <f t="shared" si="156"/>
        <v>0</v>
      </c>
      <c r="V59" s="52">
        <f t="shared" si="156"/>
        <v>0</v>
      </c>
      <c r="W59" s="52">
        <f t="shared" si="156"/>
        <v>0</v>
      </c>
      <c r="X59" s="52">
        <f t="shared" si="156"/>
        <v>0</v>
      </c>
      <c r="Y59" s="52">
        <f t="shared" si="156"/>
        <v>0</v>
      </c>
      <c r="Z59" s="67">
        <f t="shared" si="156"/>
        <v>0</v>
      </c>
      <c r="AA59" s="52">
        <f t="shared" si="156"/>
        <v>0</v>
      </c>
      <c r="AB59" s="52">
        <f t="shared" si="156"/>
        <v>0</v>
      </c>
      <c r="AC59" s="52">
        <f t="shared" si="156"/>
        <v>0</v>
      </c>
      <c r="AD59" s="52">
        <f t="shared" si="156"/>
        <v>0</v>
      </c>
      <c r="AE59" s="67">
        <f t="shared" si="156"/>
        <v>0</v>
      </c>
      <c r="AF59" s="52">
        <f t="shared" ref="AF59:BN59" si="157">AF60+AF61</f>
        <v>0</v>
      </c>
      <c r="AG59" s="52">
        <f t="shared" si="157"/>
        <v>0</v>
      </c>
      <c r="AH59" s="52">
        <f t="shared" si="157"/>
        <v>0</v>
      </c>
      <c r="AI59" s="52">
        <f t="shared" si="157"/>
        <v>2743.2079999999996</v>
      </c>
      <c r="AJ59" s="67">
        <f t="shared" si="157"/>
        <v>2743.2079999999996</v>
      </c>
      <c r="AK59" s="52">
        <f t="shared" si="157"/>
        <v>0</v>
      </c>
      <c r="AL59" s="52">
        <f t="shared" si="157"/>
        <v>0</v>
      </c>
      <c r="AM59" s="52">
        <f t="shared" si="157"/>
        <v>0</v>
      </c>
      <c r="AN59" s="52">
        <f t="shared" si="157"/>
        <v>9159.6740000000009</v>
      </c>
      <c r="AO59" s="67">
        <f t="shared" si="157"/>
        <v>9159.6740000000009</v>
      </c>
      <c r="AP59" s="52">
        <f t="shared" si="157"/>
        <v>0</v>
      </c>
      <c r="AQ59" s="52">
        <f t="shared" si="157"/>
        <v>0</v>
      </c>
      <c r="AR59" s="52">
        <f t="shared" si="157"/>
        <v>0</v>
      </c>
      <c r="AS59" s="52">
        <f t="shared" si="157"/>
        <v>9700.655999999999</v>
      </c>
      <c r="AT59" s="67">
        <f t="shared" si="157"/>
        <v>9700.655999999999</v>
      </c>
      <c r="AU59" s="52">
        <f t="shared" si="157"/>
        <v>0</v>
      </c>
      <c r="AV59" s="52">
        <f t="shared" si="157"/>
        <v>0</v>
      </c>
      <c r="AW59" s="52">
        <f t="shared" si="157"/>
        <v>0</v>
      </c>
      <c r="AX59" s="52">
        <f t="shared" si="157"/>
        <v>2482.2469999999994</v>
      </c>
      <c r="AY59" s="67">
        <f t="shared" si="157"/>
        <v>2482.2469999999994</v>
      </c>
      <c r="AZ59" s="52">
        <f t="shared" si="157"/>
        <v>0</v>
      </c>
      <c r="BA59" s="52">
        <f t="shared" si="157"/>
        <v>0</v>
      </c>
      <c r="BB59" s="52">
        <f t="shared" si="157"/>
        <v>0</v>
      </c>
      <c r="BC59" s="52">
        <f t="shared" si="157"/>
        <v>-3413</v>
      </c>
      <c r="BD59" s="67">
        <f t="shared" si="157"/>
        <v>-3413</v>
      </c>
      <c r="BE59" s="52">
        <f t="shared" si="157"/>
        <v>0</v>
      </c>
      <c r="BF59" s="52">
        <f t="shared" si="157"/>
        <v>0</v>
      </c>
      <c r="BG59" s="52">
        <f t="shared" si="157"/>
        <v>0</v>
      </c>
      <c r="BH59" s="52">
        <f t="shared" si="157"/>
        <v>-4466</v>
      </c>
      <c r="BI59" s="67">
        <f t="shared" si="157"/>
        <v>-4466</v>
      </c>
      <c r="BJ59" s="52">
        <f t="shared" si="157"/>
        <v>0</v>
      </c>
      <c r="BK59" s="52">
        <f t="shared" si="157"/>
        <v>0</v>
      </c>
      <c r="BL59" s="52">
        <f t="shared" si="157"/>
        <v>0</v>
      </c>
      <c r="BM59" s="52">
        <f t="shared" si="157"/>
        <v>-5067</v>
      </c>
      <c r="BN59" s="67">
        <f t="shared" si="157"/>
        <v>-5067</v>
      </c>
      <c r="BO59" s="52">
        <f t="shared" ref="BO59:CE59" si="158">BO60+BO61</f>
        <v>0</v>
      </c>
      <c r="BP59" s="52">
        <f t="shared" si="158"/>
        <v>0</v>
      </c>
      <c r="BQ59" s="52">
        <f t="shared" si="158"/>
        <v>0</v>
      </c>
      <c r="BR59" s="52">
        <f t="shared" si="158"/>
        <v>-2679</v>
      </c>
      <c r="BS59" s="67">
        <f t="shared" si="158"/>
        <v>-2679</v>
      </c>
      <c r="BT59" s="52">
        <f t="shared" si="158"/>
        <v>0</v>
      </c>
      <c r="BU59" s="52">
        <f>BU60+BU61</f>
        <v>0</v>
      </c>
      <c r="BV59" s="52">
        <f t="shared" si="158"/>
        <v>0</v>
      </c>
      <c r="BW59" s="52">
        <f>BW60+BW61</f>
        <v>-10957</v>
      </c>
      <c r="BX59" s="67">
        <f t="shared" si="158"/>
        <v>-10957</v>
      </c>
      <c r="BY59" s="52">
        <f>BY60+BY61</f>
        <v>-2237</v>
      </c>
      <c r="BZ59" s="52">
        <f>BZ60+BZ61</f>
        <v>-1267</v>
      </c>
      <c r="CA59" s="52">
        <f>CA60+CA61</f>
        <v>-5589</v>
      </c>
      <c r="CB59" s="52">
        <f>CB60+CB61</f>
        <v>-8647</v>
      </c>
      <c r="CC59" s="67">
        <f t="shared" si="158"/>
        <v>-17740</v>
      </c>
      <c r="CD59" s="52">
        <f t="shared" si="158"/>
        <v>-3540</v>
      </c>
      <c r="CE59" s="52">
        <f t="shared" si="158"/>
        <v>-4578</v>
      </c>
      <c r="CF59" s="52">
        <f t="shared" ref="CF59:DG59" si="159">CF60+CF61</f>
        <v>-1620</v>
      </c>
      <c r="CG59" s="52">
        <f t="shared" si="159"/>
        <v>-3287</v>
      </c>
      <c r="CH59" s="67">
        <f t="shared" si="159"/>
        <v>-13025</v>
      </c>
      <c r="CI59" s="52">
        <f t="shared" si="159"/>
        <v>-5156</v>
      </c>
      <c r="CJ59" s="52">
        <f t="shared" si="159"/>
        <v>-5518</v>
      </c>
      <c r="CK59" s="52">
        <f>CK60+CK61</f>
        <v>-1410</v>
      </c>
      <c r="CL59" s="52">
        <f>CL60+CL61</f>
        <v>-13977</v>
      </c>
      <c r="CM59" s="67">
        <f t="shared" si="159"/>
        <v>-26061</v>
      </c>
      <c r="CN59" s="52">
        <f>CN60+CN61</f>
        <v>-4692</v>
      </c>
      <c r="CO59" s="52">
        <f>CO60+CO61</f>
        <v>-5173</v>
      </c>
      <c r="CP59" s="52">
        <f>CP60+CP61</f>
        <v>-5165</v>
      </c>
      <c r="CQ59" s="52">
        <f>CQ60+CQ61</f>
        <v>-12691</v>
      </c>
      <c r="CR59" s="67">
        <f t="shared" si="159"/>
        <v>-27721</v>
      </c>
      <c r="CS59" s="52">
        <f t="shared" si="159"/>
        <v>-6743</v>
      </c>
      <c r="CT59" s="52">
        <f t="shared" si="159"/>
        <v>-7016</v>
      </c>
      <c r="CU59" s="52">
        <f>CU60+CU61</f>
        <v>-5035</v>
      </c>
      <c r="CV59" s="52">
        <f>CV60+CV61</f>
        <v>-1081</v>
      </c>
      <c r="CW59" s="67">
        <f t="shared" si="159"/>
        <v>-19875</v>
      </c>
      <c r="CX59" s="52">
        <f>CX60+CX61</f>
        <v>-6773</v>
      </c>
      <c r="CY59" s="52">
        <f>CY60+CY61</f>
        <v>-7876</v>
      </c>
      <c r="CZ59" s="52">
        <f>CZ60+CZ61</f>
        <v>-9654</v>
      </c>
      <c r="DA59" s="52">
        <f>DA60+DA61</f>
        <v>-15142</v>
      </c>
      <c r="DB59" s="67">
        <f t="shared" si="159"/>
        <v>-39445</v>
      </c>
      <c r="DC59" s="52">
        <f t="shared" si="159"/>
        <v>-16291</v>
      </c>
      <c r="DD59" s="52">
        <f t="shared" si="159"/>
        <v>-19085</v>
      </c>
      <c r="DE59" s="52">
        <f>DE60+DE61</f>
        <v>-11755</v>
      </c>
      <c r="DF59" s="52">
        <f>DF60+DF61</f>
        <v>-13239</v>
      </c>
      <c r="DG59" s="67">
        <f t="shared" si="159"/>
        <v>-60370</v>
      </c>
      <c r="DH59" s="52">
        <f t="shared" ref="DH59:DI59" si="160">DH60+DH61</f>
        <v>-14952</v>
      </c>
      <c r="DI59" s="52">
        <f t="shared" si="160"/>
        <v>-27395</v>
      </c>
      <c r="DJ59" s="52">
        <f t="shared" ref="DJ59:EF59" ca="1" si="161">DJ60+DJ61</f>
        <v>-12813.371209553603</v>
      </c>
      <c r="DK59" s="52">
        <f t="shared" ca="1" si="161"/>
        <v>-16524.636153632084</v>
      </c>
      <c r="DL59" s="67">
        <f t="shared" ca="1" si="161"/>
        <v>-71685.007363185694</v>
      </c>
      <c r="DM59" s="52">
        <f t="shared" ca="1" si="161"/>
        <v>-8634.4962174306565</v>
      </c>
      <c r="DN59" s="52">
        <f t="shared" ca="1" si="161"/>
        <v>-9624.3438898176755</v>
      </c>
      <c r="DO59" s="52">
        <f t="shared" ca="1" si="161"/>
        <v>-11439.08816995204</v>
      </c>
      <c r="DP59" s="52">
        <f t="shared" ca="1" si="161"/>
        <v>-8376.7865160287183</v>
      </c>
      <c r="DQ59" s="67">
        <f t="shared" ca="1" si="161"/>
        <v>-38074.714793229126</v>
      </c>
      <c r="DR59" s="52">
        <f t="shared" ca="1" si="161"/>
        <v>3667.4257651727894</v>
      </c>
      <c r="DS59" s="52">
        <f t="shared" ca="1" si="161"/>
        <v>-6773.4140933969975</v>
      </c>
      <c r="DT59" s="52">
        <f t="shared" ca="1" si="161"/>
        <v>680.2612808030317</v>
      </c>
      <c r="DU59" s="52">
        <f t="shared" ca="1" si="161"/>
        <v>12181.287935249478</v>
      </c>
      <c r="DV59" s="67">
        <f t="shared" ca="1" si="161"/>
        <v>9755.5608878282947</v>
      </c>
      <c r="DW59" s="52">
        <f t="shared" ca="1" si="161"/>
        <v>1397.3580573310683</v>
      </c>
      <c r="DX59" s="52">
        <f t="shared" ca="1" si="161"/>
        <v>-9545.368379508247</v>
      </c>
      <c r="DY59" s="52">
        <f t="shared" ca="1" si="161"/>
        <v>2133.5005919000687</v>
      </c>
      <c r="DZ59" s="52">
        <f t="shared" ca="1" si="161"/>
        <v>14357.381305469695</v>
      </c>
      <c r="EA59" s="67">
        <f t="shared" ca="1" si="161"/>
        <v>8342.8715751926065</v>
      </c>
      <c r="EB59" s="52">
        <f t="shared" ca="1" si="161"/>
        <v>3156.5134360668599</v>
      </c>
      <c r="EC59" s="52">
        <f t="shared" ca="1" si="161"/>
        <v>-8255.4856901920793</v>
      </c>
      <c r="ED59" s="52">
        <f t="shared" ca="1" si="161"/>
        <v>4024.3430805647949</v>
      </c>
      <c r="EE59" s="52">
        <f t="shared" ca="1" si="161"/>
        <v>16709.182644508051</v>
      </c>
      <c r="EF59" s="67">
        <f t="shared" ca="1" si="161"/>
        <v>15634.553470947605</v>
      </c>
    </row>
    <row r="60" spans="1:136" ht="12.75" customHeight="1" outlineLevel="1">
      <c r="A60" s="41" t="s">
        <v>5</v>
      </c>
      <c r="B60" s="52">
        <f t="shared" ref="B60:AG60" si="162">B24+B30+B28</f>
        <v>0</v>
      </c>
      <c r="C60" s="52">
        <f t="shared" si="162"/>
        <v>0</v>
      </c>
      <c r="D60" s="52">
        <f t="shared" si="162"/>
        <v>0</v>
      </c>
      <c r="E60" s="52">
        <f t="shared" si="162"/>
        <v>0</v>
      </c>
      <c r="F60" s="67">
        <f t="shared" si="162"/>
        <v>0</v>
      </c>
      <c r="G60" s="52">
        <f t="shared" si="162"/>
        <v>0</v>
      </c>
      <c r="H60" s="52">
        <f t="shared" si="162"/>
        <v>0</v>
      </c>
      <c r="I60" s="52">
        <f t="shared" si="162"/>
        <v>0</v>
      </c>
      <c r="J60" s="52">
        <f t="shared" si="162"/>
        <v>0</v>
      </c>
      <c r="K60" s="67">
        <f t="shared" si="162"/>
        <v>0</v>
      </c>
      <c r="L60" s="52">
        <f t="shared" si="162"/>
        <v>0</v>
      </c>
      <c r="M60" s="52">
        <f t="shared" si="162"/>
        <v>0</v>
      </c>
      <c r="N60" s="52">
        <f t="shared" si="162"/>
        <v>0</v>
      </c>
      <c r="O60" s="52">
        <f t="shared" si="162"/>
        <v>0</v>
      </c>
      <c r="P60" s="67">
        <f t="shared" si="162"/>
        <v>0</v>
      </c>
      <c r="Q60" s="52">
        <f t="shared" si="162"/>
        <v>0</v>
      </c>
      <c r="R60" s="52">
        <f t="shared" si="162"/>
        <v>0</v>
      </c>
      <c r="S60" s="52">
        <f t="shared" si="162"/>
        <v>0</v>
      </c>
      <c r="T60" s="52">
        <f t="shared" si="162"/>
        <v>0</v>
      </c>
      <c r="U60" s="67">
        <f t="shared" si="162"/>
        <v>0</v>
      </c>
      <c r="V60" s="52">
        <f t="shared" si="162"/>
        <v>0</v>
      </c>
      <c r="W60" s="52">
        <f t="shared" si="162"/>
        <v>0</v>
      </c>
      <c r="X60" s="52">
        <f t="shared" si="162"/>
        <v>0</v>
      </c>
      <c r="Y60" s="52">
        <f t="shared" si="162"/>
        <v>0</v>
      </c>
      <c r="Z60" s="67">
        <f t="shared" si="162"/>
        <v>0</v>
      </c>
      <c r="AA60" s="52">
        <f t="shared" si="162"/>
        <v>0</v>
      </c>
      <c r="AB60" s="52">
        <f t="shared" si="162"/>
        <v>0</v>
      </c>
      <c r="AC60" s="52">
        <f t="shared" si="162"/>
        <v>0</v>
      </c>
      <c r="AD60" s="52">
        <f t="shared" si="162"/>
        <v>0</v>
      </c>
      <c r="AE60" s="67">
        <f t="shared" si="162"/>
        <v>0</v>
      </c>
      <c r="AF60" s="52">
        <f t="shared" si="162"/>
        <v>0</v>
      </c>
      <c r="AG60" s="52">
        <f t="shared" si="162"/>
        <v>0</v>
      </c>
      <c r="AH60" s="52">
        <f t="shared" ref="AH60:BM60" si="163">AH24+AH30+AH28</f>
        <v>0</v>
      </c>
      <c r="AI60" s="52">
        <f t="shared" si="163"/>
        <v>5819.99</v>
      </c>
      <c r="AJ60" s="67">
        <f t="shared" si="163"/>
        <v>5819.99</v>
      </c>
      <c r="AK60" s="52">
        <f t="shared" si="163"/>
        <v>0</v>
      </c>
      <c r="AL60" s="52">
        <f t="shared" si="163"/>
        <v>0</v>
      </c>
      <c r="AM60" s="52">
        <f t="shared" si="163"/>
        <v>0</v>
      </c>
      <c r="AN60" s="52">
        <f t="shared" si="163"/>
        <v>13919.218000000001</v>
      </c>
      <c r="AO60" s="67">
        <f t="shared" si="163"/>
        <v>13919.218000000001</v>
      </c>
      <c r="AP60" s="52">
        <f t="shared" si="163"/>
        <v>0</v>
      </c>
      <c r="AQ60" s="52">
        <f t="shared" si="163"/>
        <v>0</v>
      </c>
      <c r="AR60" s="52">
        <f t="shared" si="163"/>
        <v>0</v>
      </c>
      <c r="AS60" s="52">
        <f t="shared" si="163"/>
        <v>15502.978999999999</v>
      </c>
      <c r="AT60" s="67">
        <f t="shared" si="163"/>
        <v>15502.978999999999</v>
      </c>
      <c r="AU60" s="52">
        <f t="shared" si="163"/>
        <v>0</v>
      </c>
      <c r="AV60" s="52">
        <f t="shared" si="163"/>
        <v>0</v>
      </c>
      <c r="AW60" s="52">
        <f t="shared" si="163"/>
        <v>0</v>
      </c>
      <c r="AX60" s="52">
        <f t="shared" si="163"/>
        <v>11239.450999999999</v>
      </c>
      <c r="AY60" s="67">
        <f t="shared" si="163"/>
        <v>11239.450999999999</v>
      </c>
      <c r="AZ60" s="52">
        <f t="shared" si="163"/>
        <v>0</v>
      </c>
      <c r="BA60" s="52">
        <f t="shared" si="163"/>
        <v>0</v>
      </c>
      <c r="BB60" s="52">
        <f t="shared" si="163"/>
        <v>0</v>
      </c>
      <c r="BC60" s="52">
        <f t="shared" si="163"/>
        <v>7965</v>
      </c>
      <c r="BD60" s="67">
        <f t="shared" si="163"/>
        <v>7965</v>
      </c>
      <c r="BE60" s="52">
        <f t="shared" si="163"/>
        <v>0</v>
      </c>
      <c r="BF60" s="52">
        <f t="shared" si="163"/>
        <v>0</v>
      </c>
      <c r="BG60" s="52">
        <f t="shared" si="163"/>
        <v>0</v>
      </c>
      <c r="BH60" s="52">
        <f t="shared" si="163"/>
        <v>14892</v>
      </c>
      <c r="BI60" s="67">
        <f t="shared" si="163"/>
        <v>14892</v>
      </c>
      <c r="BJ60" s="52">
        <f t="shared" si="163"/>
        <v>0</v>
      </c>
      <c r="BK60" s="52">
        <f t="shared" si="163"/>
        <v>0</v>
      </c>
      <c r="BL60" s="52">
        <f t="shared" si="163"/>
        <v>0</v>
      </c>
      <c r="BM60" s="52">
        <f t="shared" si="163"/>
        <v>14875</v>
      </c>
      <c r="BN60" s="67">
        <f t="shared" ref="BN60:CS60" si="164">BN24+BN30+BN28</f>
        <v>14875</v>
      </c>
      <c r="BO60" s="52">
        <f t="shared" si="164"/>
        <v>0</v>
      </c>
      <c r="BP60" s="52">
        <f t="shared" si="164"/>
        <v>0</v>
      </c>
      <c r="BQ60" s="52">
        <f t="shared" si="164"/>
        <v>0</v>
      </c>
      <c r="BR60" s="52">
        <f t="shared" si="164"/>
        <v>20337</v>
      </c>
      <c r="BS60" s="67">
        <f t="shared" si="164"/>
        <v>20337</v>
      </c>
      <c r="BT60" s="52">
        <f t="shared" si="164"/>
        <v>0</v>
      </c>
      <c r="BU60" s="52">
        <f t="shared" si="164"/>
        <v>0</v>
      </c>
      <c r="BV60" s="52">
        <f t="shared" si="164"/>
        <v>0</v>
      </c>
      <c r="BW60" s="52">
        <f t="shared" si="164"/>
        <v>11132</v>
      </c>
      <c r="BX60" s="67">
        <f t="shared" si="164"/>
        <v>11132</v>
      </c>
      <c r="BY60" s="52">
        <f t="shared" si="164"/>
        <v>3012</v>
      </c>
      <c r="BZ60" s="52">
        <f t="shared" si="164"/>
        <v>5477</v>
      </c>
      <c r="CA60" s="52">
        <f t="shared" si="164"/>
        <v>3325</v>
      </c>
      <c r="CB60" s="52">
        <f t="shared" si="164"/>
        <v>3461</v>
      </c>
      <c r="CC60" s="67">
        <f t="shared" si="164"/>
        <v>15275</v>
      </c>
      <c r="CD60" s="52">
        <f t="shared" si="164"/>
        <v>2784</v>
      </c>
      <c r="CE60" s="52">
        <f t="shared" si="164"/>
        <v>2827</v>
      </c>
      <c r="CF60" s="52">
        <f t="shared" si="164"/>
        <v>5428</v>
      </c>
      <c r="CG60" s="52">
        <f t="shared" si="164"/>
        <v>3634</v>
      </c>
      <c r="CH60" s="67">
        <f t="shared" si="164"/>
        <v>14673</v>
      </c>
      <c r="CI60" s="52">
        <f t="shared" si="164"/>
        <v>2222</v>
      </c>
      <c r="CJ60" s="52">
        <f t="shared" si="164"/>
        <v>3924</v>
      </c>
      <c r="CK60" s="52">
        <f t="shared" si="164"/>
        <v>10356</v>
      </c>
      <c r="CL60" s="52">
        <f t="shared" si="164"/>
        <v>8485</v>
      </c>
      <c r="CM60" s="67">
        <f t="shared" si="164"/>
        <v>24987</v>
      </c>
      <c r="CN60" s="52">
        <f t="shared" si="164"/>
        <v>12977</v>
      </c>
      <c r="CO60" s="52">
        <f t="shared" si="164"/>
        <v>17605</v>
      </c>
      <c r="CP60" s="52">
        <f t="shared" si="164"/>
        <v>18795</v>
      </c>
      <c r="CQ60" s="52">
        <f t="shared" si="164"/>
        <v>14654</v>
      </c>
      <c r="CR60" s="67">
        <f t="shared" si="164"/>
        <v>64031</v>
      </c>
      <c r="CS60" s="52">
        <f t="shared" si="164"/>
        <v>20228</v>
      </c>
      <c r="CT60" s="52">
        <f t="shared" ref="CT60:DY60" si="165">CT24+CT30+CT28</f>
        <v>20425</v>
      </c>
      <c r="CU60" s="52">
        <f t="shared" si="165"/>
        <v>19668</v>
      </c>
      <c r="CV60" s="52">
        <f t="shared" si="165"/>
        <v>25895</v>
      </c>
      <c r="CW60" s="67">
        <f t="shared" si="165"/>
        <v>86216</v>
      </c>
      <c r="CX60" s="52">
        <f t="shared" si="165"/>
        <v>19889</v>
      </c>
      <c r="CY60" s="52">
        <f t="shared" si="165"/>
        <v>25350</v>
      </c>
      <c r="CZ60" s="52">
        <f t="shared" si="165"/>
        <v>32060</v>
      </c>
      <c r="DA60" s="52">
        <f t="shared" si="165"/>
        <v>28782</v>
      </c>
      <c r="DB60" s="67">
        <f t="shared" si="165"/>
        <v>106081</v>
      </c>
      <c r="DC60" s="52">
        <f t="shared" si="165"/>
        <v>36752</v>
      </c>
      <c r="DD60" s="52">
        <f t="shared" si="165"/>
        <v>35218</v>
      </c>
      <c r="DE60" s="52">
        <f t="shared" ref="DE60:DF60" si="166">DE24+DE30+DE28</f>
        <v>47368</v>
      </c>
      <c r="DF60" s="52">
        <f t="shared" si="166"/>
        <v>50684</v>
      </c>
      <c r="DG60" s="67">
        <f t="shared" si="165"/>
        <v>170022</v>
      </c>
      <c r="DH60" s="52">
        <f t="shared" ref="DH60:DI60" si="167">DH24+DH30+DH28</f>
        <v>49093</v>
      </c>
      <c r="DI60" s="52">
        <f t="shared" si="167"/>
        <v>48168</v>
      </c>
      <c r="DJ60" s="52">
        <f t="shared" ca="1" si="165"/>
        <v>48582.506484320904</v>
      </c>
      <c r="DK60" s="52">
        <f t="shared" ca="1" si="165"/>
        <v>46159.244534593723</v>
      </c>
      <c r="DL60" s="67">
        <f t="shared" ca="1" si="165"/>
        <v>192002.75101891463</v>
      </c>
      <c r="DM60" s="52">
        <f t="shared" ca="1" si="165"/>
        <v>52914.229655319956</v>
      </c>
      <c r="DN60" s="52">
        <f t="shared" ca="1" si="165"/>
        <v>57914.002678158235</v>
      </c>
      <c r="DO60" s="52">
        <f t="shared" ca="1" si="165"/>
        <v>61174.242965716257</v>
      </c>
      <c r="DP60" s="52">
        <f t="shared" ca="1" si="165"/>
        <v>68056.793522022388</v>
      </c>
      <c r="DQ60" s="67">
        <f t="shared" ca="1" si="165"/>
        <v>240059.26882121683</v>
      </c>
      <c r="DR60" s="52">
        <f t="shared" ca="1" si="165"/>
        <v>65532.660283110003</v>
      </c>
      <c r="DS60" s="52">
        <f t="shared" ca="1" si="165"/>
        <v>55660.280115565816</v>
      </c>
      <c r="DT60" s="52">
        <f t="shared" ca="1" si="165"/>
        <v>63909.754273779916</v>
      </c>
      <c r="DU60" s="52">
        <f t="shared" ca="1" si="165"/>
        <v>76338.642601632251</v>
      </c>
      <c r="DV60" s="67">
        <f t="shared" ca="1" si="165"/>
        <v>261441.337274088</v>
      </c>
      <c r="DW60" s="52">
        <f t="shared" ca="1" si="165"/>
        <v>66555.737898090025</v>
      </c>
      <c r="DX60" s="52">
        <f t="shared" ca="1" si="165"/>
        <v>56651.168810555988</v>
      </c>
      <c r="DY60" s="52">
        <f t="shared" ca="1" si="165"/>
        <v>69383.649583971302</v>
      </c>
      <c r="DZ60" s="52">
        <f t="shared" ref="DZ60:EF60" ca="1" si="168">DZ24+DZ30+DZ28</f>
        <v>82663.90867006997</v>
      </c>
      <c r="EA60" s="67">
        <f t="shared" ca="1" si="168"/>
        <v>275254.46496268729</v>
      </c>
      <c r="EB60" s="52">
        <f t="shared" ca="1" si="168"/>
        <v>72515.107383117356</v>
      </c>
      <c r="EC60" s="52">
        <f t="shared" ca="1" si="168"/>
        <v>62147.262765753861</v>
      </c>
      <c r="ED60" s="52">
        <f t="shared" ca="1" si="168"/>
        <v>75461.867690610583</v>
      </c>
      <c r="EE60" s="52">
        <f t="shared" ca="1" si="168"/>
        <v>89171.925907762154</v>
      </c>
      <c r="EF60" s="67">
        <f t="shared" ca="1" si="168"/>
        <v>299296.16374724393</v>
      </c>
    </row>
    <row r="61" spans="1:136" ht="12.75" customHeight="1" outlineLevel="1">
      <c r="A61" s="41" t="s">
        <v>6</v>
      </c>
      <c r="B61" s="52">
        <f t="shared" ref="B61:AG61" si="169">B26+B14</f>
        <v>0</v>
      </c>
      <c r="C61" s="52">
        <f t="shared" si="169"/>
        <v>0</v>
      </c>
      <c r="D61" s="52">
        <f t="shared" si="169"/>
        <v>0</v>
      </c>
      <c r="E61" s="52">
        <f t="shared" si="169"/>
        <v>0</v>
      </c>
      <c r="F61" s="67">
        <f t="shared" si="169"/>
        <v>0</v>
      </c>
      <c r="G61" s="52">
        <f t="shared" si="169"/>
        <v>0</v>
      </c>
      <c r="H61" s="52">
        <f t="shared" si="169"/>
        <v>0</v>
      </c>
      <c r="I61" s="52">
        <f t="shared" si="169"/>
        <v>0</v>
      </c>
      <c r="J61" s="52">
        <f t="shared" si="169"/>
        <v>0</v>
      </c>
      <c r="K61" s="67">
        <f t="shared" si="169"/>
        <v>0</v>
      </c>
      <c r="L61" s="52">
        <f t="shared" si="169"/>
        <v>0</v>
      </c>
      <c r="M61" s="52">
        <f t="shared" si="169"/>
        <v>0</v>
      </c>
      <c r="N61" s="52">
        <f t="shared" si="169"/>
        <v>0</v>
      </c>
      <c r="O61" s="52">
        <f t="shared" si="169"/>
        <v>0</v>
      </c>
      <c r="P61" s="67">
        <f t="shared" si="169"/>
        <v>0</v>
      </c>
      <c r="Q61" s="52">
        <f t="shared" si="169"/>
        <v>0</v>
      </c>
      <c r="R61" s="52">
        <f t="shared" si="169"/>
        <v>0</v>
      </c>
      <c r="S61" s="52">
        <f t="shared" si="169"/>
        <v>0</v>
      </c>
      <c r="T61" s="52">
        <f t="shared" si="169"/>
        <v>0</v>
      </c>
      <c r="U61" s="67">
        <f t="shared" si="169"/>
        <v>0</v>
      </c>
      <c r="V61" s="52">
        <f t="shared" si="169"/>
        <v>0</v>
      </c>
      <c r="W61" s="52">
        <f t="shared" si="169"/>
        <v>0</v>
      </c>
      <c r="X61" s="52">
        <f t="shared" si="169"/>
        <v>0</v>
      </c>
      <c r="Y61" s="52">
        <f t="shared" si="169"/>
        <v>0</v>
      </c>
      <c r="Z61" s="67">
        <f t="shared" si="169"/>
        <v>0</v>
      </c>
      <c r="AA61" s="52">
        <f t="shared" si="169"/>
        <v>0</v>
      </c>
      <c r="AB61" s="52">
        <f t="shared" si="169"/>
        <v>0</v>
      </c>
      <c r="AC61" s="52">
        <f t="shared" si="169"/>
        <v>0</v>
      </c>
      <c r="AD61" s="52">
        <f t="shared" si="169"/>
        <v>0</v>
      </c>
      <c r="AE61" s="67">
        <f t="shared" si="169"/>
        <v>0</v>
      </c>
      <c r="AF61" s="52">
        <f t="shared" si="169"/>
        <v>0</v>
      </c>
      <c r="AG61" s="52">
        <f t="shared" si="169"/>
        <v>0</v>
      </c>
      <c r="AH61" s="52">
        <f t="shared" ref="AH61:BM61" si="170">AH26+AH14</f>
        <v>0</v>
      </c>
      <c r="AI61" s="52">
        <f t="shared" si="170"/>
        <v>-3076.7820000000002</v>
      </c>
      <c r="AJ61" s="67">
        <f t="shared" si="170"/>
        <v>-3076.7820000000002</v>
      </c>
      <c r="AK61" s="52">
        <f t="shared" si="170"/>
        <v>0</v>
      </c>
      <c r="AL61" s="52">
        <f t="shared" si="170"/>
        <v>0</v>
      </c>
      <c r="AM61" s="52">
        <f t="shared" si="170"/>
        <v>0</v>
      </c>
      <c r="AN61" s="52">
        <f t="shared" si="170"/>
        <v>-4759.5439999999999</v>
      </c>
      <c r="AO61" s="67">
        <f t="shared" si="170"/>
        <v>-4759.5439999999999</v>
      </c>
      <c r="AP61" s="52">
        <f t="shared" si="170"/>
        <v>0</v>
      </c>
      <c r="AQ61" s="52">
        <f t="shared" si="170"/>
        <v>0</v>
      </c>
      <c r="AR61" s="52">
        <f t="shared" si="170"/>
        <v>0</v>
      </c>
      <c r="AS61" s="52">
        <f t="shared" si="170"/>
        <v>-5802.3230000000003</v>
      </c>
      <c r="AT61" s="67">
        <f t="shared" si="170"/>
        <v>-5802.3230000000003</v>
      </c>
      <c r="AU61" s="52">
        <f t="shared" si="170"/>
        <v>0</v>
      </c>
      <c r="AV61" s="52">
        <f t="shared" si="170"/>
        <v>0</v>
      </c>
      <c r="AW61" s="52">
        <f t="shared" si="170"/>
        <v>0</v>
      </c>
      <c r="AX61" s="52">
        <f t="shared" si="170"/>
        <v>-8757.2039999999997</v>
      </c>
      <c r="AY61" s="67">
        <f t="shared" si="170"/>
        <v>-8757.2039999999997</v>
      </c>
      <c r="AZ61" s="52">
        <f t="shared" si="170"/>
        <v>0</v>
      </c>
      <c r="BA61" s="52">
        <f t="shared" si="170"/>
        <v>0</v>
      </c>
      <c r="BB61" s="52">
        <f t="shared" si="170"/>
        <v>0</v>
      </c>
      <c r="BC61" s="52">
        <f t="shared" si="170"/>
        <v>-11378</v>
      </c>
      <c r="BD61" s="67">
        <f t="shared" si="170"/>
        <v>-11378</v>
      </c>
      <c r="BE61" s="52">
        <f t="shared" si="170"/>
        <v>0</v>
      </c>
      <c r="BF61" s="52">
        <f t="shared" si="170"/>
        <v>0</v>
      </c>
      <c r="BG61" s="52">
        <f t="shared" si="170"/>
        <v>0</v>
      </c>
      <c r="BH61" s="52">
        <f t="shared" si="170"/>
        <v>-19358</v>
      </c>
      <c r="BI61" s="67">
        <f t="shared" si="170"/>
        <v>-19358</v>
      </c>
      <c r="BJ61" s="52">
        <f t="shared" si="170"/>
        <v>0</v>
      </c>
      <c r="BK61" s="52">
        <f t="shared" si="170"/>
        <v>0</v>
      </c>
      <c r="BL61" s="52">
        <f t="shared" si="170"/>
        <v>0</v>
      </c>
      <c r="BM61" s="52">
        <f t="shared" si="170"/>
        <v>-19942</v>
      </c>
      <c r="BN61" s="67">
        <f t="shared" ref="BN61:CS61" si="171">BN26+BN14</f>
        <v>-19942</v>
      </c>
      <c r="BO61" s="52">
        <f t="shared" si="171"/>
        <v>0</v>
      </c>
      <c r="BP61" s="52">
        <f t="shared" si="171"/>
        <v>0</v>
      </c>
      <c r="BQ61" s="52">
        <f t="shared" si="171"/>
        <v>0</v>
      </c>
      <c r="BR61" s="52">
        <f t="shared" si="171"/>
        <v>-23016</v>
      </c>
      <c r="BS61" s="67">
        <f t="shared" si="171"/>
        <v>-23016</v>
      </c>
      <c r="BT61" s="52">
        <f t="shared" si="171"/>
        <v>0</v>
      </c>
      <c r="BU61" s="52">
        <f t="shared" si="171"/>
        <v>0</v>
      </c>
      <c r="BV61" s="52">
        <f t="shared" si="171"/>
        <v>0</v>
      </c>
      <c r="BW61" s="52">
        <f t="shared" si="171"/>
        <v>-22089</v>
      </c>
      <c r="BX61" s="67">
        <f t="shared" si="171"/>
        <v>-22089</v>
      </c>
      <c r="BY61" s="52">
        <f t="shared" si="171"/>
        <v>-5249</v>
      </c>
      <c r="BZ61" s="52">
        <f t="shared" si="171"/>
        <v>-6744</v>
      </c>
      <c r="CA61" s="52">
        <f t="shared" si="171"/>
        <v>-8914</v>
      </c>
      <c r="CB61" s="52">
        <f t="shared" si="171"/>
        <v>-12108</v>
      </c>
      <c r="CC61" s="67">
        <f t="shared" si="171"/>
        <v>-33015</v>
      </c>
      <c r="CD61" s="52">
        <f t="shared" si="171"/>
        <v>-6324</v>
      </c>
      <c r="CE61" s="52">
        <f t="shared" si="171"/>
        <v>-7405</v>
      </c>
      <c r="CF61" s="52">
        <f t="shared" si="171"/>
        <v>-7048</v>
      </c>
      <c r="CG61" s="52">
        <f t="shared" si="171"/>
        <v>-6921</v>
      </c>
      <c r="CH61" s="67">
        <f t="shared" si="171"/>
        <v>-27698</v>
      </c>
      <c r="CI61" s="52">
        <f t="shared" si="171"/>
        <v>-7378</v>
      </c>
      <c r="CJ61" s="52">
        <f t="shared" si="171"/>
        <v>-9442</v>
      </c>
      <c r="CK61" s="52">
        <f t="shared" si="171"/>
        <v>-11766</v>
      </c>
      <c r="CL61" s="52">
        <f t="shared" si="171"/>
        <v>-22462</v>
      </c>
      <c r="CM61" s="67">
        <f t="shared" si="171"/>
        <v>-51048</v>
      </c>
      <c r="CN61" s="52">
        <f t="shared" si="171"/>
        <v>-17669</v>
      </c>
      <c r="CO61" s="52">
        <f t="shared" si="171"/>
        <v>-22778</v>
      </c>
      <c r="CP61" s="52">
        <f t="shared" si="171"/>
        <v>-23960</v>
      </c>
      <c r="CQ61" s="52">
        <f t="shared" si="171"/>
        <v>-27345</v>
      </c>
      <c r="CR61" s="67">
        <f t="shared" si="171"/>
        <v>-91752</v>
      </c>
      <c r="CS61" s="52">
        <f t="shared" si="171"/>
        <v>-26971</v>
      </c>
      <c r="CT61" s="52">
        <f t="shared" ref="CT61:DY61" si="172">CT26+CT14</f>
        <v>-27441</v>
      </c>
      <c r="CU61" s="52">
        <f t="shared" si="172"/>
        <v>-24703</v>
      </c>
      <c r="CV61" s="52">
        <f t="shared" si="172"/>
        <v>-26976</v>
      </c>
      <c r="CW61" s="67">
        <f t="shared" si="172"/>
        <v>-106091</v>
      </c>
      <c r="CX61" s="52">
        <f t="shared" si="172"/>
        <v>-26662</v>
      </c>
      <c r="CY61" s="52">
        <f t="shared" si="172"/>
        <v>-33226</v>
      </c>
      <c r="CZ61" s="52">
        <f t="shared" si="172"/>
        <v>-41714</v>
      </c>
      <c r="DA61" s="52">
        <f t="shared" si="172"/>
        <v>-43924</v>
      </c>
      <c r="DB61" s="67">
        <f t="shared" si="172"/>
        <v>-145526</v>
      </c>
      <c r="DC61" s="52">
        <f t="shared" si="172"/>
        <v>-53043</v>
      </c>
      <c r="DD61" s="52">
        <f t="shared" si="172"/>
        <v>-54303</v>
      </c>
      <c r="DE61" s="52">
        <f t="shared" ref="DE61:DF61" si="173">DE26+DE14</f>
        <v>-59123</v>
      </c>
      <c r="DF61" s="52">
        <f t="shared" si="173"/>
        <v>-63923</v>
      </c>
      <c r="DG61" s="67">
        <f t="shared" si="172"/>
        <v>-230392</v>
      </c>
      <c r="DH61" s="52">
        <f t="shared" ref="DH61:DI61" si="174">DH26+DH14</f>
        <v>-64045</v>
      </c>
      <c r="DI61" s="52">
        <f t="shared" si="174"/>
        <v>-75563</v>
      </c>
      <c r="DJ61" s="52">
        <f t="shared" si="172"/>
        <v>-61395.877693874507</v>
      </c>
      <c r="DK61" s="52">
        <f t="shared" si="172"/>
        <v>-62683.880688225807</v>
      </c>
      <c r="DL61" s="67">
        <f t="shared" si="172"/>
        <v>-263687.75838210032</v>
      </c>
      <c r="DM61" s="52">
        <f t="shared" si="172"/>
        <v>-61548.725872750612</v>
      </c>
      <c r="DN61" s="52">
        <f t="shared" si="172"/>
        <v>-67538.34656797591</v>
      </c>
      <c r="DO61" s="52">
        <f t="shared" si="172"/>
        <v>-72613.331135668297</v>
      </c>
      <c r="DP61" s="52">
        <f t="shared" si="172"/>
        <v>-76433.580038051106</v>
      </c>
      <c r="DQ61" s="67">
        <f t="shared" si="172"/>
        <v>-278133.98361444596</v>
      </c>
      <c r="DR61" s="52">
        <f t="shared" si="172"/>
        <v>-61865.234517937213</v>
      </c>
      <c r="DS61" s="52">
        <f t="shared" si="172"/>
        <v>-62433.694208962814</v>
      </c>
      <c r="DT61" s="52">
        <f t="shared" si="172"/>
        <v>-63229.492992976884</v>
      </c>
      <c r="DU61" s="52">
        <f t="shared" si="172"/>
        <v>-64157.354666382773</v>
      </c>
      <c r="DV61" s="67">
        <f t="shared" si="172"/>
        <v>-251685.77638625971</v>
      </c>
      <c r="DW61" s="52">
        <f t="shared" si="172"/>
        <v>-65158.379840758957</v>
      </c>
      <c r="DX61" s="52">
        <f t="shared" si="172"/>
        <v>-66196.537190064264</v>
      </c>
      <c r="DY61" s="52">
        <f t="shared" si="172"/>
        <v>-67250.148992071263</v>
      </c>
      <c r="DZ61" s="52">
        <f t="shared" ref="DZ61:EF61" si="175">DZ26+DZ14</f>
        <v>-68306.527364600362</v>
      </c>
      <c r="EA61" s="67">
        <f t="shared" si="175"/>
        <v>-266911.59338749485</v>
      </c>
      <c r="EB61" s="52">
        <f t="shared" si="175"/>
        <v>-69358.593947050525</v>
      </c>
      <c r="EC61" s="52">
        <f t="shared" si="175"/>
        <v>-70402.748455946654</v>
      </c>
      <c r="ED61" s="52">
        <f t="shared" si="175"/>
        <v>-71437.524610052787</v>
      </c>
      <c r="EE61" s="52">
        <f t="shared" si="175"/>
        <v>-72462.743263278477</v>
      </c>
      <c r="EF61" s="67">
        <f t="shared" si="175"/>
        <v>-283661.61027632846</v>
      </c>
    </row>
    <row r="62" spans="1:136" ht="12.75" customHeight="1">
      <c r="A62" s="41" t="s">
        <v>7</v>
      </c>
      <c r="B62" s="52">
        <f t="shared" ref="B62:AE62" si="176">B31+B38+B35</f>
        <v>0</v>
      </c>
      <c r="C62" s="52">
        <f t="shared" si="176"/>
        <v>0</v>
      </c>
      <c r="D62" s="52">
        <f t="shared" si="176"/>
        <v>0</v>
      </c>
      <c r="E62" s="52">
        <f t="shared" si="176"/>
        <v>0</v>
      </c>
      <c r="F62" s="67">
        <f t="shared" si="176"/>
        <v>0</v>
      </c>
      <c r="G62" s="52">
        <f t="shared" si="176"/>
        <v>0</v>
      </c>
      <c r="H62" s="52">
        <f t="shared" si="176"/>
        <v>0</v>
      </c>
      <c r="I62" s="52">
        <f t="shared" si="176"/>
        <v>0</v>
      </c>
      <c r="J62" s="52">
        <f t="shared" si="176"/>
        <v>0</v>
      </c>
      <c r="K62" s="67">
        <f t="shared" si="176"/>
        <v>0</v>
      </c>
      <c r="L62" s="52">
        <f t="shared" si="176"/>
        <v>0</v>
      </c>
      <c r="M62" s="52">
        <f t="shared" si="176"/>
        <v>0</v>
      </c>
      <c r="N62" s="52">
        <f t="shared" si="176"/>
        <v>0</v>
      </c>
      <c r="O62" s="52">
        <f t="shared" si="176"/>
        <v>0</v>
      </c>
      <c r="P62" s="67">
        <f t="shared" si="176"/>
        <v>0</v>
      </c>
      <c r="Q62" s="52">
        <f t="shared" si="176"/>
        <v>0</v>
      </c>
      <c r="R62" s="52">
        <f t="shared" si="176"/>
        <v>0</v>
      </c>
      <c r="S62" s="52">
        <f t="shared" si="176"/>
        <v>0</v>
      </c>
      <c r="T62" s="52">
        <f t="shared" si="176"/>
        <v>0</v>
      </c>
      <c r="U62" s="67">
        <f t="shared" si="176"/>
        <v>0</v>
      </c>
      <c r="V62" s="52">
        <f t="shared" si="176"/>
        <v>0</v>
      </c>
      <c r="W62" s="52">
        <f t="shared" si="176"/>
        <v>0</v>
      </c>
      <c r="X62" s="52">
        <f t="shared" si="176"/>
        <v>0</v>
      </c>
      <c r="Y62" s="52">
        <f t="shared" si="176"/>
        <v>0</v>
      </c>
      <c r="Z62" s="67">
        <f t="shared" si="176"/>
        <v>0</v>
      </c>
      <c r="AA62" s="52">
        <f t="shared" si="176"/>
        <v>0</v>
      </c>
      <c r="AB62" s="52">
        <f t="shared" si="176"/>
        <v>0</v>
      </c>
      <c r="AC62" s="52">
        <f t="shared" si="176"/>
        <v>0</v>
      </c>
      <c r="AD62" s="52">
        <f t="shared" si="176"/>
        <v>0</v>
      </c>
      <c r="AE62" s="67">
        <f t="shared" si="176"/>
        <v>0</v>
      </c>
      <c r="AF62" s="52">
        <f t="shared" ref="AF62:BK62" si="177">AF31+AF38+AF35+AF36</f>
        <v>0</v>
      </c>
      <c r="AG62" s="52">
        <f t="shared" si="177"/>
        <v>0</v>
      </c>
      <c r="AH62" s="52">
        <f t="shared" si="177"/>
        <v>0</v>
      </c>
      <c r="AI62" s="52">
        <f t="shared" si="177"/>
        <v>0</v>
      </c>
      <c r="AJ62" s="67">
        <f t="shared" si="177"/>
        <v>0</v>
      </c>
      <c r="AK62" s="52">
        <f t="shared" si="177"/>
        <v>0</v>
      </c>
      <c r="AL62" s="52">
        <f t="shared" si="177"/>
        <v>0</v>
      </c>
      <c r="AM62" s="52">
        <f t="shared" si="177"/>
        <v>0</v>
      </c>
      <c r="AN62" s="52">
        <f t="shared" si="177"/>
        <v>0</v>
      </c>
      <c r="AO62" s="67">
        <f t="shared" si="177"/>
        <v>0</v>
      </c>
      <c r="AP62" s="52">
        <f t="shared" si="177"/>
        <v>0</v>
      </c>
      <c r="AQ62" s="52">
        <f t="shared" si="177"/>
        <v>0</v>
      </c>
      <c r="AR62" s="52">
        <f t="shared" si="177"/>
        <v>0</v>
      </c>
      <c r="AS62" s="52">
        <f t="shared" si="177"/>
        <v>12836.41</v>
      </c>
      <c r="AT62" s="67">
        <f t="shared" si="177"/>
        <v>12836.41</v>
      </c>
      <c r="AU62" s="52">
        <f t="shared" si="177"/>
        <v>0</v>
      </c>
      <c r="AV62" s="52">
        <f t="shared" si="177"/>
        <v>0</v>
      </c>
      <c r="AW62" s="52">
        <f t="shared" si="177"/>
        <v>0</v>
      </c>
      <c r="AX62" s="52">
        <f t="shared" si="177"/>
        <v>2995.6120000000001</v>
      </c>
      <c r="AY62" s="67">
        <f t="shared" si="177"/>
        <v>2995.6120000000001</v>
      </c>
      <c r="AZ62" s="52">
        <f t="shared" si="177"/>
        <v>0</v>
      </c>
      <c r="BA62" s="52">
        <f t="shared" si="177"/>
        <v>0</v>
      </c>
      <c r="BB62" s="52">
        <f t="shared" si="177"/>
        <v>0</v>
      </c>
      <c r="BC62" s="52">
        <f t="shared" si="177"/>
        <v>7534</v>
      </c>
      <c r="BD62" s="67">
        <f t="shared" si="177"/>
        <v>7534</v>
      </c>
      <c r="BE62" s="52">
        <f t="shared" si="177"/>
        <v>0</v>
      </c>
      <c r="BF62" s="52">
        <f t="shared" si="177"/>
        <v>0</v>
      </c>
      <c r="BG62" s="52">
        <f t="shared" si="177"/>
        <v>0</v>
      </c>
      <c r="BH62" s="52">
        <f t="shared" si="177"/>
        <v>8164</v>
      </c>
      <c r="BI62" s="67">
        <f t="shared" si="177"/>
        <v>8164</v>
      </c>
      <c r="BJ62" s="52">
        <f t="shared" si="177"/>
        <v>0</v>
      </c>
      <c r="BK62" s="52">
        <f t="shared" si="177"/>
        <v>0</v>
      </c>
      <c r="BL62" s="52">
        <f t="shared" ref="BL62:CQ62" si="178">BL31+BL38+BL35+BL36</f>
        <v>0</v>
      </c>
      <c r="BM62" s="52">
        <f t="shared" si="178"/>
        <v>-355</v>
      </c>
      <c r="BN62" s="67">
        <f t="shared" si="178"/>
        <v>-355</v>
      </c>
      <c r="BO62" s="52">
        <f t="shared" si="178"/>
        <v>0</v>
      </c>
      <c r="BP62" s="52">
        <f t="shared" si="178"/>
        <v>0</v>
      </c>
      <c r="BQ62" s="52">
        <f t="shared" si="178"/>
        <v>0</v>
      </c>
      <c r="BR62" s="52">
        <f t="shared" si="178"/>
        <v>1042</v>
      </c>
      <c r="BS62" s="67">
        <f t="shared" si="178"/>
        <v>1042</v>
      </c>
      <c r="BT62" s="52">
        <f t="shared" si="178"/>
        <v>0</v>
      </c>
      <c r="BU62" s="52">
        <f t="shared" si="178"/>
        <v>0</v>
      </c>
      <c r="BV62" s="52">
        <f t="shared" si="178"/>
        <v>0</v>
      </c>
      <c r="BW62" s="52">
        <f t="shared" si="178"/>
        <v>-498</v>
      </c>
      <c r="BX62" s="67">
        <f t="shared" si="178"/>
        <v>-498</v>
      </c>
      <c r="BY62" s="52">
        <f t="shared" si="178"/>
        <v>-359</v>
      </c>
      <c r="BZ62" s="52">
        <f t="shared" si="178"/>
        <v>-1062</v>
      </c>
      <c r="CA62" s="52">
        <f t="shared" si="178"/>
        <v>849</v>
      </c>
      <c r="CB62" s="52">
        <f t="shared" si="178"/>
        <v>2058</v>
      </c>
      <c r="CC62" s="67">
        <f t="shared" si="178"/>
        <v>1486</v>
      </c>
      <c r="CD62" s="52">
        <f t="shared" si="178"/>
        <v>791</v>
      </c>
      <c r="CE62" s="52">
        <f t="shared" si="178"/>
        <v>195</v>
      </c>
      <c r="CF62" s="52">
        <f t="shared" si="178"/>
        <v>336</v>
      </c>
      <c r="CG62" s="52">
        <f t="shared" si="178"/>
        <v>1038</v>
      </c>
      <c r="CH62" s="67">
        <f t="shared" si="178"/>
        <v>2360</v>
      </c>
      <c r="CI62" s="52">
        <f t="shared" si="178"/>
        <v>1138</v>
      </c>
      <c r="CJ62" s="52">
        <f t="shared" si="178"/>
        <v>1726</v>
      </c>
      <c r="CK62" s="52">
        <f t="shared" si="178"/>
        <v>-946</v>
      </c>
      <c r="CL62" s="52">
        <f t="shared" si="178"/>
        <v>-991</v>
      </c>
      <c r="CM62" s="67">
        <f t="shared" si="178"/>
        <v>927</v>
      </c>
      <c r="CN62" s="52">
        <f t="shared" si="178"/>
        <v>-311</v>
      </c>
      <c r="CO62" s="52">
        <f t="shared" si="178"/>
        <v>-141</v>
      </c>
      <c r="CP62" s="52">
        <f t="shared" si="178"/>
        <v>976</v>
      </c>
      <c r="CQ62" s="52">
        <f t="shared" si="178"/>
        <v>-145</v>
      </c>
      <c r="CR62" s="67">
        <f t="shared" ref="CR62:DW62" si="179">CR31+CR38+CR35+CR36</f>
        <v>379</v>
      </c>
      <c r="CS62" s="52">
        <f t="shared" si="179"/>
        <v>-110</v>
      </c>
      <c r="CT62" s="52">
        <f t="shared" si="179"/>
        <v>696</v>
      </c>
      <c r="CU62" s="52">
        <f t="shared" si="179"/>
        <v>-295</v>
      </c>
      <c r="CV62" s="52">
        <f t="shared" si="179"/>
        <v>1356</v>
      </c>
      <c r="CW62" s="67">
        <f t="shared" si="179"/>
        <v>1647</v>
      </c>
      <c r="CX62" s="52">
        <f t="shared" si="179"/>
        <v>1299</v>
      </c>
      <c r="CY62" s="52">
        <f t="shared" si="179"/>
        <v>2806</v>
      </c>
      <c r="CZ62" s="52">
        <f t="shared" si="179"/>
        <v>3390</v>
      </c>
      <c r="DA62" s="52">
        <f t="shared" si="179"/>
        <v>1044</v>
      </c>
      <c r="DB62" s="67">
        <f t="shared" si="179"/>
        <v>8539</v>
      </c>
      <c r="DC62" s="52">
        <f t="shared" si="179"/>
        <v>688</v>
      </c>
      <c r="DD62" s="52">
        <f t="shared" si="179"/>
        <v>1091</v>
      </c>
      <c r="DE62" s="52">
        <f t="shared" ref="DE62:DF62" si="180">DE31+DE38+DE35+DE36</f>
        <v>2474</v>
      </c>
      <c r="DF62" s="52">
        <f t="shared" si="180"/>
        <v>3137</v>
      </c>
      <c r="DG62" s="67">
        <f t="shared" si="179"/>
        <v>7390</v>
      </c>
      <c r="DH62" s="52">
        <f t="shared" ref="DH62:DI62" si="181">DH31+DH38+DH35+DH36</f>
        <v>2282</v>
      </c>
      <c r="DI62" s="52">
        <f t="shared" si="181"/>
        <v>1014</v>
      </c>
      <c r="DJ62" s="52">
        <f t="shared" si="179"/>
        <v>1142.6624999999999</v>
      </c>
      <c r="DK62" s="52">
        <f t="shared" si="179"/>
        <v>1164.087421875</v>
      </c>
      <c r="DL62" s="67">
        <f t="shared" si="179"/>
        <v>5602.7499218749999</v>
      </c>
      <c r="DM62" s="52">
        <f t="shared" si="179"/>
        <v>1185.9140610351562</v>
      </c>
      <c r="DN62" s="52">
        <f t="shared" si="179"/>
        <v>1208.1499496795655</v>
      </c>
      <c r="DO62" s="52">
        <f t="shared" si="179"/>
        <v>1230.8027612360572</v>
      </c>
      <c r="DP62" s="52">
        <f t="shared" si="179"/>
        <v>1253.8803130092333</v>
      </c>
      <c r="DQ62" s="67">
        <f t="shared" si="179"/>
        <v>4878.7470849600122</v>
      </c>
      <c r="DR62" s="52">
        <f t="shared" si="179"/>
        <v>1277.3905688781563</v>
      </c>
      <c r="DS62" s="52">
        <f t="shared" si="179"/>
        <v>1301.3416420446217</v>
      </c>
      <c r="DT62" s="52">
        <f t="shared" si="179"/>
        <v>1325.7417978329584</v>
      </c>
      <c r="DU62" s="52">
        <f t="shared" si="179"/>
        <v>1350.5994565423264</v>
      </c>
      <c r="DV62" s="67">
        <f t="shared" si="179"/>
        <v>5255.0734652980627</v>
      </c>
      <c r="DW62" s="52">
        <f t="shared" si="179"/>
        <v>1375.9231963524951</v>
      </c>
      <c r="DX62" s="52">
        <f t="shared" ref="DX62:EF62" si="182">DX31+DX38+DX35+DX36</f>
        <v>1401.7217562841042</v>
      </c>
      <c r="DY62" s="52">
        <f t="shared" si="182"/>
        <v>1428.0040392144313</v>
      </c>
      <c r="DZ62" s="52">
        <f t="shared" si="182"/>
        <v>1454.7791149497018</v>
      </c>
      <c r="EA62" s="67">
        <f t="shared" si="182"/>
        <v>5660.4281068007322</v>
      </c>
      <c r="EB62" s="52">
        <f t="shared" si="182"/>
        <v>1482.0562233550088</v>
      </c>
      <c r="EC62" s="52">
        <f t="shared" si="182"/>
        <v>1509.8447775429154</v>
      </c>
      <c r="ED62" s="52">
        <f t="shared" si="182"/>
        <v>1538.1543671218449</v>
      </c>
      <c r="EE62" s="52">
        <f t="shared" si="182"/>
        <v>1566.9947615053795</v>
      </c>
      <c r="EF62" s="67">
        <f t="shared" si="182"/>
        <v>6097.0501295251488</v>
      </c>
    </row>
    <row r="63" spans="1:136" ht="12.75" customHeight="1">
      <c r="A63" s="41" t="s">
        <v>199</v>
      </c>
      <c r="B63" s="52">
        <f>B39</f>
        <v>0</v>
      </c>
      <c r="C63" s="52">
        <f>C39</f>
        <v>0</v>
      </c>
      <c r="D63" s="52">
        <f>D39</f>
        <v>0</v>
      </c>
      <c r="E63" s="52">
        <f>E39</f>
        <v>0</v>
      </c>
      <c r="F63" s="67">
        <f>F39</f>
        <v>0</v>
      </c>
      <c r="G63" s="52">
        <f t="shared" ref="G63:AE63" si="183">G39</f>
        <v>0</v>
      </c>
      <c r="H63" s="52">
        <f t="shared" si="183"/>
        <v>0</v>
      </c>
      <c r="I63" s="52">
        <f t="shared" si="183"/>
        <v>0</v>
      </c>
      <c r="J63" s="52">
        <f t="shared" si="183"/>
        <v>0</v>
      </c>
      <c r="K63" s="67">
        <f t="shared" si="183"/>
        <v>0</v>
      </c>
      <c r="L63" s="52">
        <f t="shared" si="183"/>
        <v>0</v>
      </c>
      <c r="M63" s="52">
        <f t="shared" si="183"/>
        <v>0</v>
      </c>
      <c r="N63" s="52">
        <f t="shared" si="183"/>
        <v>0</v>
      </c>
      <c r="O63" s="52">
        <f t="shared" si="183"/>
        <v>0</v>
      </c>
      <c r="P63" s="67">
        <f t="shared" si="183"/>
        <v>0</v>
      </c>
      <c r="Q63" s="52">
        <f t="shared" si="183"/>
        <v>0</v>
      </c>
      <c r="R63" s="52">
        <f t="shared" si="183"/>
        <v>0</v>
      </c>
      <c r="S63" s="52">
        <f t="shared" si="183"/>
        <v>0</v>
      </c>
      <c r="T63" s="52">
        <f t="shared" si="183"/>
        <v>0</v>
      </c>
      <c r="U63" s="67">
        <f t="shared" si="183"/>
        <v>0</v>
      </c>
      <c r="V63" s="52">
        <f t="shared" si="183"/>
        <v>0</v>
      </c>
      <c r="W63" s="52">
        <f t="shared" si="183"/>
        <v>0</v>
      </c>
      <c r="X63" s="52">
        <f t="shared" si="183"/>
        <v>0</v>
      </c>
      <c r="Y63" s="52">
        <f t="shared" si="183"/>
        <v>0</v>
      </c>
      <c r="Z63" s="67">
        <f t="shared" si="183"/>
        <v>0</v>
      </c>
      <c r="AA63" s="52">
        <f t="shared" si="183"/>
        <v>0</v>
      </c>
      <c r="AB63" s="52">
        <f t="shared" si="183"/>
        <v>0</v>
      </c>
      <c r="AC63" s="52">
        <f t="shared" si="183"/>
        <v>0</v>
      </c>
      <c r="AD63" s="52">
        <f t="shared" si="183"/>
        <v>0</v>
      </c>
      <c r="AE63" s="67">
        <f t="shared" si="183"/>
        <v>0</v>
      </c>
      <c r="AF63" s="52">
        <f t="shared" ref="AF63:AO63" si="184">AF39</f>
        <v>0</v>
      </c>
      <c r="AG63" s="52">
        <f t="shared" si="184"/>
        <v>0</v>
      </c>
      <c r="AH63" s="52">
        <f t="shared" si="184"/>
        <v>0</v>
      </c>
      <c r="AI63" s="52">
        <f t="shared" si="184"/>
        <v>58071.810000000027</v>
      </c>
      <c r="AJ63" s="67">
        <f t="shared" si="184"/>
        <v>58071.810000000027</v>
      </c>
      <c r="AK63" s="52">
        <f t="shared" si="184"/>
        <v>0</v>
      </c>
      <c r="AL63" s="52">
        <f t="shared" si="184"/>
        <v>0</v>
      </c>
      <c r="AM63" s="52">
        <f t="shared" si="184"/>
        <v>0</v>
      </c>
      <c r="AN63" s="52">
        <f t="shared" si="184"/>
        <v>101770.817</v>
      </c>
      <c r="AO63" s="67">
        <f t="shared" si="184"/>
        <v>101770.817</v>
      </c>
      <c r="AP63" s="52">
        <f t="shared" ref="AP63:BN63" si="185">AP39</f>
        <v>0</v>
      </c>
      <c r="AQ63" s="52">
        <f t="shared" si="185"/>
        <v>0</v>
      </c>
      <c r="AR63" s="52">
        <f t="shared" si="185"/>
        <v>0</v>
      </c>
      <c r="AS63" s="52">
        <f t="shared" si="185"/>
        <v>134961.81400000001</v>
      </c>
      <c r="AT63" s="67">
        <f t="shared" si="185"/>
        <v>134961.81400000001</v>
      </c>
      <c r="AU63" s="52">
        <f>AU39</f>
        <v>0</v>
      </c>
      <c r="AV63" s="52">
        <f>AV39</f>
        <v>0</v>
      </c>
      <c r="AW63" s="52">
        <f>AW39</f>
        <v>0</v>
      </c>
      <c r="AX63" s="52">
        <f>AX39</f>
        <v>185290.56399999995</v>
      </c>
      <c r="AY63" s="67">
        <f t="shared" si="185"/>
        <v>185290.56399999995</v>
      </c>
      <c r="AZ63" s="52">
        <f t="shared" si="185"/>
        <v>0</v>
      </c>
      <c r="BA63" s="52">
        <f t="shared" si="185"/>
        <v>0</v>
      </c>
      <c r="BB63" s="52">
        <f t="shared" si="185"/>
        <v>0</v>
      </c>
      <c r="BC63" s="52">
        <f t="shared" si="185"/>
        <v>184594</v>
      </c>
      <c r="BD63" s="67">
        <f t="shared" si="185"/>
        <v>184594</v>
      </c>
      <c r="BE63" s="52">
        <f>BE39</f>
        <v>0</v>
      </c>
      <c r="BF63" s="52">
        <f>BF39</f>
        <v>0</v>
      </c>
      <c r="BG63" s="52">
        <f>BG39</f>
        <v>0</v>
      </c>
      <c r="BH63" s="52">
        <f>BH39</f>
        <v>171769</v>
      </c>
      <c r="BI63" s="67">
        <f>BI39</f>
        <v>171769</v>
      </c>
      <c r="BJ63" s="52">
        <f t="shared" si="185"/>
        <v>0</v>
      </c>
      <c r="BK63" s="52">
        <f t="shared" si="185"/>
        <v>0</v>
      </c>
      <c r="BL63" s="52">
        <f t="shared" si="185"/>
        <v>0</v>
      </c>
      <c r="BM63" s="52">
        <f t="shared" si="185"/>
        <v>123109</v>
      </c>
      <c r="BN63" s="67">
        <f t="shared" si="185"/>
        <v>123109</v>
      </c>
      <c r="BO63" s="52">
        <f t="shared" ref="BO63:CE63" si="186">BO39</f>
        <v>0</v>
      </c>
      <c r="BP63" s="52">
        <f t="shared" si="186"/>
        <v>0</v>
      </c>
      <c r="BQ63" s="52">
        <f t="shared" si="186"/>
        <v>0</v>
      </c>
      <c r="BR63" s="52">
        <f t="shared" si="186"/>
        <v>142596</v>
      </c>
      <c r="BS63" s="67">
        <f t="shared" si="186"/>
        <v>142596</v>
      </c>
      <c r="BT63" s="52">
        <f t="shared" si="186"/>
        <v>0</v>
      </c>
      <c r="BU63" s="52">
        <f>BU39</f>
        <v>0</v>
      </c>
      <c r="BV63" s="52">
        <f t="shared" si="186"/>
        <v>0</v>
      </c>
      <c r="BW63" s="52">
        <f>BW39</f>
        <v>194461</v>
      </c>
      <c r="BX63" s="67">
        <f t="shared" si="186"/>
        <v>194461</v>
      </c>
      <c r="BY63" s="52">
        <f>BY39</f>
        <v>28257</v>
      </c>
      <c r="BZ63" s="52">
        <f>BZ39</f>
        <v>79268</v>
      </c>
      <c r="CA63" s="52">
        <f>CA39</f>
        <v>45183</v>
      </c>
      <c r="CB63" s="52">
        <f>CB39</f>
        <v>73387</v>
      </c>
      <c r="CC63" s="67">
        <f t="shared" si="186"/>
        <v>226095</v>
      </c>
      <c r="CD63" s="52">
        <f t="shared" si="186"/>
        <v>23155</v>
      </c>
      <c r="CE63" s="52">
        <f t="shared" si="186"/>
        <v>45884</v>
      </c>
      <c r="CF63" s="52">
        <f t="shared" ref="CF63:DG63" si="187">CF39</f>
        <v>66118</v>
      </c>
      <c r="CG63" s="52">
        <f t="shared" si="187"/>
        <v>81055</v>
      </c>
      <c r="CH63" s="67">
        <f t="shared" si="187"/>
        <v>216212</v>
      </c>
      <c r="CI63" s="52">
        <f t="shared" si="187"/>
        <v>58947</v>
      </c>
      <c r="CJ63" s="52">
        <f t="shared" si="187"/>
        <v>85365</v>
      </c>
      <c r="CK63" s="52">
        <f>CK39</f>
        <v>84976</v>
      </c>
      <c r="CL63" s="52">
        <f>CL39</f>
        <v>122353</v>
      </c>
      <c r="CM63" s="67">
        <f t="shared" si="187"/>
        <v>351641</v>
      </c>
      <c r="CN63" s="52">
        <f>CN39</f>
        <v>74988</v>
      </c>
      <c r="CO63" s="52">
        <f>CO39</f>
        <v>107387</v>
      </c>
      <c r="CP63" s="52">
        <f>CP39</f>
        <v>110405</v>
      </c>
      <c r="CQ63" s="52">
        <f>CQ39</f>
        <v>112224</v>
      </c>
      <c r="CR63" s="67">
        <f t="shared" si="187"/>
        <v>405004</v>
      </c>
      <c r="CS63" s="52">
        <f t="shared" si="187"/>
        <v>109392</v>
      </c>
      <c r="CT63" s="52">
        <f t="shared" si="187"/>
        <v>142265</v>
      </c>
      <c r="CU63" s="52">
        <f>CU39</f>
        <v>132019</v>
      </c>
      <c r="CV63" s="52">
        <f>CV39</f>
        <v>184353</v>
      </c>
      <c r="CW63" s="67">
        <f t="shared" si="187"/>
        <v>568029</v>
      </c>
      <c r="CX63" s="52">
        <f>CX39</f>
        <v>174256</v>
      </c>
      <c r="CY63" s="52">
        <f>CY39</f>
        <v>196190</v>
      </c>
      <c r="CZ63" s="52">
        <f>CZ39</f>
        <v>203590</v>
      </c>
      <c r="DA63" s="52">
        <f>DA39</f>
        <v>214560</v>
      </c>
      <c r="DB63" s="67">
        <f t="shared" si="187"/>
        <v>788596</v>
      </c>
      <c r="DC63" s="52">
        <f t="shared" si="187"/>
        <v>264667</v>
      </c>
      <c r="DD63" s="52">
        <f t="shared" si="187"/>
        <v>298596</v>
      </c>
      <c r="DE63" s="52">
        <f>DE39</f>
        <v>319973</v>
      </c>
      <c r="DF63" s="52">
        <f>DF39</f>
        <v>337010</v>
      </c>
      <c r="DG63" s="67">
        <f t="shared" si="187"/>
        <v>1220246</v>
      </c>
      <c r="DH63" s="52">
        <f t="shared" ref="DH63:DI63" si="188">DH39</f>
        <v>392436</v>
      </c>
      <c r="DI63" s="52">
        <f t="shared" si="188"/>
        <v>356305</v>
      </c>
      <c r="DJ63" s="52">
        <f t="shared" ref="DJ63:EF63" ca="1" si="189">DJ39</f>
        <v>384038.84438960347</v>
      </c>
      <c r="DK63" s="52">
        <f t="shared" ca="1" si="189"/>
        <v>444716.232788119</v>
      </c>
      <c r="DL63" s="67">
        <f t="shared" ca="1" si="189"/>
        <v>1577496.0771777225</v>
      </c>
      <c r="DM63" s="52">
        <f t="shared" ca="1" si="189"/>
        <v>444420.43367186619</v>
      </c>
      <c r="DN63" s="52">
        <f t="shared" ca="1" si="189"/>
        <v>458696.18572926283</v>
      </c>
      <c r="DO63" s="52">
        <f t="shared" ca="1" si="189"/>
        <v>464668.55710972875</v>
      </c>
      <c r="DP63" s="52">
        <f t="shared" ca="1" si="189"/>
        <v>478867.89482466306</v>
      </c>
      <c r="DQ63" s="67">
        <f t="shared" ca="1" si="189"/>
        <v>1846653.0713355206</v>
      </c>
      <c r="DR63" s="52">
        <f t="shared" ca="1" si="189"/>
        <v>496192.44596448436</v>
      </c>
      <c r="DS63" s="52">
        <f t="shared" ca="1" si="189"/>
        <v>494992.23535073275</v>
      </c>
      <c r="DT63" s="52">
        <f t="shared" ca="1" si="189"/>
        <v>511224.95180133666</v>
      </c>
      <c r="DU63" s="52">
        <f t="shared" ca="1" si="189"/>
        <v>531129.87342469161</v>
      </c>
      <c r="DV63" s="67">
        <f t="shared" ca="1" si="189"/>
        <v>2033539.5065412454</v>
      </c>
      <c r="DW63" s="52">
        <f t="shared" ca="1" si="189"/>
        <v>528440.16031695914</v>
      </c>
      <c r="DX63" s="52">
        <f t="shared" ca="1" si="189"/>
        <v>525333.90153442882</v>
      </c>
      <c r="DY63" s="52">
        <f t="shared" ca="1" si="189"/>
        <v>544634.21706097818</v>
      </c>
      <c r="DZ63" s="52">
        <f t="shared" ca="1" si="189"/>
        <v>564300.64440691355</v>
      </c>
      <c r="EA63" s="67">
        <f t="shared" ca="1" si="189"/>
        <v>2162708.9233192792</v>
      </c>
      <c r="EB63" s="52">
        <f t="shared" ca="1" si="189"/>
        <v>560394.54251565714</v>
      </c>
      <c r="EC63" s="52">
        <f t="shared" ca="1" si="189"/>
        <v>556156.68319637049</v>
      </c>
      <c r="ED63" s="52">
        <f t="shared" ca="1" si="189"/>
        <v>575513.92088162247</v>
      </c>
      <c r="EE63" s="52">
        <f t="shared" ca="1" si="189"/>
        <v>595200.58169283171</v>
      </c>
      <c r="EF63" s="67">
        <f t="shared" ca="1" si="189"/>
        <v>2287265.7282864819</v>
      </c>
    </row>
    <row r="64" spans="1:136" ht="12.75" customHeight="1">
      <c r="A64" s="41" t="s">
        <v>8</v>
      </c>
      <c r="B64" s="52">
        <f>B40+B42</f>
        <v>0</v>
      </c>
      <c r="C64" s="52">
        <f>C40+C42</f>
        <v>0</v>
      </c>
      <c r="D64" s="52">
        <f>D40+D42</f>
        <v>0</v>
      </c>
      <c r="E64" s="52">
        <f>E40+E42</f>
        <v>0</v>
      </c>
      <c r="F64" s="67">
        <f>F40+F42</f>
        <v>0</v>
      </c>
      <c r="G64" s="52">
        <f t="shared" ref="G64:AE64" si="190">G40+G42</f>
        <v>0</v>
      </c>
      <c r="H64" s="52">
        <f t="shared" si="190"/>
        <v>0</v>
      </c>
      <c r="I64" s="52">
        <f t="shared" si="190"/>
        <v>0</v>
      </c>
      <c r="J64" s="52">
        <f t="shared" si="190"/>
        <v>0</v>
      </c>
      <c r="K64" s="67">
        <f t="shared" si="190"/>
        <v>0</v>
      </c>
      <c r="L64" s="52">
        <f t="shared" si="190"/>
        <v>0</v>
      </c>
      <c r="M64" s="52">
        <f t="shared" si="190"/>
        <v>0</v>
      </c>
      <c r="N64" s="52">
        <f t="shared" si="190"/>
        <v>0</v>
      </c>
      <c r="O64" s="52">
        <f t="shared" si="190"/>
        <v>0</v>
      </c>
      <c r="P64" s="67">
        <f t="shared" si="190"/>
        <v>0</v>
      </c>
      <c r="Q64" s="52">
        <f t="shared" si="190"/>
        <v>0</v>
      </c>
      <c r="R64" s="52">
        <f t="shared" si="190"/>
        <v>0</v>
      </c>
      <c r="S64" s="52">
        <f t="shared" si="190"/>
        <v>0</v>
      </c>
      <c r="T64" s="52">
        <f t="shared" si="190"/>
        <v>0</v>
      </c>
      <c r="U64" s="67">
        <f t="shared" si="190"/>
        <v>0</v>
      </c>
      <c r="V64" s="52">
        <f t="shared" si="190"/>
        <v>0</v>
      </c>
      <c r="W64" s="52">
        <f t="shared" si="190"/>
        <v>0</v>
      </c>
      <c r="X64" s="52">
        <f t="shared" si="190"/>
        <v>0</v>
      </c>
      <c r="Y64" s="52">
        <f t="shared" si="190"/>
        <v>0</v>
      </c>
      <c r="Z64" s="67">
        <f t="shared" si="190"/>
        <v>0</v>
      </c>
      <c r="AA64" s="52">
        <f t="shared" si="190"/>
        <v>0</v>
      </c>
      <c r="AB64" s="52">
        <f t="shared" si="190"/>
        <v>0</v>
      </c>
      <c r="AC64" s="52">
        <f t="shared" si="190"/>
        <v>0</v>
      </c>
      <c r="AD64" s="52">
        <f t="shared" si="190"/>
        <v>0</v>
      </c>
      <c r="AE64" s="67">
        <f t="shared" si="190"/>
        <v>0</v>
      </c>
      <c r="AF64" s="52">
        <f t="shared" ref="AF64:AO64" si="191">AF40+AF42</f>
        <v>0</v>
      </c>
      <c r="AG64" s="52">
        <f t="shared" si="191"/>
        <v>0</v>
      </c>
      <c r="AH64" s="52">
        <f t="shared" si="191"/>
        <v>0</v>
      </c>
      <c r="AI64" s="52">
        <f t="shared" si="191"/>
        <v>-5974.0429999999997</v>
      </c>
      <c r="AJ64" s="67">
        <f t="shared" si="191"/>
        <v>-5974.0429999999997</v>
      </c>
      <c r="AK64" s="52">
        <f t="shared" si="191"/>
        <v>0</v>
      </c>
      <c r="AL64" s="52">
        <f t="shared" si="191"/>
        <v>0</v>
      </c>
      <c r="AM64" s="52">
        <f t="shared" si="191"/>
        <v>0</v>
      </c>
      <c r="AN64" s="52">
        <f t="shared" si="191"/>
        <v>-11767.944</v>
      </c>
      <c r="AO64" s="67">
        <f t="shared" si="191"/>
        <v>-11767.944</v>
      </c>
      <c r="AP64" s="52">
        <f t="shared" ref="AP64:BN64" si="192">AP40+AP42</f>
        <v>0</v>
      </c>
      <c r="AQ64" s="52">
        <f t="shared" si="192"/>
        <v>0</v>
      </c>
      <c r="AR64" s="52">
        <f t="shared" si="192"/>
        <v>0</v>
      </c>
      <c r="AS64" s="52">
        <f t="shared" si="192"/>
        <v>-11627.112999999999</v>
      </c>
      <c r="AT64" s="67">
        <f t="shared" si="192"/>
        <v>-11627.112999999999</v>
      </c>
      <c r="AU64" s="52">
        <f>AU40+AU42</f>
        <v>0</v>
      </c>
      <c r="AV64" s="52">
        <f>AV40+AV42</f>
        <v>0</v>
      </c>
      <c r="AW64" s="52">
        <f>AW40+AW42</f>
        <v>0</v>
      </c>
      <c r="AX64" s="52">
        <f>AX40+AX42</f>
        <v>-13554.618</v>
      </c>
      <c r="AY64" s="67">
        <f t="shared" si="192"/>
        <v>-13554.618</v>
      </c>
      <c r="AZ64" s="52">
        <f t="shared" si="192"/>
        <v>0</v>
      </c>
      <c r="BA64" s="52">
        <f t="shared" si="192"/>
        <v>0</v>
      </c>
      <c r="BB64" s="52">
        <f t="shared" si="192"/>
        <v>0</v>
      </c>
      <c r="BC64" s="52">
        <f t="shared" si="192"/>
        <v>-11805</v>
      </c>
      <c r="BD64" s="67">
        <f t="shared" si="192"/>
        <v>-11805</v>
      </c>
      <c r="BE64" s="52">
        <f>BE40+BE42</f>
        <v>0</v>
      </c>
      <c r="BF64" s="52">
        <f>BF40+BF42</f>
        <v>0</v>
      </c>
      <c r="BG64" s="52">
        <f>BG40+BG42</f>
        <v>0</v>
      </c>
      <c r="BH64" s="52">
        <f>BH40+BH42</f>
        <v>-10440</v>
      </c>
      <c r="BI64" s="67">
        <f>BI40+BI42</f>
        <v>-10440</v>
      </c>
      <c r="BJ64" s="52">
        <f t="shared" si="192"/>
        <v>0</v>
      </c>
      <c r="BK64" s="52">
        <f t="shared" si="192"/>
        <v>0</v>
      </c>
      <c r="BL64" s="52">
        <f t="shared" si="192"/>
        <v>0</v>
      </c>
      <c r="BM64" s="52">
        <f t="shared" si="192"/>
        <v>-11313</v>
      </c>
      <c r="BN64" s="67">
        <f t="shared" si="192"/>
        <v>-11313</v>
      </c>
      <c r="BO64" s="52">
        <f t="shared" ref="BO64:CE64" si="193">BO40+BO42</f>
        <v>0</v>
      </c>
      <c r="BP64" s="52">
        <f t="shared" si="193"/>
        <v>0</v>
      </c>
      <c r="BQ64" s="52">
        <f t="shared" si="193"/>
        <v>0</v>
      </c>
      <c r="BR64" s="52">
        <f t="shared" si="193"/>
        <v>-13819</v>
      </c>
      <c r="BS64" s="67">
        <f t="shared" si="193"/>
        <v>-13819</v>
      </c>
      <c r="BT64" s="52">
        <f t="shared" si="193"/>
        <v>0</v>
      </c>
      <c r="BU64" s="52">
        <f>BU40+BU42</f>
        <v>0</v>
      </c>
      <c r="BV64" s="52">
        <f t="shared" si="193"/>
        <v>0</v>
      </c>
      <c r="BW64" s="52">
        <f>BW40+BW42</f>
        <v>-18450</v>
      </c>
      <c r="BX64" s="67">
        <f t="shared" si="193"/>
        <v>-18450</v>
      </c>
      <c r="BY64" s="52">
        <f>BY40+BY42</f>
        <v>-4751</v>
      </c>
      <c r="BZ64" s="52">
        <f>BZ40+BZ42</f>
        <v>-5534</v>
      </c>
      <c r="CA64" s="52">
        <f>CA40+CA42</f>
        <v>-4879</v>
      </c>
      <c r="CB64" s="52">
        <f>CB40+CB42</f>
        <v>-6875</v>
      </c>
      <c r="CC64" s="67">
        <f t="shared" si="193"/>
        <v>-22039</v>
      </c>
      <c r="CD64" s="52">
        <f t="shared" si="193"/>
        <v>-7737</v>
      </c>
      <c r="CE64" s="52">
        <f t="shared" si="193"/>
        <v>-4872</v>
      </c>
      <c r="CF64" s="52">
        <f t="shared" ref="CF64:DG64" si="194">CF40+CF42</f>
        <v>-6903</v>
      </c>
      <c r="CG64" s="52">
        <f t="shared" si="194"/>
        <v>-6702</v>
      </c>
      <c r="CH64" s="67">
        <f t="shared" si="194"/>
        <v>-26214</v>
      </c>
      <c r="CI64" s="52">
        <f t="shared" si="194"/>
        <v>-6879</v>
      </c>
      <c r="CJ64" s="52">
        <f t="shared" si="194"/>
        <v>-8414</v>
      </c>
      <c r="CK64" s="52">
        <f>CK40+CK42</f>
        <v>-10329</v>
      </c>
      <c r="CL64" s="52">
        <f>CL40+CL42</f>
        <v>-10710</v>
      </c>
      <c r="CM64" s="67">
        <f t="shared" si="194"/>
        <v>-36332</v>
      </c>
      <c r="CN64" s="52">
        <f>CN40+CN42</f>
        <v>-11637</v>
      </c>
      <c r="CO64" s="52">
        <f>CO40+CO42</f>
        <v>-14448</v>
      </c>
      <c r="CP64" s="52">
        <f>CP40+CP42</f>
        <v>-15534</v>
      </c>
      <c r="CQ64" s="52">
        <f>CQ40+CQ42</f>
        <v>-14945</v>
      </c>
      <c r="CR64" s="67">
        <f t="shared" si="194"/>
        <v>-56564</v>
      </c>
      <c r="CS64" s="52">
        <f t="shared" si="194"/>
        <v>-15336</v>
      </c>
      <c r="CT64" s="52">
        <f t="shared" si="194"/>
        <v>-18195</v>
      </c>
      <c r="CU64" s="52">
        <f>CU40+CU42</f>
        <v>-19128</v>
      </c>
      <c r="CV64" s="52">
        <f>CV40+CV42</f>
        <v>-19759</v>
      </c>
      <c r="CW64" s="67">
        <f t="shared" si="194"/>
        <v>-72418</v>
      </c>
      <c r="CX64" s="52">
        <f>CX40+CX42</f>
        <v>-20186</v>
      </c>
      <c r="CY64" s="52">
        <f>CY40+CY42</f>
        <v>-20908</v>
      </c>
      <c r="CZ64" s="52">
        <f>CZ40+CZ42</f>
        <v>-23002</v>
      </c>
      <c r="DA64" s="52">
        <f>DA40+DA42</f>
        <v>-25688</v>
      </c>
      <c r="DB64" s="67">
        <f t="shared" si="194"/>
        <v>-89784</v>
      </c>
      <c r="DC64" s="52">
        <f t="shared" si="194"/>
        <v>-31003</v>
      </c>
      <c r="DD64" s="52">
        <f t="shared" si="194"/>
        <v>-31439</v>
      </c>
      <c r="DE64" s="52">
        <f>DE40+DE42</f>
        <v>-36763</v>
      </c>
      <c r="DF64" s="52">
        <f>DF40+DF42</f>
        <v>-39821</v>
      </c>
      <c r="DG64" s="67">
        <f t="shared" si="194"/>
        <v>-139026</v>
      </c>
      <c r="DH64" s="52">
        <f t="shared" ref="DH64:DI64" si="195">DH40+DH42</f>
        <v>-41280</v>
      </c>
      <c r="DI64" s="52">
        <f t="shared" si="195"/>
        <v>-45114</v>
      </c>
      <c r="DJ64" s="52">
        <f t="shared" ref="DJ64:EF64" si="196">DJ40+DJ42</f>
        <v>-32290.580553040974</v>
      </c>
      <c r="DK64" s="52">
        <f t="shared" si="196"/>
        <v>-34965.931063002448</v>
      </c>
      <c r="DL64" s="67">
        <f t="shared" si="196"/>
        <v>-153650.51161604343</v>
      </c>
      <c r="DM64" s="52">
        <f t="shared" si="196"/>
        <v>-35719.744880202379</v>
      </c>
      <c r="DN64" s="52">
        <f t="shared" si="196"/>
        <v>-36895.993716738718</v>
      </c>
      <c r="DO64" s="52">
        <f t="shared" si="196"/>
        <v>-37893.865168978788</v>
      </c>
      <c r="DP64" s="52">
        <f t="shared" si="196"/>
        <v>-38814.960158446731</v>
      </c>
      <c r="DQ64" s="67">
        <f t="shared" si="196"/>
        <v>-149324.56392436661</v>
      </c>
      <c r="DR64" s="52">
        <f t="shared" si="196"/>
        <v>-39679.332400456529</v>
      </c>
      <c r="DS64" s="52">
        <f t="shared" si="196"/>
        <v>-40500.897282225837</v>
      </c>
      <c r="DT64" s="52">
        <f t="shared" si="196"/>
        <v>-41288.697574235681</v>
      </c>
      <c r="DU64" s="52">
        <f t="shared" si="196"/>
        <v>-42048.987806266836</v>
      </c>
      <c r="DV64" s="67">
        <f t="shared" si="196"/>
        <v>-163517.91506318489</v>
      </c>
      <c r="DW64" s="52">
        <f t="shared" si="196"/>
        <v>-42786.356733900087</v>
      </c>
      <c r="DX64" s="52">
        <f t="shared" si="196"/>
        <v>-43504.362884380731</v>
      </c>
      <c r="DY64" s="52">
        <f t="shared" si="196"/>
        <v>-44205.897363873104</v>
      </c>
      <c r="DZ64" s="52">
        <f t="shared" si="196"/>
        <v>-44893.394464522091</v>
      </c>
      <c r="EA64" s="67">
        <f t="shared" si="196"/>
        <v>-175390.01144667601</v>
      </c>
      <c r="EB64" s="52">
        <f t="shared" si="196"/>
        <v>-45568.956953606459</v>
      </c>
      <c r="EC64" s="52">
        <f t="shared" si="196"/>
        <v>-46234.433222960317</v>
      </c>
      <c r="ED64" s="52">
        <f t="shared" si="196"/>
        <v>-46891.466995131712</v>
      </c>
      <c r="EE64" s="52">
        <f t="shared" si="196"/>
        <v>-47541.531135756035</v>
      </c>
      <c r="EF64" s="67">
        <f t="shared" si="196"/>
        <v>-186236.3883074545</v>
      </c>
    </row>
    <row r="65" spans="1:136" ht="12.75" customHeight="1">
      <c r="A65" s="41" t="s">
        <v>98</v>
      </c>
      <c r="B65" s="52">
        <f>B46</f>
        <v>0</v>
      </c>
      <c r="C65" s="52">
        <f>C46</f>
        <v>0</v>
      </c>
      <c r="D65" s="52">
        <f>D46</f>
        <v>0</v>
      </c>
      <c r="E65" s="52">
        <f>E46</f>
        <v>0</v>
      </c>
      <c r="F65" s="67">
        <f>F46</f>
        <v>0</v>
      </c>
      <c r="G65" s="52">
        <f t="shared" ref="G65:AE65" si="197">G46</f>
        <v>0</v>
      </c>
      <c r="H65" s="52">
        <f t="shared" si="197"/>
        <v>0</v>
      </c>
      <c r="I65" s="52">
        <f t="shared" si="197"/>
        <v>0</v>
      </c>
      <c r="J65" s="52">
        <f t="shared" si="197"/>
        <v>0</v>
      </c>
      <c r="K65" s="67">
        <f t="shared" si="197"/>
        <v>0</v>
      </c>
      <c r="L65" s="52">
        <f t="shared" si="197"/>
        <v>0</v>
      </c>
      <c r="M65" s="52">
        <f t="shared" si="197"/>
        <v>0</v>
      </c>
      <c r="N65" s="52">
        <f t="shared" si="197"/>
        <v>0</v>
      </c>
      <c r="O65" s="52">
        <f t="shared" si="197"/>
        <v>0</v>
      </c>
      <c r="P65" s="67">
        <f t="shared" si="197"/>
        <v>0</v>
      </c>
      <c r="Q65" s="52">
        <f t="shared" si="197"/>
        <v>0</v>
      </c>
      <c r="R65" s="52">
        <f t="shared" si="197"/>
        <v>0</v>
      </c>
      <c r="S65" s="52">
        <f t="shared" si="197"/>
        <v>0</v>
      </c>
      <c r="T65" s="52">
        <f t="shared" si="197"/>
        <v>0</v>
      </c>
      <c r="U65" s="67">
        <f t="shared" si="197"/>
        <v>0</v>
      </c>
      <c r="V65" s="52">
        <f t="shared" si="197"/>
        <v>0</v>
      </c>
      <c r="W65" s="52">
        <f t="shared" si="197"/>
        <v>0</v>
      </c>
      <c r="X65" s="52">
        <f t="shared" si="197"/>
        <v>0</v>
      </c>
      <c r="Y65" s="52">
        <f t="shared" si="197"/>
        <v>0</v>
      </c>
      <c r="Z65" s="67">
        <f t="shared" si="197"/>
        <v>0</v>
      </c>
      <c r="AA65" s="52">
        <f t="shared" si="197"/>
        <v>0</v>
      </c>
      <c r="AB65" s="52">
        <f t="shared" si="197"/>
        <v>0</v>
      </c>
      <c r="AC65" s="52">
        <f t="shared" si="197"/>
        <v>0</v>
      </c>
      <c r="AD65" s="52">
        <f t="shared" si="197"/>
        <v>0</v>
      </c>
      <c r="AE65" s="67">
        <f t="shared" si="197"/>
        <v>0</v>
      </c>
      <c r="AF65" s="52">
        <f t="shared" ref="AF65:AO65" si="198">AF46</f>
        <v>0</v>
      </c>
      <c r="AG65" s="52">
        <f t="shared" si="198"/>
        <v>0</v>
      </c>
      <c r="AH65" s="52">
        <f t="shared" si="198"/>
        <v>0</v>
      </c>
      <c r="AI65" s="52">
        <f t="shared" si="198"/>
        <v>0</v>
      </c>
      <c r="AJ65" s="67">
        <f t="shared" si="198"/>
        <v>0</v>
      </c>
      <c r="AK65" s="52">
        <f t="shared" si="198"/>
        <v>0</v>
      </c>
      <c r="AL65" s="52">
        <f t="shared" si="198"/>
        <v>0</v>
      </c>
      <c r="AM65" s="52">
        <f t="shared" si="198"/>
        <v>0</v>
      </c>
      <c r="AN65" s="52">
        <f t="shared" si="198"/>
        <v>0</v>
      </c>
      <c r="AO65" s="67">
        <f t="shared" si="198"/>
        <v>0</v>
      </c>
      <c r="AP65" s="52">
        <f t="shared" ref="AP65:BN65" si="199">AP46</f>
        <v>0</v>
      </c>
      <c r="AQ65" s="52">
        <f t="shared" si="199"/>
        <v>0</v>
      </c>
      <c r="AR65" s="52">
        <f t="shared" si="199"/>
        <v>0</v>
      </c>
      <c r="AS65" s="52">
        <f t="shared" si="199"/>
        <v>-43253.514000000003</v>
      </c>
      <c r="AT65" s="67">
        <f t="shared" si="199"/>
        <v>-43253.514000000003</v>
      </c>
      <c r="AU65" s="52">
        <f>AU46</f>
        <v>0</v>
      </c>
      <c r="AV65" s="52">
        <f>AV46</f>
        <v>0</v>
      </c>
      <c r="AW65" s="52">
        <f>AW46</f>
        <v>0</v>
      </c>
      <c r="AX65" s="52">
        <f>AX46</f>
        <v>-66655.695000000007</v>
      </c>
      <c r="AY65" s="67">
        <f t="shared" si="199"/>
        <v>-66655.695000000007</v>
      </c>
      <c r="AZ65" s="52">
        <f t="shared" si="199"/>
        <v>0</v>
      </c>
      <c r="BA65" s="52">
        <f t="shared" si="199"/>
        <v>0</v>
      </c>
      <c r="BB65" s="52">
        <f t="shared" si="199"/>
        <v>0</v>
      </c>
      <c r="BC65" s="52">
        <f t="shared" si="199"/>
        <v>-38258</v>
      </c>
      <c r="BD65" s="67">
        <f t="shared" si="199"/>
        <v>-38258</v>
      </c>
      <c r="BE65" s="52">
        <f>BE46</f>
        <v>0</v>
      </c>
      <c r="BF65" s="52">
        <f>BF46</f>
        <v>0</v>
      </c>
      <c r="BG65" s="52">
        <f>BG46</f>
        <v>0</v>
      </c>
      <c r="BH65" s="52">
        <f>BH46</f>
        <v>-30221</v>
      </c>
      <c r="BI65" s="67">
        <f>BI46</f>
        <v>-30221</v>
      </c>
      <c r="BJ65" s="52">
        <f t="shared" si="199"/>
        <v>0</v>
      </c>
      <c r="BK65" s="52">
        <f t="shared" si="199"/>
        <v>0</v>
      </c>
      <c r="BL65" s="52">
        <f t="shared" si="199"/>
        <v>0</v>
      </c>
      <c r="BM65" s="52">
        <f t="shared" si="199"/>
        <v>-20810</v>
      </c>
      <c r="BN65" s="67">
        <f t="shared" si="199"/>
        <v>-20810</v>
      </c>
      <c r="BO65" s="52">
        <f t="shared" ref="BO65:CE65" si="200">BO46</f>
        <v>0</v>
      </c>
      <c r="BP65" s="52">
        <f t="shared" si="200"/>
        <v>0</v>
      </c>
      <c r="BQ65" s="52">
        <f t="shared" si="200"/>
        <v>0</v>
      </c>
      <c r="BR65" s="52">
        <f t="shared" si="200"/>
        <v>-15943</v>
      </c>
      <c r="BS65" s="67">
        <f t="shared" si="200"/>
        <v>-15943</v>
      </c>
      <c r="BT65" s="52">
        <f t="shared" si="200"/>
        <v>0</v>
      </c>
      <c r="BU65" s="52">
        <f>BU46</f>
        <v>0</v>
      </c>
      <c r="BV65" s="52">
        <f t="shared" si="200"/>
        <v>0</v>
      </c>
      <c r="BW65" s="52">
        <f>BW46</f>
        <v>-45012</v>
      </c>
      <c r="BX65" s="67">
        <f t="shared" si="200"/>
        <v>-45012</v>
      </c>
      <c r="BY65" s="52">
        <f>BY46</f>
        <v>-5130</v>
      </c>
      <c r="BZ65" s="52">
        <f>BZ46</f>
        <v>-12661</v>
      </c>
      <c r="CA65" s="52">
        <f>CA46</f>
        <v>-9996</v>
      </c>
      <c r="CB65" s="52">
        <f>CB46</f>
        <v>-16141</v>
      </c>
      <c r="CC65" s="67">
        <f t="shared" si="200"/>
        <v>-43928</v>
      </c>
      <c r="CD65" s="52">
        <f t="shared" si="200"/>
        <v>-8918</v>
      </c>
      <c r="CE65" s="52">
        <f t="shared" si="200"/>
        <v>-4023</v>
      </c>
      <c r="CF65" s="52">
        <f t="shared" ref="CF65:DG65" si="201">CF46</f>
        <v>-9861</v>
      </c>
      <c r="CG65" s="52">
        <f t="shared" si="201"/>
        <v>-6384</v>
      </c>
      <c r="CH65" s="67">
        <f t="shared" si="201"/>
        <v>-29186</v>
      </c>
      <c r="CI65" s="52">
        <f t="shared" si="201"/>
        <v>-2075</v>
      </c>
      <c r="CJ65" s="52">
        <f t="shared" si="201"/>
        <v>1652</v>
      </c>
      <c r="CK65" s="52">
        <f>CK46</f>
        <v>-7242</v>
      </c>
      <c r="CL65" s="52">
        <f>CL46</f>
        <v>-7895</v>
      </c>
      <c r="CM65" s="67">
        <f t="shared" si="201"/>
        <v>-15560</v>
      </c>
      <c r="CN65" s="52">
        <f>CN46</f>
        <v>-1448</v>
      </c>
      <c r="CO65" s="52">
        <f>CO46</f>
        <v>-6614</v>
      </c>
      <c r="CP65" s="52">
        <f>CP46</f>
        <v>-4999</v>
      </c>
      <c r="CQ65" s="52">
        <f>CQ46</f>
        <v>-5494</v>
      </c>
      <c r="CR65" s="67">
        <f t="shared" si="201"/>
        <v>-18555</v>
      </c>
      <c r="CS65" s="52">
        <f t="shared" si="201"/>
        <v>-2207</v>
      </c>
      <c r="CT65" s="52">
        <f t="shared" si="201"/>
        <v>-2697</v>
      </c>
      <c r="CU65" s="52">
        <f>CU46</f>
        <v>-4671</v>
      </c>
      <c r="CV65" s="52">
        <f>CV46</f>
        <v>-4271</v>
      </c>
      <c r="CW65" s="67">
        <f t="shared" si="201"/>
        <v>-13846</v>
      </c>
      <c r="CX65" s="52">
        <f>CX46</f>
        <v>-12829</v>
      </c>
      <c r="CY65" s="52">
        <f>CY46</f>
        <v>-3035</v>
      </c>
      <c r="CZ65" s="52">
        <f>CZ46</f>
        <v>-10017</v>
      </c>
      <c r="DA65" s="52">
        <f>DA46</f>
        <v>-23088</v>
      </c>
      <c r="DB65" s="67">
        <f t="shared" si="201"/>
        <v>-48969</v>
      </c>
      <c r="DC65" s="52">
        <f t="shared" si="201"/>
        <v>-20189</v>
      </c>
      <c r="DD65" s="52">
        <f t="shared" si="201"/>
        <v>-30426</v>
      </c>
      <c r="DE65" s="52">
        <f>DE46</f>
        <v>-27957</v>
      </c>
      <c r="DF65" s="52">
        <f>DF46</f>
        <v>-27112</v>
      </c>
      <c r="DG65" s="67">
        <f t="shared" si="201"/>
        <v>-105684</v>
      </c>
      <c r="DH65" s="52">
        <f t="shared" ref="DH65:DI65" si="202">DH46</f>
        <v>-48319</v>
      </c>
      <c r="DI65" s="52">
        <f t="shared" si="202"/>
        <v>-40740</v>
      </c>
      <c r="DJ65" s="52">
        <f t="shared" ref="DJ65:EF65" si="203">DJ46</f>
        <v>-44304.412499999999</v>
      </c>
      <c r="DK65" s="52">
        <f t="shared" si="203"/>
        <v>-46796.535703125002</v>
      </c>
      <c r="DL65" s="67">
        <f t="shared" si="203"/>
        <v>-180159.94820312501</v>
      </c>
      <c r="DM65" s="52">
        <f t="shared" si="203"/>
        <v>-38444.653983886717</v>
      </c>
      <c r="DN65" s="52">
        <f t="shared" si="203"/>
        <v>-40126.607595681759</v>
      </c>
      <c r="DO65" s="52">
        <f t="shared" si="203"/>
        <v>-41882.146677992838</v>
      </c>
      <c r="DP65" s="52">
        <f t="shared" si="203"/>
        <v>-43714.490595155032</v>
      </c>
      <c r="DQ65" s="67">
        <f t="shared" si="203"/>
        <v>-164167.89885271632</v>
      </c>
      <c r="DR65" s="52">
        <f t="shared" si="203"/>
        <v>-39108.856764594057</v>
      </c>
      <c r="DS65" s="52">
        <f t="shared" si="203"/>
        <v>-40575.438893266335</v>
      </c>
      <c r="DT65" s="52">
        <f t="shared" si="203"/>
        <v>-42097.01785176382</v>
      </c>
      <c r="DU65" s="52">
        <f t="shared" si="203"/>
        <v>-43675.656021204959</v>
      </c>
      <c r="DV65" s="67">
        <f t="shared" si="203"/>
        <v>-165456.96953082917</v>
      </c>
      <c r="DW65" s="52">
        <f t="shared" si="203"/>
        <v>-45313.493122000153</v>
      </c>
      <c r="DX65" s="52">
        <f t="shared" si="203"/>
        <v>-47012.749114075159</v>
      </c>
      <c r="DY65" s="52">
        <f t="shared" si="203"/>
        <v>-48775.727205852978</v>
      </c>
      <c r="DZ65" s="52">
        <f t="shared" si="203"/>
        <v>-50604.816976072463</v>
      </c>
      <c r="EA65" s="67">
        <f t="shared" si="203"/>
        <v>-191706.78641800076</v>
      </c>
      <c r="EB65" s="52">
        <f t="shared" si="203"/>
        <v>-52502.497612675186</v>
      </c>
      <c r="EC65" s="52">
        <f t="shared" si="203"/>
        <v>-54471.341273150501</v>
      </c>
      <c r="ED65" s="52">
        <f t="shared" si="203"/>
        <v>-56514.016570893647</v>
      </c>
      <c r="EE65" s="52">
        <f t="shared" si="203"/>
        <v>-58633.292192302157</v>
      </c>
      <c r="EF65" s="67">
        <f t="shared" si="203"/>
        <v>-222121.14764902147</v>
      </c>
    </row>
    <row r="66" spans="1:136" ht="12.75" customHeight="1">
      <c r="A66" s="41" t="s">
        <v>101</v>
      </c>
      <c r="B66" s="52">
        <f>B48</f>
        <v>0</v>
      </c>
      <c r="C66" s="52">
        <f>C48</f>
        <v>0</v>
      </c>
      <c r="D66" s="52">
        <f>D48</f>
        <v>0</v>
      </c>
      <c r="E66" s="52">
        <f>E48</f>
        <v>0</v>
      </c>
      <c r="F66" s="67">
        <f>F48</f>
        <v>0</v>
      </c>
      <c r="G66" s="52">
        <f t="shared" ref="G66:AE66" si="204">G48</f>
        <v>0</v>
      </c>
      <c r="H66" s="52">
        <f t="shared" si="204"/>
        <v>0</v>
      </c>
      <c r="I66" s="52">
        <f t="shared" si="204"/>
        <v>0</v>
      </c>
      <c r="J66" s="52">
        <f t="shared" si="204"/>
        <v>0</v>
      </c>
      <c r="K66" s="67">
        <f t="shared" si="204"/>
        <v>0</v>
      </c>
      <c r="L66" s="52">
        <f t="shared" si="204"/>
        <v>0</v>
      </c>
      <c r="M66" s="52">
        <f t="shared" si="204"/>
        <v>0</v>
      </c>
      <c r="N66" s="52">
        <f t="shared" si="204"/>
        <v>0</v>
      </c>
      <c r="O66" s="52">
        <f t="shared" si="204"/>
        <v>0</v>
      </c>
      <c r="P66" s="67">
        <f t="shared" si="204"/>
        <v>0</v>
      </c>
      <c r="Q66" s="52">
        <f t="shared" si="204"/>
        <v>0</v>
      </c>
      <c r="R66" s="52">
        <f t="shared" si="204"/>
        <v>0</v>
      </c>
      <c r="S66" s="52">
        <f t="shared" si="204"/>
        <v>0</v>
      </c>
      <c r="T66" s="52">
        <f t="shared" si="204"/>
        <v>0</v>
      </c>
      <c r="U66" s="67">
        <f t="shared" si="204"/>
        <v>0</v>
      </c>
      <c r="V66" s="52">
        <f t="shared" si="204"/>
        <v>0</v>
      </c>
      <c r="W66" s="52">
        <f t="shared" si="204"/>
        <v>0</v>
      </c>
      <c r="X66" s="52">
        <f t="shared" si="204"/>
        <v>0</v>
      </c>
      <c r="Y66" s="52">
        <f t="shared" si="204"/>
        <v>0</v>
      </c>
      <c r="Z66" s="67">
        <f t="shared" si="204"/>
        <v>0</v>
      </c>
      <c r="AA66" s="52">
        <f t="shared" si="204"/>
        <v>0</v>
      </c>
      <c r="AB66" s="52">
        <f t="shared" si="204"/>
        <v>0</v>
      </c>
      <c r="AC66" s="52">
        <f t="shared" si="204"/>
        <v>0</v>
      </c>
      <c r="AD66" s="52">
        <f t="shared" si="204"/>
        <v>0</v>
      </c>
      <c r="AE66" s="67">
        <f t="shared" si="204"/>
        <v>0</v>
      </c>
      <c r="AF66" s="52">
        <f t="shared" ref="AF66:AO66" si="205">AF48</f>
        <v>0</v>
      </c>
      <c r="AG66" s="52">
        <f t="shared" si="205"/>
        <v>0</v>
      </c>
      <c r="AH66" s="52">
        <f t="shared" si="205"/>
        <v>0</v>
      </c>
      <c r="AI66" s="52">
        <f t="shared" si="205"/>
        <v>52097.767000000029</v>
      </c>
      <c r="AJ66" s="67">
        <f t="shared" si="205"/>
        <v>52097.767000000029</v>
      </c>
      <c r="AK66" s="52">
        <f t="shared" si="205"/>
        <v>0</v>
      </c>
      <c r="AL66" s="52">
        <f t="shared" si="205"/>
        <v>0</v>
      </c>
      <c r="AM66" s="52">
        <f t="shared" si="205"/>
        <v>0</v>
      </c>
      <c r="AN66" s="52">
        <f t="shared" si="205"/>
        <v>90002.872999999992</v>
      </c>
      <c r="AO66" s="67">
        <f t="shared" si="205"/>
        <v>90002.872999999992</v>
      </c>
      <c r="AP66" s="52">
        <f t="shared" ref="AP66:BN66" si="206">AP48</f>
        <v>0</v>
      </c>
      <c r="AQ66" s="52">
        <f t="shared" si="206"/>
        <v>0</v>
      </c>
      <c r="AR66" s="52">
        <f t="shared" si="206"/>
        <v>0</v>
      </c>
      <c r="AS66" s="52">
        <f t="shared" si="206"/>
        <v>80081.187000000005</v>
      </c>
      <c r="AT66" s="67">
        <f t="shared" si="206"/>
        <v>80081.187000000005</v>
      </c>
      <c r="AU66" s="52">
        <f>AU48</f>
        <v>0</v>
      </c>
      <c r="AV66" s="52">
        <f>AV48</f>
        <v>0</v>
      </c>
      <c r="AW66" s="52">
        <f>AW48</f>
        <v>0</v>
      </c>
      <c r="AX66" s="52">
        <f>AX48</f>
        <v>105080.25099999996</v>
      </c>
      <c r="AY66" s="67">
        <f t="shared" si="206"/>
        <v>105080.25099999996</v>
      </c>
      <c r="AZ66" s="52">
        <f t="shared" si="206"/>
        <v>0</v>
      </c>
      <c r="BA66" s="52">
        <f t="shared" si="206"/>
        <v>0</v>
      </c>
      <c r="BB66" s="52">
        <f t="shared" si="206"/>
        <v>0</v>
      </c>
      <c r="BC66" s="52">
        <f t="shared" si="206"/>
        <v>134531</v>
      </c>
      <c r="BD66" s="67">
        <f t="shared" si="206"/>
        <v>134531</v>
      </c>
      <c r="BE66" s="52">
        <f>BE48</f>
        <v>0</v>
      </c>
      <c r="BF66" s="52">
        <f>BF48</f>
        <v>0</v>
      </c>
      <c r="BG66" s="52">
        <f>BG48</f>
        <v>0</v>
      </c>
      <c r="BH66" s="52">
        <f>BH48</f>
        <v>131108</v>
      </c>
      <c r="BI66" s="67">
        <f>BI48</f>
        <v>131108</v>
      </c>
      <c r="BJ66" s="52">
        <f t="shared" si="206"/>
        <v>0</v>
      </c>
      <c r="BK66" s="52">
        <f t="shared" si="206"/>
        <v>0</v>
      </c>
      <c r="BL66" s="52">
        <f t="shared" si="206"/>
        <v>0</v>
      </c>
      <c r="BM66" s="52">
        <f t="shared" si="206"/>
        <v>90986</v>
      </c>
      <c r="BN66" s="67">
        <f t="shared" si="206"/>
        <v>90986</v>
      </c>
      <c r="BO66" s="52">
        <f t="shared" ref="BO66:CE66" si="207">BO48</f>
        <v>0</v>
      </c>
      <c r="BP66" s="52">
        <f t="shared" si="207"/>
        <v>0</v>
      </c>
      <c r="BQ66" s="52">
        <f t="shared" si="207"/>
        <v>0</v>
      </c>
      <c r="BR66" s="52">
        <f t="shared" si="207"/>
        <v>112834</v>
      </c>
      <c r="BS66" s="67">
        <f t="shared" si="207"/>
        <v>112834</v>
      </c>
      <c r="BT66" s="52">
        <f t="shared" si="207"/>
        <v>0</v>
      </c>
      <c r="BU66" s="52">
        <f>BU48</f>
        <v>0</v>
      </c>
      <c r="BV66" s="52">
        <f t="shared" si="207"/>
        <v>0</v>
      </c>
      <c r="BW66" s="52">
        <f>BW48</f>
        <v>130999</v>
      </c>
      <c r="BX66" s="67">
        <f t="shared" si="207"/>
        <v>130999</v>
      </c>
      <c r="BY66" s="52">
        <f>BY48</f>
        <v>18376</v>
      </c>
      <c r="BZ66" s="52">
        <f>BZ48</f>
        <v>61073</v>
      </c>
      <c r="CA66" s="52">
        <f>CA48</f>
        <v>30308</v>
      </c>
      <c r="CB66" s="52">
        <f>CB48</f>
        <v>50371</v>
      </c>
      <c r="CC66" s="67">
        <f t="shared" si="207"/>
        <v>160128</v>
      </c>
      <c r="CD66" s="52">
        <f t="shared" si="207"/>
        <v>6500</v>
      </c>
      <c r="CE66" s="52">
        <f t="shared" si="207"/>
        <v>36989</v>
      </c>
      <c r="CF66" s="52">
        <f t="shared" ref="CF66:DG66" si="208">CF48</f>
        <v>49354</v>
      </c>
      <c r="CG66" s="52">
        <f t="shared" si="208"/>
        <v>67969</v>
      </c>
      <c r="CH66" s="67">
        <f t="shared" si="208"/>
        <v>160812</v>
      </c>
      <c r="CI66" s="52">
        <f t="shared" si="208"/>
        <v>49993</v>
      </c>
      <c r="CJ66" s="52">
        <f t="shared" si="208"/>
        <v>78603</v>
      </c>
      <c r="CK66" s="52">
        <f>CK48</f>
        <v>67405</v>
      </c>
      <c r="CL66" s="52">
        <f>CL48</f>
        <v>103748</v>
      </c>
      <c r="CM66" s="67">
        <f t="shared" si="208"/>
        <v>299749</v>
      </c>
      <c r="CN66" s="52">
        <f>CN48</f>
        <v>61903</v>
      </c>
      <c r="CO66" s="52">
        <f>CO48</f>
        <v>86325</v>
      </c>
      <c r="CP66" s="52">
        <f>CP48</f>
        <v>89872</v>
      </c>
      <c r="CQ66" s="52">
        <f>CQ48</f>
        <v>91785</v>
      </c>
      <c r="CR66" s="67">
        <f t="shared" si="208"/>
        <v>329885</v>
      </c>
      <c r="CS66" s="52">
        <f t="shared" si="208"/>
        <v>91849</v>
      </c>
      <c r="CT66" s="52">
        <f t="shared" si="208"/>
        <v>121373</v>
      </c>
      <c r="CU66" s="52">
        <f>CU48</f>
        <v>108220</v>
      </c>
      <c r="CV66" s="52">
        <f>CV48</f>
        <v>160323</v>
      </c>
      <c r="CW66" s="67">
        <f t="shared" si="208"/>
        <v>481765</v>
      </c>
      <c r="CX66" s="52">
        <f>CX48</f>
        <v>141241</v>
      </c>
      <c r="CY66" s="52">
        <f>CY48</f>
        <v>172247</v>
      </c>
      <c r="CZ66" s="52">
        <f>CZ48</f>
        <v>170571</v>
      </c>
      <c r="DA66" s="52">
        <f>DA48</f>
        <v>165784</v>
      </c>
      <c r="DB66" s="67">
        <f t="shared" si="208"/>
        <v>649843</v>
      </c>
      <c r="DC66" s="52">
        <f t="shared" si="208"/>
        <v>213475</v>
      </c>
      <c r="DD66" s="52">
        <f t="shared" si="208"/>
        <v>236731</v>
      </c>
      <c r="DE66" s="52">
        <f>DE48</f>
        <v>255253</v>
      </c>
      <c r="DF66" s="52">
        <f>DF48</f>
        <v>270077</v>
      </c>
      <c r="DG66" s="67">
        <f t="shared" si="208"/>
        <v>975536</v>
      </c>
      <c r="DH66" s="52">
        <f t="shared" ref="DH66:DI66" si="209">DH48</f>
        <v>302837</v>
      </c>
      <c r="DI66" s="52">
        <f t="shared" si="209"/>
        <v>270451</v>
      </c>
      <c r="DJ66" s="52">
        <f t="shared" ref="DJ66:EF66" ca="1" si="210">DJ48</f>
        <v>307443.85133656248</v>
      </c>
      <c r="DK66" s="52">
        <f t="shared" ca="1" si="210"/>
        <v>362953.76602199156</v>
      </c>
      <c r="DL66" s="67">
        <f t="shared" ca="1" si="210"/>
        <v>1243685.6173585542</v>
      </c>
      <c r="DM66" s="52">
        <f t="shared" ca="1" si="210"/>
        <v>370256.03480777709</v>
      </c>
      <c r="DN66" s="52">
        <f t="shared" ca="1" si="210"/>
        <v>381673.58441684238</v>
      </c>
      <c r="DO66" s="52">
        <f t="shared" ca="1" si="210"/>
        <v>384892.54526275716</v>
      </c>
      <c r="DP66" s="52">
        <f t="shared" ca="1" si="210"/>
        <v>396338.44407106127</v>
      </c>
      <c r="DQ66" s="67">
        <f t="shared" ca="1" si="210"/>
        <v>1533160.6085584378</v>
      </c>
      <c r="DR66" s="52">
        <f t="shared" ca="1" si="210"/>
        <v>417404.25679943379</v>
      </c>
      <c r="DS66" s="52">
        <f t="shared" ca="1" si="210"/>
        <v>413915.8991752406</v>
      </c>
      <c r="DT66" s="52">
        <f t="shared" ca="1" si="210"/>
        <v>427839.23637533718</v>
      </c>
      <c r="DU66" s="52">
        <f t="shared" ca="1" si="210"/>
        <v>445405.22959721979</v>
      </c>
      <c r="DV66" s="67">
        <f t="shared" ca="1" si="210"/>
        <v>1704564.6219472312</v>
      </c>
      <c r="DW66" s="52">
        <f t="shared" ca="1" si="210"/>
        <v>440340.31046105892</v>
      </c>
      <c r="DX66" s="52">
        <f t="shared" ca="1" si="210"/>
        <v>434816.78953597293</v>
      </c>
      <c r="DY66" s="52">
        <f t="shared" ca="1" si="210"/>
        <v>451652.59249125206</v>
      </c>
      <c r="DZ66" s="52">
        <f t="shared" ca="1" si="210"/>
        <v>468802.43296631903</v>
      </c>
      <c r="EA66" s="67">
        <f t="shared" ca="1" si="210"/>
        <v>1795612.1254546028</v>
      </c>
      <c r="EB66" s="52">
        <f t="shared" ca="1" si="210"/>
        <v>462323.08794937551</v>
      </c>
      <c r="EC66" s="52">
        <f t="shared" ca="1" si="210"/>
        <v>455450.90870025969</v>
      </c>
      <c r="ED66" s="52">
        <f t="shared" ca="1" si="210"/>
        <v>472108.43731559714</v>
      </c>
      <c r="EE66" s="52">
        <f t="shared" ca="1" si="210"/>
        <v>489025.75836477347</v>
      </c>
      <c r="EF66" s="67">
        <f t="shared" ca="1" si="210"/>
        <v>1878908.192330006</v>
      </c>
    </row>
    <row r="67" spans="1:136" s="3" customFormat="1" ht="12.75" customHeight="1">
      <c r="A67" s="58" t="s">
        <v>200</v>
      </c>
      <c r="B67" s="162">
        <f t="shared" ref="B67:AG67" si="211">B66-B35-B31-B38</f>
        <v>0</v>
      </c>
      <c r="C67" s="162">
        <f t="shared" si="211"/>
        <v>0</v>
      </c>
      <c r="D67" s="162">
        <f t="shared" si="211"/>
        <v>0</v>
      </c>
      <c r="E67" s="162">
        <f t="shared" si="211"/>
        <v>0</v>
      </c>
      <c r="F67" s="163">
        <f t="shared" si="211"/>
        <v>0</v>
      </c>
      <c r="G67" s="162">
        <f t="shared" si="211"/>
        <v>0</v>
      </c>
      <c r="H67" s="162">
        <f t="shared" si="211"/>
        <v>0</v>
      </c>
      <c r="I67" s="162">
        <f t="shared" si="211"/>
        <v>0</v>
      </c>
      <c r="J67" s="162">
        <f t="shared" si="211"/>
        <v>0</v>
      </c>
      <c r="K67" s="163">
        <f t="shared" si="211"/>
        <v>0</v>
      </c>
      <c r="L67" s="162">
        <f t="shared" si="211"/>
        <v>0</v>
      </c>
      <c r="M67" s="162">
        <f t="shared" si="211"/>
        <v>0</v>
      </c>
      <c r="N67" s="162">
        <f t="shared" si="211"/>
        <v>0</v>
      </c>
      <c r="O67" s="162">
        <f t="shared" si="211"/>
        <v>0</v>
      </c>
      <c r="P67" s="163">
        <f t="shared" si="211"/>
        <v>0</v>
      </c>
      <c r="Q67" s="162">
        <f t="shared" si="211"/>
        <v>0</v>
      </c>
      <c r="R67" s="162">
        <f t="shared" si="211"/>
        <v>0</v>
      </c>
      <c r="S67" s="162">
        <f t="shared" si="211"/>
        <v>0</v>
      </c>
      <c r="T67" s="162">
        <f t="shared" si="211"/>
        <v>0</v>
      </c>
      <c r="U67" s="163">
        <f t="shared" si="211"/>
        <v>0</v>
      </c>
      <c r="V67" s="162">
        <f t="shared" si="211"/>
        <v>0</v>
      </c>
      <c r="W67" s="162">
        <f t="shared" si="211"/>
        <v>0</v>
      </c>
      <c r="X67" s="162">
        <f t="shared" si="211"/>
        <v>0</v>
      </c>
      <c r="Y67" s="162">
        <f t="shared" si="211"/>
        <v>0</v>
      </c>
      <c r="Z67" s="163">
        <f t="shared" si="211"/>
        <v>0</v>
      </c>
      <c r="AA67" s="162">
        <f t="shared" si="211"/>
        <v>0</v>
      </c>
      <c r="AB67" s="162">
        <f t="shared" si="211"/>
        <v>0</v>
      </c>
      <c r="AC67" s="162">
        <f t="shared" si="211"/>
        <v>0</v>
      </c>
      <c r="AD67" s="162">
        <f t="shared" si="211"/>
        <v>0</v>
      </c>
      <c r="AE67" s="163">
        <f t="shared" si="211"/>
        <v>0</v>
      </c>
      <c r="AF67" s="162">
        <f t="shared" si="211"/>
        <v>0</v>
      </c>
      <c r="AG67" s="162">
        <f t="shared" si="211"/>
        <v>0</v>
      </c>
      <c r="AH67" s="162">
        <f t="shared" ref="AH67:BM67" si="212">AH66-AH35-AH31-AH38</f>
        <v>0</v>
      </c>
      <c r="AI67" s="162">
        <f t="shared" si="212"/>
        <v>52097.767000000029</v>
      </c>
      <c r="AJ67" s="163">
        <f t="shared" si="212"/>
        <v>52097.767000000029</v>
      </c>
      <c r="AK67" s="162">
        <f t="shared" si="212"/>
        <v>0</v>
      </c>
      <c r="AL67" s="162">
        <f t="shared" si="212"/>
        <v>0</v>
      </c>
      <c r="AM67" s="162">
        <f t="shared" si="212"/>
        <v>0</v>
      </c>
      <c r="AN67" s="162">
        <f t="shared" si="212"/>
        <v>90002.872999999992</v>
      </c>
      <c r="AO67" s="163">
        <f t="shared" si="212"/>
        <v>90002.872999999992</v>
      </c>
      <c r="AP67" s="162">
        <f t="shared" si="212"/>
        <v>0</v>
      </c>
      <c r="AQ67" s="162">
        <f t="shared" si="212"/>
        <v>0</v>
      </c>
      <c r="AR67" s="162">
        <f t="shared" si="212"/>
        <v>0</v>
      </c>
      <c r="AS67" s="162">
        <f t="shared" si="212"/>
        <v>80081.187000000005</v>
      </c>
      <c r="AT67" s="163">
        <f t="shared" si="212"/>
        <v>80081.187000000005</v>
      </c>
      <c r="AU67" s="162">
        <f t="shared" si="212"/>
        <v>0</v>
      </c>
      <c r="AV67" s="162">
        <f t="shared" si="212"/>
        <v>0</v>
      </c>
      <c r="AW67" s="162">
        <f t="shared" si="212"/>
        <v>0</v>
      </c>
      <c r="AX67" s="162">
        <f t="shared" si="212"/>
        <v>105080.25099999996</v>
      </c>
      <c r="AY67" s="163">
        <f t="shared" si="212"/>
        <v>105080.25099999996</v>
      </c>
      <c r="AZ67" s="162">
        <f t="shared" si="212"/>
        <v>0</v>
      </c>
      <c r="BA67" s="162">
        <f t="shared" si="212"/>
        <v>0</v>
      </c>
      <c r="BB67" s="162">
        <f t="shared" si="212"/>
        <v>0</v>
      </c>
      <c r="BC67" s="162">
        <f t="shared" si="212"/>
        <v>134531</v>
      </c>
      <c r="BD67" s="163">
        <f t="shared" si="212"/>
        <v>134531</v>
      </c>
      <c r="BE67" s="162">
        <f t="shared" si="212"/>
        <v>0</v>
      </c>
      <c r="BF67" s="162">
        <f t="shared" si="212"/>
        <v>0</v>
      </c>
      <c r="BG67" s="162">
        <f t="shared" si="212"/>
        <v>0</v>
      </c>
      <c r="BH67" s="162">
        <f t="shared" si="212"/>
        <v>131108</v>
      </c>
      <c r="BI67" s="163">
        <f t="shared" si="212"/>
        <v>131108</v>
      </c>
      <c r="BJ67" s="162">
        <f t="shared" si="212"/>
        <v>0</v>
      </c>
      <c r="BK67" s="162">
        <f t="shared" si="212"/>
        <v>0</v>
      </c>
      <c r="BL67" s="162">
        <f t="shared" si="212"/>
        <v>0</v>
      </c>
      <c r="BM67" s="162">
        <f t="shared" si="212"/>
        <v>90986</v>
      </c>
      <c r="BN67" s="163">
        <f t="shared" ref="BN67:CS67" si="213">BN66-BN35-BN31-BN38</f>
        <v>90986</v>
      </c>
      <c r="BO67" s="162">
        <f t="shared" si="213"/>
        <v>0</v>
      </c>
      <c r="BP67" s="162">
        <f t="shared" si="213"/>
        <v>0</v>
      </c>
      <c r="BQ67" s="162">
        <f t="shared" si="213"/>
        <v>0</v>
      </c>
      <c r="BR67" s="162">
        <f t="shared" si="213"/>
        <v>112834</v>
      </c>
      <c r="BS67" s="163">
        <f t="shared" si="213"/>
        <v>112834</v>
      </c>
      <c r="BT67" s="162">
        <f t="shared" si="213"/>
        <v>0</v>
      </c>
      <c r="BU67" s="162">
        <f t="shared" si="213"/>
        <v>0</v>
      </c>
      <c r="BV67" s="162">
        <f t="shared" si="213"/>
        <v>0</v>
      </c>
      <c r="BW67" s="162">
        <f t="shared" si="213"/>
        <v>130999</v>
      </c>
      <c r="BX67" s="163">
        <f t="shared" si="213"/>
        <v>130999</v>
      </c>
      <c r="BY67" s="162">
        <f t="shared" si="213"/>
        <v>18376</v>
      </c>
      <c r="BZ67" s="162">
        <f t="shared" si="213"/>
        <v>61073</v>
      </c>
      <c r="CA67" s="162">
        <f t="shared" si="213"/>
        <v>30308</v>
      </c>
      <c r="CB67" s="162">
        <f t="shared" si="213"/>
        <v>50371</v>
      </c>
      <c r="CC67" s="163">
        <f t="shared" si="213"/>
        <v>160128</v>
      </c>
      <c r="CD67" s="162">
        <f t="shared" si="213"/>
        <v>6500</v>
      </c>
      <c r="CE67" s="162">
        <f t="shared" si="213"/>
        <v>36989</v>
      </c>
      <c r="CF67" s="162">
        <f t="shared" si="213"/>
        <v>49354</v>
      </c>
      <c r="CG67" s="162">
        <f t="shared" si="213"/>
        <v>67969</v>
      </c>
      <c r="CH67" s="163">
        <f t="shared" si="213"/>
        <v>160812</v>
      </c>
      <c r="CI67" s="162">
        <f t="shared" si="213"/>
        <v>49993</v>
      </c>
      <c r="CJ67" s="162">
        <f t="shared" si="213"/>
        <v>78603</v>
      </c>
      <c r="CK67" s="162">
        <f t="shared" si="213"/>
        <v>67405</v>
      </c>
      <c r="CL67" s="162">
        <f t="shared" si="213"/>
        <v>103748</v>
      </c>
      <c r="CM67" s="163">
        <f t="shared" si="213"/>
        <v>299749</v>
      </c>
      <c r="CN67" s="162">
        <f t="shared" si="213"/>
        <v>61903</v>
      </c>
      <c r="CO67" s="162">
        <f t="shared" si="213"/>
        <v>86325</v>
      </c>
      <c r="CP67" s="162">
        <f t="shared" si="213"/>
        <v>89872</v>
      </c>
      <c r="CQ67" s="162">
        <f t="shared" si="213"/>
        <v>91785</v>
      </c>
      <c r="CR67" s="163">
        <f t="shared" si="213"/>
        <v>329885</v>
      </c>
      <c r="CS67" s="162">
        <f t="shared" si="213"/>
        <v>91849</v>
      </c>
      <c r="CT67" s="162">
        <f t="shared" ref="CT67:DY67" si="214">CT66-CT35-CT31-CT38</f>
        <v>121373</v>
      </c>
      <c r="CU67" s="162">
        <f t="shared" si="214"/>
        <v>108220</v>
      </c>
      <c r="CV67" s="162">
        <f t="shared" si="214"/>
        <v>160323</v>
      </c>
      <c r="CW67" s="163">
        <f t="shared" si="214"/>
        <v>481765</v>
      </c>
      <c r="CX67" s="162">
        <f t="shared" si="214"/>
        <v>141241</v>
      </c>
      <c r="CY67" s="162">
        <f t="shared" si="214"/>
        <v>172247</v>
      </c>
      <c r="CZ67" s="162">
        <f t="shared" si="214"/>
        <v>170571</v>
      </c>
      <c r="DA67" s="162">
        <f t="shared" si="214"/>
        <v>165784</v>
      </c>
      <c r="DB67" s="163">
        <f t="shared" si="214"/>
        <v>649843</v>
      </c>
      <c r="DC67" s="162">
        <f t="shared" si="214"/>
        <v>213475</v>
      </c>
      <c r="DD67" s="162">
        <f t="shared" si="214"/>
        <v>236731</v>
      </c>
      <c r="DE67" s="162">
        <f t="shared" ref="DE67:DF67" si="215">DE66-DE35-DE31-DE38</f>
        <v>255253</v>
      </c>
      <c r="DF67" s="162">
        <f t="shared" si="215"/>
        <v>270077</v>
      </c>
      <c r="DG67" s="163">
        <f t="shared" si="214"/>
        <v>975536</v>
      </c>
      <c r="DH67" s="162">
        <f t="shared" ref="DH67:DI67" si="216">DH66-DH35-DH31-DH38</f>
        <v>302837</v>
      </c>
      <c r="DI67" s="162">
        <f t="shared" si="216"/>
        <v>270451</v>
      </c>
      <c r="DJ67" s="162">
        <f t="shared" ca="1" si="214"/>
        <v>307443.85133656248</v>
      </c>
      <c r="DK67" s="162">
        <f t="shared" ca="1" si="214"/>
        <v>362953.76602199156</v>
      </c>
      <c r="DL67" s="163">
        <f t="shared" ca="1" si="214"/>
        <v>1243685.6173585542</v>
      </c>
      <c r="DM67" s="162">
        <f t="shared" ca="1" si="214"/>
        <v>370256.03480777709</v>
      </c>
      <c r="DN67" s="162">
        <f t="shared" ca="1" si="214"/>
        <v>381673.58441684238</v>
      </c>
      <c r="DO67" s="162">
        <f t="shared" ca="1" si="214"/>
        <v>384892.54526275716</v>
      </c>
      <c r="DP67" s="162">
        <f t="shared" ca="1" si="214"/>
        <v>396338.44407106127</v>
      </c>
      <c r="DQ67" s="163">
        <f t="shared" ca="1" si="214"/>
        <v>1533160.6085584378</v>
      </c>
      <c r="DR67" s="162">
        <f t="shared" ca="1" si="214"/>
        <v>417404.25679943379</v>
      </c>
      <c r="DS67" s="162">
        <f t="shared" ca="1" si="214"/>
        <v>413915.8991752406</v>
      </c>
      <c r="DT67" s="162">
        <f t="shared" ca="1" si="214"/>
        <v>427839.23637533718</v>
      </c>
      <c r="DU67" s="162">
        <f t="shared" ca="1" si="214"/>
        <v>445405.22959721979</v>
      </c>
      <c r="DV67" s="163">
        <f t="shared" ca="1" si="214"/>
        <v>1704564.6219472312</v>
      </c>
      <c r="DW67" s="162">
        <f t="shared" ca="1" si="214"/>
        <v>440340.31046105892</v>
      </c>
      <c r="DX67" s="162">
        <f t="shared" ca="1" si="214"/>
        <v>434816.78953597293</v>
      </c>
      <c r="DY67" s="162">
        <f t="shared" ca="1" si="214"/>
        <v>451652.59249125206</v>
      </c>
      <c r="DZ67" s="162">
        <f t="shared" ref="DZ67:EF67" ca="1" si="217">DZ66-DZ35-DZ31-DZ38</f>
        <v>468802.43296631903</v>
      </c>
      <c r="EA67" s="163">
        <f t="shared" ca="1" si="217"/>
        <v>1795612.1254546028</v>
      </c>
      <c r="EB67" s="162">
        <f t="shared" ca="1" si="217"/>
        <v>462323.08794937551</v>
      </c>
      <c r="EC67" s="162">
        <f t="shared" ca="1" si="217"/>
        <v>455450.90870025969</v>
      </c>
      <c r="ED67" s="162">
        <f t="shared" ca="1" si="217"/>
        <v>472108.43731559714</v>
      </c>
      <c r="EE67" s="162">
        <f t="shared" ca="1" si="217"/>
        <v>489025.75836477347</v>
      </c>
      <c r="EF67" s="163">
        <f t="shared" ca="1" si="217"/>
        <v>1878908.192330006</v>
      </c>
    </row>
    <row r="68" spans="1:136" s="3" customFormat="1" ht="12.75" customHeight="1">
      <c r="A68" s="58" t="s">
        <v>102</v>
      </c>
      <c r="B68" s="162">
        <f t="shared" ref="B68:AE68" si="218">-B34</f>
        <v>0</v>
      </c>
      <c r="C68" s="162">
        <f t="shared" si="218"/>
        <v>0</v>
      </c>
      <c r="D68" s="162">
        <f t="shared" si="218"/>
        <v>0</v>
      </c>
      <c r="E68" s="162">
        <f t="shared" si="218"/>
        <v>0</v>
      </c>
      <c r="F68" s="163">
        <f t="shared" si="218"/>
        <v>0</v>
      </c>
      <c r="G68" s="162">
        <f t="shared" si="218"/>
        <v>0</v>
      </c>
      <c r="H68" s="162">
        <f t="shared" si="218"/>
        <v>0</v>
      </c>
      <c r="I68" s="162">
        <f t="shared" si="218"/>
        <v>0</v>
      </c>
      <c r="J68" s="162">
        <f t="shared" si="218"/>
        <v>0</v>
      </c>
      <c r="K68" s="163">
        <f t="shared" si="218"/>
        <v>0</v>
      </c>
      <c r="L68" s="162">
        <f t="shared" si="218"/>
        <v>0</v>
      </c>
      <c r="M68" s="162">
        <f t="shared" si="218"/>
        <v>0</v>
      </c>
      <c r="N68" s="162">
        <f t="shared" si="218"/>
        <v>0</v>
      </c>
      <c r="O68" s="162">
        <f t="shared" si="218"/>
        <v>0</v>
      </c>
      <c r="P68" s="163">
        <f t="shared" si="218"/>
        <v>0</v>
      </c>
      <c r="Q68" s="162">
        <f t="shared" si="218"/>
        <v>0</v>
      </c>
      <c r="R68" s="162">
        <f t="shared" si="218"/>
        <v>0</v>
      </c>
      <c r="S68" s="162">
        <f t="shared" si="218"/>
        <v>0</v>
      </c>
      <c r="T68" s="162">
        <f t="shared" si="218"/>
        <v>0</v>
      </c>
      <c r="U68" s="163">
        <f t="shared" si="218"/>
        <v>0</v>
      </c>
      <c r="V68" s="162">
        <f t="shared" si="218"/>
        <v>0</v>
      </c>
      <c r="W68" s="162">
        <f t="shared" si="218"/>
        <v>0</v>
      </c>
      <c r="X68" s="162">
        <f t="shared" si="218"/>
        <v>0</v>
      </c>
      <c r="Y68" s="162">
        <f t="shared" si="218"/>
        <v>0</v>
      </c>
      <c r="Z68" s="163">
        <f t="shared" si="218"/>
        <v>0</v>
      </c>
      <c r="AA68" s="162">
        <f t="shared" si="218"/>
        <v>0</v>
      </c>
      <c r="AB68" s="162">
        <f t="shared" si="218"/>
        <v>0</v>
      </c>
      <c r="AC68" s="162">
        <f t="shared" si="218"/>
        <v>0</v>
      </c>
      <c r="AD68" s="162">
        <f t="shared" si="218"/>
        <v>0</v>
      </c>
      <c r="AE68" s="163">
        <f t="shared" si="218"/>
        <v>0</v>
      </c>
      <c r="AF68" s="416"/>
      <c r="AG68" s="416"/>
      <c r="AH68" s="416"/>
      <c r="AI68" s="416"/>
      <c r="AJ68" s="163">
        <f>SUM(AF68:AI68)</f>
        <v>0</v>
      </c>
      <c r="AK68" s="416"/>
      <c r="AL68" s="416"/>
      <c r="AM68" s="416"/>
      <c r="AN68" s="416"/>
      <c r="AO68" s="163">
        <f>SUM(AK68:AN68)</f>
        <v>0</v>
      </c>
      <c r="AP68" s="416"/>
      <c r="AQ68" s="416"/>
      <c r="AR68" s="416"/>
      <c r="AS68" s="416"/>
      <c r="AT68" s="163">
        <f>SUM(AP68:AS68)</f>
        <v>0</v>
      </c>
      <c r="AU68" s="416"/>
      <c r="AV68" s="416"/>
      <c r="AW68" s="416"/>
      <c r="AX68" s="416"/>
      <c r="AY68" s="163">
        <f>SUM(AU68:AX68)</f>
        <v>0</v>
      </c>
      <c r="AZ68" s="416"/>
      <c r="BA68" s="416"/>
      <c r="BB68" s="416"/>
      <c r="BC68" s="164">
        <f>-BC34</f>
        <v>4942</v>
      </c>
      <c r="BD68" s="163">
        <f>SUM(AZ68:BC68)</f>
        <v>4942</v>
      </c>
      <c r="BE68" s="416"/>
      <c r="BF68" s="416"/>
      <c r="BG68" s="416"/>
      <c r="BH68" s="164">
        <f>-BH34</f>
        <v>3368</v>
      </c>
      <c r="BI68" s="163">
        <f>SUM(BE68:BH68)</f>
        <v>3368</v>
      </c>
      <c r="BJ68" s="416"/>
      <c r="BK68" s="416"/>
      <c r="BL68" s="416"/>
      <c r="BM68" s="164">
        <f>-BM34</f>
        <v>5774</v>
      </c>
      <c r="BN68" s="163">
        <f>SUM(BJ68:BM68)</f>
        <v>5774</v>
      </c>
      <c r="BO68" s="416"/>
      <c r="BP68" s="416"/>
      <c r="BQ68" s="416"/>
      <c r="BR68" s="164">
        <f>-BR34</f>
        <v>7471</v>
      </c>
      <c r="BS68" s="163">
        <f>SUM(BO68:BR68)</f>
        <v>7471</v>
      </c>
      <c r="BT68" s="416"/>
      <c r="BU68" s="416"/>
      <c r="BV68" s="416"/>
      <c r="BW68" s="164">
        <f>-BW34</f>
        <v>3718</v>
      </c>
      <c r="BX68" s="163">
        <f>SUM(BT68:BW68)</f>
        <v>3718</v>
      </c>
      <c r="BY68" s="164">
        <f>-BY34</f>
        <v>1854</v>
      </c>
      <c r="BZ68" s="164">
        <f>-BZ34</f>
        <v>179</v>
      </c>
      <c r="CA68" s="164">
        <f>-CA34</f>
        <v>399</v>
      </c>
      <c r="CB68" s="164">
        <f>-CB34</f>
        <v>-1277</v>
      </c>
      <c r="CC68" s="163">
        <f>SUM(BY68:CB68)</f>
        <v>1155</v>
      </c>
      <c r="CD68" s="164">
        <f>-CD34</f>
        <v>2925</v>
      </c>
      <c r="CE68" s="164">
        <f>-CE34</f>
        <v>307</v>
      </c>
      <c r="CF68" s="164">
        <f>-CF34</f>
        <v>365</v>
      </c>
      <c r="CG68" s="164">
        <f>-CG34</f>
        <v>-2038</v>
      </c>
      <c r="CH68" s="163">
        <f>SUM(CD68:CG68)</f>
        <v>1559</v>
      </c>
      <c r="CI68" s="164">
        <f>-CI34</f>
        <v>335</v>
      </c>
      <c r="CJ68" s="164">
        <f>-CJ34</f>
        <v>355</v>
      </c>
      <c r="CK68" s="164">
        <f>-CK34</f>
        <v>365</v>
      </c>
      <c r="CL68" s="164">
        <f>-CL34</f>
        <v>383</v>
      </c>
      <c r="CM68" s="163">
        <f>SUM(CI68:CL68)</f>
        <v>1438</v>
      </c>
      <c r="CN68" s="164">
        <f>-CN34</f>
        <v>454</v>
      </c>
      <c r="CO68" s="164">
        <f>-CO34</f>
        <v>459</v>
      </c>
      <c r="CP68" s="164">
        <f>-CP34</f>
        <v>416</v>
      </c>
      <c r="CQ68" s="164">
        <f>-CQ34</f>
        <v>523</v>
      </c>
      <c r="CR68" s="163">
        <f>SUM(CN68:CQ68)</f>
        <v>1852</v>
      </c>
      <c r="CS68" s="164">
        <f>-CS34</f>
        <v>776</v>
      </c>
      <c r="CT68" s="164">
        <f>-CT34</f>
        <v>721</v>
      </c>
      <c r="CU68" s="164">
        <f>-CU34</f>
        <v>696</v>
      </c>
      <c r="CV68" s="164">
        <f>-CV34</f>
        <v>782</v>
      </c>
      <c r="CW68" s="163">
        <f>SUM(CS68:CV68)</f>
        <v>2975</v>
      </c>
      <c r="CX68" s="164">
        <f>-CX34</f>
        <v>529</v>
      </c>
      <c r="CY68" s="164">
        <f>-CY34</f>
        <v>728</v>
      </c>
      <c r="CZ68" s="164">
        <f>-CZ34</f>
        <v>725</v>
      </c>
      <c r="DA68" s="164">
        <f>-DA34</f>
        <v>691</v>
      </c>
      <c r="DB68" s="163">
        <f>SUM(CX68:DA68)</f>
        <v>2673</v>
      </c>
      <c r="DC68" s="164">
        <f>-DC34</f>
        <v>204</v>
      </c>
      <c r="DD68" s="164">
        <f>-DD34</f>
        <v>226</v>
      </c>
      <c r="DE68" s="164">
        <f>-DE34</f>
        <v>219</v>
      </c>
      <c r="DF68" s="164">
        <f>-DF34</f>
        <v>216</v>
      </c>
      <c r="DG68" s="163">
        <f>SUM(DC68:DF68)</f>
        <v>865</v>
      </c>
      <c r="DH68" s="164">
        <f>-DH34</f>
        <v>212</v>
      </c>
      <c r="DI68" s="164">
        <f>-DI34</f>
        <v>198</v>
      </c>
      <c r="DJ68" s="162">
        <f>'Balance Sheet'!DJ92+'Balance Sheet'!DJ94</f>
        <v>873.44929161365451</v>
      </c>
      <c r="DK68" s="162">
        <f>'Balance Sheet'!DK92+'Balance Sheet'!DK94</f>
        <v>877.92455850791214</v>
      </c>
      <c r="DL68" s="163">
        <f>SUM(DH68:DK68)</f>
        <v>2161.3738501215666</v>
      </c>
      <c r="DM68" s="162">
        <f>'Balance Sheet'!DM92+'Balance Sheet'!DM94</f>
        <v>882.42275519782834</v>
      </c>
      <c r="DN68" s="162">
        <f>'Balance Sheet'!DN92+'Balance Sheet'!DN94</f>
        <v>886.9439991681345</v>
      </c>
      <c r="DO68" s="162">
        <f>'Balance Sheet'!DO92+'Balance Sheet'!DO94</f>
        <v>891.48840850551494</v>
      </c>
      <c r="DP68" s="162">
        <f>'Balance Sheet'!DP92+'Balance Sheet'!DP94</f>
        <v>896.05610190169182</v>
      </c>
      <c r="DQ68" s="163">
        <f>SUM(DM68:DP68)</f>
        <v>3556.9112647731695</v>
      </c>
      <c r="DR68" s="162">
        <f>'Balance Sheet'!DR92+'Balance Sheet'!DR94</f>
        <v>900.64719865652432</v>
      </c>
      <c r="DS68" s="162">
        <f>'Balance Sheet'!DS92+'Balance Sheet'!DS94</f>
        <v>905.26181868112474</v>
      </c>
      <c r="DT68" s="162">
        <f>'Balance Sheet'!DT92+'Balance Sheet'!DT94</f>
        <v>909.90008250099049</v>
      </c>
      <c r="DU68" s="162">
        <f>'Balance Sheet'!DU92+'Balance Sheet'!DU94</f>
        <v>914.56211125915218</v>
      </c>
      <c r="DV68" s="163">
        <f>SUM(DR68:DU68)</f>
        <v>3630.3712110977917</v>
      </c>
      <c r="DW68" s="162">
        <f>'Balance Sheet'!DW92+'Balance Sheet'!DW94</f>
        <v>919.24802671933742</v>
      </c>
      <c r="DX68" s="162">
        <f>'Balance Sheet'!DX92+'Balance Sheet'!DX94</f>
        <v>923.95795126915118</v>
      </c>
      <c r="DY68" s="162">
        <f>'Balance Sheet'!DY92+'Balance Sheet'!DY94</f>
        <v>928.69200792327217</v>
      </c>
      <c r="DZ68" s="162">
        <f>'Balance Sheet'!DZ92+'Balance Sheet'!DZ94</f>
        <v>933.45032032666575</v>
      </c>
      <c r="EA68" s="163">
        <f>SUM(DW68:DZ68)</f>
        <v>3705.3483062384266</v>
      </c>
      <c r="EB68" s="162">
        <f>'Balance Sheet'!EB92+'Balance Sheet'!EB94</f>
        <v>938.23301275781353</v>
      </c>
      <c r="EC68" s="162">
        <f>'Balance Sheet'!EC92+'Balance Sheet'!EC94</f>
        <v>943.04021013195904</v>
      </c>
      <c r="ED68" s="162">
        <f>'Balance Sheet'!ED92+'Balance Sheet'!ED94</f>
        <v>947.87203800437101</v>
      </c>
      <c r="EE68" s="162">
        <f>'Balance Sheet'!EE92+'Balance Sheet'!EE94</f>
        <v>952.72862257362101</v>
      </c>
      <c r="EF68" s="163">
        <f>SUM(EB68:EE68)</f>
        <v>3781.8738834677647</v>
      </c>
    </row>
    <row r="69" spans="1:136" s="33" customFormat="1" ht="12.75" customHeight="1">
      <c r="A69" s="33" t="s">
        <v>72</v>
      </c>
      <c r="F69" s="34"/>
      <c r="K69" s="34"/>
      <c r="P69" s="34"/>
      <c r="U69" s="34"/>
      <c r="Z69" s="34"/>
      <c r="AE69" s="34"/>
      <c r="AF69" s="168"/>
      <c r="AG69" s="168"/>
      <c r="AH69" s="168"/>
      <c r="AI69" s="168"/>
      <c r="AJ69" s="169" t="e">
        <f>AJ67/AE67-1</f>
        <v>#DIV/0!</v>
      </c>
      <c r="AK69" s="168"/>
      <c r="AL69" s="168"/>
      <c r="AM69" s="168"/>
      <c r="AN69" s="168"/>
      <c r="AO69" s="169">
        <f>AO67/AJ67-1</f>
        <v>0.72757640457027528</v>
      </c>
      <c r="AP69" s="168"/>
      <c r="AQ69" s="168"/>
      <c r="AR69" s="168"/>
      <c r="AS69" s="168"/>
      <c r="AT69" s="169">
        <f>AT67/AO67-1</f>
        <v>-0.11023743653160922</v>
      </c>
      <c r="AU69" s="168"/>
      <c r="AV69" s="168"/>
      <c r="AW69" s="168"/>
      <c r="AX69" s="168"/>
      <c r="AY69" s="169">
        <f>AY67/AT67-1</f>
        <v>0.31217149665875898</v>
      </c>
      <c r="AZ69" s="168"/>
      <c r="BA69" s="168"/>
      <c r="BB69" s="168"/>
      <c r="BC69" s="168"/>
      <c r="BD69" s="169">
        <f>BD67/AY67-1</f>
        <v>0.28026911545919364</v>
      </c>
      <c r="BE69" s="168"/>
      <c r="BF69" s="168"/>
      <c r="BG69" s="168"/>
      <c r="BH69" s="168"/>
      <c r="BI69" s="169">
        <f>BI67/BD67-1</f>
        <v>-2.5443949721625447E-2</v>
      </c>
      <c r="BJ69" s="168"/>
      <c r="BK69" s="168"/>
      <c r="BL69" s="168"/>
      <c r="BM69" s="168"/>
      <c r="BN69" s="169">
        <f>BN67/BI67-1</f>
        <v>-0.30602251578851025</v>
      </c>
      <c r="BO69" s="168"/>
      <c r="BP69" s="168"/>
      <c r="BQ69" s="168"/>
      <c r="BR69" s="168"/>
      <c r="BS69" s="169">
        <f>BS67/BN67-1</f>
        <v>0.24012485437320019</v>
      </c>
      <c r="BT69" s="168"/>
      <c r="BU69" s="168"/>
      <c r="BV69" s="168"/>
      <c r="BW69" s="168"/>
      <c r="BX69" s="169">
        <f>BX67/BS67-1</f>
        <v>0.16098870907705121</v>
      </c>
      <c r="BY69" s="168"/>
      <c r="BZ69" s="168"/>
      <c r="CA69" s="168"/>
      <c r="CB69" s="168"/>
      <c r="CC69" s="169">
        <f>CC67/BX67-1</f>
        <v>0.2223604760341682</v>
      </c>
      <c r="CD69" s="168"/>
      <c r="CE69" s="168"/>
      <c r="CF69" s="168"/>
      <c r="CG69" s="168"/>
      <c r="CH69" s="169">
        <f>CH67/CC67-1</f>
        <v>4.2715827338128953E-3</v>
      </c>
      <c r="CI69" s="168"/>
      <c r="CJ69" s="168"/>
      <c r="CK69" s="168"/>
      <c r="CL69" s="168"/>
      <c r="CM69" s="169">
        <f>CM67/CH67-1</f>
        <v>0.86397159415963976</v>
      </c>
      <c r="CN69" s="168"/>
      <c r="CO69" s="168"/>
      <c r="CP69" s="168"/>
      <c r="CQ69" s="168"/>
      <c r="CR69" s="169">
        <f>CR67/CM67-1</f>
        <v>0.1005374496662208</v>
      </c>
      <c r="CS69" s="168"/>
      <c r="CT69" s="168"/>
      <c r="CU69" s="168"/>
      <c r="CV69" s="168"/>
      <c r="CW69" s="169">
        <f>CW67/CR67-1</f>
        <v>0.4604028676660048</v>
      </c>
      <c r="CX69" s="168"/>
      <c r="CY69" s="168"/>
      <c r="CZ69" s="168"/>
      <c r="DA69" s="168"/>
      <c r="DB69" s="169">
        <f>DB67/CW67-1</f>
        <v>0.34887964048862008</v>
      </c>
      <c r="DC69" s="168"/>
      <c r="DD69" s="168"/>
      <c r="DE69" s="168"/>
      <c r="DF69" s="168">
        <f>DG73+DG29/DG11</f>
        <v>0.23596794769219828</v>
      </c>
      <c r="DG69" s="169">
        <f>DG67/DB67-1</f>
        <v>0.50118720983375975</v>
      </c>
      <c r="DH69" s="168"/>
      <c r="DI69" s="168"/>
      <c r="DJ69" s="168">
        <f>DK69-DL14/DL11</f>
        <v>0.24316278952801357</v>
      </c>
      <c r="DK69" s="168">
        <f>DL73+DL29/DL11</f>
        <v>0.241803337928749</v>
      </c>
      <c r="DL69" s="169">
        <f ca="1">DL67/DG67-1</f>
        <v>0.27487413827737184</v>
      </c>
      <c r="DM69" s="168"/>
      <c r="DN69" s="168"/>
      <c r="DO69" s="168">
        <f>DP69-DQ14/DQ11</f>
        <v>0.24532394345428288</v>
      </c>
      <c r="DP69" s="168">
        <f>DQ73+DQ29/DQ11</f>
        <v>0.2421664145240047</v>
      </c>
      <c r="DQ69" s="169">
        <f ca="1">DQ67/DL67-1</f>
        <v>0.23275576010494947</v>
      </c>
      <c r="DR69" s="168"/>
      <c r="DS69" s="168"/>
      <c r="DT69" s="168">
        <f>DU69-DV14/DV11</f>
        <v>0.24306270486549097</v>
      </c>
      <c r="DU69" s="168">
        <f>DV73+DV29/DV11</f>
        <v>0.23743855502476577</v>
      </c>
      <c r="DV69" s="169">
        <f ca="1">DV67/DQ67-1</f>
        <v>0.11179781976655212</v>
      </c>
      <c r="DW69" s="168"/>
      <c r="DX69" s="168"/>
      <c r="DY69" s="168">
        <f>DZ69-EA14/EA11</f>
        <v>0.24094890392047325</v>
      </c>
      <c r="DZ69" s="168">
        <f>EA73+EA29/EA11</f>
        <v>0.23562510955123667</v>
      </c>
      <c r="EA69" s="169">
        <f ca="1">EA67/DV67-1</f>
        <v>5.3413934757933879E-2</v>
      </c>
      <c r="EB69" s="168"/>
      <c r="EC69" s="168"/>
      <c r="ED69" s="168">
        <f>EE69-EF14/EF11</f>
        <v>0.23932642960505951</v>
      </c>
      <c r="EE69" s="168">
        <f>EF73+EF29/EF11</f>
        <v>0.2339546399525467</v>
      </c>
      <c r="EF69" s="169">
        <f ca="1">EF67/EA67-1</f>
        <v>4.6388674755866166E-2</v>
      </c>
    </row>
    <row r="70" spans="1:136" s="3" customFormat="1" ht="12.75" customHeight="1">
      <c r="A70" s="58" t="s">
        <v>13</v>
      </c>
      <c r="B70" s="65" t="e">
        <f>B55/B$53</f>
        <v>#DIV/0!</v>
      </c>
      <c r="C70" s="65" t="e">
        <f>C55/C$53</f>
        <v>#DIV/0!</v>
      </c>
      <c r="D70" s="65" t="e">
        <f>D55/D$53</f>
        <v>#DIV/0!</v>
      </c>
      <c r="E70" s="65" t="e">
        <f>E55/E$53</f>
        <v>#DIV/0!</v>
      </c>
      <c r="F70" s="194" t="e">
        <f>F55/F$53</f>
        <v>#DIV/0!</v>
      </c>
      <c r="G70" s="65" t="e">
        <f t="shared" ref="G70:AE70" si="219">G55/G$53</f>
        <v>#DIV/0!</v>
      </c>
      <c r="H70" s="65" t="e">
        <f t="shared" si="219"/>
        <v>#DIV/0!</v>
      </c>
      <c r="I70" s="65" t="e">
        <f t="shared" si="219"/>
        <v>#DIV/0!</v>
      </c>
      <c r="J70" s="65" t="e">
        <f t="shared" si="219"/>
        <v>#DIV/0!</v>
      </c>
      <c r="K70" s="194" t="e">
        <f t="shared" si="219"/>
        <v>#DIV/0!</v>
      </c>
      <c r="L70" s="65" t="e">
        <f t="shared" si="219"/>
        <v>#DIV/0!</v>
      </c>
      <c r="M70" s="65" t="e">
        <f t="shared" si="219"/>
        <v>#DIV/0!</v>
      </c>
      <c r="N70" s="65" t="e">
        <f t="shared" si="219"/>
        <v>#DIV/0!</v>
      </c>
      <c r="O70" s="65" t="e">
        <f t="shared" si="219"/>
        <v>#DIV/0!</v>
      </c>
      <c r="P70" s="194" t="e">
        <f t="shared" si="219"/>
        <v>#DIV/0!</v>
      </c>
      <c r="Q70" s="65" t="e">
        <f t="shared" si="219"/>
        <v>#DIV/0!</v>
      </c>
      <c r="R70" s="65" t="e">
        <f t="shared" si="219"/>
        <v>#DIV/0!</v>
      </c>
      <c r="S70" s="65" t="e">
        <f t="shared" si="219"/>
        <v>#DIV/0!</v>
      </c>
      <c r="T70" s="65" t="e">
        <f t="shared" si="219"/>
        <v>#DIV/0!</v>
      </c>
      <c r="U70" s="194" t="e">
        <f t="shared" si="219"/>
        <v>#DIV/0!</v>
      </c>
      <c r="V70" s="65" t="e">
        <f t="shared" si="219"/>
        <v>#DIV/0!</v>
      </c>
      <c r="W70" s="65" t="e">
        <f t="shared" si="219"/>
        <v>#DIV/0!</v>
      </c>
      <c r="X70" s="65" t="e">
        <f t="shared" si="219"/>
        <v>#DIV/0!</v>
      </c>
      <c r="Y70" s="65" t="e">
        <f t="shared" si="219"/>
        <v>#DIV/0!</v>
      </c>
      <c r="Z70" s="194" t="e">
        <f t="shared" si="219"/>
        <v>#DIV/0!</v>
      </c>
      <c r="AA70" s="65" t="e">
        <f t="shared" si="219"/>
        <v>#DIV/0!</v>
      </c>
      <c r="AB70" s="65" t="e">
        <f t="shared" si="219"/>
        <v>#DIV/0!</v>
      </c>
      <c r="AC70" s="65" t="e">
        <f t="shared" si="219"/>
        <v>#DIV/0!</v>
      </c>
      <c r="AD70" s="65" t="e">
        <f t="shared" si="219"/>
        <v>#DIV/0!</v>
      </c>
      <c r="AE70" s="194" t="e">
        <f t="shared" si="219"/>
        <v>#DIV/0!</v>
      </c>
      <c r="AF70" s="65" t="e">
        <f t="shared" ref="AF70:BK70" si="220">AF55/AF$53</f>
        <v>#DIV/0!</v>
      </c>
      <c r="AG70" s="65" t="e">
        <f t="shared" si="220"/>
        <v>#DIV/0!</v>
      </c>
      <c r="AH70" s="65" t="e">
        <f t="shared" si="220"/>
        <v>#DIV/0!</v>
      </c>
      <c r="AI70" s="65">
        <f t="shared" si="220"/>
        <v>0.33979978182029219</v>
      </c>
      <c r="AJ70" s="194">
        <f t="shared" si="220"/>
        <v>0.33979978182029219</v>
      </c>
      <c r="AK70" s="65" t="e">
        <f t="shared" si="220"/>
        <v>#DIV/0!</v>
      </c>
      <c r="AL70" s="65" t="e">
        <f t="shared" si="220"/>
        <v>#DIV/0!</v>
      </c>
      <c r="AM70" s="65" t="e">
        <f t="shared" si="220"/>
        <v>#DIV/0!</v>
      </c>
      <c r="AN70" s="65">
        <f t="shared" si="220"/>
        <v>0.30448684654374752</v>
      </c>
      <c r="AO70" s="194">
        <f t="shared" si="220"/>
        <v>0.30448684654374752</v>
      </c>
      <c r="AP70" s="65" t="e">
        <f t="shared" si="220"/>
        <v>#DIV/0!</v>
      </c>
      <c r="AQ70" s="65" t="e">
        <f t="shared" si="220"/>
        <v>#DIV/0!</v>
      </c>
      <c r="AR70" s="65" t="e">
        <f t="shared" si="220"/>
        <v>#DIV/0!</v>
      </c>
      <c r="AS70" s="65">
        <f t="shared" si="220"/>
        <v>0.39647812041124741</v>
      </c>
      <c r="AT70" s="194">
        <f t="shared" si="220"/>
        <v>0.39647812041124741</v>
      </c>
      <c r="AU70" s="65" t="e">
        <f t="shared" si="220"/>
        <v>#DIV/0!</v>
      </c>
      <c r="AV70" s="65" t="e">
        <f t="shared" si="220"/>
        <v>#DIV/0!</v>
      </c>
      <c r="AW70" s="65" t="e">
        <f t="shared" si="220"/>
        <v>#DIV/0!</v>
      </c>
      <c r="AX70" s="65">
        <f t="shared" si="220"/>
        <v>0.34601824657658525</v>
      </c>
      <c r="AY70" s="194">
        <f t="shared" si="220"/>
        <v>0.34601824657658525</v>
      </c>
      <c r="AZ70" s="65" t="e">
        <f t="shared" si="220"/>
        <v>#DIV/0!</v>
      </c>
      <c r="BA70" s="65" t="e">
        <f t="shared" si="220"/>
        <v>#DIV/0!</v>
      </c>
      <c r="BB70" s="65" t="e">
        <f t="shared" si="220"/>
        <v>#DIV/0!</v>
      </c>
      <c r="BC70" s="65">
        <f t="shared" si="220"/>
        <v>0.29752571519428578</v>
      </c>
      <c r="BD70" s="194">
        <f t="shared" si="220"/>
        <v>0.29752571519428578</v>
      </c>
      <c r="BE70" s="65" t="e">
        <f t="shared" si="220"/>
        <v>#DIV/0!</v>
      </c>
      <c r="BF70" s="65" t="e">
        <f t="shared" si="220"/>
        <v>#DIV/0!</v>
      </c>
      <c r="BG70" s="65" t="e">
        <f t="shared" si="220"/>
        <v>#DIV/0!</v>
      </c>
      <c r="BH70" s="65">
        <f t="shared" si="220"/>
        <v>0.30441589233102628</v>
      </c>
      <c r="BI70" s="194">
        <f t="shared" si="220"/>
        <v>0.30441589233102628</v>
      </c>
      <c r="BJ70" s="65" t="e">
        <f t="shared" si="220"/>
        <v>#DIV/0!</v>
      </c>
      <c r="BK70" s="65" t="e">
        <f t="shared" si="220"/>
        <v>#DIV/0!</v>
      </c>
      <c r="BL70" s="65" t="e">
        <f t="shared" ref="BL70:CQ70" si="221">BL55/BL$53</f>
        <v>#DIV/0!</v>
      </c>
      <c r="BM70" s="65">
        <f t="shared" si="221"/>
        <v>0.27134896131499586</v>
      </c>
      <c r="BN70" s="194">
        <f t="shared" si="221"/>
        <v>0.27134896131499586</v>
      </c>
      <c r="BO70" s="65" t="e">
        <f t="shared" si="221"/>
        <v>#DIV/0!</v>
      </c>
      <c r="BP70" s="65" t="e">
        <f t="shared" si="221"/>
        <v>#DIV/0!</v>
      </c>
      <c r="BQ70" s="65" t="e">
        <f t="shared" si="221"/>
        <v>#DIV/0!</v>
      </c>
      <c r="BR70" s="65">
        <f t="shared" si="221"/>
        <v>0.32120066062120495</v>
      </c>
      <c r="BS70" s="194">
        <f t="shared" si="221"/>
        <v>0.32120066062120495</v>
      </c>
      <c r="BT70" s="65" t="e">
        <f t="shared" si="221"/>
        <v>#DIV/0!</v>
      </c>
      <c r="BU70" s="65" t="e">
        <f t="shared" si="221"/>
        <v>#DIV/0!</v>
      </c>
      <c r="BV70" s="65" t="e">
        <f t="shared" si="221"/>
        <v>#DIV/0!</v>
      </c>
      <c r="BW70" s="65">
        <f t="shared" si="221"/>
        <v>0.35658346128727642</v>
      </c>
      <c r="BX70" s="194">
        <f t="shared" si="221"/>
        <v>0.35658346128727642</v>
      </c>
      <c r="BY70" s="65">
        <f t="shared" si="221"/>
        <v>0.30320645538036844</v>
      </c>
      <c r="BZ70" s="65">
        <f t="shared" si="221"/>
        <v>0.38202238797608062</v>
      </c>
      <c r="CA70" s="65">
        <f t="shared" si="221"/>
        <v>0.31347409797953535</v>
      </c>
      <c r="CB70" s="65">
        <f t="shared" si="221"/>
        <v>0.40058014254931212</v>
      </c>
      <c r="CC70" s="194">
        <f t="shared" si="221"/>
        <v>0.35536071156319626</v>
      </c>
      <c r="CD70" s="65">
        <f t="shared" si="221"/>
        <v>0.34974771358563439</v>
      </c>
      <c r="CE70" s="65">
        <f t="shared" si="221"/>
        <v>0.36048561355623793</v>
      </c>
      <c r="CF70" s="65">
        <f t="shared" si="221"/>
        <v>0.37976722706867505</v>
      </c>
      <c r="CG70" s="65">
        <f t="shared" si="221"/>
        <v>0.4071771997914615</v>
      </c>
      <c r="CH70" s="194">
        <f t="shared" si="221"/>
        <v>0.37792592178439077</v>
      </c>
      <c r="CI70" s="65">
        <f t="shared" si="221"/>
        <v>0.35505149048295537</v>
      </c>
      <c r="CJ70" s="65">
        <f t="shared" si="221"/>
        <v>0.36127771487823956</v>
      </c>
      <c r="CK70" s="65">
        <f t="shared" si="221"/>
        <v>0.38407357667559794</v>
      </c>
      <c r="CL70" s="65">
        <f t="shared" si="221"/>
        <v>0.38103468282226199</v>
      </c>
      <c r="CM70" s="194">
        <f t="shared" si="221"/>
        <v>0.37163139743254164</v>
      </c>
      <c r="CN70" s="65">
        <f t="shared" si="221"/>
        <v>0.37220759364647921</v>
      </c>
      <c r="CO70" s="65">
        <f t="shared" si="221"/>
        <v>0.35843910661050493</v>
      </c>
      <c r="CP70" s="65">
        <f t="shared" si="221"/>
        <v>0.37475405284213581</v>
      </c>
      <c r="CQ70" s="65">
        <f t="shared" si="221"/>
        <v>0.3837458094880426</v>
      </c>
      <c r="CR70" s="194">
        <f t="shared" ref="CR70:DG70" si="222">CR55/CR$53</f>
        <v>0.37220494982044872</v>
      </c>
      <c r="CS70" s="65">
        <f t="shared" si="222"/>
        <v>0.37727327735160249</v>
      </c>
      <c r="CT70" s="65">
        <f t="shared" si="222"/>
        <v>0.37921060369964243</v>
      </c>
      <c r="CU70" s="65">
        <f t="shared" si="222"/>
        <v>0.37957423717271777</v>
      </c>
      <c r="CV70" s="65">
        <f t="shared" si="222"/>
        <v>0.38873404994603228</v>
      </c>
      <c r="CW70" s="194">
        <f t="shared" si="222"/>
        <v>0.38158398044191405</v>
      </c>
      <c r="CX70" s="65">
        <f t="shared" si="222"/>
        <v>0.38031030043635999</v>
      </c>
      <c r="CY70" s="65">
        <f t="shared" si="222"/>
        <v>0.38539603340396861</v>
      </c>
      <c r="CZ70" s="65">
        <f t="shared" si="222"/>
        <v>0.38971295763122804</v>
      </c>
      <c r="DA70" s="65">
        <f t="shared" si="222"/>
        <v>0.39294917442131228</v>
      </c>
      <c r="DB70" s="194">
        <f t="shared" si="222"/>
        <v>0.38746329250619538</v>
      </c>
      <c r="DC70" s="65">
        <f t="shared" si="222"/>
        <v>0.39188066937239757</v>
      </c>
      <c r="DD70" s="65">
        <f t="shared" si="222"/>
        <v>0.3982128309912602</v>
      </c>
      <c r="DE70" s="65">
        <f t="shared" ref="DE70:DF70" si="223">DE55/DE$53</f>
        <v>0.401776804152087</v>
      </c>
      <c r="DF70" s="65">
        <f t="shared" si="223"/>
        <v>0.40643579873425301</v>
      </c>
      <c r="DG70" s="194">
        <f t="shared" si="222"/>
        <v>0.39988395058435861</v>
      </c>
      <c r="DH70" s="65">
        <f t="shared" ref="DH70:DI70" si="224">DH55/DH$53</f>
        <v>0.393098350398215</v>
      </c>
      <c r="DI70" s="65">
        <f t="shared" si="224"/>
        <v>0.39846172410407232</v>
      </c>
      <c r="DJ70" s="65">
        <f t="shared" ref="DJ70:EF70" si="225">DJ55/DJ$53</f>
        <v>0.4014308775289866</v>
      </c>
      <c r="DK70" s="65">
        <f t="shared" si="225"/>
        <v>0.40447903197561597</v>
      </c>
      <c r="DL70" s="194">
        <f t="shared" si="225"/>
        <v>0.39953474229966379</v>
      </c>
      <c r="DM70" s="65">
        <f t="shared" si="225"/>
        <v>0.39806785361470559</v>
      </c>
      <c r="DN70" s="65">
        <f t="shared" si="225"/>
        <v>0.39642400571189318</v>
      </c>
      <c r="DO70" s="65">
        <f t="shared" si="225"/>
        <v>0.39251144445362141</v>
      </c>
      <c r="DP70" s="65">
        <f t="shared" si="225"/>
        <v>0.39104513225725951</v>
      </c>
      <c r="DQ70" s="194">
        <f t="shared" si="225"/>
        <v>0.39442617633891708</v>
      </c>
      <c r="DR70" s="65">
        <f t="shared" si="225"/>
        <v>0.38726069180399858</v>
      </c>
      <c r="DS70" s="65">
        <f t="shared" si="225"/>
        <v>0.3858542568845939</v>
      </c>
      <c r="DT70" s="65">
        <f t="shared" si="225"/>
        <v>0.38456212393611616</v>
      </c>
      <c r="DU70" s="65">
        <f t="shared" si="225"/>
        <v>0.38337142384819267</v>
      </c>
      <c r="DV70" s="194">
        <f t="shared" si="225"/>
        <v>0.38523081018823685</v>
      </c>
      <c r="DW70" s="65">
        <f t="shared" si="225"/>
        <v>0.3822718091302636</v>
      </c>
      <c r="DX70" s="65">
        <f t="shared" si="225"/>
        <v>0.38125463530461878</v>
      </c>
      <c r="DY70" s="65">
        <f t="shared" si="225"/>
        <v>0.38031248757739194</v>
      </c>
      <c r="DZ70" s="65">
        <f t="shared" si="225"/>
        <v>0.37943889074454878</v>
      </c>
      <c r="EA70" s="194">
        <f t="shared" si="225"/>
        <v>0.38080054866825858</v>
      </c>
      <c r="EB70" s="65">
        <f t="shared" si="225"/>
        <v>0.37862811982195843</v>
      </c>
      <c r="EC70" s="65">
        <f t="shared" si="225"/>
        <v>0.37787506850096542</v>
      </c>
      <c r="ED70" s="65">
        <f t="shared" si="225"/>
        <v>0.37717515256186512</v>
      </c>
      <c r="EE70" s="65">
        <f t="shared" si="225"/>
        <v>0.37652423566262905</v>
      </c>
      <c r="EF70" s="194">
        <f t="shared" si="225"/>
        <v>0.37753826545221364</v>
      </c>
    </row>
    <row r="71" spans="1:136" ht="12.75" customHeight="1" outlineLevel="1">
      <c r="A71" s="41" t="s">
        <v>103</v>
      </c>
      <c r="B71" s="195" t="e">
        <f t="shared" ref="B71:AG71" si="226">(1+B13/B5)</f>
        <v>#DIV/0!</v>
      </c>
      <c r="C71" s="195" t="e">
        <f t="shared" si="226"/>
        <v>#DIV/0!</v>
      </c>
      <c r="D71" s="195" t="e">
        <f t="shared" si="226"/>
        <v>#DIV/0!</v>
      </c>
      <c r="E71" s="195" t="e">
        <f t="shared" si="226"/>
        <v>#DIV/0!</v>
      </c>
      <c r="F71" s="196" t="e">
        <f t="shared" si="226"/>
        <v>#DIV/0!</v>
      </c>
      <c r="G71" s="195" t="e">
        <f t="shared" si="226"/>
        <v>#DIV/0!</v>
      </c>
      <c r="H71" s="195" t="e">
        <f t="shared" si="226"/>
        <v>#DIV/0!</v>
      </c>
      <c r="I71" s="195" t="e">
        <f t="shared" si="226"/>
        <v>#DIV/0!</v>
      </c>
      <c r="J71" s="195" t="e">
        <f t="shared" si="226"/>
        <v>#DIV/0!</v>
      </c>
      <c r="K71" s="196" t="e">
        <f t="shared" si="226"/>
        <v>#DIV/0!</v>
      </c>
      <c r="L71" s="195" t="e">
        <f t="shared" si="226"/>
        <v>#DIV/0!</v>
      </c>
      <c r="M71" s="195" t="e">
        <f t="shared" si="226"/>
        <v>#DIV/0!</v>
      </c>
      <c r="N71" s="195" t="e">
        <f t="shared" si="226"/>
        <v>#DIV/0!</v>
      </c>
      <c r="O71" s="195" t="e">
        <f t="shared" si="226"/>
        <v>#DIV/0!</v>
      </c>
      <c r="P71" s="196" t="e">
        <f t="shared" si="226"/>
        <v>#DIV/0!</v>
      </c>
      <c r="Q71" s="195" t="e">
        <f t="shared" si="226"/>
        <v>#DIV/0!</v>
      </c>
      <c r="R71" s="195" t="e">
        <f t="shared" si="226"/>
        <v>#DIV/0!</v>
      </c>
      <c r="S71" s="195" t="e">
        <f t="shared" si="226"/>
        <v>#DIV/0!</v>
      </c>
      <c r="T71" s="195" t="e">
        <f t="shared" si="226"/>
        <v>#DIV/0!</v>
      </c>
      <c r="U71" s="196" t="e">
        <f t="shared" si="226"/>
        <v>#DIV/0!</v>
      </c>
      <c r="V71" s="195" t="e">
        <f t="shared" si="226"/>
        <v>#DIV/0!</v>
      </c>
      <c r="W71" s="195" t="e">
        <f t="shared" si="226"/>
        <v>#DIV/0!</v>
      </c>
      <c r="X71" s="195" t="e">
        <f t="shared" si="226"/>
        <v>#DIV/0!</v>
      </c>
      <c r="Y71" s="195" t="e">
        <f t="shared" si="226"/>
        <v>#DIV/0!</v>
      </c>
      <c r="Z71" s="196" t="e">
        <f t="shared" si="226"/>
        <v>#DIV/0!</v>
      </c>
      <c r="AA71" s="195" t="e">
        <f t="shared" si="226"/>
        <v>#DIV/0!</v>
      </c>
      <c r="AB71" s="195" t="e">
        <f t="shared" si="226"/>
        <v>#DIV/0!</v>
      </c>
      <c r="AC71" s="195" t="e">
        <f t="shared" si="226"/>
        <v>#DIV/0!</v>
      </c>
      <c r="AD71" s="195" t="e">
        <f t="shared" si="226"/>
        <v>#DIV/0!</v>
      </c>
      <c r="AE71" s="196" t="e">
        <f t="shared" si="226"/>
        <v>#DIV/0!</v>
      </c>
      <c r="AF71" s="195" t="e">
        <f t="shared" si="226"/>
        <v>#DIV/0!</v>
      </c>
      <c r="AG71" s="195" t="e">
        <f t="shared" si="226"/>
        <v>#DIV/0!</v>
      </c>
      <c r="AH71" s="195" t="e">
        <f t="shared" ref="AH71:BM71" si="227">(1+AH13/AH5)</f>
        <v>#DIV/0!</v>
      </c>
      <c r="AI71" s="195">
        <f t="shared" si="227"/>
        <v>0.52603396600033103</v>
      </c>
      <c r="AJ71" s="196">
        <f t="shared" si="227"/>
        <v>0.52603396600033103</v>
      </c>
      <c r="AK71" s="195" t="e">
        <f t="shared" si="227"/>
        <v>#DIV/0!</v>
      </c>
      <c r="AL71" s="195" t="e">
        <f t="shared" si="227"/>
        <v>#DIV/0!</v>
      </c>
      <c r="AM71" s="195" t="e">
        <f t="shared" si="227"/>
        <v>#DIV/0!</v>
      </c>
      <c r="AN71" s="195">
        <f t="shared" si="227"/>
        <v>0.4586705599043106</v>
      </c>
      <c r="AO71" s="196">
        <f t="shared" si="227"/>
        <v>0.4586705599043106</v>
      </c>
      <c r="AP71" s="195" t="e">
        <f t="shared" si="227"/>
        <v>#DIV/0!</v>
      </c>
      <c r="AQ71" s="195" t="e">
        <f t="shared" si="227"/>
        <v>#DIV/0!</v>
      </c>
      <c r="AR71" s="195" t="e">
        <f t="shared" si="227"/>
        <v>#DIV/0!</v>
      </c>
      <c r="AS71" s="195">
        <f t="shared" si="227"/>
        <v>0.52527842426354288</v>
      </c>
      <c r="AT71" s="196">
        <f t="shared" si="227"/>
        <v>0.52527842426354288</v>
      </c>
      <c r="AU71" s="195" t="e">
        <f t="shared" si="227"/>
        <v>#DIV/0!</v>
      </c>
      <c r="AV71" s="195" t="e">
        <f t="shared" si="227"/>
        <v>#DIV/0!</v>
      </c>
      <c r="AW71" s="195" t="e">
        <f t="shared" si="227"/>
        <v>#DIV/0!</v>
      </c>
      <c r="AX71" s="195">
        <f t="shared" si="227"/>
        <v>0.61900954556637378</v>
      </c>
      <c r="AY71" s="196">
        <f t="shared" si="227"/>
        <v>0.61900954556637378</v>
      </c>
      <c r="AZ71" s="195" t="e">
        <f t="shared" si="227"/>
        <v>#DIV/0!</v>
      </c>
      <c r="BA71" s="195" t="e">
        <f t="shared" si="227"/>
        <v>#DIV/0!</v>
      </c>
      <c r="BB71" s="195" t="e">
        <f t="shared" si="227"/>
        <v>#DIV/0!</v>
      </c>
      <c r="BC71" s="195">
        <f t="shared" si="227"/>
        <v>0.40229875256861725</v>
      </c>
      <c r="BD71" s="196">
        <f t="shared" si="227"/>
        <v>0.40229875256861725</v>
      </c>
      <c r="BE71" s="195" t="e">
        <f t="shared" si="227"/>
        <v>#DIV/0!</v>
      </c>
      <c r="BF71" s="195" t="e">
        <f t="shared" si="227"/>
        <v>#DIV/0!</v>
      </c>
      <c r="BG71" s="195" t="e">
        <f t="shared" si="227"/>
        <v>#DIV/0!</v>
      </c>
      <c r="BH71" s="195">
        <f t="shared" si="227"/>
        <v>0.40512506818186833</v>
      </c>
      <c r="BI71" s="196">
        <f t="shared" si="227"/>
        <v>0.40512506818186833</v>
      </c>
      <c r="BJ71" s="195" t="e">
        <f t="shared" si="227"/>
        <v>#DIV/0!</v>
      </c>
      <c r="BK71" s="195" t="e">
        <f t="shared" si="227"/>
        <v>#DIV/0!</v>
      </c>
      <c r="BL71" s="195" t="e">
        <f t="shared" si="227"/>
        <v>#DIV/0!</v>
      </c>
      <c r="BM71" s="195">
        <f t="shared" si="227"/>
        <v>0.37664030683703587</v>
      </c>
      <c r="BN71" s="196">
        <f t="shared" ref="BN71:CS71" si="228">(1+BN13/BN5)</f>
        <v>0.37664030683703587</v>
      </c>
      <c r="BO71" s="195" t="e">
        <f t="shared" si="228"/>
        <v>#DIV/0!</v>
      </c>
      <c r="BP71" s="195" t="e">
        <f t="shared" si="228"/>
        <v>#DIV/0!</v>
      </c>
      <c r="BQ71" s="195" t="e">
        <f t="shared" si="228"/>
        <v>#DIV/0!</v>
      </c>
      <c r="BR71" s="195">
        <f t="shared" si="228"/>
        <v>0.39101243139561503</v>
      </c>
      <c r="BS71" s="196">
        <f t="shared" si="228"/>
        <v>0.39101243139561503</v>
      </c>
      <c r="BT71" s="195" t="e">
        <f t="shared" si="228"/>
        <v>#DIV/0!</v>
      </c>
      <c r="BU71" s="195" t="e">
        <f t="shared" si="228"/>
        <v>#DIV/0!</v>
      </c>
      <c r="BV71" s="195" t="e">
        <f t="shared" si="228"/>
        <v>#DIV/0!</v>
      </c>
      <c r="BW71" s="195">
        <f t="shared" si="228"/>
        <v>0.41007875282308115</v>
      </c>
      <c r="BX71" s="196">
        <f t="shared" si="228"/>
        <v>0.41007875282308115</v>
      </c>
      <c r="BY71" s="195">
        <f t="shared" si="228"/>
        <v>0.3582721125349585</v>
      </c>
      <c r="BZ71" s="195">
        <f t="shared" si="228"/>
        <v>0.35970230857739727</v>
      </c>
      <c r="CA71" s="195">
        <f t="shared" si="228"/>
        <v>0.35651509361864731</v>
      </c>
      <c r="CB71" s="195">
        <f t="shared" si="228"/>
        <v>0.45913224833795097</v>
      </c>
      <c r="CC71" s="196">
        <f t="shared" si="228"/>
        <v>0.39015719688516926</v>
      </c>
      <c r="CD71" s="195">
        <f t="shared" si="228"/>
        <v>0.40530102429636139</v>
      </c>
      <c r="CE71" s="195">
        <f t="shared" si="228"/>
        <v>0.41144275642935157</v>
      </c>
      <c r="CF71" s="195">
        <f t="shared" si="228"/>
        <v>0.41055049999100202</v>
      </c>
      <c r="CG71" s="195">
        <f t="shared" si="228"/>
        <v>0.43263214280543771</v>
      </c>
      <c r="CH71" s="196">
        <f t="shared" si="228"/>
        <v>0.41625365603631914</v>
      </c>
      <c r="CI71" s="195">
        <f t="shared" si="228"/>
        <v>0.38624653763639838</v>
      </c>
      <c r="CJ71" s="195">
        <f t="shared" si="228"/>
        <v>0.39085324824727052</v>
      </c>
      <c r="CK71" s="195">
        <f t="shared" si="228"/>
        <v>0.41656143154132952</v>
      </c>
      <c r="CL71" s="195">
        <f t="shared" si="228"/>
        <v>0.36861501542680841</v>
      </c>
      <c r="CM71" s="196">
        <f t="shared" si="228"/>
        <v>0.3904133219085415</v>
      </c>
      <c r="CN71" s="195">
        <f t="shared" si="228"/>
        <v>0.38966101880311965</v>
      </c>
      <c r="CO71" s="195">
        <f t="shared" si="228"/>
        <v>0.37204852835186142</v>
      </c>
      <c r="CP71" s="195">
        <f t="shared" si="228"/>
        <v>0.40062685721707314</v>
      </c>
      <c r="CQ71" s="195">
        <f t="shared" si="228"/>
        <v>0.38459421354338152</v>
      </c>
      <c r="CR71" s="196">
        <f t="shared" si="228"/>
        <v>0.3867004014655272</v>
      </c>
      <c r="CS71" s="195">
        <f t="shared" si="228"/>
        <v>0.38932931911852331</v>
      </c>
      <c r="CT71" s="195">
        <f t="shared" ref="CT71:DD71" si="229">(1+CT13/CT5)</f>
        <v>0.3917397285560491</v>
      </c>
      <c r="CU71" s="195">
        <f t="shared" si="229"/>
        <v>0.39160724209998987</v>
      </c>
      <c r="CV71" s="195">
        <f t="shared" si="229"/>
        <v>0.40135223907992679</v>
      </c>
      <c r="CW71" s="196">
        <f t="shared" si="229"/>
        <v>0.39391406119378025</v>
      </c>
      <c r="CX71" s="195">
        <f t="shared" si="229"/>
        <v>0.39261033048745608</v>
      </c>
      <c r="CY71" s="195">
        <f t="shared" si="229"/>
        <v>0.39753121868666652</v>
      </c>
      <c r="CZ71" s="195">
        <f t="shared" si="229"/>
        <v>0.40394641423068289</v>
      </c>
      <c r="DA71" s="195">
        <f t="shared" si="229"/>
        <v>0.4048444806239706</v>
      </c>
      <c r="DB71" s="196">
        <f t="shared" si="229"/>
        <v>0.40013942888589982</v>
      </c>
      <c r="DC71" s="195">
        <f t="shared" si="229"/>
        <v>0.4030830545891616</v>
      </c>
      <c r="DD71" s="195">
        <f t="shared" si="229"/>
        <v>0.41141628354468673</v>
      </c>
      <c r="DE71" s="195">
        <f t="shared" ref="DE71:DF71" si="230">(1+DE13/DE5)</f>
        <v>0.41507169180780557</v>
      </c>
      <c r="DF71" s="195">
        <f t="shared" si="230"/>
        <v>0.42039895214116896</v>
      </c>
      <c r="DG71" s="196">
        <f>(1+DG13/DG5)</f>
        <v>0.4128706710447545</v>
      </c>
      <c r="DH71" s="195">
        <f t="shared" ref="DH71:DI71" si="231">(1+DH13/DH5)</f>
        <v>0.40483678071374007</v>
      </c>
      <c r="DI71" s="195">
        <f t="shared" si="231"/>
        <v>0.41108590950956958</v>
      </c>
      <c r="DJ71" s="96">
        <f>('Balance Sheet'!DJ118*Forecasts!DJ38+'Balance Sheet'!DI110*Forecasts!DJ40)/DJ5-0.5%</f>
        <v>0.41310887750693653</v>
      </c>
      <c r="DK71" s="96">
        <f>('Balance Sheet'!DK118*Forecasts!DK38+'Balance Sheet'!DJ110*Forecasts!DK40)/DK5</f>
        <v>0.41609959984674416</v>
      </c>
      <c r="DL71" s="196">
        <f>(1+DL13/DL5)</f>
        <v>0.41144708689842735</v>
      </c>
      <c r="DM71" s="96">
        <f>('Balance Sheet'!DM118*Forecasts!DM38+'Balance Sheet'!DL110*Forecasts!DM40)/DM5</f>
        <v>0.4100092183440387</v>
      </c>
      <c r="DN71" s="96">
        <f>('Balance Sheet'!DN118*Forecasts!DN38+'Balance Sheet'!DM110*Forecasts!DN40)/DN5</f>
        <v>0.40839634316587192</v>
      </c>
      <c r="DO71" s="96">
        <f>('Balance Sheet'!DO118*Forecasts!DO38+'Balance Sheet'!DN110*Forecasts!DO40)/DO5</f>
        <v>0.40455750082180408</v>
      </c>
      <c r="DP71" s="96">
        <f>('Balance Sheet'!DP118*Forecasts!DP38+'Balance Sheet'!DO110*Forecasts!DP40)/DP5</f>
        <v>0.40311881629332114</v>
      </c>
      <c r="DQ71" s="196">
        <f>(1+DQ13/DQ5)</f>
        <v>0.40643615609480976</v>
      </c>
      <c r="DR71" s="96">
        <f>('Balance Sheet'!DR118*Forecasts!DR38+'Balance Sheet'!DQ110*Forecasts!DR40)/DR5</f>
        <v>0.3994056807533044</v>
      </c>
      <c r="DS71" s="96">
        <f>('Balance Sheet'!DS118*Forecasts!DS38+'Balance Sheet'!DR110*Forecasts!DS40)/DS5</f>
        <v>0.39802574531807716</v>
      </c>
      <c r="DT71" s="96">
        <f>('Balance Sheet'!DT118*Forecasts!DT38+'Balance Sheet'!DS110*Forecasts!DT40)/DT5</f>
        <v>0.39675795822176152</v>
      </c>
      <c r="DU71" s="96">
        <f>('Balance Sheet'!DU118*Forecasts!DU38+'Balance Sheet'!DT110*Forecasts!DU40)/DU5</f>
        <v>0.3955896928286145</v>
      </c>
      <c r="DV71" s="196">
        <f>(1+DV13/DV5)</f>
        <v>0.39741404535499414</v>
      </c>
      <c r="DW71" s="96">
        <f>('Balance Sheet'!DW118*Forecasts!DW38+'Balance Sheet'!DV110*Forecasts!DW40)/DW5</f>
        <v>0.39451079661135474</v>
      </c>
      <c r="DX71" s="96">
        <f>('Balance Sheet'!DX118*Forecasts!DX38+'Balance Sheet'!DW110*Forecasts!DX40)/DX5</f>
        <v>0.39351278796806333</v>
      </c>
      <c r="DY71" s="96">
        <f>('Balance Sheet'!DY118*Forecasts!DY38+'Balance Sheet'!DX110*Forecasts!DY40)/DY5</f>
        <v>0.39258839181145372</v>
      </c>
      <c r="DZ71" s="96">
        <f>('Balance Sheet'!DZ118*Forecasts!DZ38+'Balance Sheet'!DY110*Forecasts!DZ40)/DZ5</f>
        <v>0.39173125494069644</v>
      </c>
      <c r="EA71" s="196">
        <f>(1+EA13/EA5)</f>
        <v>0.39306725705047063</v>
      </c>
      <c r="EB71" s="96">
        <f>('Balance Sheet'!EB118*Forecasts!EB38+'Balance Sheet'!EA110*Forecasts!EB40)/EB5</f>
        <v>0.39093576023952104</v>
      </c>
      <c r="EC71" s="96">
        <f>('Balance Sheet'!EC118*Forecasts!EC38+'Balance Sheet'!EB110*Forecasts!EC40)/EC5</f>
        <v>0.39019689761029758</v>
      </c>
      <c r="ED71" s="96">
        <f>('Balance Sheet'!ED118*Forecasts!ED38+'Balance Sheet'!EC110*Forecasts!ED40)/ED5</f>
        <v>0.38951016920735543</v>
      </c>
      <c r="EE71" s="96">
        <f>('Balance Sheet'!EE118*Forecasts!EE38+'Balance Sheet'!ED110*Forecasts!EE40)/EE5</f>
        <v>0.38887151662396802</v>
      </c>
      <c r="EF71" s="196">
        <f>(1+EF13/EF5)</f>
        <v>0.38986644046986918</v>
      </c>
    </row>
    <row r="72" spans="1:136" ht="12.75" customHeight="1" outlineLevel="1">
      <c r="A72" s="41" t="s">
        <v>104</v>
      </c>
      <c r="B72" s="195" t="e">
        <f t="shared" ref="B72:AG72" si="232">(1+B15/B7)</f>
        <v>#DIV/0!</v>
      </c>
      <c r="C72" s="195" t="e">
        <f t="shared" si="232"/>
        <v>#DIV/0!</v>
      </c>
      <c r="D72" s="195" t="e">
        <f t="shared" si="232"/>
        <v>#DIV/0!</v>
      </c>
      <c r="E72" s="195" t="e">
        <f t="shared" si="232"/>
        <v>#DIV/0!</v>
      </c>
      <c r="F72" s="196" t="e">
        <f t="shared" si="232"/>
        <v>#DIV/0!</v>
      </c>
      <c r="G72" s="195" t="e">
        <f t="shared" si="232"/>
        <v>#DIV/0!</v>
      </c>
      <c r="H72" s="195" t="e">
        <f t="shared" si="232"/>
        <v>#DIV/0!</v>
      </c>
      <c r="I72" s="195" t="e">
        <f t="shared" si="232"/>
        <v>#DIV/0!</v>
      </c>
      <c r="J72" s="195" t="e">
        <f t="shared" si="232"/>
        <v>#DIV/0!</v>
      </c>
      <c r="K72" s="196" t="e">
        <f t="shared" si="232"/>
        <v>#DIV/0!</v>
      </c>
      <c r="L72" s="195" t="e">
        <f t="shared" si="232"/>
        <v>#DIV/0!</v>
      </c>
      <c r="M72" s="195" t="e">
        <f t="shared" si="232"/>
        <v>#DIV/0!</v>
      </c>
      <c r="N72" s="195" t="e">
        <f t="shared" si="232"/>
        <v>#DIV/0!</v>
      </c>
      <c r="O72" s="195" t="e">
        <f t="shared" si="232"/>
        <v>#DIV/0!</v>
      </c>
      <c r="P72" s="196" t="e">
        <f t="shared" si="232"/>
        <v>#DIV/0!</v>
      </c>
      <c r="Q72" s="195" t="e">
        <f t="shared" si="232"/>
        <v>#DIV/0!</v>
      </c>
      <c r="R72" s="195" t="e">
        <f t="shared" si="232"/>
        <v>#DIV/0!</v>
      </c>
      <c r="S72" s="195" t="e">
        <f t="shared" si="232"/>
        <v>#DIV/0!</v>
      </c>
      <c r="T72" s="195" t="e">
        <f t="shared" si="232"/>
        <v>#DIV/0!</v>
      </c>
      <c r="U72" s="196" t="e">
        <f t="shared" si="232"/>
        <v>#DIV/0!</v>
      </c>
      <c r="V72" s="195" t="e">
        <f t="shared" si="232"/>
        <v>#DIV/0!</v>
      </c>
      <c r="W72" s="195" t="e">
        <f t="shared" si="232"/>
        <v>#DIV/0!</v>
      </c>
      <c r="X72" s="195" t="e">
        <f t="shared" si="232"/>
        <v>#DIV/0!</v>
      </c>
      <c r="Y72" s="195" t="e">
        <f t="shared" si="232"/>
        <v>#DIV/0!</v>
      </c>
      <c r="Z72" s="196" t="e">
        <f t="shared" si="232"/>
        <v>#DIV/0!</v>
      </c>
      <c r="AA72" s="195" t="e">
        <f t="shared" si="232"/>
        <v>#DIV/0!</v>
      </c>
      <c r="AB72" s="195" t="e">
        <f t="shared" si="232"/>
        <v>#DIV/0!</v>
      </c>
      <c r="AC72" s="195" t="e">
        <f t="shared" si="232"/>
        <v>#DIV/0!</v>
      </c>
      <c r="AD72" s="195" t="e">
        <f t="shared" si="232"/>
        <v>#DIV/0!</v>
      </c>
      <c r="AE72" s="196" t="e">
        <f t="shared" si="232"/>
        <v>#DIV/0!</v>
      </c>
      <c r="AF72" s="195" t="e">
        <f t="shared" si="232"/>
        <v>#DIV/0!</v>
      </c>
      <c r="AG72" s="195" t="e">
        <f t="shared" si="232"/>
        <v>#DIV/0!</v>
      </c>
      <c r="AH72" s="195" t="e">
        <f t="shared" ref="AH72:BM72" si="233">(1+AH15/AH7)</f>
        <v>#DIV/0!</v>
      </c>
      <c r="AI72" s="195" t="e">
        <f t="shared" si="233"/>
        <v>#DIV/0!</v>
      </c>
      <c r="AJ72" s="196" t="e">
        <f t="shared" si="233"/>
        <v>#DIV/0!</v>
      </c>
      <c r="AK72" s="195" t="e">
        <f t="shared" si="233"/>
        <v>#DIV/0!</v>
      </c>
      <c r="AL72" s="195" t="e">
        <f t="shared" si="233"/>
        <v>#DIV/0!</v>
      </c>
      <c r="AM72" s="195" t="e">
        <f t="shared" si="233"/>
        <v>#DIV/0!</v>
      </c>
      <c r="AN72" s="195" t="e">
        <f t="shared" si="233"/>
        <v>#DIV/0!</v>
      </c>
      <c r="AO72" s="196" t="e">
        <f t="shared" si="233"/>
        <v>#DIV/0!</v>
      </c>
      <c r="AP72" s="195" t="e">
        <f t="shared" si="233"/>
        <v>#DIV/0!</v>
      </c>
      <c r="AQ72" s="195" t="e">
        <f t="shared" si="233"/>
        <v>#DIV/0!</v>
      </c>
      <c r="AR72" s="195" t="e">
        <f t="shared" si="233"/>
        <v>#DIV/0!</v>
      </c>
      <c r="AS72" s="195" t="e">
        <f t="shared" si="233"/>
        <v>#DIV/0!</v>
      </c>
      <c r="AT72" s="196" t="e">
        <f t="shared" si="233"/>
        <v>#DIV/0!</v>
      </c>
      <c r="AU72" s="195" t="e">
        <f t="shared" si="233"/>
        <v>#DIV/0!</v>
      </c>
      <c r="AV72" s="195" t="e">
        <f t="shared" si="233"/>
        <v>#DIV/0!</v>
      </c>
      <c r="AW72" s="195" t="e">
        <f t="shared" si="233"/>
        <v>#DIV/0!</v>
      </c>
      <c r="AX72" s="195" t="e">
        <f t="shared" si="233"/>
        <v>#DIV/0!</v>
      </c>
      <c r="AY72" s="196" t="e">
        <f t="shared" si="233"/>
        <v>#DIV/0!</v>
      </c>
      <c r="AZ72" s="195" t="e">
        <f t="shared" si="233"/>
        <v>#DIV/0!</v>
      </c>
      <c r="BA72" s="195" t="e">
        <f t="shared" si="233"/>
        <v>#DIV/0!</v>
      </c>
      <c r="BB72" s="195" t="e">
        <f t="shared" si="233"/>
        <v>#DIV/0!</v>
      </c>
      <c r="BC72" s="195">
        <f t="shared" si="233"/>
        <v>0.20830160282262611</v>
      </c>
      <c r="BD72" s="196">
        <f t="shared" si="233"/>
        <v>0.20830160282262611</v>
      </c>
      <c r="BE72" s="195" t="e">
        <f t="shared" si="233"/>
        <v>#DIV/0!</v>
      </c>
      <c r="BF72" s="195" t="e">
        <f t="shared" si="233"/>
        <v>#DIV/0!</v>
      </c>
      <c r="BG72" s="195" t="e">
        <f t="shared" si="233"/>
        <v>#DIV/0!</v>
      </c>
      <c r="BH72" s="195">
        <f t="shared" si="233"/>
        <v>0.21432544504417617</v>
      </c>
      <c r="BI72" s="196">
        <f t="shared" si="233"/>
        <v>0.21432544504417617</v>
      </c>
      <c r="BJ72" s="195" t="e">
        <f t="shared" si="233"/>
        <v>#DIV/0!</v>
      </c>
      <c r="BK72" s="195" t="e">
        <f t="shared" si="233"/>
        <v>#DIV/0!</v>
      </c>
      <c r="BL72" s="195" t="e">
        <f t="shared" si="233"/>
        <v>#DIV/0!</v>
      </c>
      <c r="BM72" s="195">
        <f t="shared" si="233"/>
        <v>8.5880816301877716E-2</v>
      </c>
      <c r="BN72" s="196">
        <f t="shared" ref="BN72:CS72" si="234">(1+BN15/BN7)</f>
        <v>8.5880816301877716E-2</v>
      </c>
      <c r="BO72" s="195" t="e">
        <f t="shared" si="234"/>
        <v>#DIV/0!</v>
      </c>
      <c r="BP72" s="195" t="e">
        <f t="shared" si="234"/>
        <v>#DIV/0!</v>
      </c>
      <c r="BQ72" s="195" t="e">
        <f t="shared" si="234"/>
        <v>#DIV/0!</v>
      </c>
      <c r="BR72" s="195">
        <f t="shared" si="234"/>
        <v>-5.9204945446035939E-2</v>
      </c>
      <c r="BS72" s="196">
        <f t="shared" si="234"/>
        <v>-5.9204945446035939E-2</v>
      </c>
      <c r="BT72" s="195" t="e">
        <f t="shared" si="234"/>
        <v>#DIV/0!</v>
      </c>
      <c r="BU72" s="195" t="e">
        <f t="shared" si="234"/>
        <v>#DIV/0!</v>
      </c>
      <c r="BV72" s="195" t="e">
        <f t="shared" si="234"/>
        <v>#DIV/0!</v>
      </c>
      <c r="BW72" s="195">
        <f t="shared" si="234"/>
        <v>-1.15846133648418</v>
      </c>
      <c r="BX72" s="196">
        <f t="shared" si="234"/>
        <v>-1.15846133648418</v>
      </c>
      <c r="BY72" s="195">
        <f t="shared" si="234"/>
        <v>-4.066830165542612</v>
      </c>
      <c r="BZ72" s="195">
        <f t="shared" si="234"/>
        <v>0.70112887393072498</v>
      </c>
      <c r="CA72" s="195">
        <f t="shared" si="234"/>
        <v>-5.2651087832393229</v>
      </c>
      <c r="CB72" s="195">
        <f t="shared" si="234"/>
        <v>1.2158438576349024</v>
      </c>
      <c r="CC72" s="196">
        <f t="shared" si="234"/>
        <v>-1.1756581457458983</v>
      </c>
      <c r="CD72" s="195">
        <f t="shared" si="234"/>
        <v>-10.525564803804993</v>
      </c>
      <c r="CE72" s="195">
        <f t="shared" si="234"/>
        <v>-12.6480117820324</v>
      </c>
      <c r="CF72" s="195">
        <f t="shared" si="234"/>
        <v>-4.1010009099181071</v>
      </c>
      <c r="CG72" s="195">
        <f t="shared" si="234"/>
        <v>-0.14119492744149564</v>
      </c>
      <c r="CH72" s="196">
        <f t="shared" si="234"/>
        <v>-2.2425983638488507</v>
      </c>
      <c r="CI72" s="195">
        <f t="shared" si="234"/>
        <v>-4.8779174147217237</v>
      </c>
      <c r="CJ72" s="195">
        <f t="shared" si="234"/>
        <v>-4.6004398826979473</v>
      </c>
      <c r="CK72" s="195">
        <f t="shared" si="234"/>
        <v>-7.83955223880597</v>
      </c>
      <c r="CL72" s="195">
        <f t="shared" si="234"/>
        <v>19.187142857142856</v>
      </c>
      <c r="CM72" s="196">
        <f t="shared" si="234"/>
        <v>-1.5722352941176472</v>
      </c>
      <c r="CN72" s="195">
        <f t="shared" si="234"/>
        <v>-0.75492957746478884</v>
      </c>
      <c r="CO72" s="195">
        <f t="shared" si="234"/>
        <v>0.57232346241457854</v>
      </c>
      <c r="CP72" s="195">
        <f t="shared" si="234"/>
        <v>-5.3808139534883717</v>
      </c>
      <c r="CQ72" s="195">
        <f t="shared" si="234"/>
        <v>6.7389455782312924</v>
      </c>
      <c r="CR72" s="196">
        <f t="shared" si="234"/>
        <v>0.13437558161176255</v>
      </c>
      <c r="CS72" s="195">
        <f t="shared" si="234"/>
        <v>0.66878172588832485</v>
      </c>
      <c r="CT72" s="195">
        <f t="shared" ref="CT72:DD72" si="235">(1+CT15/CT7)</f>
        <v>0.71099744245524299</v>
      </c>
      <c r="CU72" s="195">
        <f t="shared" si="235"/>
        <v>0.91569945021380572</v>
      </c>
      <c r="CV72" s="195">
        <f t="shared" si="235"/>
        <v>0.63185108583247152</v>
      </c>
      <c r="CW72" s="196">
        <f t="shared" si="235"/>
        <v>0.74687091350644497</v>
      </c>
      <c r="CX72" s="195">
        <f t="shared" si="235"/>
        <v>0.59454855195911416</v>
      </c>
      <c r="CY72" s="195">
        <f t="shared" si="235"/>
        <v>0.19637139807897541</v>
      </c>
      <c r="CZ72" s="195" t="e">
        <f t="shared" si="235"/>
        <v>#DIV/0!</v>
      </c>
      <c r="DA72" s="195">
        <f t="shared" si="235"/>
        <v>30.875</v>
      </c>
      <c r="DB72" s="196">
        <f t="shared" si="235"/>
        <v>3.3898305084745783E-2</v>
      </c>
      <c r="DC72" s="195">
        <f t="shared" si="235"/>
        <v>0.90551917680074834</v>
      </c>
      <c r="DD72" s="195">
        <f t="shared" si="235"/>
        <v>-1.6272965879265091</v>
      </c>
      <c r="DE72" s="195">
        <f t="shared" ref="DE72:DF72" si="236">(1+DE15/DE7)</f>
        <v>0.48795180722891562</v>
      </c>
      <c r="DF72" s="195">
        <f t="shared" si="236"/>
        <v>0.38752913752913754</v>
      </c>
      <c r="DG72" s="196">
        <f>(1+DG15/DG7)</f>
        <v>0.64485463774803875</v>
      </c>
      <c r="DH72" s="195">
        <f t="shared" ref="DH72:DI72" si="237">(1+DH15/DH7)</f>
        <v>0.44544822793606675</v>
      </c>
      <c r="DI72" s="195">
        <f t="shared" si="237"/>
        <v>-0.73513513513513518</v>
      </c>
      <c r="DJ72" s="96">
        <v>0.8</v>
      </c>
      <c r="DK72" s="96">
        <v>0.8</v>
      </c>
      <c r="DL72" s="196">
        <f>(1+DL15/DL7)</f>
        <v>0.65087181689927665</v>
      </c>
      <c r="DM72" s="96">
        <v>0.7</v>
      </c>
      <c r="DN72" s="96">
        <f>DM72</f>
        <v>0.7</v>
      </c>
      <c r="DO72" s="96">
        <f>DN72</f>
        <v>0.7</v>
      </c>
      <c r="DP72" s="96">
        <f>DO72</f>
        <v>0.7</v>
      </c>
      <c r="DQ72" s="196">
        <f>(1+DQ15/DQ7)</f>
        <v>0.7</v>
      </c>
      <c r="DR72" s="96">
        <f>DP72</f>
        <v>0.7</v>
      </c>
      <c r="DS72" s="96">
        <f>DR72</f>
        <v>0.7</v>
      </c>
      <c r="DT72" s="96">
        <f>DS72</f>
        <v>0.7</v>
      </c>
      <c r="DU72" s="96">
        <f>DT72</f>
        <v>0.7</v>
      </c>
      <c r="DV72" s="196">
        <f>(1+DV15/DV7)</f>
        <v>0.7</v>
      </c>
      <c r="DW72" s="96">
        <f>DU72</f>
        <v>0.7</v>
      </c>
      <c r="DX72" s="96">
        <f>DW72</f>
        <v>0.7</v>
      </c>
      <c r="DY72" s="96">
        <f>DX72</f>
        <v>0.7</v>
      </c>
      <c r="DZ72" s="96">
        <f>DY72</f>
        <v>0.7</v>
      </c>
      <c r="EA72" s="196">
        <f>(1+EA15/EA7)</f>
        <v>0.7</v>
      </c>
      <c r="EB72" s="96">
        <f>DZ72</f>
        <v>0.7</v>
      </c>
      <c r="EC72" s="96">
        <f>EB72</f>
        <v>0.7</v>
      </c>
      <c r="ED72" s="96">
        <f>EC72</f>
        <v>0.7</v>
      </c>
      <c r="EE72" s="96">
        <f>ED72</f>
        <v>0.7</v>
      </c>
      <c r="EF72" s="196">
        <f>(1+EF15/EF7)</f>
        <v>0.7</v>
      </c>
    </row>
    <row r="73" spans="1:136" s="3" customFormat="1" ht="12.75" customHeight="1">
      <c r="A73" s="58" t="s">
        <v>12</v>
      </c>
      <c r="B73" s="65" t="e">
        <f>B58/B$53</f>
        <v>#DIV/0!</v>
      </c>
      <c r="C73" s="65" t="e">
        <f>C58/C$53</f>
        <v>#DIV/0!</v>
      </c>
      <c r="D73" s="65" t="e">
        <f>D58/D$53</f>
        <v>#DIV/0!</v>
      </c>
      <c r="E73" s="65" t="e">
        <f>E58/E$53</f>
        <v>#DIV/0!</v>
      </c>
      <c r="F73" s="194" t="e">
        <f>F58/F$53</f>
        <v>#DIV/0!</v>
      </c>
      <c r="G73" s="65" t="e">
        <f t="shared" ref="G73:AE73" si="238">G58/G$53</f>
        <v>#DIV/0!</v>
      </c>
      <c r="H73" s="65" t="e">
        <f t="shared" si="238"/>
        <v>#DIV/0!</v>
      </c>
      <c r="I73" s="65" t="e">
        <f t="shared" si="238"/>
        <v>#DIV/0!</v>
      </c>
      <c r="J73" s="65" t="e">
        <f t="shared" si="238"/>
        <v>#DIV/0!</v>
      </c>
      <c r="K73" s="194" t="e">
        <f t="shared" si="238"/>
        <v>#DIV/0!</v>
      </c>
      <c r="L73" s="65" t="e">
        <f t="shared" si="238"/>
        <v>#DIV/0!</v>
      </c>
      <c r="M73" s="65" t="e">
        <f t="shared" si="238"/>
        <v>#DIV/0!</v>
      </c>
      <c r="N73" s="65" t="e">
        <f t="shared" si="238"/>
        <v>#DIV/0!</v>
      </c>
      <c r="O73" s="65" t="e">
        <f t="shared" si="238"/>
        <v>#DIV/0!</v>
      </c>
      <c r="P73" s="194" t="e">
        <f t="shared" si="238"/>
        <v>#DIV/0!</v>
      </c>
      <c r="Q73" s="65" t="e">
        <f t="shared" si="238"/>
        <v>#DIV/0!</v>
      </c>
      <c r="R73" s="65" t="e">
        <f t="shared" si="238"/>
        <v>#DIV/0!</v>
      </c>
      <c r="S73" s="65" t="e">
        <f t="shared" si="238"/>
        <v>#DIV/0!</v>
      </c>
      <c r="T73" s="65" t="e">
        <f t="shared" si="238"/>
        <v>#DIV/0!</v>
      </c>
      <c r="U73" s="194" t="e">
        <f t="shared" si="238"/>
        <v>#DIV/0!</v>
      </c>
      <c r="V73" s="65" t="e">
        <f t="shared" si="238"/>
        <v>#DIV/0!</v>
      </c>
      <c r="W73" s="65" t="e">
        <f t="shared" si="238"/>
        <v>#DIV/0!</v>
      </c>
      <c r="X73" s="65" t="e">
        <f t="shared" si="238"/>
        <v>#DIV/0!</v>
      </c>
      <c r="Y73" s="65" t="e">
        <f t="shared" si="238"/>
        <v>#DIV/0!</v>
      </c>
      <c r="Z73" s="194" t="e">
        <f t="shared" si="238"/>
        <v>#DIV/0!</v>
      </c>
      <c r="AA73" s="65" t="e">
        <f t="shared" si="238"/>
        <v>#DIV/0!</v>
      </c>
      <c r="AB73" s="65" t="e">
        <f t="shared" si="238"/>
        <v>#DIV/0!</v>
      </c>
      <c r="AC73" s="65" t="e">
        <f t="shared" si="238"/>
        <v>#DIV/0!</v>
      </c>
      <c r="AD73" s="65" t="e">
        <f t="shared" si="238"/>
        <v>#DIV/0!</v>
      </c>
      <c r="AE73" s="194" t="e">
        <f t="shared" si="238"/>
        <v>#DIV/0!</v>
      </c>
      <c r="AF73" s="65" t="e">
        <f t="shared" ref="AF73:AO73" si="239">AF58/AF$53</f>
        <v>#DIV/0!</v>
      </c>
      <c r="AG73" s="65" t="e">
        <f t="shared" si="239"/>
        <v>#DIV/0!</v>
      </c>
      <c r="AH73" s="65" t="e">
        <f t="shared" si="239"/>
        <v>#DIV/0!</v>
      </c>
      <c r="AI73" s="65">
        <f t="shared" si="239"/>
        <v>0.23096161266323106</v>
      </c>
      <c r="AJ73" s="194">
        <f t="shared" si="239"/>
        <v>0.23096161266323106</v>
      </c>
      <c r="AK73" s="65" t="e">
        <f t="shared" si="239"/>
        <v>#DIV/0!</v>
      </c>
      <c r="AL73" s="65" t="e">
        <f t="shared" si="239"/>
        <v>#DIV/0!</v>
      </c>
      <c r="AM73" s="65" t="e">
        <f t="shared" si="239"/>
        <v>#DIV/0!</v>
      </c>
      <c r="AN73" s="65">
        <f t="shared" si="239"/>
        <v>0.21823135442337746</v>
      </c>
      <c r="AO73" s="194">
        <f t="shared" si="239"/>
        <v>0.21823135442337746</v>
      </c>
      <c r="AP73" s="65" t="e">
        <f t="shared" ref="AP73:BD73" si="240">AP58/AP$53</f>
        <v>#DIV/0!</v>
      </c>
      <c r="AQ73" s="65" t="e">
        <f t="shared" si="240"/>
        <v>#DIV/0!</v>
      </c>
      <c r="AR73" s="65" t="e">
        <f t="shared" si="240"/>
        <v>#DIV/0!</v>
      </c>
      <c r="AS73" s="65">
        <f t="shared" si="240"/>
        <v>0.23229724438937976</v>
      </c>
      <c r="AT73" s="194">
        <f t="shared" si="240"/>
        <v>0.23229724438937976</v>
      </c>
      <c r="AU73" s="65" t="e">
        <f>AU58/AU$53</f>
        <v>#DIV/0!</v>
      </c>
      <c r="AV73" s="65" t="e">
        <f>AV58/AV$53</f>
        <v>#DIV/0!</v>
      </c>
      <c r="AW73" s="65" t="e">
        <f>AW58/AW$53</f>
        <v>#DIV/0!</v>
      </c>
      <c r="AX73" s="65">
        <f>AX58/AX$53</f>
        <v>0.24383989823519819</v>
      </c>
      <c r="AY73" s="194">
        <f t="shared" si="240"/>
        <v>0.24383989823519819</v>
      </c>
      <c r="AZ73" s="65" t="e">
        <f t="shared" si="240"/>
        <v>#DIV/0!</v>
      </c>
      <c r="BA73" s="65" t="e">
        <f t="shared" si="240"/>
        <v>#DIV/0!</v>
      </c>
      <c r="BB73" s="65" t="e">
        <f t="shared" si="240"/>
        <v>#DIV/0!</v>
      </c>
      <c r="BC73" s="65">
        <f t="shared" si="240"/>
        <v>0.2061607501242535</v>
      </c>
      <c r="BD73" s="194">
        <f t="shared" si="240"/>
        <v>0.2061607501242535</v>
      </c>
      <c r="BE73" s="65" t="e">
        <f t="shared" ref="BE73:CC73" si="241">BE58/BE$53</f>
        <v>#DIV/0!</v>
      </c>
      <c r="BF73" s="65" t="e">
        <f t="shared" si="241"/>
        <v>#DIV/0!</v>
      </c>
      <c r="BG73" s="65" t="e">
        <f t="shared" si="241"/>
        <v>#DIV/0!</v>
      </c>
      <c r="BH73" s="65">
        <f t="shared" si="241"/>
        <v>0.19925152397389631</v>
      </c>
      <c r="BI73" s="194">
        <f t="shared" si="241"/>
        <v>0.19925152397389631</v>
      </c>
      <c r="BJ73" s="65" t="e">
        <f>BJ58/BJ$53</f>
        <v>#DIV/0!</v>
      </c>
      <c r="BK73" s="65" t="e">
        <f>BK58/BK$53</f>
        <v>#DIV/0!</v>
      </c>
      <c r="BL73" s="65" t="e">
        <f>BL58/BL$53</f>
        <v>#DIV/0!</v>
      </c>
      <c r="BM73" s="65">
        <f>BM58/BM$53</f>
        <v>0.16606224567642189</v>
      </c>
      <c r="BN73" s="194">
        <f>BN58/BN$53</f>
        <v>0.16606224567642189</v>
      </c>
      <c r="BO73" s="65" t="e">
        <f t="shared" si="241"/>
        <v>#DIV/0!</v>
      </c>
      <c r="BP73" s="65" t="e">
        <f t="shared" si="241"/>
        <v>#DIV/0!</v>
      </c>
      <c r="BQ73" s="65" t="e">
        <f t="shared" si="241"/>
        <v>#DIV/0!</v>
      </c>
      <c r="BR73" s="65">
        <f t="shared" si="241"/>
        <v>0.1862804447527889</v>
      </c>
      <c r="BS73" s="194">
        <f t="shared" si="241"/>
        <v>0.1862804447527889</v>
      </c>
      <c r="BT73" s="65" t="e">
        <f>BT58/BT$53</f>
        <v>#DIV/0!</v>
      </c>
      <c r="BU73" s="65" t="e">
        <f>BU58/BU$53</f>
        <v>#DIV/0!</v>
      </c>
      <c r="BV73" s="65" t="e">
        <f>BV58/BV$53</f>
        <v>#DIV/0!</v>
      </c>
      <c r="BW73" s="65">
        <f>BW58/BW$53</f>
        <v>0.22780039836870947</v>
      </c>
      <c r="BX73" s="194">
        <f t="shared" si="241"/>
        <v>0.22780039836870947</v>
      </c>
      <c r="BY73" s="65">
        <f t="shared" si="241"/>
        <v>0.1736316823273345</v>
      </c>
      <c r="BZ73" s="65">
        <f t="shared" si="241"/>
        <v>0.30543862728912757</v>
      </c>
      <c r="CA73" s="65">
        <f t="shared" si="241"/>
        <v>0.19241828665820346</v>
      </c>
      <c r="CB73" s="65">
        <f t="shared" si="241"/>
        <v>0.26089507707608156</v>
      </c>
      <c r="CC73" s="194">
        <f t="shared" si="241"/>
        <v>0.23889874881901582</v>
      </c>
      <c r="CD73" s="65">
        <f>CD58/CD$53</f>
        <v>0.12682066329111696</v>
      </c>
      <c r="CE73" s="65">
        <f>CE58/CE$53</f>
        <v>0.20541502168933079</v>
      </c>
      <c r="CF73" s="65">
        <f>CF58/CF$53</f>
        <v>0.20793993194168708</v>
      </c>
      <c r="CG73" s="65">
        <f>CG58/CG$53</f>
        <v>0.23537623819730058</v>
      </c>
      <c r="CH73" s="194">
        <f t="shared" ref="CH73:DG73" si="242">CH58/CH$53</f>
        <v>0.19956284802242019</v>
      </c>
      <c r="CI73" s="65">
        <f t="shared" si="242"/>
        <v>0.18656826394251458</v>
      </c>
      <c r="CJ73" s="65">
        <f t="shared" si="242"/>
        <v>0.19832630606398324</v>
      </c>
      <c r="CK73" s="65">
        <f t="shared" si="242"/>
        <v>0.19212880299880161</v>
      </c>
      <c r="CL73" s="65">
        <f t="shared" si="242"/>
        <v>0.28032889339464967</v>
      </c>
      <c r="CM73" s="194">
        <f t="shared" si="242"/>
        <v>0.21757699354827575</v>
      </c>
      <c r="CN73" s="65">
        <f>CN58/CN$53</f>
        <v>0.17981599288291228</v>
      </c>
      <c r="CO73" s="65">
        <f>CO58/CO$53</f>
        <v>0.18772924916595193</v>
      </c>
      <c r="CP73" s="65">
        <f>CP58/CP$53</f>
        <v>0.18352884104433193</v>
      </c>
      <c r="CQ73" s="65">
        <f>CQ58/CQ$53</f>
        <v>0.21634411640062157</v>
      </c>
      <c r="CR73" s="194">
        <f t="shared" si="242"/>
        <v>0.19235332216361714</v>
      </c>
      <c r="CS73" s="65">
        <f t="shared" si="242"/>
        <v>0.19668849461136623</v>
      </c>
      <c r="CT73" s="65">
        <f t="shared" si="242"/>
        <v>0.20516224067188277</v>
      </c>
      <c r="CU73" s="65">
        <f>CU58/CU$53</f>
        <v>0.18360124169741207</v>
      </c>
      <c r="CV73" s="65">
        <f>CV58/CV$53</f>
        <v>0.22777342421598923</v>
      </c>
      <c r="CW73" s="194">
        <f t="shared" si="242"/>
        <v>0.20415692481251985</v>
      </c>
      <c r="CX73" s="65">
        <f>CX58/CX$53</f>
        <v>0.21526495673420254</v>
      </c>
      <c r="CY73" s="65">
        <f>CY58/CY$53</f>
        <v>0.20237554917667333</v>
      </c>
      <c r="CZ73" s="65">
        <f>CZ58/CZ$53</f>
        <v>0.19943610589162322</v>
      </c>
      <c r="DA73" s="65">
        <f>DA58/DA$53</f>
        <v>0.22159944578157262</v>
      </c>
      <c r="DB73" s="194">
        <f t="shared" si="242"/>
        <v>0.20940144817907907</v>
      </c>
      <c r="DC73" s="65">
        <f t="shared" si="242"/>
        <v>0.23061806437183846</v>
      </c>
      <c r="DD73" s="65">
        <f t="shared" si="242"/>
        <v>0.23527122773743334</v>
      </c>
      <c r="DE73" s="65">
        <f>DE58/DE$53</f>
        <v>0.23252661042284495</v>
      </c>
      <c r="DF73" s="65">
        <f>DF58/DF$53</f>
        <v>0.24464628464163582</v>
      </c>
      <c r="DG73" s="194">
        <f t="shared" si="242"/>
        <v>0.23596794769219828</v>
      </c>
      <c r="DH73" s="65">
        <f t="shared" ref="DH73:DI73" si="243">DH58/DH$53</f>
        <v>0.2513489328531891</v>
      </c>
      <c r="DI73" s="65">
        <f t="shared" si="243"/>
        <v>0.22647897721155996</v>
      </c>
      <c r="DJ73" s="65">
        <f t="shared" ref="DJ73:EF73" si="244">DJ58/DJ$53</f>
        <v>0.23580850871960277</v>
      </c>
      <c r="DK73" s="65">
        <f t="shared" si="244"/>
        <v>0.25311296132107097</v>
      </c>
      <c r="DL73" s="194">
        <f t="shared" si="244"/>
        <v>0.241803337928749</v>
      </c>
      <c r="DM73" s="65">
        <f t="shared" si="244"/>
        <v>0.24336197388745659</v>
      </c>
      <c r="DN73" s="65">
        <f t="shared" si="244"/>
        <v>0.24353828449293152</v>
      </c>
      <c r="DO73" s="65">
        <f t="shared" si="244"/>
        <v>0.24106149934991239</v>
      </c>
      <c r="DP73" s="65">
        <f t="shared" si="244"/>
        <v>0.2408408412304836</v>
      </c>
      <c r="DQ73" s="194">
        <f t="shared" si="244"/>
        <v>0.2421664145240047</v>
      </c>
      <c r="DR73" s="65">
        <f t="shared" si="244"/>
        <v>0.23814026959308943</v>
      </c>
      <c r="DS73" s="65">
        <f t="shared" si="244"/>
        <v>0.2376810486355149</v>
      </c>
      <c r="DT73" s="65">
        <f t="shared" si="244"/>
        <v>0.23721925060604646</v>
      </c>
      <c r="DU73" s="65">
        <f t="shared" si="244"/>
        <v>0.23675815860861527</v>
      </c>
      <c r="DV73" s="194">
        <f t="shared" si="244"/>
        <v>0.23743855502476577</v>
      </c>
      <c r="DW73" s="65">
        <f t="shared" si="244"/>
        <v>0.23630087747380654</v>
      </c>
      <c r="DX73" s="65">
        <f t="shared" si="244"/>
        <v>0.23585011334518605</v>
      </c>
      <c r="DY73" s="65">
        <f t="shared" si="244"/>
        <v>0.23540811488446506</v>
      </c>
      <c r="DZ73" s="65">
        <f t="shared" si="244"/>
        <v>0.23497668787392406</v>
      </c>
      <c r="EA73" s="194">
        <f t="shared" si="244"/>
        <v>0.23562510955123667</v>
      </c>
      <c r="EB73" s="65">
        <f t="shared" si="244"/>
        <v>0.2345572395604007</v>
      </c>
      <c r="EC73" s="65">
        <f t="shared" si="244"/>
        <v>0.23415083175609153</v>
      </c>
      <c r="ED73" s="65">
        <f t="shared" si="244"/>
        <v>0.23375823311731719</v>
      </c>
      <c r="EE73" s="65">
        <f t="shared" si="244"/>
        <v>0.23337996666908337</v>
      </c>
      <c r="EF73" s="194">
        <f t="shared" si="244"/>
        <v>0.2339546399525467</v>
      </c>
    </row>
    <row r="74" spans="1:136" ht="12.75" customHeight="1">
      <c r="A74" s="41" t="s">
        <v>151</v>
      </c>
      <c r="B74" s="60" t="e">
        <f>B57/B53</f>
        <v>#DIV/0!</v>
      </c>
      <c r="C74" s="60" t="e">
        <f>C57/C53</f>
        <v>#DIV/0!</v>
      </c>
      <c r="D74" s="60" t="e">
        <f>D57/D53</f>
        <v>#DIV/0!</v>
      </c>
      <c r="E74" s="60" t="e">
        <f>E57/E53</f>
        <v>#DIV/0!</v>
      </c>
      <c r="F74" s="48" t="e">
        <f>F57/F53</f>
        <v>#DIV/0!</v>
      </c>
      <c r="G74" s="60" t="e">
        <f t="shared" ref="G74:AE74" si="245">G57/G53</f>
        <v>#DIV/0!</v>
      </c>
      <c r="H74" s="60" t="e">
        <f t="shared" si="245"/>
        <v>#DIV/0!</v>
      </c>
      <c r="I74" s="60" t="e">
        <f t="shared" si="245"/>
        <v>#DIV/0!</v>
      </c>
      <c r="J74" s="60" t="e">
        <f t="shared" si="245"/>
        <v>#DIV/0!</v>
      </c>
      <c r="K74" s="48" t="e">
        <f t="shared" si="245"/>
        <v>#DIV/0!</v>
      </c>
      <c r="L74" s="60" t="e">
        <f t="shared" si="245"/>
        <v>#DIV/0!</v>
      </c>
      <c r="M74" s="60" t="e">
        <f t="shared" si="245"/>
        <v>#DIV/0!</v>
      </c>
      <c r="N74" s="60" t="e">
        <f t="shared" si="245"/>
        <v>#DIV/0!</v>
      </c>
      <c r="O74" s="60" t="e">
        <f t="shared" si="245"/>
        <v>#DIV/0!</v>
      </c>
      <c r="P74" s="48" t="e">
        <f t="shared" si="245"/>
        <v>#DIV/0!</v>
      </c>
      <c r="Q74" s="60" t="e">
        <f t="shared" si="245"/>
        <v>#DIV/0!</v>
      </c>
      <c r="R74" s="60" t="e">
        <f t="shared" si="245"/>
        <v>#DIV/0!</v>
      </c>
      <c r="S74" s="60" t="e">
        <f t="shared" si="245"/>
        <v>#DIV/0!</v>
      </c>
      <c r="T74" s="60" t="e">
        <f t="shared" si="245"/>
        <v>#DIV/0!</v>
      </c>
      <c r="U74" s="48" t="e">
        <f t="shared" si="245"/>
        <v>#DIV/0!</v>
      </c>
      <c r="V74" s="60" t="e">
        <f t="shared" si="245"/>
        <v>#DIV/0!</v>
      </c>
      <c r="W74" s="60" t="e">
        <f t="shared" si="245"/>
        <v>#DIV/0!</v>
      </c>
      <c r="X74" s="60" t="e">
        <f t="shared" si="245"/>
        <v>#DIV/0!</v>
      </c>
      <c r="Y74" s="60" t="e">
        <f t="shared" si="245"/>
        <v>#DIV/0!</v>
      </c>
      <c r="Z74" s="48" t="e">
        <f t="shared" si="245"/>
        <v>#DIV/0!</v>
      </c>
      <c r="AA74" s="60" t="e">
        <f t="shared" si="245"/>
        <v>#DIV/0!</v>
      </c>
      <c r="AB74" s="60" t="e">
        <f t="shared" si="245"/>
        <v>#DIV/0!</v>
      </c>
      <c r="AC74" s="60" t="e">
        <f t="shared" si="245"/>
        <v>#DIV/0!</v>
      </c>
      <c r="AD74" s="60" t="e">
        <f t="shared" si="245"/>
        <v>#DIV/0!</v>
      </c>
      <c r="AE74" s="48" t="e">
        <f t="shared" si="245"/>
        <v>#DIV/0!</v>
      </c>
      <c r="AF74" s="60" t="e">
        <f>AF57/AF53</f>
        <v>#DIV/0!</v>
      </c>
      <c r="AG74" s="60" t="e">
        <f>AG57/AG53</f>
        <v>#DIV/0!</v>
      </c>
      <c r="AH74" s="60" t="e">
        <f>AH57/AH53</f>
        <v>#DIV/0!</v>
      </c>
      <c r="AI74" s="60">
        <f>AI57/AI53</f>
        <v>0.23096161266323106</v>
      </c>
      <c r="AJ74" s="48">
        <f>AJ57/AJ53</f>
        <v>0.23096161266323106</v>
      </c>
      <c r="AK74" s="60" t="e">
        <f t="shared" ref="AK74:AX74" si="246">AK57/AK53</f>
        <v>#DIV/0!</v>
      </c>
      <c r="AL74" s="60" t="e">
        <f t="shared" si="246"/>
        <v>#DIV/0!</v>
      </c>
      <c r="AM74" s="60" t="e">
        <f t="shared" si="246"/>
        <v>#DIV/0!</v>
      </c>
      <c r="AN74" s="60">
        <f t="shared" si="246"/>
        <v>0.21823135442337746</v>
      </c>
      <c r="AO74" s="48">
        <f>AO57/AO53</f>
        <v>0.21823135442337746</v>
      </c>
      <c r="AP74" s="60" t="e">
        <f>AP57/AP53</f>
        <v>#DIV/0!</v>
      </c>
      <c r="AQ74" s="60" t="e">
        <f>AQ57/AQ53</f>
        <v>#DIV/0!</v>
      </c>
      <c r="AR74" s="60" t="e">
        <f>AR57/AR53</f>
        <v>#DIV/0!</v>
      </c>
      <c r="AS74" s="60">
        <f>AS57/AS53</f>
        <v>0.23229724438937976</v>
      </c>
      <c r="AT74" s="48">
        <f t="shared" si="246"/>
        <v>0.23229724438937976</v>
      </c>
      <c r="AU74" s="60" t="e">
        <f t="shared" si="246"/>
        <v>#DIV/0!</v>
      </c>
      <c r="AV74" s="60" t="e">
        <f t="shared" si="246"/>
        <v>#DIV/0!</v>
      </c>
      <c r="AW74" s="60" t="e">
        <f t="shared" si="246"/>
        <v>#DIV/0!</v>
      </c>
      <c r="AX74" s="60">
        <f t="shared" si="246"/>
        <v>0.24383989823519819</v>
      </c>
      <c r="AY74" s="48">
        <f t="shared" ref="AY74:BX74" si="247">AY57/AY53</f>
        <v>0.24383989823519819</v>
      </c>
      <c r="AZ74" s="60" t="e">
        <f t="shared" si="247"/>
        <v>#DIV/0!</v>
      </c>
      <c r="BA74" s="60" t="e">
        <f t="shared" si="247"/>
        <v>#DIV/0!</v>
      </c>
      <c r="BB74" s="60" t="e">
        <f t="shared" si="247"/>
        <v>#DIV/0!</v>
      </c>
      <c r="BC74" s="60">
        <f t="shared" si="247"/>
        <v>0.20066579865261389</v>
      </c>
      <c r="BD74" s="48">
        <f t="shared" si="247"/>
        <v>0.20066579865261389</v>
      </c>
      <c r="BE74" s="60" t="e">
        <f>BE57/BE53</f>
        <v>#DIV/0!</v>
      </c>
      <c r="BF74" s="60" t="e">
        <f>BF57/BF53</f>
        <v>#DIV/0!</v>
      </c>
      <c r="BG74" s="60" t="e">
        <f>BG57/BG53</f>
        <v>#DIV/0!</v>
      </c>
      <c r="BH74" s="60">
        <f>BH57/BH53</f>
        <v>0.19533713382495657</v>
      </c>
      <c r="BI74" s="48">
        <f>BI57/BI53</f>
        <v>0.19533713382495657</v>
      </c>
      <c r="BJ74" s="60" t="e">
        <f t="shared" si="247"/>
        <v>#DIV/0!</v>
      </c>
      <c r="BK74" s="60" t="e">
        <f t="shared" si="247"/>
        <v>#DIV/0!</v>
      </c>
      <c r="BL74" s="60" t="e">
        <f t="shared" si="247"/>
        <v>#DIV/0!</v>
      </c>
      <c r="BM74" s="60">
        <f t="shared" si="247"/>
        <v>0.15892294776096336</v>
      </c>
      <c r="BN74" s="48">
        <f>BN57/BN53</f>
        <v>0.15892294776096336</v>
      </c>
      <c r="BO74" s="60" t="e">
        <f>BO57/BO53</f>
        <v>#DIV/0!</v>
      </c>
      <c r="BP74" s="60" t="e">
        <f>BP57/BP53</f>
        <v>#DIV/0!</v>
      </c>
      <c r="BQ74" s="60" t="e">
        <f>BQ57/BQ53</f>
        <v>#DIV/0!</v>
      </c>
      <c r="BR74" s="60">
        <f>BR57/BR53</f>
        <v>0.1771066510311462</v>
      </c>
      <c r="BS74" s="48">
        <f t="shared" si="247"/>
        <v>0.1771066510311462</v>
      </c>
      <c r="BT74" s="60" t="e">
        <f t="shared" si="247"/>
        <v>#DIV/0!</v>
      </c>
      <c r="BU74" s="60" t="e">
        <f t="shared" si="247"/>
        <v>#DIV/0!</v>
      </c>
      <c r="BV74" s="60" t="e">
        <f t="shared" si="247"/>
        <v>#DIV/0!</v>
      </c>
      <c r="BW74" s="60">
        <f t="shared" si="247"/>
        <v>0.22376020507403943</v>
      </c>
      <c r="BX74" s="48">
        <f t="shared" si="247"/>
        <v>0.22376020507403943</v>
      </c>
      <c r="BY74" s="60">
        <f t="shared" ref="BY74:DD74" si="248">BY57/BY53</f>
        <v>0.16378935074587248</v>
      </c>
      <c r="BZ74" s="60">
        <f t="shared" si="248"/>
        <v>0.30477005075952535</v>
      </c>
      <c r="CA74" s="60">
        <f t="shared" si="248"/>
        <v>0.19089261406218933</v>
      </c>
      <c r="CB74" s="60">
        <f t="shared" si="248"/>
        <v>0.26512846013591912</v>
      </c>
      <c r="CC74" s="48">
        <f t="shared" si="248"/>
        <v>0.2377655926700985</v>
      </c>
      <c r="CD74" s="60">
        <f t="shared" si="248"/>
        <v>0.11395339629862618</v>
      </c>
      <c r="CE74" s="60">
        <f t="shared" si="248"/>
        <v>0.20416808825201865</v>
      </c>
      <c r="CF74" s="60">
        <f t="shared" si="248"/>
        <v>0.20681994617931432</v>
      </c>
      <c r="CG74" s="60">
        <f t="shared" si="248"/>
        <v>0.24127903608874471</v>
      </c>
      <c r="CH74" s="48">
        <f t="shared" si="248"/>
        <v>0.19820089771657107</v>
      </c>
      <c r="CI74" s="60">
        <f t="shared" si="248"/>
        <v>0.18558089635292938</v>
      </c>
      <c r="CJ74" s="60">
        <f t="shared" si="248"/>
        <v>0.1975397541083492</v>
      </c>
      <c r="CK74" s="60">
        <f t="shared" si="248"/>
        <v>0.19132915177818333</v>
      </c>
      <c r="CL74" s="60">
        <f t="shared" si="248"/>
        <v>0.27954920677574135</v>
      </c>
      <c r="CM74" s="48">
        <f t="shared" si="248"/>
        <v>0.21674974615931128</v>
      </c>
      <c r="CN74" s="60">
        <f t="shared" si="248"/>
        <v>0.17880118200878906</v>
      </c>
      <c r="CO74" s="60">
        <f t="shared" si="248"/>
        <v>0.1869677811086245</v>
      </c>
      <c r="CP74" s="60">
        <f t="shared" si="248"/>
        <v>0.18286500313567666</v>
      </c>
      <c r="CQ74" s="60">
        <f t="shared" si="248"/>
        <v>0.21544313479580621</v>
      </c>
      <c r="CR74" s="48">
        <f t="shared" si="248"/>
        <v>0.19153287077358996</v>
      </c>
      <c r="CS74" s="60">
        <f t="shared" si="248"/>
        <v>0.19538419647839503</v>
      </c>
      <c r="CT74" s="60">
        <f t="shared" si="248"/>
        <v>0.20417151038961395</v>
      </c>
      <c r="CU74" s="60">
        <f t="shared" si="248"/>
        <v>0.18267555468070448</v>
      </c>
      <c r="CV74" s="60">
        <f t="shared" si="248"/>
        <v>0.22680989063524218</v>
      </c>
      <c r="CW74" s="48">
        <f t="shared" si="248"/>
        <v>0.20312614771399626</v>
      </c>
      <c r="CX74" s="60">
        <f t="shared" si="248"/>
        <v>0.21463322593511683</v>
      </c>
      <c r="CY74" s="60">
        <f t="shared" si="248"/>
        <v>0.20164615238181116</v>
      </c>
      <c r="CZ74" s="60">
        <f t="shared" si="248"/>
        <v>0.19874946963268275</v>
      </c>
      <c r="DA74" s="60">
        <f t="shared" si="248"/>
        <v>0.22093179422418599</v>
      </c>
      <c r="DB74" s="48">
        <f t="shared" si="248"/>
        <v>0.20872065629051195</v>
      </c>
      <c r="DC74" s="60">
        <f t="shared" si="248"/>
        <v>0.23045032659531781</v>
      </c>
      <c r="DD74" s="60">
        <f t="shared" si="248"/>
        <v>0.23510339752220222</v>
      </c>
      <c r="DE74" s="60">
        <f t="shared" ref="DE74:DF74" si="249">DE57/DE53</f>
        <v>0.23237205048111192</v>
      </c>
      <c r="DF74" s="60">
        <f t="shared" si="249"/>
        <v>0.244494141429794</v>
      </c>
      <c r="DG74" s="48">
        <f t="shared" ref="DG74:EF74" si="250">DG57/DG53</f>
        <v>0.23580774541877059</v>
      </c>
      <c r="DH74" s="60">
        <f t="shared" si="250"/>
        <v>0.25121746577360005</v>
      </c>
      <c r="DI74" s="60">
        <f t="shared" si="250"/>
        <v>0.2263618586130082</v>
      </c>
      <c r="DJ74" s="60">
        <f t="shared" si="250"/>
        <v>0.23528915520809079</v>
      </c>
      <c r="DK74" s="60">
        <f t="shared" si="250"/>
        <v>0.25263088774227849</v>
      </c>
      <c r="DL74" s="48">
        <f t="shared" si="250"/>
        <v>0.24148577409481961</v>
      </c>
      <c r="DM74" s="60">
        <f t="shared" si="250"/>
        <v>0.24288765591691616</v>
      </c>
      <c r="DN74" s="60">
        <f t="shared" si="250"/>
        <v>0.24307673506524119</v>
      </c>
      <c r="DO74" s="60">
        <f t="shared" si="250"/>
        <v>0.24060980149942976</v>
      </c>
      <c r="DP74" s="60">
        <f t="shared" si="250"/>
        <v>0.24039760292529708</v>
      </c>
      <c r="DQ74" s="48">
        <f t="shared" si="250"/>
        <v>0.24170907050444851</v>
      </c>
      <c r="DR74" s="60">
        <f t="shared" si="250"/>
        <v>0.23770446522925376</v>
      </c>
      <c r="DS74" s="60">
        <f t="shared" si="250"/>
        <v>0.23725189698493393</v>
      </c>
      <c r="DT74" s="60">
        <f t="shared" si="250"/>
        <v>0.23679613041552439</v>
      </c>
      <c r="DU74" s="60">
        <f t="shared" si="250"/>
        <v>0.23634056014900245</v>
      </c>
      <c r="DV74" s="48">
        <f t="shared" si="250"/>
        <v>0.23701228291124143</v>
      </c>
      <c r="DW74" s="60">
        <f t="shared" si="250"/>
        <v>0.23588837303406707</v>
      </c>
      <c r="DX74" s="60">
        <f t="shared" si="250"/>
        <v>0.23544233832014974</v>
      </c>
      <c r="DY74" s="60">
        <f t="shared" si="250"/>
        <v>0.23500475497966875</v>
      </c>
      <c r="DZ74" s="60">
        <f t="shared" si="250"/>
        <v>0.23457746998532272</v>
      </c>
      <c r="EA74" s="48">
        <f t="shared" si="250"/>
        <v>0.23521948390076219</v>
      </c>
      <c r="EB74" s="60">
        <f t="shared" si="250"/>
        <v>0.23416192496359547</v>
      </c>
      <c r="EC74" s="60">
        <f t="shared" si="250"/>
        <v>0.23375921081965187</v>
      </c>
      <c r="ED74" s="60">
        <f t="shared" si="250"/>
        <v>0.23337012107271912</v>
      </c>
      <c r="EE74" s="60">
        <f t="shared" si="250"/>
        <v>0.23299520014776162</v>
      </c>
      <c r="EF74" s="48">
        <f t="shared" si="250"/>
        <v>0.23356474848599451</v>
      </c>
    </row>
    <row r="75" spans="1:136" s="92" customFormat="1" ht="12.75" customHeight="1">
      <c r="A75" s="197" t="s">
        <v>124</v>
      </c>
      <c r="B75" s="105" t="e">
        <f>B66/B$53</f>
        <v>#DIV/0!</v>
      </c>
      <c r="C75" s="105" t="e">
        <f>C66/C$53</f>
        <v>#DIV/0!</v>
      </c>
      <c r="D75" s="105" t="e">
        <f>D66/D$53</f>
        <v>#DIV/0!</v>
      </c>
      <c r="E75" s="105" t="e">
        <f>E66/E$53</f>
        <v>#DIV/0!</v>
      </c>
      <c r="F75" s="104" t="e">
        <f>F66/F$53</f>
        <v>#DIV/0!</v>
      </c>
      <c r="G75" s="105" t="e">
        <f t="shared" ref="G75:AE75" si="251">G66/G$53</f>
        <v>#DIV/0!</v>
      </c>
      <c r="H75" s="105" t="e">
        <f t="shared" si="251"/>
        <v>#DIV/0!</v>
      </c>
      <c r="I75" s="105" t="e">
        <f t="shared" si="251"/>
        <v>#DIV/0!</v>
      </c>
      <c r="J75" s="105" t="e">
        <f t="shared" si="251"/>
        <v>#DIV/0!</v>
      </c>
      <c r="K75" s="104" t="e">
        <f t="shared" si="251"/>
        <v>#DIV/0!</v>
      </c>
      <c r="L75" s="105" t="e">
        <f t="shared" si="251"/>
        <v>#DIV/0!</v>
      </c>
      <c r="M75" s="105" t="e">
        <f t="shared" si="251"/>
        <v>#DIV/0!</v>
      </c>
      <c r="N75" s="105" t="e">
        <f t="shared" si="251"/>
        <v>#DIV/0!</v>
      </c>
      <c r="O75" s="105" t="e">
        <f t="shared" si="251"/>
        <v>#DIV/0!</v>
      </c>
      <c r="P75" s="104" t="e">
        <f t="shared" si="251"/>
        <v>#DIV/0!</v>
      </c>
      <c r="Q75" s="105" t="e">
        <f t="shared" si="251"/>
        <v>#DIV/0!</v>
      </c>
      <c r="R75" s="105" t="e">
        <f t="shared" si="251"/>
        <v>#DIV/0!</v>
      </c>
      <c r="S75" s="105" t="e">
        <f t="shared" si="251"/>
        <v>#DIV/0!</v>
      </c>
      <c r="T75" s="105" t="e">
        <f t="shared" si="251"/>
        <v>#DIV/0!</v>
      </c>
      <c r="U75" s="104" t="e">
        <f t="shared" si="251"/>
        <v>#DIV/0!</v>
      </c>
      <c r="V75" s="105" t="e">
        <f t="shared" si="251"/>
        <v>#DIV/0!</v>
      </c>
      <c r="W75" s="105" t="e">
        <f t="shared" si="251"/>
        <v>#DIV/0!</v>
      </c>
      <c r="X75" s="105" t="e">
        <f t="shared" si="251"/>
        <v>#DIV/0!</v>
      </c>
      <c r="Y75" s="105" t="e">
        <f t="shared" si="251"/>
        <v>#DIV/0!</v>
      </c>
      <c r="Z75" s="104" t="e">
        <f t="shared" si="251"/>
        <v>#DIV/0!</v>
      </c>
      <c r="AA75" s="105" t="e">
        <f t="shared" si="251"/>
        <v>#DIV/0!</v>
      </c>
      <c r="AB75" s="105" t="e">
        <f t="shared" si="251"/>
        <v>#DIV/0!</v>
      </c>
      <c r="AC75" s="105" t="e">
        <f t="shared" si="251"/>
        <v>#DIV/0!</v>
      </c>
      <c r="AD75" s="105" t="e">
        <f t="shared" si="251"/>
        <v>#DIV/0!</v>
      </c>
      <c r="AE75" s="104" t="e">
        <f t="shared" si="251"/>
        <v>#DIV/0!</v>
      </c>
      <c r="AF75" s="105" t="e">
        <f>AF66/AF$53</f>
        <v>#DIV/0!</v>
      </c>
      <c r="AG75" s="105" t="e">
        <f>AG66/AG$53</f>
        <v>#DIV/0!</v>
      </c>
      <c r="AH75" s="105" t="e">
        <f>AH66/AH$53</f>
        <v>#DIV/0!</v>
      </c>
      <c r="AI75" s="105">
        <f>AI66/AI$53</f>
        <v>0.21747493787161407</v>
      </c>
      <c r="AJ75" s="104">
        <f>AJ66/AJ$53</f>
        <v>0.21747493787161407</v>
      </c>
      <c r="AK75" s="105" t="e">
        <f t="shared" ref="AK75:AX75" si="252">AK66/AK$53</f>
        <v>#DIV/0!</v>
      </c>
      <c r="AL75" s="105" t="e">
        <f t="shared" si="252"/>
        <v>#DIV/0!</v>
      </c>
      <c r="AM75" s="105" t="e">
        <f t="shared" si="252"/>
        <v>#DIV/0!</v>
      </c>
      <c r="AN75" s="105">
        <f t="shared" si="252"/>
        <v>0.212085157795593</v>
      </c>
      <c r="AO75" s="104">
        <f>AO66/AO$53</f>
        <v>0.212085157795593</v>
      </c>
      <c r="AP75" s="105" t="e">
        <f>AP66/AP$53</f>
        <v>#DIV/0!</v>
      </c>
      <c r="AQ75" s="105" t="e">
        <f>AQ66/AQ$53</f>
        <v>#DIV/0!</v>
      </c>
      <c r="AR75" s="105" t="e">
        <f>AR66/AR$53</f>
        <v>#DIV/0!</v>
      </c>
      <c r="AS75" s="105">
        <f>AS66/AS$53</f>
        <v>0.16546747400786369</v>
      </c>
      <c r="AT75" s="104">
        <f t="shared" si="252"/>
        <v>0.16546747400786369</v>
      </c>
      <c r="AU75" s="105" t="e">
        <f t="shared" si="252"/>
        <v>#DIV/0!</v>
      </c>
      <c r="AV75" s="105" t="e">
        <f t="shared" si="252"/>
        <v>#DIV/0!</v>
      </c>
      <c r="AW75" s="105" t="e">
        <f t="shared" si="252"/>
        <v>#DIV/0!</v>
      </c>
      <c r="AX75" s="105">
        <f t="shared" si="252"/>
        <v>0.14249692595620025</v>
      </c>
      <c r="AY75" s="104">
        <f t="shared" ref="AY75:CG75" si="253">AY66/AY$53</f>
        <v>0.14249692595620025</v>
      </c>
      <c r="AZ75" s="105" t="e">
        <f t="shared" si="253"/>
        <v>#DIV/0!</v>
      </c>
      <c r="BA75" s="105" t="e">
        <f t="shared" si="253"/>
        <v>#DIV/0!</v>
      </c>
      <c r="BB75" s="105" t="e">
        <f t="shared" si="253"/>
        <v>#DIV/0!</v>
      </c>
      <c r="BC75" s="105">
        <f t="shared" si="253"/>
        <v>0.14958343108683736</v>
      </c>
      <c r="BD75" s="104">
        <f t="shared" si="253"/>
        <v>0.14958343108683736</v>
      </c>
      <c r="BE75" s="105" t="e">
        <f>BE66/BE$53</f>
        <v>#DIV/0!</v>
      </c>
      <c r="BF75" s="105" t="e">
        <f>BF66/BF$53</f>
        <v>#DIV/0!</v>
      </c>
      <c r="BG75" s="105" t="e">
        <f>BG66/BG$53</f>
        <v>#DIV/0!</v>
      </c>
      <c r="BH75" s="105">
        <f>BH66/BH$53</f>
        <v>0.15237763172422611</v>
      </c>
      <c r="BI75" s="104">
        <f>BI66/BI$53</f>
        <v>0.15237763172422611</v>
      </c>
      <c r="BJ75" s="105" t="e">
        <f t="shared" si="253"/>
        <v>#DIV/0!</v>
      </c>
      <c r="BK75" s="105" t="e">
        <f t="shared" si="253"/>
        <v>#DIV/0!</v>
      </c>
      <c r="BL75" s="105" t="e">
        <f t="shared" si="253"/>
        <v>#DIV/0!</v>
      </c>
      <c r="BM75" s="105">
        <f t="shared" si="253"/>
        <v>0.11250020092412734</v>
      </c>
      <c r="BN75" s="104">
        <f>BN66/BN$53</f>
        <v>0.11250020092412734</v>
      </c>
      <c r="BO75" s="105" t="e">
        <f>BO66/BO$53</f>
        <v>#DIV/0!</v>
      </c>
      <c r="BP75" s="105" t="e">
        <f>BP66/BP$53</f>
        <v>#DIV/0!</v>
      </c>
      <c r="BQ75" s="105" t="e">
        <f>BQ66/BQ$53</f>
        <v>#DIV/0!</v>
      </c>
      <c r="BR75" s="105">
        <f>BR66/BR$53</f>
        <v>0.13855117665477631</v>
      </c>
      <c r="BS75" s="104">
        <f t="shared" si="253"/>
        <v>0.13855117665477631</v>
      </c>
      <c r="BT75" s="105" t="e">
        <f t="shared" si="253"/>
        <v>#DIV/0!</v>
      </c>
      <c r="BU75" s="105" t="e">
        <f t="shared" si="253"/>
        <v>#DIV/0!</v>
      </c>
      <c r="BV75" s="105" t="e">
        <f t="shared" si="253"/>
        <v>#DIV/0!</v>
      </c>
      <c r="BW75" s="105">
        <f t="shared" si="253"/>
        <v>0.14235107084682147</v>
      </c>
      <c r="BX75" s="104">
        <f t="shared" si="253"/>
        <v>0.14235107084682147</v>
      </c>
      <c r="BY75" s="105">
        <f>BY66/BY$53</f>
        <v>9.7552688857036676E-2</v>
      </c>
      <c r="BZ75" s="105">
        <f>BZ66/BZ$53</f>
        <v>0.22811158878434859</v>
      </c>
      <c r="CA75" s="105">
        <f>CA66/CA$53</f>
        <v>0.11588993744359982</v>
      </c>
      <c r="CB75" s="105">
        <f>CB66/CB$53</f>
        <v>0.16698491629371789</v>
      </c>
      <c r="CC75" s="104">
        <f t="shared" si="253"/>
        <v>0.15709959118080757</v>
      </c>
      <c r="CD75" s="105">
        <f t="shared" si="253"/>
        <v>2.8593926649979545E-2</v>
      </c>
      <c r="CE75" s="105">
        <f t="shared" si="253"/>
        <v>0.15023720167015969</v>
      </c>
      <c r="CF75" s="105">
        <f t="shared" si="253"/>
        <v>0.15144048579766001</v>
      </c>
      <c r="CG75" s="105">
        <f t="shared" si="253"/>
        <v>0.1968632335051845</v>
      </c>
      <c r="CH75" s="104">
        <f t="shared" ref="CH75:DG75" si="254">CH66/CH$53</f>
        <v>0.14048617869417007</v>
      </c>
      <c r="CI75" s="105">
        <f t="shared" si="254"/>
        <v>0.14734766539143968</v>
      </c>
      <c r="CJ75" s="105">
        <f t="shared" si="254"/>
        <v>0.17415589681324598</v>
      </c>
      <c r="CK75" s="105">
        <f t="shared" si="254"/>
        <v>0.14767257678294837</v>
      </c>
      <c r="CL75" s="105">
        <f t="shared" si="254"/>
        <v>0.2112034656357703</v>
      </c>
      <c r="CM75" s="104">
        <f t="shared" si="254"/>
        <v>0.17243851014931297</v>
      </c>
      <c r="CN75" s="105">
        <f>CN66/CN$53</f>
        <v>0.13836968621332488</v>
      </c>
      <c r="CO75" s="105">
        <f>CO66/CO$53</f>
        <v>0.14321074084703783</v>
      </c>
      <c r="CP75" s="105">
        <f>CP66/CP$53</f>
        <v>0.14341452049679332</v>
      </c>
      <c r="CQ75" s="105">
        <f>CQ66/CQ$53</f>
        <v>0.15811968756783204</v>
      </c>
      <c r="CR75" s="104">
        <f t="shared" si="254"/>
        <v>0.14614179632781552</v>
      </c>
      <c r="CS75" s="105">
        <f t="shared" si="254"/>
        <v>0.15437948352483208</v>
      </c>
      <c r="CT75" s="105">
        <f t="shared" si="254"/>
        <v>0.16677934334231997</v>
      </c>
      <c r="CU75" s="105">
        <f>CU66/CU$53</f>
        <v>0.14393369101737791</v>
      </c>
      <c r="CV75" s="105">
        <f>CV66/CV$53</f>
        <v>0.19754040187482441</v>
      </c>
      <c r="CW75" s="104">
        <f t="shared" si="254"/>
        <v>0.16692179121687828</v>
      </c>
      <c r="CX75" s="105">
        <f>CX66/CX$53</f>
        <v>0.16866973495967194</v>
      </c>
      <c r="CY75" s="105">
        <f>CY66/CY$53</f>
        <v>0.17257748588547067</v>
      </c>
      <c r="CZ75" s="105">
        <f>CZ66/CZ$53</f>
        <v>0.16154514941204995</v>
      </c>
      <c r="DA75" s="105">
        <f>DA66/DA$53</f>
        <v>0.16018226597653462</v>
      </c>
      <c r="DB75" s="104">
        <f t="shared" si="254"/>
        <v>0.16550985530943813</v>
      </c>
      <c r="DC75" s="105">
        <f t="shared" si="254"/>
        <v>0.17552853844484059</v>
      </c>
      <c r="DD75" s="105">
        <f t="shared" si="254"/>
        <v>0.17579918000830239</v>
      </c>
      <c r="DE75" s="105">
        <f>DE66/DE$53</f>
        <v>0.180145610991682</v>
      </c>
      <c r="DF75" s="105">
        <f>DF66/DF$53</f>
        <v>0.19023325103982136</v>
      </c>
      <c r="DG75" s="104">
        <f t="shared" si="254"/>
        <v>0.18067408671739801</v>
      </c>
      <c r="DH75" s="105">
        <f t="shared" ref="DH75:DI75" si="255">DH66/DH$53</f>
        <v>0.18779762255429375</v>
      </c>
      <c r="DI75" s="105">
        <f t="shared" si="255"/>
        <v>0.15997394998444334</v>
      </c>
      <c r="DJ75" s="105">
        <f t="shared" ref="DJ75:EF75" ca="1" si="256">DJ66/DJ$53</f>
        <v>0.18280631207499584</v>
      </c>
      <c r="DK75" s="105">
        <f t="shared" ca="1" si="256"/>
        <v>0.19930006425585656</v>
      </c>
      <c r="DL75" s="104">
        <f t="shared" ca="1" si="256"/>
        <v>0.18273080005525774</v>
      </c>
      <c r="DM75" s="105">
        <f t="shared" ca="1" si="256"/>
        <v>0.19901922290182503</v>
      </c>
      <c r="DN75" s="105">
        <f t="shared" ca="1" si="256"/>
        <v>0.19861594939178448</v>
      </c>
      <c r="DO75" s="105">
        <f t="shared" ca="1" si="256"/>
        <v>0.19501670880210428</v>
      </c>
      <c r="DP75" s="105">
        <f t="shared" ca="1" si="256"/>
        <v>0.19605064890188711</v>
      </c>
      <c r="DQ75" s="104">
        <f t="shared" ca="1" si="256"/>
        <v>0.19713222600959202</v>
      </c>
      <c r="DR75" s="105">
        <f t="shared" ca="1" si="256"/>
        <v>0.20197319979246733</v>
      </c>
      <c r="DS75" s="105">
        <f t="shared" ca="1" si="256"/>
        <v>0.19622244931477878</v>
      </c>
      <c r="DT75" s="105">
        <f t="shared" ca="1" si="256"/>
        <v>0.1989530748369347</v>
      </c>
      <c r="DU75" s="105">
        <f t="shared" ca="1" si="256"/>
        <v>0.20337660558364482</v>
      </c>
      <c r="DV75" s="104">
        <f t="shared" ca="1" si="256"/>
        <v>0.20014712595094283</v>
      </c>
      <c r="DW75" s="105">
        <f t="shared" ca="1" si="256"/>
        <v>0.19759882837029946</v>
      </c>
      <c r="DX75" s="105">
        <f t="shared" ca="1" si="256"/>
        <v>0.19189988786361506</v>
      </c>
      <c r="DY75" s="105">
        <f t="shared" ca="1" si="256"/>
        <v>0.19616680789108779</v>
      </c>
      <c r="DZ75" s="105">
        <f t="shared" ca="1" si="256"/>
        <v>0.20049735201169855</v>
      </c>
      <c r="EA75" s="104">
        <f t="shared" ca="1" si="256"/>
        <v>0.19656622702946835</v>
      </c>
      <c r="EB75" s="105">
        <f t="shared" ca="1" si="256"/>
        <v>0.19479496310756547</v>
      </c>
      <c r="EC75" s="105">
        <f t="shared" ca="1" si="256"/>
        <v>0.18913733417850859</v>
      </c>
      <c r="ED75" s="105">
        <f t="shared" ca="1" si="256"/>
        <v>0.19330770772005365</v>
      </c>
      <c r="EE75" s="105">
        <f t="shared" ca="1" si="256"/>
        <v>0.19749667998265102</v>
      </c>
      <c r="EF75" s="104">
        <f t="shared" ca="1" si="256"/>
        <v>0.19370563196908888</v>
      </c>
    </row>
    <row r="76" spans="1:136" ht="12.75" customHeight="1">
      <c r="AF76" s="16"/>
      <c r="AG76" s="60"/>
      <c r="AH76" s="52"/>
      <c r="AI76" s="16"/>
      <c r="AJ76" s="270"/>
      <c r="AK76" s="450"/>
      <c r="AL76" s="68"/>
      <c r="AM76" s="309"/>
      <c r="AN76" s="450"/>
      <c r="AO76" s="270"/>
      <c r="AP76" s="450"/>
      <c r="AQ76" s="68"/>
      <c r="AR76" s="309"/>
      <c r="AS76" s="450"/>
      <c r="AT76" s="270"/>
      <c r="AU76" s="450"/>
      <c r="AV76" s="68"/>
      <c r="AW76" s="309"/>
      <c r="AX76" s="450"/>
      <c r="AY76" s="270"/>
      <c r="AZ76" s="450"/>
      <c r="BA76" s="68"/>
      <c r="BB76" s="309"/>
      <c r="BC76" s="450"/>
      <c r="BD76" s="270"/>
      <c r="BE76" s="450"/>
      <c r="BF76" s="68"/>
      <c r="BG76" s="309"/>
      <c r="BH76" s="450"/>
      <c r="BI76" s="270"/>
      <c r="BJ76" s="450"/>
      <c r="BK76" s="68"/>
      <c r="BL76" s="309"/>
      <c r="BM76" s="450"/>
      <c r="BN76" s="270"/>
      <c r="BO76" s="450"/>
      <c r="BP76" s="68"/>
      <c r="BQ76" s="309"/>
      <c r="BR76" s="450"/>
      <c r="BS76" s="270"/>
      <c r="BT76" s="450"/>
      <c r="BU76" s="68"/>
      <c r="BV76" s="309"/>
      <c r="BW76" s="450"/>
      <c r="BX76" s="270"/>
      <c r="BY76" s="450"/>
      <c r="BZ76" s="68"/>
      <c r="CA76" s="309"/>
      <c r="CB76" s="450"/>
      <c r="CC76" s="270"/>
      <c r="CD76" s="450"/>
      <c r="CE76" s="68"/>
      <c r="CG76" s="450"/>
      <c r="CH76" s="236"/>
      <c r="CI76" s="450"/>
      <c r="CJ76" s="68"/>
      <c r="CM76" s="236"/>
      <c r="CN76" s="243"/>
      <c r="CO76" s="307"/>
      <c r="CP76" s="309"/>
      <c r="CR76" s="471">
        <f>(135800*4/CR78)/12.28</f>
        <v>0.15259374004877566</v>
      </c>
      <c r="CS76" s="243"/>
      <c r="CT76" s="309"/>
      <c r="CU76" s="307"/>
      <c r="CX76" s="243"/>
      <c r="CY76" s="309"/>
      <c r="CZ76" s="309">
        <f>DA76/21.49*4</f>
        <v>0.13301884941495715</v>
      </c>
      <c r="DA76" s="426">
        <f>-'Balance Sheet'!DA49/'Income Statement'!DA78</f>
        <v>0.71464376848185718</v>
      </c>
      <c r="DK76" s="493"/>
    </row>
    <row r="77" spans="1:136" s="8" customFormat="1" ht="12.75" customHeight="1" thickBot="1">
      <c r="A77" s="4" t="s">
        <v>177</v>
      </c>
      <c r="B77" s="30" t="str">
        <f>Macro!B$9</f>
        <v>1Q04</v>
      </c>
      <c r="C77" s="30" t="str">
        <f>Macro!C$9</f>
        <v>2Q04</v>
      </c>
      <c r="D77" s="30" t="str">
        <f>Macro!D$9</f>
        <v>3Q04</v>
      </c>
      <c r="E77" s="31" t="str">
        <f>Macro!E$9</f>
        <v>4Q04</v>
      </c>
      <c r="F77" s="29" t="str">
        <f>Macro!F$9</f>
        <v>2004</v>
      </c>
      <c r="G77" s="30" t="str">
        <f>Macro!G$9</f>
        <v>1Q05</v>
      </c>
      <c r="H77" s="30" t="str">
        <f>Macro!H$9</f>
        <v>2Q05</v>
      </c>
      <c r="I77" s="30" t="str">
        <f>Macro!I$9</f>
        <v>3Q05</v>
      </c>
      <c r="J77" s="31" t="str">
        <f>Macro!J$9</f>
        <v>4Q05</v>
      </c>
      <c r="K77" s="29" t="str">
        <f>Macro!K$9</f>
        <v>2005</v>
      </c>
      <c r="L77" s="30" t="str">
        <f>Macro!L$9</f>
        <v>1Q06</v>
      </c>
      <c r="M77" s="30" t="str">
        <f>Macro!M$9</f>
        <v>2Q06</v>
      </c>
      <c r="N77" s="30" t="str">
        <f>Macro!N$9</f>
        <v>3Q06</v>
      </c>
      <c r="O77" s="31" t="str">
        <f>Macro!O$9</f>
        <v>4Q06</v>
      </c>
      <c r="P77" s="29" t="str">
        <f>Macro!P$9</f>
        <v>2006</v>
      </c>
      <c r="Q77" s="30" t="str">
        <f>Macro!Q$9</f>
        <v>1Q07</v>
      </c>
      <c r="R77" s="30" t="str">
        <f>Macro!R$9</f>
        <v>2Q07</v>
      </c>
      <c r="S77" s="30" t="str">
        <f>Macro!S$9</f>
        <v>3Q07</v>
      </c>
      <c r="T77" s="31" t="str">
        <f>Macro!T$9</f>
        <v>4Q07</v>
      </c>
      <c r="U77" s="29" t="str">
        <f>Macro!U$9</f>
        <v>2007</v>
      </c>
      <c r="V77" s="30" t="str">
        <f>Macro!V$9</f>
        <v>1Q08</v>
      </c>
      <c r="W77" s="30" t="str">
        <f>Macro!W$9</f>
        <v>2Q08</v>
      </c>
      <c r="X77" s="30" t="str">
        <f>Macro!X$9</f>
        <v>3Q08</v>
      </c>
      <c r="Y77" s="31" t="str">
        <f>Macro!Y$9</f>
        <v>4Q08</v>
      </c>
      <c r="Z77" s="29" t="str">
        <f>Macro!Z$9</f>
        <v>2008</v>
      </c>
      <c r="AA77" s="30" t="str">
        <f>Macro!AA$9</f>
        <v>1Q09</v>
      </c>
      <c r="AB77" s="30" t="str">
        <f>Macro!AB$9</f>
        <v>2Q09</v>
      </c>
      <c r="AC77" s="30" t="str">
        <f>Macro!AC$9</f>
        <v>3Q09</v>
      </c>
      <c r="AD77" s="31" t="str">
        <f>Macro!AD$9</f>
        <v>4Q09</v>
      </c>
      <c r="AE77" s="29" t="str">
        <f>Macro!AE$9</f>
        <v>2009</v>
      </c>
      <c r="AF77" s="30" t="str">
        <f>Macro!AF$9</f>
        <v>1Q10</v>
      </c>
      <c r="AG77" s="30" t="str">
        <f>Macro!AG$9</f>
        <v>2Q10</v>
      </c>
      <c r="AH77" s="30" t="str">
        <f>Macro!AH$9</f>
        <v>3Q10</v>
      </c>
      <c r="AI77" s="31" t="str">
        <f>Macro!AI$9</f>
        <v>4Q10</v>
      </c>
      <c r="AJ77" s="29" t="str">
        <f>Macro!AJ$9</f>
        <v>2010</v>
      </c>
      <c r="AK77" s="30" t="str">
        <f>Macro!AK$9</f>
        <v>1Q11</v>
      </c>
      <c r="AL77" s="30" t="str">
        <f>Macro!AL$9</f>
        <v>2Q11</v>
      </c>
      <c r="AM77" s="30" t="str">
        <f>Macro!AM$9</f>
        <v>3Q11</v>
      </c>
      <c r="AN77" s="31" t="str">
        <f>Macro!AN$9</f>
        <v>4Q11</v>
      </c>
      <c r="AO77" s="29" t="str">
        <f>Macro!AO$9</f>
        <v>2011</v>
      </c>
      <c r="AP77" s="30" t="str">
        <f>Macro!AP$9</f>
        <v>1Q12</v>
      </c>
      <c r="AQ77" s="30" t="str">
        <f>Macro!AQ$9</f>
        <v>2Q12</v>
      </c>
      <c r="AR77" s="30" t="str">
        <f>Macro!AR$9</f>
        <v>3Q12</v>
      </c>
      <c r="AS77" s="31" t="str">
        <f>Macro!AS$9</f>
        <v>4Q12</v>
      </c>
      <c r="AT77" s="29" t="str">
        <f>Macro!AT$9</f>
        <v>2012</v>
      </c>
      <c r="AU77" s="30" t="str">
        <f>Macro!AU$9</f>
        <v>1Q13</v>
      </c>
      <c r="AV77" s="30" t="str">
        <f>Macro!AV$9</f>
        <v>2Q13</v>
      </c>
      <c r="AW77" s="30" t="str">
        <f>Macro!AW$9</f>
        <v>3Q13</v>
      </c>
      <c r="AX77" s="31" t="str">
        <f>Macro!AX$9</f>
        <v>4Q13</v>
      </c>
      <c r="AY77" s="29" t="str">
        <f>Macro!AY$9</f>
        <v>2013</v>
      </c>
      <c r="AZ77" s="30" t="str">
        <f>Macro!AZ$9</f>
        <v>1Q14</v>
      </c>
      <c r="BA77" s="30" t="str">
        <f>Macro!BA$9</f>
        <v>2Q14</v>
      </c>
      <c r="BB77" s="30" t="str">
        <f>Macro!BB$9</f>
        <v>3Q14</v>
      </c>
      <c r="BC77" s="31" t="str">
        <f>Macro!BC$9</f>
        <v>4Q14</v>
      </c>
      <c r="BD77" s="29" t="str">
        <f>Macro!BD$9</f>
        <v>2014</v>
      </c>
      <c r="BE77" s="30" t="str">
        <f>Macro!BE$9</f>
        <v>1Q15</v>
      </c>
      <c r="BF77" s="30" t="str">
        <f>Macro!BF$9</f>
        <v>2Q15</v>
      </c>
      <c r="BG77" s="30" t="str">
        <f>Macro!BG$9</f>
        <v>3Q15</v>
      </c>
      <c r="BH77" s="31" t="str">
        <f>Macro!BH$9</f>
        <v>4Q15</v>
      </c>
      <c r="BI77" s="29" t="str">
        <f>Macro!BI$9</f>
        <v>2015</v>
      </c>
      <c r="BJ77" s="30" t="str">
        <f>Macro!BJ$9</f>
        <v>1Q16</v>
      </c>
      <c r="BK77" s="30" t="str">
        <f>Macro!BK$9</f>
        <v>2Q16</v>
      </c>
      <c r="BL77" s="30" t="str">
        <f>Macro!BL$9</f>
        <v>3Q16</v>
      </c>
      <c r="BM77" s="31" t="str">
        <f>Macro!BM$9</f>
        <v>4Q16</v>
      </c>
      <c r="BN77" s="29" t="str">
        <f>Macro!BN$9</f>
        <v>2016</v>
      </c>
      <c r="BO77" s="30" t="str">
        <f>Macro!BO$9</f>
        <v>1Q17</v>
      </c>
      <c r="BP77" s="30" t="str">
        <f>Macro!BP$9</f>
        <v>2Q17</v>
      </c>
      <c r="BQ77" s="30" t="str">
        <f>Macro!BQ$9</f>
        <v>3Q17</v>
      </c>
      <c r="BR77" s="31" t="str">
        <f>Macro!BR$9</f>
        <v>4Q17</v>
      </c>
      <c r="BS77" s="29" t="str">
        <f>Macro!BS$9</f>
        <v>2017</v>
      </c>
      <c r="BT77" s="30" t="str">
        <f>Macro!BT$9</f>
        <v>1Q18</v>
      </c>
      <c r="BU77" s="30" t="str">
        <f>Macro!BU$9</f>
        <v>2Q18</v>
      </c>
      <c r="BV77" s="30" t="str">
        <f>Macro!BV$9</f>
        <v>3Q18</v>
      </c>
      <c r="BW77" s="31" t="str">
        <f>Macro!BW$9</f>
        <v>4Q18</v>
      </c>
      <c r="BX77" s="29" t="str">
        <f>Macro!BX$9</f>
        <v>2018</v>
      </c>
      <c r="BY77" s="30" t="str">
        <f>Macro!BY$9</f>
        <v>1Q19</v>
      </c>
      <c r="BZ77" s="30" t="str">
        <f>Macro!BZ$9</f>
        <v>2Q19</v>
      </c>
      <c r="CA77" s="30" t="str">
        <f>Macro!CA$9</f>
        <v>3Q19</v>
      </c>
      <c r="CB77" s="31" t="str">
        <f>Macro!CB$9</f>
        <v>4Q19</v>
      </c>
      <c r="CC77" s="29" t="str">
        <f>Macro!CC$9</f>
        <v>2019</v>
      </c>
      <c r="CD77" s="30" t="str">
        <f>Macro!CD$9</f>
        <v>1Q20</v>
      </c>
      <c r="CE77" s="30" t="str">
        <f>Macro!CE$9</f>
        <v>2Q20</v>
      </c>
      <c r="CF77" s="30" t="str">
        <f>Macro!CF$9</f>
        <v>3Q20</v>
      </c>
      <c r="CG77" s="31" t="str">
        <f>Macro!CG$9</f>
        <v>4Q20</v>
      </c>
      <c r="CH77" s="29" t="str">
        <f>Macro!CH$9</f>
        <v>2020</v>
      </c>
      <c r="CI77" s="30" t="str">
        <f>Macro!CI$9</f>
        <v>1Q21</v>
      </c>
      <c r="CJ77" s="30" t="str">
        <f>Macro!CJ$9</f>
        <v>2Q21</v>
      </c>
      <c r="CK77" s="30" t="str">
        <f>Macro!CK$9</f>
        <v>3Q21</v>
      </c>
      <c r="CL77" s="31" t="str">
        <f>Macro!CL$9</f>
        <v>4Q21</v>
      </c>
      <c r="CM77" s="29" t="str">
        <f>Macro!CM$9</f>
        <v>2021</v>
      </c>
      <c r="CN77" s="30" t="str">
        <f>Macro!CN$9</f>
        <v>1Q22</v>
      </c>
      <c r="CO77" s="30" t="str">
        <f>Macro!CO$9</f>
        <v>2Q22</v>
      </c>
      <c r="CP77" s="30" t="str">
        <f>Macro!CP$9</f>
        <v>3Q22</v>
      </c>
      <c r="CQ77" s="31" t="str">
        <f>Macro!CQ$9</f>
        <v>4Q22</v>
      </c>
      <c r="CR77" s="29" t="str">
        <f>Macro!CR$9</f>
        <v>2022</v>
      </c>
      <c r="CS77" s="30" t="str">
        <f>Macro!CS$9</f>
        <v>1Q23</v>
      </c>
      <c r="CT77" s="30" t="str">
        <f>Macro!CT$9</f>
        <v>2Q23</v>
      </c>
      <c r="CU77" s="30" t="str">
        <f>Macro!CU$9</f>
        <v>3Q23</v>
      </c>
      <c r="CV77" s="31" t="str">
        <f>Macro!CV$9</f>
        <v>4Q23</v>
      </c>
      <c r="CW77" s="29" t="str">
        <f>Macro!CW$9</f>
        <v>2023</v>
      </c>
      <c r="CX77" s="30" t="str">
        <f>Macro!CX$9</f>
        <v>1Q24</v>
      </c>
      <c r="CY77" s="30" t="str">
        <f>Macro!CY$9</f>
        <v>2Q24</v>
      </c>
      <c r="CZ77" s="30" t="str">
        <f>Macro!CZ$9</f>
        <v>3Q24</v>
      </c>
      <c r="DA77" s="31" t="str">
        <f>Macro!DA$9</f>
        <v>4Q24</v>
      </c>
      <c r="DB77" s="29" t="str">
        <f>Macro!DB$9</f>
        <v>2024</v>
      </c>
      <c r="DC77" s="30" t="str">
        <f>Macro!DC$9</f>
        <v>1Q25</v>
      </c>
      <c r="DD77" s="30" t="str">
        <f>Macro!DD$9</f>
        <v>2Q25</v>
      </c>
      <c r="DE77" s="30" t="str">
        <f>Macro!DE$9</f>
        <v>3Q25</v>
      </c>
      <c r="DF77" s="31" t="str">
        <f>Macro!DF$9</f>
        <v>4Q25</v>
      </c>
      <c r="DG77" s="29" t="str">
        <f>Macro!DG$9</f>
        <v>2025</v>
      </c>
      <c r="DH77" s="30" t="str">
        <f>Macro!DH$9</f>
        <v>1Q26</v>
      </c>
      <c r="DI77" s="30" t="str">
        <f>Macro!DI$9</f>
        <v>2Q26</v>
      </c>
      <c r="DJ77" s="30" t="str">
        <f>Macro!DJ$9</f>
        <v>3Q26E</v>
      </c>
      <c r="DK77" s="31" t="str">
        <f>Macro!DK$9</f>
        <v>4Q26E</v>
      </c>
      <c r="DL77" s="29" t="str">
        <f>Macro!DL$9</f>
        <v>2026E</v>
      </c>
      <c r="DM77" s="30" t="str">
        <f>Macro!DM$9</f>
        <v>1Q27E</v>
      </c>
      <c r="DN77" s="30" t="str">
        <f>Macro!DN$9</f>
        <v>2Q27E</v>
      </c>
      <c r="DO77" s="30" t="str">
        <f>Macro!DO$9</f>
        <v>3Q27E</v>
      </c>
      <c r="DP77" s="31" t="str">
        <f>Macro!DP$9</f>
        <v>4Q27E</v>
      </c>
      <c r="DQ77" s="29" t="str">
        <f>Macro!DQ$9</f>
        <v>2027E</v>
      </c>
      <c r="DR77" s="30" t="str">
        <f>Macro!DR$9</f>
        <v>1Q28E</v>
      </c>
      <c r="DS77" s="30" t="str">
        <f>Macro!DS$9</f>
        <v>2Q28E</v>
      </c>
      <c r="DT77" s="30" t="str">
        <f>Macro!DT$9</f>
        <v>3Q28E</v>
      </c>
      <c r="DU77" s="31" t="str">
        <f>Macro!DU$9</f>
        <v>4Q28E</v>
      </c>
      <c r="DV77" s="29" t="str">
        <f>Macro!DV$9</f>
        <v>2028E</v>
      </c>
      <c r="DW77" s="30" t="str">
        <f>Macro!DW$9</f>
        <v>1Q29E</v>
      </c>
      <c r="DX77" s="30" t="str">
        <f>Macro!DX$9</f>
        <v>2Q29E</v>
      </c>
      <c r="DY77" s="30" t="str">
        <f>Macro!DY$9</f>
        <v>3Q29E</v>
      </c>
      <c r="DZ77" s="31" t="str">
        <f>Macro!DZ$9</f>
        <v>4Q29E</v>
      </c>
      <c r="EA77" s="29" t="str">
        <f>Macro!EA$9</f>
        <v>2029E</v>
      </c>
      <c r="EB77" s="30" t="str">
        <f>Macro!EB$9</f>
        <v>1Q30E</v>
      </c>
      <c r="EC77" s="30" t="str">
        <f>Macro!EC$9</f>
        <v>2Q30E</v>
      </c>
      <c r="ED77" s="30" t="str">
        <f>Macro!ED$9</f>
        <v>3Q30E</v>
      </c>
      <c r="EE77" s="31" t="str">
        <f>Macro!EE$9</f>
        <v>4Q30E</v>
      </c>
      <c r="EF77" s="29" t="str">
        <f>Macro!EF$9</f>
        <v>2030E</v>
      </c>
    </row>
    <row r="78" spans="1:136" ht="12.75" customHeight="1">
      <c r="A78" s="15" t="s">
        <v>201</v>
      </c>
      <c r="B78" s="186"/>
      <c r="C78" s="186"/>
      <c r="D78" s="186"/>
      <c r="E78" s="186"/>
      <c r="F78" s="167">
        <f>E78</f>
        <v>0</v>
      </c>
      <c r="G78" s="186"/>
      <c r="H78" s="186"/>
      <c r="I78" s="186"/>
      <c r="J78" s="186"/>
      <c r="K78" s="167">
        <f>J78</f>
        <v>0</v>
      </c>
      <c r="L78" s="186"/>
      <c r="M78" s="186"/>
      <c r="N78" s="186"/>
      <c r="O78" s="186"/>
      <c r="P78" s="167">
        <f>O78</f>
        <v>0</v>
      </c>
      <c r="Q78" s="186"/>
      <c r="R78" s="186"/>
      <c r="S78" s="186"/>
      <c r="T78" s="186"/>
      <c r="U78" s="167">
        <f>T78</f>
        <v>0</v>
      </c>
      <c r="V78" s="186"/>
      <c r="W78" s="186"/>
      <c r="X78" s="186"/>
      <c r="Y78" s="186"/>
      <c r="Z78" s="167">
        <f>Y78</f>
        <v>0</v>
      </c>
      <c r="AA78" s="186"/>
      <c r="AB78" s="186"/>
      <c r="AC78" s="186"/>
      <c r="AD78" s="186"/>
      <c r="AE78" s="167">
        <f>AD78</f>
        <v>0</v>
      </c>
      <c r="AF78" s="186">
        <v>273693.27</v>
      </c>
      <c r="AG78" s="186">
        <v>273693.27</v>
      </c>
      <c r="AH78" s="186">
        <v>273693.27</v>
      </c>
      <c r="AI78" s="186">
        <v>273693.27</v>
      </c>
      <c r="AJ78" s="167">
        <f>AI78</f>
        <v>273693.27</v>
      </c>
      <c r="AK78" s="190">
        <f>AI78</f>
        <v>273693.27</v>
      </c>
      <c r="AL78" s="190">
        <f>AK78</f>
        <v>273693.27</v>
      </c>
      <c r="AM78" s="190">
        <f>AL78</f>
        <v>273693.27</v>
      </c>
      <c r="AN78" s="186">
        <v>273693.27</v>
      </c>
      <c r="AO78" s="167">
        <f>AN78</f>
        <v>273693.27</v>
      </c>
      <c r="AP78" s="190">
        <f>AN78</f>
        <v>273693.27</v>
      </c>
      <c r="AQ78" s="190">
        <f>AP78</f>
        <v>273693.27</v>
      </c>
      <c r="AR78" s="190">
        <f>AQ78</f>
        <v>273693.27</v>
      </c>
      <c r="AS78" s="186">
        <v>273693.27</v>
      </c>
      <c r="AT78" s="167">
        <f>AS78</f>
        <v>273693.27</v>
      </c>
      <c r="AU78" s="190">
        <f>AS78</f>
        <v>273693.27</v>
      </c>
      <c r="AV78" s="190">
        <f>AU78</f>
        <v>273693.27</v>
      </c>
      <c r="AW78" s="190">
        <f>AV78</f>
        <v>273693.27</v>
      </c>
      <c r="AX78" s="186">
        <v>273693.27</v>
      </c>
      <c r="AY78" s="167">
        <f>AX78</f>
        <v>273693.27</v>
      </c>
      <c r="AZ78" s="190">
        <f>AX78</f>
        <v>273693.27</v>
      </c>
      <c r="BA78" s="190">
        <f>AZ78</f>
        <v>273693.27</v>
      </c>
      <c r="BB78" s="190">
        <f>BA78</f>
        <v>273693.27</v>
      </c>
      <c r="BC78" s="186">
        <v>273693.27</v>
      </c>
      <c r="BD78" s="167">
        <f>BC78</f>
        <v>273693.27</v>
      </c>
      <c r="BE78" s="190">
        <f>BC78</f>
        <v>273693.27</v>
      </c>
      <c r="BF78" s="190">
        <f>BE78</f>
        <v>273693.27</v>
      </c>
      <c r="BG78" s="190">
        <f>BF78</f>
        <v>273693.27</v>
      </c>
      <c r="BH78" s="186">
        <v>273693.27</v>
      </c>
      <c r="BI78" s="167">
        <f>BH78</f>
        <v>273693.27</v>
      </c>
      <c r="BJ78" s="190">
        <f>BH78</f>
        <v>273693.27</v>
      </c>
      <c r="BK78" s="190">
        <f>BJ78</f>
        <v>273693.27</v>
      </c>
      <c r="BL78" s="190">
        <f>BK78</f>
        <v>273693.27</v>
      </c>
      <c r="BM78" s="186">
        <v>273693.27</v>
      </c>
      <c r="BN78" s="167">
        <f>BM78</f>
        <v>273693.27</v>
      </c>
      <c r="BO78" s="190">
        <f>BM78</f>
        <v>273693.27</v>
      </c>
      <c r="BP78" s="190">
        <f>BO78</f>
        <v>273693.27</v>
      </c>
      <c r="BQ78" s="190">
        <f>BP78</f>
        <v>273693.27</v>
      </c>
      <c r="BR78" s="186">
        <v>273693.27</v>
      </c>
      <c r="BS78" s="167">
        <f>BR78</f>
        <v>273693.27</v>
      </c>
      <c r="BT78" s="190">
        <f>BR78</f>
        <v>273693.27</v>
      </c>
      <c r="BU78" s="190">
        <f>BT78</f>
        <v>273693.27</v>
      </c>
      <c r="BV78" s="190">
        <f>BU78</f>
        <v>273693.27</v>
      </c>
      <c r="BW78" s="186">
        <v>273693.27</v>
      </c>
      <c r="BX78" s="167">
        <f>BW78</f>
        <v>273693.27</v>
      </c>
      <c r="BY78" s="190">
        <f>BW78</f>
        <v>273693.27</v>
      </c>
      <c r="BZ78" s="190">
        <f>BY78</f>
        <v>273693.27</v>
      </c>
      <c r="CA78" s="190">
        <f>BZ78</f>
        <v>273693.27</v>
      </c>
      <c r="CB78" s="186">
        <v>273693.27</v>
      </c>
      <c r="CC78" s="167">
        <f>CB78</f>
        <v>273693.27</v>
      </c>
      <c r="CD78" s="186">
        <v>273693.27</v>
      </c>
      <c r="CE78" s="186">
        <v>273693.27</v>
      </c>
      <c r="CF78" s="190">
        <v>291875.08799999999</v>
      </c>
      <c r="CG78" s="186">
        <v>291875.08799999999</v>
      </c>
      <c r="CH78" s="167">
        <f>CG78</f>
        <v>291875.08799999999</v>
      </c>
      <c r="CI78" s="186">
        <v>291875.08799999999</v>
      </c>
      <c r="CJ78" s="186">
        <v>291875.08799999999</v>
      </c>
      <c r="CK78" s="186">
        <v>291875.08799999999</v>
      </c>
      <c r="CL78" s="186">
        <f>291785.088-18.6</f>
        <v>291766.48800000001</v>
      </c>
      <c r="CM78" s="167">
        <f>CL78</f>
        <v>291766.48800000001</v>
      </c>
      <c r="CN78" s="186">
        <v>291875.08799999999</v>
      </c>
      <c r="CO78" s="186">
        <f>291875.088-1990.8</f>
        <v>289884.288</v>
      </c>
      <c r="CP78" s="186">
        <f>291875.088-1990.8</f>
        <v>289884.288</v>
      </c>
      <c r="CQ78" s="186">
        <f>291875.088-1990.8</f>
        <v>289884.288</v>
      </c>
      <c r="CR78" s="167">
        <f>CQ78</f>
        <v>289884.288</v>
      </c>
      <c r="CS78" s="186">
        <f>291875.088-1990.8</f>
        <v>289884.288</v>
      </c>
      <c r="CT78" s="186">
        <f>291875.088-1990.8</f>
        <v>289884.288</v>
      </c>
      <c r="CU78" s="186">
        <f>291875.088-1990.8</f>
        <v>289884.288</v>
      </c>
      <c r="CV78" s="186">
        <f>291875.088-1990.8</f>
        <v>289884.288</v>
      </c>
      <c r="CW78" s="167">
        <f>CV78</f>
        <v>289884.288</v>
      </c>
      <c r="CX78" s="186">
        <f>291875.088-1990.8</f>
        <v>289884.288</v>
      </c>
      <c r="CY78" s="186">
        <f>291875.088-1990.8</f>
        <v>289884.288</v>
      </c>
      <c r="CZ78" s="186">
        <f>291875.088-1990.8</f>
        <v>289884.288</v>
      </c>
      <c r="DA78" s="186">
        <f>291875.088-1990.8</f>
        <v>289884.288</v>
      </c>
      <c r="DB78" s="167">
        <f>DA78</f>
        <v>289884.288</v>
      </c>
      <c r="DC78" s="186">
        <f>291875.088-1990.8</f>
        <v>289884.288</v>
      </c>
      <c r="DD78" s="186">
        <f>291875.088</f>
        <v>291875.08799999999</v>
      </c>
      <c r="DE78" s="186">
        <f>291875.088</f>
        <v>291875.08799999999</v>
      </c>
      <c r="DF78" s="186">
        <f>308047.594-0</f>
        <v>308047.59399999998</v>
      </c>
      <c r="DG78" s="167">
        <f>DF78</f>
        <v>308047.59399999998</v>
      </c>
      <c r="DH78" s="186">
        <f>308047.594-0</f>
        <v>308047.59399999998</v>
      </c>
      <c r="DI78" s="186">
        <f>308047.594-0</f>
        <v>308047.59399999998</v>
      </c>
      <c r="DJ78" s="186">
        <f>DI78+('Balance Sheet'!DJ44+'Balance Sheet'!DJ45-'Balance Sheet'!DI44-'Balance Sheet'!DI45)/DCF!$B$13</f>
        <v>308047.59399999998</v>
      </c>
      <c r="DK78" s="186">
        <f>DJ78+('Balance Sheet'!DK44+'Balance Sheet'!DK45-'Balance Sheet'!DJ44-'Balance Sheet'!DJ45)/DCF!$B$13</f>
        <v>308047.59399999998</v>
      </c>
      <c r="DL78" s="167">
        <f>DK78</f>
        <v>308047.59399999998</v>
      </c>
      <c r="DM78" s="186">
        <f>DL78+('Balance Sheet'!DM44+'Balance Sheet'!DM45-'Balance Sheet'!DL44-'Balance Sheet'!DL45)/DCF!$B$13</f>
        <v>308047.59399999998</v>
      </c>
      <c r="DN78" s="186">
        <f>DM78+('Balance Sheet'!DN44+'Balance Sheet'!DN45-'Balance Sheet'!DM44-'Balance Sheet'!DM45)/DCF!$B$13</f>
        <v>308047.59399999998</v>
      </c>
      <c r="DO78" s="186">
        <f>DN78+('Balance Sheet'!DO44+'Balance Sheet'!DO45-'Balance Sheet'!DN44-'Balance Sheet'!DN45)/DCF!$B$13</f>
        <v>308047.59399999998</v>
      </c>
      <c r="DP78" s="186">
        <f>DO78+('Balance Sheet'!DP44+'Balance Sheet'!DP45-'Balance Sheet'!DO44-'Balance Sheet'!DO45)/DCF!$B$13</f>
        <v>308047.59399999998</v>
      </c>
      <c r="DQ78" s="167">
        <f>DP78</f>
        <v>308047.59399999998</v>
      </c>
      <c r="DR78" s="186">
        <f>DQ78+('Balance Sheet'!DR44+'Balance Sheet'!DR45-'Balance Sheet'!DQ44-'Balance Sheet'!DQ45)/DCF!$B$13</f>
        <v>308047.59399999998</v>
      </c>
      <c r="DS78" s="186">
        <f>DR78+('Balance Sheet'!DS44+'Balance Sheet'!DS45-'Balance Sheet'!DR44-'Balance Sheet'!DR45)/DCF!$B$13</f>
        <v>308047.59399999998</v>
      </c>
      <c r="DT78" s="186">
        <f>DS78+('Balance Sheet'!DT44+'Balance Sheet'!DT45-'Balance Sheet'!DS44-'Balance Sheet'!DS45)/DCF!$B$13</f>
        <v>308047.59399999998</v>
      </c>
      <c r="DU78" s="186">
        <f>DT78+('Balance Sheet'!DU44+'Balance Sheet'!DU45-'Balance Sheet'!DT44-'Balance Sheet'!DT45)/DCF!$B$13</f>
        <v>308047.59399999998</v>
      </c>
      <c r="DV78" s="167">
        <f>DU78</f>
        <v>308047.59399999998</v>
      </c>
      <c r="DW78" s="186">
        <f>DV78+('Balance Sheet'!DW44+'Balance Sheet'!DW45-'Balance Sheet'!DV44-'Balance Sheet'!DV45)/DCF!$B$13</f>
        <v>308047.59399999998</v>
      </c>
      <c r="DX78" s="186">
        <f>DW78+('Balance Sheet'!DX44+'Balance Sheet'!DX45-'Balance Sheet'!DW44-'Balance Sheet'!DW45)/DCF!$B$13</f>
        <v>308047.59399999998</v>
      </c>
      <c r="DY78" s="186">
        <f>DX78+('Balance Sheet'!DY44+'Balance Sheet'!DY45-'Balance Sheet'!DX44-'Balance Sheet'!DX45)/DCF!$B$13</f>
        <v>308047.59399999998</v>
      </c>
      <c r="DZ78" s="186">
        <f>DY78+('Balance Sheet'!DZ44+'Balance Sheet'!DZ45-'Balance Sheet'!DY44-'Balance Sheet'!DY45)/DCF!$B$13</f>
        <v>308047.59399999998</v>
      </c>
      <c r="EA78" s="167">
        <f>DZ78</f>
        <v>308047.59399999998</v>
      </c>
      <c r="EB78" s="186">
        <f>EA78+('Balance Sheet'!EB44+'Balance Sheet'!EB45-'Balance Sheet'!EA44-'Balance Sheet'!EA45)/DCF!$B$13</f>
        <v>308047.59399999998</v>
      </c>
      <c r="EC78" s="186">
        <f>EB78+('Balance Sheet'!EC44+'Balance Sheet'!EC45-'Balance Sheet'!EB44-'Balance Sheet'!EB45)/DCF!$B$13</f>
        <v>308047.59399999998</v>
      </c>
      <c r="ED78" s="186">
        <f>EC78+('Balance Sheet'!ED44+'Balance Sheet'!ED45-'Balance Sheet'!EC44-'Balance Sheet'!EC45)/DCF!$B$13</f>
        <v>308047.59399999998</v>
      </c>
      <c r="EE78" s="186">
        <f>ED78+('Balance Sheet'!EE44+'Balance Sheet'!EE45-'Balance Sheet'!ED44-'Balance Sheet'!ED45)/DCF!$B$13</f>
        <v>308047.59399999998</v>
      </c>
      <c r="EF78" s="167">
        <f>EE78</f>
        <v>308047.59399999998</v>
      </c>
    </row>
    <row r="79" spans="1:136" s="3" customFormat="1" ht="12.75" customHeight="1">
      <c r="A79" s="15" t="s">
        <v>66</v>
      </c>
      <c r="B79" s="191" t="e">
        <f>B66/AVERAGE(#REF!,B78)</f>
        <v>#REF!</v>
      </c>
      <c r="C79" s="191" t="e">
        <f>C66/AVERAGE(B78,C78)</f>
        <v>#DIV/0!</v>
      </c>
      <c r="D79" s="191" t="e">
        <f>D66/AVERAGE(C78,D78)</f>
        <v>#DIV/0!</v>
      </c>
      <c r="E79" s="191" t="e">
        <f>E66/AVERAGE(D78,E78)</f>
        <v>#DIV/0!</v>
      </c>
      <c r="F79" s="192" t="e">
        <f>F66/AVERAGE(B78:E78)</f>
        <v>#DIV/0!</v>
      </c>
      <c r="G79" s="191" t="e">
        <f>G66/AVERAGE(#REF!,G78)</f>
        <v>#REF!</v>
      </c>
      <c r="H79" s="191" t="e">
        <f>H66/AVERAGE(G78,H78)</f>
        <v>#DIV/0!</v>
      </c>
      <c r="I79" s="191" t="e">
        <f>I66/AVERAGE(H78,I78)</f>
        <v>#DIV/0!</v>
      </c>
      <c r="J79" s="191" t="e">
        <f>J66/AVERAGE(I78,J78)</f>
        <v>#DIV/0!</v>
      </c>
      <c r="K79" s="192" t="e">
        <f>K66/AVERAGE(G78:J78)</f>
        <v>#DIV/0!</v>
      </c>
      <c r="L79" s="191" t="e">
        <f>L66/AVERAGE(#REF!,L78)</f>
        <v>#REF!</v>
      </c>
      <c r="M79" s="191" t="e">
        <f>M66/AVERAGE(L78,M78)</f>
        <v>#DIV/0!</v>
      </c>
      <c r="N79" s="191" t="e">
        <f>N66/AVERAGE(M78,N78)</f>
        <v>#DIV/0!</v>
      </c>
      <c r="O79" s="191" t="e">
        <f>O66/AVERAGE(N78,O78)</f>
        <v>#DIV/0!</v>
      </c>
      <c r="P79" s="192" t="e">
        <f>P66/AVERAGE(L78:O78)</f>
        <v>#DIV/0!</v>
      </c>
      <c r="Q79" s="191" t="e">
        <f>Q66/AVERAGE(#REF!,Q78)</f>
        <v>#REF!</v>
      </c>
      <c r="R79" s="191" t="e">
        <f>R66/AVERAGE(Q78,R78)</f>
        <v>#DIV/0!</v>
      </c>
      <c r="S79" s="191" t="e">
        <f>S66/AVERAGE(R78,S78)</f>
        <v>#DIV/0!</v>
      </c>
      <c r="T79" s="191" t="e">
        <f>T66/AVERAGE(S78,T78)</f>
        <v>#DIV/0!</v>
      </c>
      <c r="U79" s="192" t="e">
        <f>U66/AVERAGE(Q78:T78)</f>
        <v>#DIV/0!</v>
      </c>
      <c r="V79" s="191" t="e">
        <f>V66/AVERAGE(#REF!,V78)</f>
        <v>#REF!</v>
      </c>
      <c r="W79" s="191" t="e">
        <f>W66/AVERAGE(V78,W78)</f>
        <v>#DIV/0!</v>
      </c>
      <c r="X79" s="191" t="e">
        <f>X66/AVERAGE(W78,X78)</f>
        <v>#DIV/0!</v>
      </c>
      <c r="Y79" s="191" t="e">
        <f>Y66/AVERAGE(X78,Y78)</f>
        <v>#DIV/0!</v>
      </c>
      <c r="Z79" s="192" t="e">
        <f>Z66/AVERAGE(V78:Y78)</f>
        <v>#DIV/0!</v>
      </c>
      <c r="AA79" s="191" t="e">
        <f>AA66/AVERAGE(#REF!,AA78)</f>
        <v>#REF!</v>
      </c>
      <c r="AB79" s="191" t="e">
        <f>AB66/AVERAGE(AA78,AB78)</f>
        <v>#DIV/0!</v>
      </c>
      <c r="AC79" s="191" t="e">
        <f>AC66/AVERAGE(AB78,AC78)</f>
        <v>#DIV/0!</v>
      </c>
      <c r="AD79" s="191" t="e">
        <f>AD66/AVERAGE(AC78,AD78)</f>
        <v>#DIV/0!</v>
      </c>
      <c r="AE79" s="192" t="e">
        <f>AE66/AVERAGE(AA78:AD78)</f>
        <v>#DIV/0!</v>
      </c>
      <c r="AF79" s="191">
        <f>AF66/AVERAGE(AD78,AF78)</f>
        <v>0</v>
      </c>
      <c r="AG79" s="191">
        <f>AG66/AVERAGE(AF78,AG78)</f>
        <v>0</v>
      </c>
      <c r="AH79" s="191">
        <f>AH66/AVERAGE(AG78,AH78)</f>
        <v>0</v>
      </c>
      <c r="AI79" s="191">
        <f>AI66/AVERAGE(AH78,AI78)</f>
        <v>0.1903509245952596</v>
      </c>
      <c r="AJ79" s="192">
        <f>AJ66/AVERAGE(AF78:AI78)</f>
        <v>0.1903509245952596</v>
      </c>
      <c r="AK79" s="191">
        <f>AK66/AVERAGE(AI78,AK78)</f>
        <v>0</v>
      </c>
      <c r="AL79" s="191">
        <f>AL66/AVERAGE(AK78,AL78)</f>
        <v>0</v>
      </c>
      <c r="AM79" s="191">
        <f>AM66/AVERAGE(AL78,AM78)</f>
        <v>0</v>
      </c>
      <c r="AN79" s="191">
        <f>AN66/AVERAGE(AM78,AN78)</f>
        <v>0.32884576591890619</v>
      </c>
      <c r="AO79" s="192">
        <f>AO66/AVERAGE(AK78:AN78)</f>
        <v>0.32884576591890619</v>
      </c>
      <c r="AP79" s="191">
        <f>AP66/AVERAGE(AN78,AP78)</f>
        <v>0</v>
      </c>
      <c r="AQ79" s="191">
        <f>AQ66/AVERAGE(AP78,AQ78)</f>
        <v>0</v>
      </c>
      <c r="AR79" s="191">
        <f>AR66/AVERAGE(AQ78,AR78)</f>
        <v>0</v>
      </c>
      <c r="AS79" s="191">
        <f>AS66/AVERAGE(AR78,AS78)</f>
        <v>0.29259465166973231</v>
      </c>
      <c r="AT79" s="192">
        <f>AT66/AVERAGE(AP78:AS78)</f>
        <v>0.29259465166973231</v>
      </c>
      <c r="AU79" s="191">
        <f>AU66/AVERAGE(AS78,AU78)</f>
        <v>0</v>
      </c>
      <c r="AV79" s="191">
        <f>AV66/AVERAGE(AU78,AV78)</f>
        <v>0</v>
      </c>
      <c r="AW79" s="191">
        <f>AW66/AVERAGE(AV78,AW78)</f>
        <v>0</v>
      </c>
      <c r="AX79" s="191">
        <f>AX66/AVERAGE(AW78,AX78)</f>
        <v>0.38393436199582093</v>
      </c>
      <c r="AY79" s="192">
        <f>AY66/AVERAGE(AU78:AX78)</f>
        <v>0.38393436199582093</v>
      </c>
      <c r="AZ79" s="191">
        <f>AZ66/AVERAGE(AX78,AZ78)</f>
        <v>0</v>
      </c>
      <c r="BA79" s="191">
        <f>BA66/AVERAGE(AZ78,BA78)</f>
        <v>0</v>
      </c>
      <c r="BB79" s="191">
        <f>BB66/AVERAGE(BA78,BB78)</f>
        <v>0</v>
      </c>
      <c r="BC79" s="191">
        <f>BC66/AVERAGE(BB78,BC78)</f>
        <v>0.49153930602677953</v>
      </c>
      <c r="BD79" s="192">
        <f>BD66/AVERAGE(AZ78:BC78)</f>
        <v>0.49153930602677953</v>
      </c>
      <c r="BE79" s="191">
        <f>BE66/AVERAGE(BC78,BE78)</f>
        <v>0</v>
      </c>
      <c r="BF79" s="191">
        <f>BF66/AVERAGE(BE78,BF78)</f>
        <v>0</v>
      </c>
      <c r="BG79" s="191">
        <f>BG66/AVERAGE(BF78,BG78)</f>
        <v>0</v>
      </c>
      <c r="BH79" s="191">
        <f>BH66/AVERAGE(BG78,BH78)</f>
        <v>0.47903260463803143</v>
      </c>
      <c r="BI79" s="192">
        <f>BI66/AVERAGE(BE78:BH78)</f>
        <v>0.47903260463803143</v>
      </c>
      <c r="BJ79" s="191">
        <f>BJ66/AVERAGE(BH78,BJ78)</f>
        <v>0</v>
      </c>
      <c r="BK79" s="191">
        <f>BK66/AVERAGE(BJ78,BK78)</f>
        <v>0</v>
      </c>
      <c r="BL79" s="191">
        <f>BL66/AVERAGE(BK78,BL78)</f>
        <v>0</v>
      </c>
      <c r="BM79" s="191">
        <f>BM66/AVERAGE(BL78,BM78)</f>
        <v>0.33243784182197827</v>
      </c>
      <c r="BN79" s="192">
        <f>BN66/AVERAGE(BJ78:BM78)</f>
        <v>0.33243784182197827</v>
      </c>
      <c r="BO79" s="191">
        <f>BO66/AVERAGE(BM78,BO78)</f>
        <v>0</v>
      </c>
      <c r="BP79" s="191">
        <f>BP66/AVERAGE(BO78,BP78)</f>
        <v>0</v>
      </c>
      <c r="BQ79" s="191">
        <f>BQ66/AVERAGE(BP78,BQ78)</f>
        <v>0</v>
      </c>
      <c r="BR79" s="191">
        <f>BR66/AVERAGE(BQ78,BR78)</f>
        <v>0.41226443017762182</v>
      </c>
      <c r="BS79" s="192">
        <f>BS66/AVERAGE(BO78:BR78)</f>
        <v>0.41226443017762182</v>
      </c>
      <c r="BT79" s="191">
        <f>BT66/AVERAGE(BR78,BT78)</f>
        <v>0</v>
      </c>
      <c r="BU79" s="191">
        <f>BU66/AVERAGE(BT78,BU78)</f>
        <v>0</v>
      </c>
      <c r="BV79" s="191">
        <f>BV66/AVERAGE(BU78,BV78)</f>
        <v>0</v>
      </c>
      <c r="BW79" s="191">
        <f>BW66/AVERAGE(BV78,BW78)</f>
        <v>0.47863434859030324</v>
      </c>
      <c r="BX79" s="192">
        <f>BX66/AVERAGE(BT78:BW78)</f>
        <v>0.47863434859030324</v>
      </c>
      <c r="BY79" s="191">
        <f>BY66/AVERAGE(BW78,BY78)</f>
        <v>6.7140854431678207E-2</v>
      </c>
      <c r="BZ79" s="191">
        <f>BZ66/AVERAGE(BY78,BZ78)</f>
        <v>0.22314395965965841</v>
      </c>
      <c r="CA79" s="191">
        <f>CA66/AVERAGE(BZ78,CA78)</f>
        <v>0.11073710361968345</v>
      </c>
      <c r="CB79" s="191">
        <f>CB66/AVERAGE(CA78,CB78)</f>
        <v>0.18404179247812705</v>
      </c>
      <c r="CC79" s="192">
        <f>CC66/AVERAGE(BY78:CB78)</f>
        <v>0.58506371018914716</v>
      </c>
      <c r="CD79" s="191">
        <f>CD66/AVERAGE(CB78,CD78)</f>
        <v>2.374921385534982E-2</v>
      </c>
      <c r="CE79" s="191">
        <f>CE66/AVERAGE(CD78,CE78)</f>
        <v>0.13514764173777455</v>
      </c>
      <c r="CF79" s="191">
        <f>CF66/AVERAGE(CE78,CF78)</f>
        <v>0.17452885863179779</v>
      </c>
      <c r="CG79" s="191">
        <f>CG66/AVERAGE(CF78,CG78)</f>
        <v>0.23287016533593302</v>
      </c>
      <c r="CH79" s="192">
        <f>CH66/AVERAGE(CD78:CG78)</f>
        <v>0.56867396389951508</v>
      </c>
      <c r="CI79" s="191">
        <f>CI66/AVERAGE(CG78,CI78)</f>
        <v>0.17128217533933557</v>
      </c>
      <c r="CJ79" s="191">
        <f>CJ66/AVERAGE(CI78,CJ78)</f>
        <v>0.26930355906222458</v>
      </c>
      <c r="CK79" s="191">
        <f>CK66/AVERAGE(CJ78,CK78)</f>
        <v>0.23093783187142028</v>
      </c>
      <c r="CL79" s="191">
        <f>CL66/AVERAGE(CK78,CL78)</f>
        <v>0.35551956634425919</v>
      </c>
      <c r="CM79" s="192">
        <f>CM66/AVERAGE(CI78:CL78)</f>
        <v>1.0270725298048877</v>
      </c>
      <c r="CN79" s="191">
        <f>CN66/AVERAGE(CL78,CN78)</f>
        <v>0.2121267659656926</v>
      </c>
      <c r="CO79" s="191">
        <f>CO66/AVERAGE(CN78,CO78)</f>
        <v>0.29677218300646696</v>
      </c>
      <c r="CP79" s="191">
        <f>CP66/AVERAGE(CO78,CP78)</f>
        <v>0.31002715124732805</v>
      </c>
      <c r="CQ79" s="191">
        <f>CQ66/AVERAGE(CP78,CQ78)</f>
        <v>0.31662633609173052</v>
      </c>
      <c r="CR79" s="192">
        <f>CR66/AVERAGE(CN78:CQ78)</f>
        <v>1.136038093382018</v>
      </c>
      <c r="CS79" s="191">
        <f>CS66/AVERAGE(CQ78,CS78)</f>
        <v>0.31684711383874659</v>
      </c>
      <c r="CT79" s="191">
        <f>CT66/AVERAGE(CS78,CT78)</f>
        <v>0.41869464825910124</v>
      </c>
      <c r="CU79" s="191">
        <f>CU66/AVERAGE(CT78,CU78)</f>
        <v>0.37332137159500001</v>
      </c>
      <c r="CV79" s="191">
        <f>CV66/AVERAGE(CU78,CV78)</f>
        <v>0.55305860523216765</v>
      </c>
      <c r="CW79" s="192">
        <f>CW66/AVERAGE(CS78:CV78)</f>
        <v>1.6619217389250154</v>
      </c>
      <c r="CX79" s="191">
        <f>CX66/AVERAGE(CV78,CX78)</f>
        <v>0.48723234009840505</v>
      </c>
      <c r="CY79" s="191">
        <f>CY66/AVERAGE(CX78,CY78)</f>
        <v>0.59419225922310082</v>
      </c>
      <c r="CZ79" s="191">
        <f>CZ66/AVERAGE(CY78,CZ78)</f>
        <v>0.58841064197311721</v>
      </c>
      <c r="DA79" s="191">
        <f>DA66/AVERAGE(CZ78,DA78)</f>
        <v>0.57189715642677397</v>
      </c>
      <c r="DB79" s="192">
        <f>DB66/AVERAGE(CX78:DA78)</f>
        <v>2.241732397721397</v>
      </c>
      <c r="DC79" s="191">
        <f>DC66/AVERAGE(DA78,DC78)</f>
        <v>0.73641452412902075</v>
      </c>
      <c r="DD79" s="191">
        <f>DD66/AVERAGE(DC78,DD78)</f>
        <v>0.81384506985582306</v>
      </c>
      <c r="DE79" s="191">
        <f>DE66/AVERAGE(DD78,DE78)</f>
        <v>0.87452821598806685</v>
      </c>
      <c r="DF79" s="191">
        <f>DF66/AVERAGE(DE78,DF78)</f>
        <v>0.90037269169296053</v>
      </c>
      <c r="DG79" s="192">
        <f>DG66/AVERAGE(DC78:DF78)</f>
        <v>3.3021945061977069</v>
      </c>
      <c r="DH79" s="191">
        <f>DH66/AVERAGE(DF78,DH78)</f>
        <v>0.98308510080426081</v>
      </c>
      <c r="DI79" s="191">
        <f>DI66/AVERAGE(DG78,DI78)</f>
        <v>0.87795199595034012</v>
      </c>
      <c r="DJ79" s="191">
        <f ca="1">DJ66/AVERAGE(DI78,DJ78)</f>
        <v>0.99804009940282956</v>
      </c>
      <c r="DK79" s="191">
        <f ca="1">DK66/AVERAGE(DJ78,DK78)</f>
        <v>1.1782392496855261</v>
      </c>
      <c r="DL79" s="192">
        <f ca="1">DL66/AVERAGE(DH78:DK78)</f>
        <v>4.0373164458429569</v>
      </c>
      <c r="DM79" s="191">
        <f ca="1">DM66/AVERAGE(DK78,DM78)</f>
        <v>1.20194425153594</v>
      </c>
      <c r="DN79" s="191">
        <f ca="1">DN66/AVERAGE(DM78,DN78)</f>
        <v>1.2390084904115253</v>
      </c>
      <c r="DO79" s="191">
        <f ca="1">DO66/AVERAGE(DN78,DO78)</f>
        <v>1.2494580472612202</v>
      </c>
      <c r="DP79" s="191">
        <f ca="1">DP66/AVERAGE(DO78,DP78)</f>
        <v>1.2866143147706626</v>
      </c>
      <c r="DQ79" s="192">
        <f ca="1">DQ66/AVERAGE(DM78:DP78)</f>
        <v>4.9770251039793481</v>
      </c>
      <c r="DR79" s="191">
        <f ca="1">DR66/AVERAGE(DP78,DR78)</f>
        <v>1.3549992433942977</v>
      </c>
      <c r="DS79" s="191">
        <f ca="1">DS66/AVERAGE(DR78,DS78)</f>
        <v>1.3436751568176202</v>
      </c>
      <c r="DT79" s="191">
        <f ca="1">DT66/AVERAGE(DS78,DT78)</f>
        <v>1.3888738127113474</v>
      </c>
      <c r="DU79" s="191">
        <f ca="1">DU66/AVERAGE(DT78,DU78)</f>
        <v>1.4458974466043706</v>
      </c>
      <c r="DV79" s="192">
        <f ca="1">DV66/AVERAGE(DR78:DU78)</f>
        <v>5.5334456595276356</v>
      </c>
      <c r="DW79" s="191">
        <f ca="1">DW66/AVERAGE(DU78,DW78)</f>
        <v>1.4294554446708614</v>
      </c>
      <c r="DX79" s="191">
        <f ca="1">DX66/AVERAGE(DW78,DX78)</f>
        <v>1.4115247059386964</v>
      </c>
      <c r="DY79" s="191">
        <f ca="1">DY66/AVERAGE(DX78,DY78)</f>
        <v>1.4661779584983614</v>
      </c>
      <c r="DZ79" s="191">
        <f ca="1">DZ66/AVERAGE(DY78,DZ78)</f>
        <v>1.5218506558642981</v>
      </c>
      <c r="EA79" s="192">
        <f ca="1">EA66/AVERAGE(DW78:DZ78)</f>
        <v>5.8290087649722171</v>
      </c>
      <c r="EB79" s="191">
        <f ca="1">EB66/AVERAGE(DZ78,EB78)</f>
        <v>1.5008170716287936</v>
      </c>
      <c r="EC79" s="191">
        <f ca="1">EC66/AVERAGE(EB78,EC78)</f>
        <v>1.4785082486320595</v>
      </c>
      <c r="ED79" s="191">
        <f ca="1">ED66/AVERAGE(EC78,ED78)</f>
        <v>1.5325827778274976</v>
      </c>
      <c r="EE79" s="191">
        <f ca="1">EE66/AVERAGE(ED78,EE78)</f>
        <v>1.5875006586312552</v>
      </c>
      <c r="EF79" s="192">
        <f ca="1">EF66/AVERAGE(EB78:EE78)</f>
        <v>6.0994087567196065</v>
      </c>
    </row>
    <row r="80" spans="1:136" s="3" customFormat="1" ht="12.75" customHeight="1">
      <c r="A80" s="15" t="s">
        <v>157</v>
      </c>
      <c r="B80" s="191" t="e">
        <f>B67/AVERAGE(#REF!,B78)</f>
        <v>#REF!</v>
      </c>
      <c r="C80" s="191" t="e">
        <f>C67/AVERAGE(B78,C78)</f>
        <v>#DIV/0!</v>
      </c>
      <c r="D80" s="191" t="e">
        <f>D67/AVERAGE(C78,D78)</f>
        <v>#DIV/0!</v>
      </c>
      <c r="E80" s="191" t="e">
        <f>E67/AVERAGE(D78,E78)</f>
        <v>#DIV/0!</v>
      </c>
      <c r="F80" s="192" t="e">
        <f>F67/AVERAGE(B78:E78)</f>
        <v>#DIV/0!</v>
      </c>
      <c r="G80" s="191" t="e">
        <f>G67/AVERAGE(#REF!,G78)</f>
        <v>#REF!</v>
      </c>
      <c r="H80" s="191" t="e">
        <f>H67/AVERAGE(G78,H78)</f>
        <v>#DIV/0!</v>
      </c>
      <c r="I80" s="191" t="e">
        <f>I67/AVERAGE(H78,I78)</f>
        <v>#DIV/0!</v>
      </c>
      <c r="J80" s="191" t="e">
        <f>J67/AVERAGE(I78,J78)</f>
        <v>#DIV/0!</v>
      </c>
      <c r="K80" s="192" t="e">
        <f>K67/AVERAGE(G78:J78)</f>
        <v>#DIV/0!</v>
      </c>
      <c r="L80" s="191" t="e">
        <f>L67/AVERAGE(#REF!,L78)</f>
        <v>#REF!</v>
      </c>
      <c r="M80" s="191" t="e">
        <f>M67/AVERAGE(L78,M78)</f>
        <v>#DIV/0!</v>
      </c>
      <c r="N80" s="191" t="e">
        <f>N67/AVERAGE(M78,N78)</f>
        <v>#DIV/0!</v>
      </c>
      <c r="O80" s="191" t="e">
        <f>O67/AVERAGE(N78,O78)</f>
        <v>#DIV/0!</v>
      </c>
      <c r="P80" s="192" t="e">
        <f>P67/AVERAGE(L78:O78)</f>
        <v>#DIV/0!</v>
      </c>
      <c r="Q80" s="191" t="e">
        <f>Q67/AVERAGE(#REF!,Q78)</f>
        <v>#REF!</v>
      </c>
      <c r="R80" s="191" t="e">
        <f>R67/AVERAGE(Q78,R78)</f>
        <v>#DIV/0!</v>
      </c>
      <c r="S80" s="191" t="e">
        <f>S67/AVERAGE(R78,S78)</f>
        <v>#DIV/0!</v>
      </c>
      <c r="T80" s="191" t="e">
        <f>T67/AVERAGE(S78,T78)</f>
        <v>#DIV/0!</v>
      </c>
      <c r="U80" s="192" t="e">
        <f>U67/AVERAGE(Q78:T78)</f>
        <v>#DIV/0!</v>
      </c>
      <c r="V80" s="191" t="e">
        <f>V67/AVERAGE(#REF!,V78)</f>
        <v>#REF!</v>
      </c>
      <c r="W80" s="191" t="e">
        <f>W67/AVERAGE(V78,W78)</f>
        <v>#DIV/0!</v>
      </c>
      <c r="X80" s="191" t="e">
        <f>X67/AVERAGE(W78,X78)</f>
        <v>#DIV/0!</v>
      </c>
      <c r="Y80" s="191" t="e">
        <f>Y67/AVERAGE(X78,Y78)</f>
        <v>#DIV/0!</v>
      </c>
      <c r="Z80" s="192" t="e">
        <f>Z67/AVERAGE(V78:Y78)</f>
        <v>#DIV/0!</v>
      </c>
      <c r="AA80" s="191" t="e">
        <f>AA67/AVERAGE(#REF!,AA78)</f>
        <v>#REF!</v>
      </c>
      <c r="AB80" s="191" t="e">
        <f>AB67/AVERAGE(AA78,AB78)</f>
        <v>#DIV/0!</v>
      </c>
      <c r="AC80" s="191" t="e">
        <f>AC67/AVERAGE(AB78,AC78)</f>
        <v>#DIV/0!</v>
      </c>
      <c r="AD80" s="191" t="e">
        <f>AD67/AVERAGE(AC78,AD78)</f>
        <v>#DIV/0!</v>
      </c>
      <c r="AE80" s="192" t="e">
        <f>AE67/AVERAGE(AA78:AD78)</f>
        <v>#DIV/0!</v>
      </c>
      <c r="AF80" s="191">
        <f>AF67/AVERAGE(AD78,AF78)</f>
        <v>0</v>
      </c>
      <c r="AG80" s="191">
        <f>AG67/AVERAGE(AF78,AG78)</f>
        <v>0</v>
      </c>
      <c r="AH80" s="191">
        <f>AH67/AVERAGE(AG78,AH78)</f>
        <v>0</v>
      </c>
      <c r="AI80" s="191">
        <f>AI67/AVERAGE(AH78,AI78)</f>
        <v>0.1903509245952596</v>
      </c>
      <c r="AJ80" s="192">
        <f>AJ67/AVERAGE(AF78:AI78)</f>
        <v>0.1903509245952596</v>
      </c>
      <c r="AK80" s="191">
        <f>AK67/AVERAGE(AI78,AK78)</f>
        <v>0</v>
      </c>
      <c r="AL80" s="191">
        <f>AL67/AVERAGE(AK78,AL78)</f>
        <v>0</v>
      </c>
      <c r="AM80" s="191">
        <f>AM67/AVERAGE(AL78,AM78)</f>
        <v>0</v>
      </c>
      <c r="AN80" s="191">
        <f>AN67/AVERAGE(AM78,AN78)</f>
        <v>0.32884576591890619</v>
      </c>
      <c r="AO80" s="192">
        <f>AO67/AVERAGE(AK78:AN78)</f>
        <v>0.32884576591890619</v>
      </c>
      <c r="AP80" s="191">
        <f>AP67/AVERAGE(AN78,AP78)</f>
        <v>0</v>
      </c>
      <c r="AQ80" s="191">
        <f>AQ67/AVERAGE(AP78,AQ78)</f>
        <v>0</v>
      </c>
      <c r="AR80" s="191">
        <f>AR67/AVERAGE(AQ78,AR78)</f>
        <v>0</v>
      </c>
      <c r="AS80" s="191">
        <f>AS67/AVERAGE(AR78,AS78)</f>
        <v>0.29259465166973231</v>
      </c>
      <c r="AT80" s="192">
        <f>AT67/AVERAGE(AP78:AS78)</f>
        <v>0.29259465166973231</v>
      </c>
      <c r="AU80" s="191">
        <f>AU67/AVERAGE(AS78,AU78)</f>
        <v>0</v>
      </c>
      <c r="AV80" s="191">
        <f>AV67/AVERAGE(AU78,AV78)</f>
        <v>0</v>
      </c>
      <c r="AW80" s="191">
        <f>AW67/AVERAGE(AV78,AW78)</f>
        <v>0</v>
      </c>
      <c r="AX80" s="191">
        <f>AX67/AVERAGE(AW78,AX78)</f>
        <v>0.38393436199582093</v>
      </c>
      <c r="AY80" s="192">
        <f>AY67/AVERAGE(AU78:AX78)</f>
        <v>0.38393436199582093</v>
      </c>
      <c r="AZ80" s="191">
        <f>AZ67/AVERAGE(AX78,AZ78)</f>
        <v>0</v>
      </c>
      <c r="BA80" s="191">
        <f>BA67/AVERAGE(AZ78,BA78)</f>
        <v>0</v>
      </c>
      <c r="BB80" s="191">
        <f>BB67/AVERAGE(BA78,BB78)</f>
        <v>0</v>
      </c>
      <c r="BC80" s="191">
        <f>BC67/AVERAGE(BB78,BC78)</f>
        <v>0.49153930602677953</v>
      </c>
      <c r="BD80" s="192">
        <f>BD67/AVERAGE(AZ78:BC78)</f>
        <v>0.49153930602677953</v>
      </c>
      <c r="BE80" s="191">
        <f>BE67/AVERAGE(BC78,BE78)</f>
        <v>0</v>
      </c>
      <c r="BF80" s="191">
        <f>BF67/AVERAGE(BE78,BF78)</f>
        <v>0</v>
      </c>
      <c r="BG80" s="191">
        <f>BG67/AVERAGE(BF78,BG78)</f>
        <v>0</v>
      </c>
      <c r="BH80" s="191">
        <f>BH67/AVERAGE(BG78,BH78)</f>
        <v>0.47903260463803143</v>
      </c>
      <c r="BI80" s="192">
        <f>BI67/AVERAGE(BE78:BH78)</f>
        <v>0.47903260463803143</v>
      </c>
      <c r="BJ80" s="191">
        <f>BJ67/AVERAGE(BH78,BJ78)</f>
        <v>0</v>
      </c>
      <c r="BK80" s="191">
        <f>BK67/AVERAGE(BJ78,BK78)</f>
        <v>0</v>
      </c>
      <c r="BL80" s="191">
        <f>BL67/AVERAGE(BK78,BL78)</f>
        <v>0</v>
      </c>
      <c r="BM80" s="191">
        <f>BM67/AVERAGE(BL78,BM78)</f>
        <v>0.33243784182197827</v>
      </c>
      <c r="BN80" s="192">
        <f>BN67/AVERAGE(BJ78:BM78)</f>
        <v>0.33243784182197827</v>
      </c>
      <c r="BO80" s="191">
        <f>BO67/AVERAGE(BM78,BO78)</f>
        <v>0</v>
      </c>
      <c r="BP80" s="191">
        <f>BP67/AVERAGE(BO78,BP78)</f>
        <v>0</v>
      </c>
      <c r="BQ80" s="191">
        <f>BQ67/AVERAGE(BP78,BQ78)</f>
        <v>0</v>
      </c>
      <c r="BR80" s="191">
        <f>BR67/AVERAGE(BQ78,BR78)</f>
        <v>0.41226443017762182</v>
      </c>
      <c r="BS80" s="192">
        <f>BS67/AVERAGE(BO78:BR78)</f>
        <v>0.41226443017762182</v>
      </c>
      <c r="BT80" s="191">
        <f>BT67/AVERAGE(BR78,BT78)</f>
        <v>0</v>
      </c>
      <c r="BU80" s="191">
        <f>BU67/AVERAGE(BT78,BU78)</f>
        <v>0</v>
      </c>
      <c r="BV80" s="191">
        <f>BV67/AVERAGE(BU78,BV78)</f>
        <v>0</v>
      </c>
      <c r="BW80" s="191">
        <f>BW67/AVERAGE(BV78,BW78)</f>
        <v>0.47863434859030324</v>
      </c>
      <c r="BX80" s="192">
        <f>BX67/AVERAGE(BT78:BW78)</f>
        <v>0.47863434859030324</v>
      </c>
      <c r="BY80" s="191">
        <f>BY67/AVERAGE(BW78,BY78)</f>
        <v>6.7140854431678207E-2</v>
      </c>
      <c r="BZ80" s="191">
        <f>BZ67/AVERAGE(BY78,BZ78)</f>
        <v>0.22314395965965841</v>
      </c>
      <c r="CA80" s="191">
        <f>CA67/AVERAGE(BZ78,CA78)</f>
        <v>0.11073710361968345</v>
      </c>
      <c r="CB80" s="191">
        <f>CB67/AVERAGE(CA78,CB78)</f>
        <v>0.18404179247812705</v>
      </c>
      <c r="CC80" s="192">
        <f>CC67/AVERAGE(BY78:CB78)</f>
        <v>0.58506371018914716</v>
      </c>
      <c r="CD80" s="191">
        <f>CD67/AVERAGE(CB78,CD78)</f>
        <v>2.374921385534982E-2</v>
      </c>
      <c r="CE80" s="191">
        <f>CE67/AVERAGE(CD78,CE78)</f>
        <v>0.13514764173777455</v>
      </c>
      <c r="CF80" s="191">
        <f>CF67/AVERAGE(CE78,CF78)</f>
        <v>0.17452885863179779</v>
      </c>
      <c r="CG80" s="191">
        <f>CG67/AVERAGE(CF78,CG78)</f>
        <v>0.23287016533593302</v>
      </c>
      <c r="CH80" s="192">
        <f>CH67/AVERAGE(CD78:CG78)</f>
        <v>0.56867396389951508</v>
      </c>
      <c r="CI80" s="191">
        <f>CI67/AVERAGE(CG78,CI78)</f>
        <v>0.17128217533933557</v>
      </c>
      <c r="CJ80" s="191">
        <f>CJ67/AVERAGE(CI78,CJ78)</f>
        <v>0.26930355906222458</v>
      </c>
      <c r="CK80" s="191">
        <f>CK67/AVERAGE(CJ78,CK78)</f>
        <v>0.23093783187142028</v>
      </c>
      <c r="CL80" s="191">
        <f>CL67/AVERAGE(CK78,CL78)</f>
        <v>0.35551956634425919</v>
      </c>
      <c r="CM80" s="192">
        <f>CM67/AVERAGE(CI78:CL78)</f>
        <v>1.0270725298048877</v>
      </c>
      <c r="CN80" s="191">
        <f>CN67/AVERAGE(CL78,CN78)</f>
        <v>0.2121267659656926</v>
      </c>
      <c r="CO80" s="191">
        <f>CO67/AVERAGE(CN78,CO78)</f>
        <v>0.29677218300646696</v>
      </c>
      <c r="CP80" s="191">
        <f>CP67/AVERAGE(CO78,CP78)</f>
        <v>0.31002715124732805</v>
      </c>
      <c r="CQ80" s="191">
        <f>CQ67/AVERAGE(CP78,CQ78)</f>
        <v>0.31662633609173052</v>
      </c>
      <c r="CR80" s="192">
        <f>CR67/AVERAGE(CN78:CQ78)</f>
        <v>1.136038093382018</v>
      </c>
      <c r="CS80" s="191">
        <f>CS67/AVERAGE(CQ78,CS78)</f>
        <v>0.31684711383874659</v>
      </c>
      <c r="CT80" s="191">
        <f>CT67/AVERAGE(CS78,CT78)</f>
        <v>0.41869464825910124</v>
      </c>
      <c r="CU80" s="191">
        <f>CU67/AVERAGE(CT78,CU78)</f>
        <v>0.37332137159500001</v>
      </c>
      <c r="CV80" s="191">
        <f>CV67/AVERAGE(CU78,CV78)</f>
        <v>0.55305860523216765</v>
      </c>
      <c r="CW80" s="192">
        <f>CW67/AVERAGE(CS78:CV78)</f>
        <v>1.6619217389250154</v>
      </c>
      <c r="CX80" s="191">
        <f>CX67/AVERAGE(CV78,CX78)</f>
        <v>0.48723234009840505</v>
      </c>
      <c r="CY80" s="191">
        <f>CY67/AVERAGE(CX78,CY78)</f>
        <v>0.59419225922310082</v>
      </c>
      <c r="CZ80" s="191">
        <f>CZ67/AVERAGE(CY78,CZ78)</f>
        <v>0.58841064197311721</v>
      </c>
      <c r="DA80" s="191">
        <f>DA67/AVERAGE(CZ78,DA78)</f>
        <v>0.57189715642677397</v>
      </c>
      <c r="DB80" s="192">
        <f>DB67/AVERAGE(CX78:DA78)</f>
        <v>2.241732397721397</v>
      </c>
      <c r="DC80" s="191">
        <f>DC67/AVERAGE(DA78,DC78)</f>
        <v>0.73641452412902075</v>
      </c>
      <c r="DD80" s="191">
        <f>DD67/AVERAGE(DC78,DD78)</f>
        <v>0.81384506985582306</v>
      </c>
      <c r="DE80" s="191">
        <f>DE67/AVERAGE(DD78,DE78)</f>
        <v>0.87452821598806685</v>
      </c>
      <c r="DF80" s="191">
        <f>DF67/AVERAGE(DE78,DF78)</f>
        <v>0.90037269169296053</v>
      </c>
      <c r="DG80" s="192">
        <f>DG67/AVERAGE(DC78:DF78)</f>
        <v>3.3021945061977069</v>
      </c>
      <c r="DH80" s="191">
        <f>DH67/AVERAGE(DF78,DH78)</f>
        <v>0.98308510080426081</v>
      </c>
      <c r="DI80" s="191">
        <f>DI67/AVERAGE(DG78,DI78)</f>
        <v>0.87795199595034012</v>
      </c>
      <c r="DJ80" s="191">
        <f ca="1">DJ67/AVERAGE(DI78,DJ78)</f>
        <v>0.99804009940282956</v>
      </c>
      <c r="DK80" s="191">
        <f ca="1">DK67/AVERAGE(DJ78,DK78)</f>
        <v>1.1782392496855261</v>
      </c>
      <c r="DL80" s="192">
        <f ca="1">DL67/AVERAGE(DH78:DK78)</f>
        <v>4.0373164458429569</v>
      </c>
      <c r="DM80" s="191">
        <f ca="1">DM67/AVERAGE(DK78,DM78)</f>
        <v>1.20194425153594</v>
      </c>
      <c r="DN80" s="191">
        <f ca="1">DN67/AVERAGE(DM78,DN78)</f>
        <v>1.2390084904115253</v>
      </c>
      <c r="DO80" s="191">
        <f ca="1">DO67/AVERAGE(DN78,DO78)</f>
        <v>1.2494580472612202</v>
      </c>
      <c r="DP80" s="191">
        <f ca="1">DP67/AVERAGE(DO78,DP78)</f>
        <v>1.2866143147706626</v>
      </c>
      <c r="DQ80" s="192">
        <f ca="1">DQ67/AVERAGE(DM78:DP78)</f>
        <v>4.9770251039793481</v>
      </c>
      <c r="DR80" s="191">
        <f ca="1">DR67/AVERAGE(DP78,DR78)</f>
        <v>1.3549992433942977</v>
      </c>
      <c r="DS80" s="191">
        <f ca="1">DS67/AVERAGE(DR78,DS78)</f>
        <v>1.3436751568176202</v>
      </c>
      <c r="DT80" s="191">
        <f ca="1">DT67/AVERAGE(DS78,DT78)</f>
        <v>1.3888738127113474</v>
      </c>
      <c r="DU80" s="191">
        <f ca="1">DU67/AVERAGE(DT78,DU78)</f>
        <v>1.4458974466043706</v>
      </c>
      <c r="DV80" s="192">
        <f ca="1">DV67/AVERAGE(DR78:DU78)</f>
        <v>5.5334456595276356</v>
      </c>
      <c r="DW80" s="191">
        <f ca="1">DW67/AVERAGE(DU78,DW78)</f>
        <v>1.4294554446708614</v>
      </c>
      <c r="DX80" s="191">
        <f ca="1">DX67/AVERAGE(DW78,DX78)</f>
        <v>1.4115247059386964</v>
      </c>
      <c r="DY80" s="191">
        <f ca="1">DY67/AVERAGE(DX78,DY78)</f>
        <v>1.4661779584983614</v>
      </c>
      <c r="DZ80" s="191">
        <f ca="1">DZ67/AVERAGE(DY78,DZ78)</f>
        <v>1.5218506558642981</v>
      </c>
      <c r="EA80" s="192">
        <f ca="1">EA67/AVERAGE(DW78:DZ78)</f>
        <v>5.8290087649722171</v>
      </c>
      <c r="EB80" s="191">
        <f ca="1">EB67/AVERAGE(DZ78,EB78)</f>
        <v>1.5008170716287936</v>
      </c>
      <c r="EC80" s="191">
        <f ca="1">EC67/AVERAGE(EB78,EC78)</f>
        <v>1.4785082486320595</v>
      </c>
      <c r="ED80" s="191">
        <f ca="1">ED67/AVERAGE(EC78,ED78)</f>
        <v>1.5325827778274976</v>
      </c>
      <c r="EE80" s="191">
        <f ca="1">EE67/AVERAGE(ED78,EE78)</f>
        <v>1.5875006586312552</v>
      </c>
      <c r="EF80" s="192">
        <f ca="1">EF67/AVERAGE(EB78:EE78)</f>
        <v>6.0994087567196065</v>
      </c>
    </row>
    <row r="81" spans="1:136" s="3" customFormat="1" ht="12.75" customHeight="1">
      <c r="A81" s="121" t="s">
        <v>96</v>
      </c>
      <c r="B81" s="191"/>
      <c r="C81" s="191"/>
      <c r="D81" s="191"/>
      <c r="E81" s="191"/>
      <c r="F81" s="192" t="e">
        <f>F50/AVERAGE(F78,#REF!)</f>
        <v>#REF!</v>
      </c>
      <c r="G81" s="191"/>
      <c r="H81" s="191"/>
      <c r="I81" s="191"/>
      <c r="J81" s="191"/>
      <c r="K81" s="192" t="e">
        <f>K50/AVERAGE(K78,#REF!)</f>
        <v>#REF!</v>
      </c>
      <c r="L81" s="191"/>
      <c r="M81" s="191"/>
      <c r="N81" s="191"/>
      <c r="O81" s="191"/>
      <c r="P81" s="192" t="e">
        <f>P50/AVERAGE(P78,#REF!)</f>
        <v>#REF!</v>
      </c>
      <c r="Q81" s="191"/>
      <c r="R81" s="191"/>
      <c r="S81" s="191"/>
      <c r="T81" s="191"/>
      <c r="U81" s="192" t="e">
        <f>U50/AVERAGE(U78,#REF!)</f>
        <v>#REF!</v>
      </c>
      <c r="V81" s="191"/>
      <c r="W81" s="191"/>
      <c r="X81" s="191"/>
      <c r="Y81" s="191"/>
      <c r="Z81" s="192" t="e">
        <f>Z50/AVERAGE(Z78,#REF!)</f>
        <v>#REF!</v>
      </c>
      <c r="AA81" s="191"/>
      <c r="AB81" s="191"/>
      <c r="AC81" s="191"/>
      <c r="AD81" s="191"/>
      <c r="AE81" s="192" t="e">
        <f>AE50/AVERAGE(AE78,#REF!)</f>
        <v>#REF!</v>
      </c>
      <c r="AF81" s="191">
        <f>AF50/AVERAGE(AD78,AF78)</f>
        <v>0</v>
      </c>
      <c r="AG81" s="191">
        <f>AG50/AVERAGE(AF78,AG78)</f>
        <v>0</v>
      </c>
      <c r="AH81" s="191">
        <f>AH50/AVERAGE(AG78,AH78)</f>
        <v>0</v>
      </c>
      <c r="AI81" s="191">
        <f>AI50/AVERAGE(AH78,AI78)</f>
        <v>0</v>
      </c>
      <c r="AJ81" s="192">
        <f>AJ50/AVERAGE(AJ78,AE78)</f>
        <v>0</v>
      </c>
      <c r="AK81" s="191">
        <f>AK50/AVERAGE(AI78,AK78)</f>
        <v>0</v>
      </c>
      <c r="AL81" s="191">
        <f>AL50/AVERAGE(AK78,AL78)</f>
        <v>0</v>
      </c>
      <c r="AM81" s="191">
        <f>AM50/AVERAGE(AL78,AM78)</f>
        <v>0</v>
      </c>
      <c r="AN81" s="191">
        <f>AN50/AVERAGE(AM78,AN78)</f>
        <v>0</v>
      </c>
      <c r="AO81" s="192">
        <f>AO50/AVERAGE(AO78,AJ78)</f>
        <v>0</v>
      </c>
      <c r="AP81" s="191">
        <f>AP50/AVERAGE(AN78,AP78)</f>
        <v>0</v>
      </c>
      <c r="AQ81" s="191">
        <f>AQ50/AVERAGE(AP78,AQ78)</f>
        <v>0</v>
      </c>
      <c r="AR81" s="191">
        <f>AR50/AVERAGE(AQ78,AR78)</f>
        <v>0</v>
      </c>
      <c r="AS81" s="191">
        <f>AS50/AVERAGE(AR78,AS78)</f>
        <v>0</v>
      </c>
      <c r="AT81" s="192">
        <f>AT50/AVERAGE(AT78,AO78)</f>
        <v>0</v>
      </c>
      <c r="AU81" s="191">
        <f>AU50/AVERAGE(AS78,AU78)</f>
        <v>0</v>
      </c>
      <c r="AV81" s="191">
        <f>AV50/AVERAGE(AU78,AV78)</f>
        <v>0</v>
      </c>
      <c r="AW81" s="191">
        <f>AW50/AVERAGE(AV78,AW78)</f>
        <v>0</v>
      </c>
      <c r="AX81" s="191">
        <f>AX50/AVERAGE(AW78,AX78)</f>
        <v>0</v>
      </c>
      <c r="AY81" s="192">
        <f>AY50/AVERAGE(AY78,AT78)</f>
        <v>0</v>
      </c>
      <c r="AZ81" s="191">
        <f>AZ50/AVERAGE(AX78,AZ78)</f>
        <v>0</v>
      </c>
      <c r="BA81" s="191">
        <f>BA50/AVERAGE(AZ78,BA78)</f>
        <v>0</v>
      </c>
      <c r="BB81" s="191">
        <f>BB50/AVERAGE(BA78,BB78)</f>
        <v>0</v>
      </c>
      <c r="BC81" s="191">
        <f>BC50/AVERAGE(BB78,BC78)</f>
        <v>0</v>
      </c>
      <c r="BD81" s="192">
        <f>BD50/AVERAGE(BD78,AY78)</f>
        <v>0</v>
      </c>
      <c r="BE81" s="191">
        <f>BE50/AVERAGE(BC78,BE78)</f>
        <v>0</v>
      </c>
      <c r="BF81" s="191">
        <f>BF50/AVERAGE(BE78,BF78)</f>
        <v>0</v>
      </c>
      <c r="BG81" s="191">
        <f>BG50/AVERAGE(BF78,BG78)</f>
        <v>0</v>
      </c>
      <c r="BH81" s="191">
        <f>BH50/AVERAGE(BG78,BH78)</f>
        <v>0.29229801668122857</v>
      </c>
      <c r="BI81" s="192">
        <f>BI50/AVERAGE(BI78,BD78)</f>
        <v>0.29229801668122857</v>
      </c>
      <c r="BJ81" s="191">
        <f>BJ50/AVERAGE(BH78,BJ78)</f>
        <v>0</v>
      </c>
      <c r="BK81" s="191">
        <f>BK50/AVERAGE(BJ78,BK78)</f>
        <v>0</v>
      </c>
      <c r="BL81" s="191">
        <f>BL50/AVERAGE(BK78,BL78)</f>
        <v>0</v>
      </c>
      <c r="BM81" s="191">
        <f>BM50/AVERAGE(BL78,BM78)</f>
        <v>0.25210703938755963</v>
      </c>
      <c r="BN81" s="192">
        <f>BN50/AVERAGE(BN78,BI78)</f>
        <v>0.25210703938755963</v>
      </c>
      <c r="BO81" s="191">
        <f>BO50/AVERAGE(BM78,BO78)</f>
        <v>0</v>
      </c>
      <c r="BP81" s="191">
        <f>BP50/AVERAGE(BO78,BP78)</f>
        <v>0</v>
      </c>
      <c r="BQ81" s="191">
        <f>BQ50/AVERAGE(BP78,BQ78)</f>
        <v>0</v>
      </c>
      <c r="BR81" s="191">
        <f>BR50/AVERAGE(BQ78,BR78)</f>
        <v>0.25210703938755963</v>
      </c>
      <c r="BS81" s="192">
        <f>BS50/AVERAGE(BS78,BN78)</f>
        <v>0.25210703938755963</v>
      </c>
      <c r="BT81" s="191">
        <f>BT50/AVERAGE(BR78,BT78)</f>
        <v>0</v>
      </c>
      <c r="BU81" s="191">
        <f>BU50/AVERAGE(BT78,BU78)</f>
        <v>0</v>
      </c>
      <c r="BV81" s="191">
        <f>BV50/AVERAGE(BU78,BV78)</f>
        <v>0</v>
      </c>
      <c r="BW81" s="191">
        <f>BW50/AVERAGE(BV78,BW78)</f>
        <v>0.51517525440066536</v>
      </c>
      <c r="BX81" s="192">
        <f>BX50/AVERAGE(BX78,BS78)</f>
        <v>0.51517525440066536</v>
      </c>
      <c r="BY81" s="191">
        <f>BY50/AVERAGE(BW78,BY78)</f>
        <v>0</v>
      </c>
      <c r="BZ81" s="191">
        <f>BZ50/AVERAGE(BY78,BZ78)</f>
        <v>0</v>
      </c>
      <c r="CA81" s="191">
        <f>CA50/AVERAGE(BZ78,CA78)</f>
        <v>0</v>
      </c>
      <c r="CB81" s="191">
        <f>CB50/AVERAGE(CA78,CB78)</f>
        <v>0.48959917794105784</v>
      </c>
      <c r="CC81" s="192">
        <f>CC50/AVERAGE(CC78,BX78)</f>
        <v>0.48959917794105784</v>
      </c>
      <c r="CD81" s="191">
        <f>CD50/AVERAGE(CB78,CD78)</f>
        <v>0</v>
      </c>
      <c r="CE81" s="191">
        <f>CE50/AVERAGE(CD78,CE78)</f>
        <v>0</v>
      </c>
      <c r="CF81" s="191">
        <f>CF50/AVERAGE(CE78,CF78)</f>
        <v>0</v>
      </c>
      <c r="CG81" s="191">
        <f>CG50/AVERAGE(CF78,CG78)</f>
        <v>0.1308539220037854</v>
      </c>
      <c r="CH81" s="192">
        <f>CH50/AVERAGE(CH78,CC78)</f>
        <v>0.1350605968659937</v>
      </c>
      <c r="CI81" s="191">
        <f>CI50/AVERAGE(CG78,CI78)</f>
        <v>0</v>
      </c>
      <c r="CJ81" s="191">
        <f>CJ50/AVERAGE(CI78,CJ78)</f>
        <v>0.39400416386341269</v>
      </c>
      <c r="CK81" s="191">
        <f>CK50/AVERAGE(CJ78,CK78)</f>
        <v>0</v>
      </c>
      <c r="CL81" s="191">
        <f>CL50/AVERAGE(CK78,CL78)</f>
        <v>0.17133803367017156</v>
      </c>
      <c r="CM81" s="192">
        <f>CM50/AVERAGE(CM78,CH78)</f>
        <v>0.56541551111156618</v>
      </c>
      <c r="CN81" s="191">
        <f>CN50/AVERAGE(CL78,CN78)</f>
        <v>0</v>
      </c>
      <c r="CO81" s="191">
        <f>CO50/AVERAGE(CN78,CO78)</f>
        <v>0.51567712077578964</v>
      </c>
      <c r="CP81" s="191">
        <f>CP50/AVERAGE(CO78,CP78)</f>
        <v>0</v>
      </c>
      <c r="CQ81" s="191">
        <f>CQ50/AVERAGE(CP78,CQ78)</f>
        <v>0</v>
      </c>
      <c r="CR81" s="192">
        <f>CR50/AVERAGE(CR78,CM78)</f>
        <v>0.51577340283648132</v>
      </c>
      <c r="CS81" s="191">
        <f>CS50/AVERAGE(CQ78,CS78)</f>
        <v>0.20697913782757346</v>
      </c>
      <c r="CT81" s="191">
        <f>CT50/AVERAGE(CS78,CT78)</f>
        <v>6.312863703740991E-2</v>
      </c>
      <c r="CU81" s="476">
        <f>CU50/AVERAGE(CT78,CU78)</f>
        <v>0.51744784456893367</v>
      </c>
      <c r="CV81" s="191">
        <f>CV50/AVERAGE(CU78,CV78)</f>
        <v>0.34496522971262245</v>
      </c>
      <c r="CW81" s="192">
        <f>CW50/AVERAGE(CW78,CR78)</f>
        <v>1.1325208491465395</v>
      </c>
      <c r="CX81" s="191">
        <f>CX50/AVERAGE(CV78,CX78)</f>
        <v>0</v>
      </c>
      <c r="CY81" s="191">
        <f>CY50/AVERAGE(CX78,CY78)</f>
        <v>0.40878379720945757</v>
      </c>
      <c r="CZ81" s="476">
        <f>CZ50/AVERAGE(CY78,CZ78)</f>
        <v>0.91415785873844946</v>
      </c>
      <c r="DA81" s="191">
        <f>DA50/AVERAGE(CZ78,DA78)</f>
        <v>0.34496522971262245</v>
      </c>
      <c r="DB81" s="478">
        <f>DB50/AVERAGE(DB78,CW78)</f>
        <v>1.6679068856605295</v>
      </c>
      <c r="DC81" s="191">
        <f>DC50/AVERAGE(DA78,DC78)</f>
        <v>0.60368915199708928</v>
      </c>
      <c r="DD81" s="191">
        <f>DD50/AVERAGE(DC78,DD78)</f>
        <v>0.53058918338773797</v>
      </c>
      <c r="DE81" s="476">
        <f>DE50/AVERAGE(DD78,DE78)</f>
        <v>0</v>
      </c>
      <c r="DF81" s="191">
        <f>DF50/AVERAGE(DE78,DF78)</f>
        <v>3.4104394805996017</v>
      </c>
      <c r="DG81" s="478">
        <f>DG50/AVERAGE(DG78,DB78)</f>
        <v>4.5233835385951204</v>
      </c>
      <c r="DH81" s="191">
        <f>DH50/AVERAGE(DF78,DH78)</f>
        <v>0.45447522631843706</v>
      </c>
      <c r="DI81" s="191">
        <f>DI50/AVERAGE(DG78,DI78)</f>
        <v>0.51940025864964234</v>
      </c>
      <c r="DJ81" s="191">
        <f>DJ50/AVERAGE(DI78,DJ78)</f>
        <v>0.61678780714645032</v>
      </c>
      <c r="DK81" s="191">
        <f>DK50/AVERAGE(DJ78,DK78)</f>
        <v>0.70890580392823088</v>
      </c>
      <c r="DL81" s="192">
        <f>DL50/AVERAGE(DL78,DG78)</f>
        <v>2.2995690960427608</v>
      </c>
      <c r="DM81" s="191">
        <f ca="1">DM50/AVERAGE(DK78,DM78)</f>
        <v>0.80746328916859145</v>
      </c>
      <c r="DN81" s="191">
        <f ca="1">DN50/AVERAGE(DM78,DN78)</f>
        <v>0.80746328916859145</v>
      </c>
      <c r="DO81" s="191">
        <f ca="1">DO50/AVERAGE(DN78,DO78)</f>
        <v>0.80746328916859145</v>
      </c>
      <c r="DP81" s="191">
        <f ca="1">DP50/AVERAGE(DO78,DP78)</f>
        <v>0.80746328916859145</v>
      </c>
      <c r="DQ81" s="192">
        <f ca="1">DQ50/AVERAGE(DQ78,DL78)</f>
        <v>3.2298531566743658</v>
      </c>
      <c r="DR81" s="191">
        <f ca="1">DR50/AVERAGE(DP78,DR78)</f>
        <v>3.9816200831834787</v>
      </c>
      <c r="DS81" s="191">
        <f>DS50/AVERAGE(DR78,DS78)</f>
        <v>0</v>
      </c>
      <c r="DT81" s="191">
        <f>DT50/AVERAGE(DS78,DT78)</f>
        <v>0</v>
      </c>
      <c r="DU81" s="191">
        <f>DU50/AVERAGE(DT78,DU78)</f>
        <v>0</v>
      </c>
      <c r="DV81" s="192">
        <f ca="1">DV50/AVERAGE(DV78,DQ78)</f>
        <v>3.9816200831834787</v>
      </c>
      <c r="DW81" s="191">
        <f ca="1">DW50/AVERAGE(DU78,DW78)</f>
        <v>4.9801010935748726</v>
      </c>
      <c r="DX81" s="191">
        <f>DX50/AVERAGE(DW78,DX78)</f>
        <v>0</v>
      </c>
      <c r="DY81" s="191">
        <f>DY50/AVERAGE(DX78,DY78)</f>
        <v>0</v>
      </c>
      <c r="DZ81" s="191">
        <f>DZ50/AVERAGE(DY78,DZ78)</f>
        <v>0</v>
      </c>
      <c r="EA81" s="192">
        <f ca="1">EA50/AVERAGE(EA78,DV78)</f>
        <v>4.9801010935748726</v>
      </c>
      <c r="EB81" s="191">
        <f ca="1">EB50/AVERAGE(DZ78,EB78)</f>
        <v>5.2461078884749952</v>
      </c>
      <c r="EC81" s="191">
        <f>EC50/AVERAGE(EB78,EC78)</f>
        <v>0</v>
      </c>
      <c r="ED81" s="191">
        <f>ED50/AVERAGE(EC78,ED78)</f>
        <v>0</v>
      </c>
      <c r="EE81" s="191">
        <f>EE50/AVERAGE(ED78,EE78)</f>
        <v>0</v>
      </c>
      <c r="EF81" s="192">
        <f ca="1">EF50/AVERAGE(EF78,EA78)</f>
        <v>5.2461078884749952</v>
      </c>
    </row>
    <row r="82" spans="1:136" s="210" customFormat="1" ht="12.75" customHeight="1">
      <c r="A82" s="15"/>
      <c r="B82" s="227"/>
      <c r="C82" s="227"/>
      <c r="D82" s="227"/>
      <c r="E82" s="228"/>
      <c r="F82" s="229"/>
      <c r="G82" s="227"/>
      <c r="H82" s="227"/>
      <c r="I82" s="227"/>
      <c r="J82" s="228"/>
      <c r="K82" s="229"/>
      <c r="L82" s="227"/>
      <c r="M82" s="227"/>
      <c r="N82" s="227"/>
      <c r="O82" s="228"/>
      <c r="P82" s="229"/>
      <c r="Q82" s="227"/>
      <c r="R82" s="227"/>
      <c r="S82" s="227"/>
      <c r="T82" s="228"/>
      <c r="U82" s="229"/>
      <c r="V82" s="227"/>
      <c r="W82" s="227"/>
      <c r="X82" s="227"/>
      <c r="Y82" s="228"/>
      <c r="Z82" s="229"/>
      <c r="AA82" s="227"/>
      <c r="AB82" s="227"/>
      <c r="AC82" s="227"/>
      <c r="AD82" s="228"/>
      <c r="AE82" s="229"/>
      <c r="AF82" s="227"/>
      <c r="AG82" s="405"/>
      <c r="AH82" s="404"/>
      <c r="AI82" s="228"/>
      <c r="AJ82" s="230" t="e">
        <f>AJ80/AE80-1</f>
        <v>#DIV/0!</v>
      </c>
      <c r="AK82" s="227"/>
      <c r="AL82" s="405"/>
      <c r="AM82" s="404"/>
      <c r="AN82" s="228"/>
      <c r="AO82" s="230">
        <f>AO80/AJ80-1</f>
        <v>0.7275764045702755</v>
      </c>
      <c r="AP82" s="227"/>
      <c r="AQ82" s="405"/>
      <c r="AR82" s="404"/>
      <c r="AS82" s="228"/>
      <c r="AT82" s="230">
        <f>AT80/AO80-1</f>
        <v>-0.11023743653160933</v>
      </c>
      <c r="AU82" s="227"/>
      <c r="AV82" s="405"/>
      <c r="AW82" s="404"/>
      <c r="AX82" s="228"/>
      <c r="AY82" s="230">
        <f>AY80/AT80-1</f>
        <v>0.31217149665875898</v>
      </c>
      <c r="AZ82" s="227"/>
      <c r="BA82" s="405"/>
      <c r="BB82" s="404"/>
      <c r="BC82" s="228"/>
      <c r="BD82" s="229">
        <f>13.4/BD79</f>
        <v>27.261299016583539</v>
      </c>
      <c r="BE82" s="227"/>
      <c r="BF82" s="405"/>
      <c r="BG82" s="404"/>
      <c r="BH82" s="228"/>
      <c r="BI82" s="229">
        <f>13.4/BI79</f>
        <v>27.973043734936088</v>
      </c>
      <c r="BJ82" s="227"/>
      <c r="BK82" s="405"/>
      <c r="BL82" s="404"/>
      <c r="BM82" s="228"/>
      <c r="BN82" s="229">
        <f>13.4/BN79</f>
        <v>40.308287187039767</v>
      </c>
      <c r="BO82" s="227"/>
      <c r="BP82" s="405"/>
      <c r="BQ82" s="404"/>
      <c r="BR82" s="228"/>
      <c r="BS82" s="229">
        <f>13.4/BS79</f>
        <v>32.503410479110912</v>
      </c>
      <c r="BT82" s="227"/>
      <c r="BU82" s="405"/>
      <c r="BV82" s="404"/>
      <c r="BW82" s="228"/>
      <c r="BX82" s="306"/>
      <c r="BY82" s="227"/>
      <c r="BZ82" s="405"/>
      <c r="CA82" s="404"/>
      <c r="CB82" s="228"/>
      <c r="CC82" s="306"/>
      <c r="CD82" s="227"/>
      <c r="CE82" s="405"/>
      <c r="CF82" s="227"/>
      <c r="CG82" s="228"/>
      <c r="CH82" s="465"/>
      <c r="CI82" s="227"/>
      <c r="CJ82" s="405"/>
      <c r="CK82" s="227"/>
      <c r="CL82" s="227"/>
      <c r="CM82" s="465"/>
      <c r="CN82" s="466"/>
      <c r="CO82" s="466"/>
      <c r="CP82" s="227"/>
      <c r="CQ82" s="466">
        <f>'Balance Sheet'!CQ49*4</f>
        <v>-518204</v>
      </c>
      <c r="CR82" s="465">
        <f>17.8/CR79</f>
        <v>15.668488674538096</v>
      </c>
      <c r="CS82" s="466"/>
      <c r="CT82" s="466">
        <f>'Balance Sheet'!CT49*4</f>
        <v>-395108</v>
      </c>
      <c r="CU82" s="166"/>
      <c r="CV82" s="466">
        <f>'Balance Sheet'!CV49*4</f>
        <v>-736392</v>
      </c>
      <c r="CW82" s="465">
        <f>17.79/CW79</f>
        <v>10.704475176735546</v>
      </c>
      <c r="CX82" s="466"/>
      <c r="CY82" s="466">
        <f>'Balance Sheet'!CY49*4</f>
        <v>-744016</v>
      </c>
      <c r="CZ82" s="166"/>
      <c r="DA82" s="472"/>
      <c r="DB82" s="479">
        <f>DCF!$B$13/DB79</f>
        <v>15.260519067651726</v>
      </c>
      <c r="DC82" s="227"/>
      <c r="DD82" s="227"/>
      <c r="DE82" s="227"/>
      <c r="DF82" s="480"/>
      <c r="DG82" s="479">
        <f>DCF!$B$13/DG79</f>
        <v>10.359777395242205</v>
      </c>
      <c r="DH82" s="495"/>
      <c r="DI82" s="227"/>
      <c r="DJ82" s="227"/>
      <c r="DK82" s="490"/>
      <c r="DL82" s="479">
        <f ca="1">DCF!$B$13/DL79</f>
        <v>8.47345023827015</v>
      </c>
      <c r="DM82" s="227"/>
      <c r="DN82" s="227"/>
      <c r="DO82" s="227"/>
      <c r="DP82" s="228"/>
      <c r="DQ82" s="479">
        <f ca="1">DCF!$B$13/DQ79</f>
        <v>6.8735839754249213</v>
      </c>
      <c r="DR82" s="227"/>
      <c r="DS82" s="227"/>
      <c r="DT82" s="227"/>
      <c r="DU82" s="228"/>
      <c r="DV82" s="229"/>
      <c r="DW82" s="227"/>
      <c r="DX82" s="227"/>
      <c r="DY82" s="227"/>
      <c r="DZ82" s="228"/>
      <c r="EA82" s="229"/>
      <c r="EB82" s="227"/>
      <c r="EC82" s="227"/>
      <c r="ED82" s="227"/>
      <c r="EE82" s="228"/>
      <c r="EF82" s="229"/>
    </row>
    <row r="83" spans="1:136" s="8" customFormat="1" ht="12.75" customHeight="1">
      <c r="A83" s="231" t="s">
        <v>176</v>
      </c>
      <c r="B83" s="232" t="str">
        <f>Macro!B$9</f>
        <v>1Q04</v>
      </c>
      <c r="C83" s="232" t="str">
        <f>Macro!C$9</f>
        <v>2Q04</v>
      </c>
      <c r="D83" s="232" t="str">
        <f>Macro!D$9</f>
        <v>3Q04</v>
      </c>
      <c r="E83" s="233" t="str">
        <f>Macro!E$9</f>
        <v>4Q04</v>
      </c>
      <c r="F83" s="234" t="str">
        <f>Macro!F$9</f>
        <v>2004</v>
      </c>
      <c r="G83" s="232" t="str">
        <f>Macro!G$9</f>
        <v>1Q05</v>
      </c>
      <c r="H83" s="232" t="str">
        <f>Macro!H$9</f>
        <v>2Q05</v>
      </c>
      <c r="I83" s="232" t="str">
        <f>Macro!I$9</f>
        <v>3Q05</v>
      </c>
      <c r="J83" s="233" t="str">
        <f>Macro!J$9</f>
        <v>4Q05</v>
      </c>
      <c r="K83" s="234" t="str">
        <f>Macro!K$9</f>
        <v>2005</v>
      </c>
      <c r="L83" s="232" t="str">
        <f>Macro!L$9</f>
        <v>1Q06</v>
      </c>
      <c r="M83" s="232" t="str">
        <f>Macro!M$9</f>
        <v>2Q06</v>
      </c>
      <c r="N83" s="232" t="str">
        <f>Macro!N$9</f>
        <v>3Q06</v>
      </c>
      <c r="O83" s="233" t="str">
        <f>Macro!O$9</f>
        <v>4Q06</v>
      </c>
      <c r="P83" s="234" t="str">
        <f>Macro!P$9</f>
        <v>2006</v>
      </c>
      <c r="Q83" s="232" t="str">
        <f>Macro!Q$9</f>
        <v>1Q07</v>
      </c>
      <c r="R83" s="232" t="str">
        <f>Macro!R$9</f>
        <v>2Q07</v>
      </c>
      <c r="S83" s="232" t="str">
        <f>Macro!S$9</f>
        <v>3Q07</v>
      </c>
      <c r="T83" s="233" t="str">
        <f>Macro!T$9</f>
        <v>4Q07</v>
      </c>
      <c r="U83" s="234" t="str">
        <f>Macro!U$9</f>
        <v>2007</v>
      </c>
      <c r="V83" s="232" t="str">
        <f>Macro!V$9</f>
        <v>1Q08</v>
      </c>
      <c r="W83" s="232" t="str">
        <f>Macro!W$9</f>
        <v>2Q08</v>
      </c>
      <c r="X83" s="232" t="str">
        <f>Macro!X$9</f>
        <v>3Q08</v>
      </c>
      <c r="Y83" s="233" t="str">
        <f>Macro!Y$9</f>
        <v>4Q08</v>
      </c>
      <c r="Z83" s="234" t="str">
        <f>Macro!Z$9</f>
        <v>2008</v>
      </c>
      <c r="AA83" s="232" t="str">
        <f>Macro!AA$9</f>
        <v>1Q09</v>
      </c>
      <c r="AB83" s="232" t="str">
        <f>Macro!AB$9</f>
        <v>2Q09</v>
      </c>
      <c r="AC83" s="232" t="str">
        <f>Macro!AC$9</f>
        <v>3Q09</v>
      </c>
      <c r="AD83" s="233" t="str">
        <f>Macro!AD$9</f>
        <v>4Q09</v>
      </c>
      <c r="AE83" s="234" t="str">
        <f>Macro!AE$9</f>
        <v>2009</v>
      </c>
      <c r="AF83" s="232" t="str">
        <f>Macro!AF$9</f>
        <v>1Q10</v>
      </c>
      <c r="AG83" s="232" t="str">
        <f>Macro!AG$9</f>
        <v>2Q10</v>
      </c>
      <c r="AH83" s="232" t="str">
        <f>Macro!AH$9</f>
        <v>3Q10</v>
      </c>
      <c r="AI83" s="233" t="str">
        <f>Macro!AI$9</f>
        <v>4Q10</v>
      </c>
      <c r="AJ83" s="234" t="str">
        <f>Macro!AJ$9</f>
        <v>2010</v>
      </c>
      <c r="AK83" s="232" t="str">
        <f>Macro!AK$9</f>
        <v>1Q11</v>
      </c>
      <c r="AL83" s="232" t="str">
        <f>Macro!AL$9</f>
        <v>2Q11</v>
      </c>
      <c r="AM83" s="232" t="str">
        <f>Macro!AM$9</f>
        <v>3Q11</v>
      </c>
      <c r="AN83" s="233" t="str">
        <f>Macro!AN$9</f>
        <v>4Q11</v>
      </c>
      <c r="AO83" s="234" t="str">
        <f>Macro!AO$9</f>
        <v>2011</v>
      </c>
      <c r="AP83" s="232" t="str">
        <f>Macro!AP$9</f>
        <v>1Q12</v>
      </c>
      <c r="AQ83" s="232" t="str">
        <f>Macro!AQ$9</f>
        <v>2Q12</v>
      </c>
      <c r="AR83" s="232" t="str">
        <f>Macro!AR$9</f>
        <v>3Q12</v>
      </c>
      <c r="AS83" s="233" t="str">
        <f>Macro!AS$9</f>
        <v>4Q12</v>
      </c>
      <c r="AT83" s="234" t="str">
        <f>Macro!AT$9</f>
        <v>2012</v>
      </c>
      <c r="AU83" s="232" t="str">
        <f>Macro!AU$9</f>
        <v>1Q13</v>
      </c>
      <c r="AV83" s="232" t="str">
        <f>Macro!AV$9</f>
        <v>2Q13</v>
      </c>
      <c r="AW83" s="232" t="str">
        <f>Macro!AW$9</f>
        <v>3Q13</v>
      </c>
      <c r="AX83" s="233" t="str">
        <f>Macro!AX$9</f>
        <v>4Q13</v>
      </c>
      <c r="AY83" s="234" t="str">
        <f>Macro!AY$9</f>
        <v>2013</v>
      </c>
      <c r="AZ83" s="232" t="str">
        <f>Macro!AZ$9</f>
        <v>1Q14</v>
      </c>
      <c r="BA83" s="232" t="str">
        <f>Macro!BA$9</f>
        <v>2Q14</v>
      </c>
      <c r="BB83" s="232" t="str">
        <f>Macro!BB$9</f>
        <v>3Q14</v>
      </c>
      <c r="BC83" s="233" t="str">
        <f>Macro!BC$9</f>
        <v>4Q14</v>
      </c>
      <c r="BD83" s="234" t="str">
        <f>Macro!BD$9</f>
        <v>2014</v>
      </c>
      <c r="BE83" s="232" t="str">
        <f>Macro!BE$9</f>
        <v>1Q15</v>
      </c>
      <c r="BF83" s="232" t="str">
        <f>Macro!BF$9</f>
        <v>2Q15</v>
      </c>
      <c r="BG83" s="232" t="str">
        <f>Macro!BG$9</f>
        <v>3Q15</v>
      </c>
      <c r="BH83" s="233" t="str">
        <f>Macro!BH$9</f>
        <v>4Q15</v>
      </c>
      <c r="BI83" s="234" t="str">
        <f>Macro!BI$9</f>
        <v>2015</v>
      </c>
      <c r="BJ83" s="232" t="str">
        <f>Macro!BJ$9</f>
        <v>1Q16</v>
      </c>
      <c r="BK83" s="232" t="str">
        <f>Macro!BK$9</f>
        <v>2Q16</v>
      </c>
      <c r="BL83" s="232" t="str">
        <f>Macro!BL$9</f>
        <v>3Q16</v>
      </c>
      <c r="BM83" s="233" t="str">
        <f>Macro!BM$9</f>
        <v>4Q16</v>
      </c>
      <c r="BN83" s="234" t="str">
        <f>Macro!BN$9</f>
        <v>2016</v>
      </c>
      <c r="BO83" s="232" t="str">
        <f>Macro!BO$9</f>
        <v>1Q17</v>
      </c>
      <c r="BP83" s="232" t="str">
        <f>Macro!BP$9</f>
        <v>2Q17</v>
      </c>
      <c r="BQ83" s="232" t="str">
        <f>Macro!BQ$9</f>
        <v>3Q17</v>
      </c>
      <c r="BR83" s="233" t="str">
        <f>Macro!BR$9</f>
        <v>4Q17</v>
      </c>
      <c r="BS83" s="234" t="str">
        <f>Macro!BS$9</f>
        <v>2017</v>
      </c>
      <c r="BT83" s="232" t="str">
        <f>Macro!BT$9</f>
        <v>1Q18</v>
      </c>
      <c r="BU83" s="232" t="str">
        <f>Macro!BU$9</f>
        <v>2Q18</v>
      </c>
      <c r="BV83" s="232" t="str">
        <f>Macro!BV$9</f>
        <v>3Q18</v>
      </c>
      <c r="BW83" s="233" t="str">
        <f>Macro!BW$9</f>
        <v>4Q18</v>
      </c>
      <c r="BX83" s="234" t="str">
        <f>Macro!BX$9</f>
        <v>2018</v>
      </c>
      <c r="BY83" s="232" t="str">
        <f>Macro!BY$9</f>
        <v>1Q19</v>
      </c>
      <c r="BZ83" s="232" t="str">
        <f>Macro!BZ$9</f>
        <v>2Q19</v>
      </c>
      <c r="CA83" s="232" t="str">
        <f>Macro!CA$9</f>
        <v>3Q19</v>
      </c>
      <c r="CB83" s="233" t="str">
        <f>Macro!CB$9</f>
        <v>4Q19</v>
      </c>
      <c r="CC83" s="234" t="str">
        <f>Macro!CC$9</f>
        <v>2019</v>
      </c>
      <c r="CD83" s="232" t="str">
        <f>Macro!CD$9</f>
        <v>1Q20</v>
      </c>
      <c r="CE83" s="232" t="str">
        <f>Macro!CE$9</f>
        <v>2Q20</v>
      </c>
      <c r="CF83" s="232" t="str">
        <f>Macro!CF$9</f>
        <v>3Q20</v>
      </c>
      <c r="CG83" s="233" t="str">
        <f>Macro!CG$9</f>
        <v>4Q20</v>
      </c>
      <c r="CH83" s="234" t="str">
        <f>Macro!CH$9</f>
        <v>2020</v>
      </c>
      <c r="CI83" s="232" t="str">
        <f>Macro!CI$9</f>
        <v>1Q21</v>
      </c>
      <c r="CJ83" s="232" t="str">
        <f>Macro!CJ$9</f>
        <v>2Q21</v>
      </c>
      <c r="CK83" s="232" t="str">
        <f>Macro!CK$9</f>
        <v>3Q21</v>
      </c>
      <c r="CL83" s="233" t="str">
        <f>Macro!CL$9</f>
        <v>4Q21</v>
      </c>
      <c r="CM83" s="234" t="str">
        <f>Macro!CM$9</f>
        <v>2021</v>
      </c>
      <c r="CN83" s="232" t="str">
        <f>Macro!CN$9</f>
        <v>1Q22</v>
      </c>
      <c r="CO83" s="232" t="str">
        <f>Macro!CO$9</f>
        <v>2Q22</v>
      </c>
      <c r="CP83" s="232" t="str">
        <f>Macro!CP$9</f>
        <v>3Q22</v>
      </c>
      <c r="CQ83" s="233" t="str">
        <f>Macro!CQ$9</f>
        <v>4Q22</v>
      </c>
      <c r="CR83" s="234" t="str">
        <f>Macro!CR$9</f>
        <v>2022</v>
      </c>
      <c r="CS83" s="232" t="str">
        <f>Macro!CS$9</f>
        <v>1Q23</v>
      </c>
      <c r="CT83" s="232" t="str">
        <f>Macro!CT$9</f>
        <v>2Q23</v>
      </c>
      <c r="CU83" s="232" t="str">
        <f>Macro!CU$9</f>
        <v>3Q23</v>
      </c>
      <c r="CV83" s="233" t="str">
        <f>Macro!CV$9</f>
        <v>4Q23</v>
      </c>
      <c r="CW83" s="234" t="str">
        <f>Macro!CW$9</f>
        <v>2023</v>
      </c>
      <c r="CX83" s="232" t="str">
        <f>Macro!CX$9</f>
        <v>1Q24</v>
      </c>
      <c r="CY83" s="232" t="str">
        <f>Macro!CY$9</f>
        <v>2Q24</v>
      </c>
      <c r="CZ83" s="232" t="str">
        <f>Macro!CZ$9</f>
        <v>3Q24</v>
      </c>
      <c r="DA83" s="233" t="str">
        <f>Macro!DA$9</f>
        <v>4Q24</v>
      </c>
      <c r="DB83" s="234" t="str">
        <f>Macro!DB$9</f>
        <v>2024</v>
      </c>
      <c r="DC83" s="232" t="str">
        <f>Macro!DC$9</f>
        <v>1Q25</v>
      </c>
      <c r="DD83" s="232" t="str">
        <f>Macro!DD$9</f>
        <v>2Q25</v>
      </c>
      <c r="DE83" s="232" t="str">
        <f>Macro!DE$9</f>
        <v>3Q25</v>
      </c>
      <c r="DF83" s="233" t="str">
        <f>Macro!DF$9</f>
        <v>4Q25</v>
      </c>
      <c r="DG83" s="234" t="str">
        <f>Macro!DG$9</f>
        <v>2025</v>
      </c>
      <c r="DH83" s="232" t="str">
        <f>Macro!DH$9</f>
        <v>1Q26</v>
      </c>
      <c r="DI83" s="232" t="str">
        <f>Macro!DI$9</f>
        <v>2Q26</v>
      </c>
      <c r="DJ83" s="232" t="str">
        <f>Macro!DJ$9</f>
        <v>3Q26E</v>
      </c>
      <c r="DK83" s="233" t="str">
        <f>Macro!DK$9</f>
        <v>4Q26E</v>
      </c>
      <c r="DL83" s="234" t="str">
        <f>Macro!DL$9</f>
        <v>2026E</v>
      </c>
      <c r="DM83" s="232" t="str">
        <f>Macro!DM$9</f>
        <v>1Q27E</v>
      </c>
      <c r="DN83" s="232" t="str">
        <f>Macro!DN$9</f>
        <v>2Q27E</v>
      </c>
      <c r="DO83" s="232" t="str">
        <f>Macro!DO$9</f>
        <v>3Q27E</v>
      </c>
      <c r="DP83" s="233" t="str">
        <f>Macro!DP$9</f>
        <v>4Q27E</v>
      </c>
      <c r="DQ83" s="234" t="str">
        <f>Macro!DQ$9</f>
        <v>2027E</v>
      </c>
      <c r="DR83" s="232" t="str">
        <f>Macro!DR$9</f>
        <v>1Q28E</v>
      </c>
      <c r="DS83" s="232" t="str">
        <f>Macro!DS$9</f>
        <v>2Q28E</v>
      </c>
      <c r="DT83" s="232" t="str">
        <f>Macro!DT$9</f>
        <v>3Q28E</v>
      </c>
      <c r="DU83" s="233" t="str">
        <f>Macro!DU$9</f>
        <v>4Q28E</v>
      </c>
      <c r="DV83" s="234" t="str">
        <f>Macro!DV$9</f>
        <v>2028E</v>
      </c>
      <c r="DW83" s="232" t="str">
        <f>Macro!DW$9</f>
        <v>1Q29E</v>
      </c>
      <c r="DX83" s="232" t="str">
        <f>Macro!DX$9</f>
        <v>2Q29E</v>
      </c>
      <c r="DY83" s="232" t="str">
        <f>Macro!DY$9</f>
        <v>3Q29E</v>
      </c>
      <c r="DZ83" s="233" t="str">
        <f>Macro!DZ$9</f>
        <v>4Q29E</v>
      </c>
      <c r="EA83" s="234" t="str">
        <f>Macro!EA$9</f>
        <v>2029E</v>
      </c>
      <c r="EB83" s="232" t="str">
        <f>Macro!EB$9</f>
        <v>1Q30E</v>
      </c>
      <c r="EC83" s="232" t="str">
        <f>Macro!EC$9</f>
        <v>2Q30E</v>
      </c>
      <c r="ED83" s="232" t="str">
        <f>Macro!ED$9</f>
        <v>3Q30E</v>
      </c>
      <c r="EE83" s="233" t="str">
        <f>Macro!EE$9</f>
        <v>4Q30E</v>
      </c>
      <c r="EF83" s="234" t="str">
        <f>Macro!EF$9</f>
        <v>2030E</v>
      </c>
    </row>
    <row r="84" spans="1:136" ht="12.75" customHeight="1">
      <c r="A84" s="15" t="s">
        <v>135</v>
      </c>
      <c r="B84" s="164"/>
      <c r="C84" s="164"/>
      <c r="D84" s="164"/>
      <c r="E84" s="164"/>
      <c r="F84" s="167"/>
      <c r="G84" s="164"/>
      <c r="H84" s="164"/>
      <c r="I84" s="164"/>
      <c r="J84" s="164"/>
      <c r="K84" s="167"/>
      <c r="L84" s="164"/>
      <c r="M84" s="164"/>
      <c r="N84" s="164"/>
      <c r="O84" s="164"/>
      <c r="P84" s="167"/>
      <c r="Q84" s="164"/>
      <c r="R84" s="164"/>
      <c r="S84" s="164"/>
      <c r="T84" s="164"/>
      <c r="U84" s="167"/>
      <c r="V84" s="164"/>
      <c r="W84" s="164"/>
      <c r="X84" s="164"/>
      <c r="Y84" s="164"/>
      <c r="Z84" s="167"/>
      <c r="AA84" s="164"/>
      <c r="AB84" s="164"/>
      <c r="AC84" s="164"/>
      <c r="AD84" s="164"/>
      <c r="AE84" s="167"/>
      <c r="AF84" s="416"/>
      <c r="AG84" s="416"/>
      <c r="AH84" s="416"/>
      <c r="AI84" s="416">
        <f>-SUM(AF84:AH84)</f>
        <v>0</v>
      </c>
      <c r="AJ84" s="167">
        <f>SUM(AF84:AI84)</f>
        <v>0</v>
      </c>
      <c r="AK84" s="416"/>
      <c r="AL84" s="416"/>
      <c r="AM84" s="416"/>
      <c r="AN84" s="416">
        <f>-SUM(AK84:AM84)</f>
        <v>0</v>
      </c>
      <c r="AO84" s="167">
        <f>SUM(AK84:AN84)</f>
        <v>0</v>
      </c>
      <c r="AP84" s="416"/>
      <c r="AQ84" s="416"/>
      <c r="AR84" s="416"/>
      <c r="AS84" s="416">
        <f>-SUM(AP84:AR84)</f>
        <v>0</v>
      </c>
      <c r="AT84" s="167">
        <f>SUM(AP84:AS84)</f>
        <v>0</v>
      </c>
      <c r="AU84" s="416"/>
      <c r="AV84" s="416"/>
      <c r="AW84" s="416"/>
      <c r="AX84" s="416">
        <f>-SUM(AU84:AW84)</f>
        <v>0</v>
      </c>
      <c r="AY84" s="167">
        <f>SUM(AU84:AX84)</f>
        <v>0</v>
      </c>
      <c r="AZ84" s="416"/>
      <c r="BA84" s="416"/>
      <c r="BB84" s="416"/>
      <c r="BC84" s="416">
        <f>-SUM(AZ84:BB84)</f>
        <v>0</v>
      </c>
      <c r="BD84" s="167">
        <f>SUM(AZ84:BC84)</f>
        <v>0</v>
      </c>
      <c r="BE84" s="416"/>
      <c r="BF84" s="416"/>
      <c r="BG84" s="416"/>
      <c r="BH84" s="416">
        <f>-SUM(BE84:BG84)</f>
        <v>0</v>
      </c>
      <c r="BI84" s="167">
        <f>SUM(BE84:BH84)</f>
        <v>0</v>
      </c>
      <c r="BJ84" s="416"/>
      <c r="BK84" s="416"/>
      <c r="BL84" s="416"/>
      <c r="BM84" s="416">
        <f>-SUM(BJ84:BL84)</f>
        <v>0</v>
      </c>
      <c r="BN84" s="167">
        <f>SUM(BJ84:BM84)</f>
        <v>0</v>
      </c>
      <c r="BO84" s="416"/>
      <c r="BP84" s="416"/>
      <c r="BQ84" s="416"/>
      <c r="BR84" s="416">
        <f>-SUM(BO84:BQ84)</f>
        <v>0</v>
      </c>
      <c r="BS84" s="167">
        <f>SUM(BO84:BR84)</f>
        <v>0</v>
      </c>
      <c r="BT84" s="416"/>
      <c r="BU84" s="416"/>
      <c r="BV84" s="416"/>
      <c r="BW84" s="416">
        <f>-SUM(BT84:BV84)</f>
        <v>0</v>
      </c>
      <c r="BX84" s="167">
        <f>SUM(BT84:BW84)</f>
        <v>0</v>
      </c>
      <c r="BY84" s="162">
        <f ca="1">BY88*-BY85</f>
        <v>0</v>
      </c>
      <c r="BZ84" s="162">
        <f ca="1">BZ88*-BZ85</f>
        <v>0</v>
      </c>
      <c r="CA84" s="162" t="e">
        <f ca="1">CA88*-CA85</f>
        <v>#DIV/0!</v>
      </c>
      <c r="CB84" s="162" t="e">
        <f ca="1">CB88*-CB85</f>
        <v>#DIV/0!</v>
      </c>
      <c r="CC84" s="167" t="e">
        <f ca="1">SUM(BY84:CB84)</f>
        <v>#DIV/0!</v>
      </c>
      <c r="CD84" s="162">
        <f>CD88*-CD85</f>
        <v>3103.2023868777796</v>
      </c>
      <c r="CE84" s="162">
        <f>CE88*-CE85</f>
        <v>3275.5219211298049</v>
      </c>
      <c r="CF84" s="162">
        <f>CF88*-CF85</f>
        <v>3222.5753805910363</v>
      </c>
      <c r="CG84" s="162">
        <f>CG88*-CG85</f>
        <v>2471.6006017124623</v>
      </c>
      <c r="CH84" s="167">
        <f>SUM(CD84:CG84)</f>
        <v>12072.900290311083</v>
      </c>
      <c r="CI84" s="162">
        <f>CI88*-CI85</f>
        <v>1415.8772005715318</v>
      </c>
      <c r="CJ84" s="162">
        <f>CJ88*-CJ85</f>
        <v>2172.9674030413676</v>
      </c>
      <c r="CK84" s="162">
        <f>CK88*-CK85</f>
        <v>3530.4395768862387</v>
      </c>
      <c r="CL84" s="162">
        <f>CL88*-CL85</f>
        <v>5244.835985020839</v>
      </c>
      <c r="CM84" s="167">
        <f>SUM(CI84:CL84)</f>
        <v>12364.120165519977</v>
      </c>
      <c r="CN84" s="162">
        <f>CN88*-CN85</f>
        <v>3536.2146883895766</v>
      </c>
      <c r="CO84" s="162">
        <f>CO88*-CO85</f>
        <v>4110.6347096670315</v>
      </c>
      <c r="CP84" s="162">
        <f>CP88*-CP85</f>
        <v>4778.3698994337155</v>
      </c>
      <c r="CQ84" s="162">
        <f>CQ88*-CQ85</f>
        <v>5326.1635018633388</v>
      </c>
      <c r="CR84" s="167">
        <f>SUM(CN84:CQ84)</f>
        <v>17751.382799353662</v>
      </c>
      <c r="CS84" s="162">
        <f>CS88*-CS85</f>
        <v>5340.1096041235569</v>
      </c>
      <c r="CT84" s="162">
        <f>CT88*-CT85</f>
        <v>5257.4750164742181</v>
      </c>
      <c r="CU84" s="162">
        <f>CU88*-CU85</f>
        <v>5960.7674644091057</v>
      </c>
      <c r="CV84" s="162">
        <f>CV88*-CV85</f>
        <v>6308.7784236299331</v>
      </c>
      <c r="CW84" s="167">
        <f>SUM(CS84:CV84)</f>
        <v>22867.130508636816</v>
      </c>
      <c r="CX84" s="162">
        <f>CX88*-CX85</f>
        <v>5822.6901005316722</v>
      </c>
      <c r="CY84" s="162">
        <f>CY88*-CY85</f>
        <v>7649.4207787868991</v>
      </c>
      <c r="CZ84" s="162">
        <f>CZ88*-CZ85</f>
        <v>9763.9825571374004</v>
      </c>
      <c r="DA84" s="162">
        <f>DA88*-DA85</f>
        <v>10059.790655325429</v>
      </c>
      <c r="DB84" s="167">
        <f>SUM(CX84:DA84)</f>
        <v>33295.884091781401</v>
      </c>
      <c r="DC84" s="162">
        <f>DC88*-DC85</f>
        <v>12464.87547176406</v>
      </c>
      <c r="DD84" s="162">
        <f>DD88*-DD85</f>
        <v>15557.488802179174</v>
      </c>
      <c r="DE84" s="162">
        <f>DE88*-DE85</f>
        <v>16170.357539951363</v>
      </c>
      <c r="DF84" s="162">
        <f>DF88*-DF85</f>
        <v>17228.072509623151</v>
      </c>
      <c r="DG84" s="167">
        <f>SUM(DC84:DF84)</f>
        <v>61420.794323517752</v>
      </c>
      <c r="DH84" s="162">
        <f>DH88*-DH85</f>
        <v>17130.937031349935</v>
      </c>
      <c r="DI84" s="162">
        <f>DI88*-DI85</f>
        <v>15822.890925715303</v>
      </c>
      <c r="DJ84" s="162">
        <f>DJ88*-DJ85</f>
        <v>15569.751248468629</v>
      </c>
      <c r="DK84" s="162">
        <f>DK88*-DK85</f>
        <v>15516.544639223448</v>
      </c>
      <c r="DL84" s="167">
        <f>SUM(DH84:DK84)</f>
        <v>64040.123844757312</v>
      </c>
      <c r="DM84" s="162">
        <f>DM88*-DM85</f>
        <v>15382.783813903321</v>
      </c>
      <c r="DN84" s="162">
        <f>DN88*-DN85</f>
        <v>15580.842043710783</v>
      </c>
      <c r="DO84" s="162">
        <f>DO88*-DO85</f>
        <v>16021.021419875629</v>
      </c>
      <c r="DP84" s="162">
        <f>DP88*-DP85</f>
        <v>16409.569581950411</v>
      </c>
      <c r="DQ84" s="167">
        <f>SUM(DM84:DP84)</f>
        <v>63394.216859440145</v>
      </c>
      <c r="DR84" s="162">
        <f>DR88*-DR85</f>
        <v>12369.897282482627</v>
      </c>
      <c r="DS84" s="162">
        <f>DS88*-DS85</f>
        <v>12621.40271849125</v>
      </c>
      <c r="DT84" s="162">
        <f>DT88*-DT85</f>
        <v>12861.864213961431</v>
      </c>
      <c r="DU84" s="162">
        <f>DU88*-DU85</f>
        <v>13093.680194672219</v>
      </c>
      <c r="DV84" s="167">
        <f>SUM(DR84:DU84)</f>
        <v>50946.844409607525</v>
      </c>
      <c r="DW84" s="162">
        <f>DW88*-DW85</f>
        <v>13318.508454441551</v>
      </c>
      <c r="DX84" s="162">
        <f>DX88*-DX85</f>
        <v>13537.564802068426</v>
      </c>
      <c r="DY84" s="162">
        <f>DY88*-DY85</f>
        <v>13751.791902236926</v>
      </c>
      <c r="DZ84" s="162">
        <f>DZ88*-DZ85</f>
        <v>13961.955644374795</v>
      </c>
      <c r="EA84" s="167">
        <f>SUM(DW84:DZ84)</f>
        <v>54569.820803121693</v>
      </c>
      <c r="EB84" s="162">
        <f>EB88*-EB85</f>
        <v>14168.701063440909</v>
      </c>
      <c r="EC84" s="162">
        <f>EC88*-EC85</f>
        <v>14372.585589390226</v>
      </c>
      <c r="ED84" s="162">
        <f>ED88*-ED85</f>
        <v>14574.099506478775</v>
      </c>
      <c r="EE84" s="162">
        <f>EE88*-EE85</f>
        <v>14773.679122905774</v>
      </c>
      <c r="EF84" s="167">
        <f>SUM(EB84:EE84)</f>
        <v>57889.065282215684</v>
      </c>
    </row>
    <row r="85" spans="1:136" ht="12.75" customHeight="1">
      <c r="A85" s="1" t="s">
        <v>154</v>
      </c>
      <c r="B85" s="52"/>
      <c r="C85" s="52"/>
      <c r="D85" s="52"/>
      <c r="E85" s="52"/>
      <c r="F85" s="67"/>
      <c r="G85" s="52"/>
      <c r="H85" s="52"/>
      <c r="I85" s="52"/>
      <c r="J85" s="52"/>
      <c r="K85" s="67"/>
      <c r="L85" s="52"/>
      <c r="M85" s="52"/>
      <c r="N85" s="52"/>
      <c r="O85" s="52"/>
      <c r="P85" s="67"/>
      <c r="Q85" s="52"/>
      <c r="R85" s="52"/>
      <c r="S85" s="52"/>
      <c r="T85" s="52"/>
      <c r="U85" s="67"/>
      <c r="V85" s="52"/>
      <c r="W85" s="52"/>
      <c r="X85" s="52"/>
      <c r="Y85" s="52"/>
      <c r="Z85" s="67"/>
      <c r="AA85" s="52"/>
      <c r="AB85" s="52"/>
      <c r="AC85" s="52"/>
      <c r="AD85" s="52"/>
      <c r="AE85" s="67"/>
      <c r="AF85" s="52">
        <f>AF26-AF84</f>
        <v>0</v>
      </c>
      <c r="AG85" s="52">
        <f>AG26-AG84</f>
        <v>0</v>
      </c>
      <c r="AH85" s="52">
        <f>AH26-AH84</f>
        <v>0</v>
      </c>
      <c r="AI85" s="52">
        <f>AI26-AI84</f>
        <v>-3076.7820000000002</v>
      </c>
      <c r="AJ85" s="67">
        <f>SUM(AF85:AI85)</f>
        <v>-3076.7820000000002</v>
      </c>
      <c r="AK85" s="52">
        <f>AK26-AK84</f>
        <v>0</v>
      </c>
      <c r="AL85" s="52">
        <f>AL26-AL84</f>
        <v>0</v>
      </c>
      <c r="AM85" s="52">
        <f>AM26-AM84</f>
        <v>0</v>
      </c>
      <c r="AN85" s="52">
        <f>AN26-AN84</f>
        <v>-4759.5439999999999</v>
      </c>
      <c r="AO85" s="67">
        <f>SUM(AK85:AN85)</f>
        <v>-4759.5439999999999</v>
      </c>
      <c r="AP85" s="52">
        <f>AP26-AP84</f>
        <v>0</v>
      </c>
      <c r="AQ85" s="52">
        <f>AQ26-AQ84</f>
        <v>0</v>
      </c>
      <c r="AR85" s="52">
        <f>AR26-AR84</f>
        <v>0</v>
      </c>
      <c r="AS85" s="52">
        <f>AS26-AS84</f>
        <v>-5802.3230000000003</v>
      </c>
      <c r="AT85" s="67">
        <f>SUM(AP85:AS85)</f>
        <v>-5802.3230000000003</v>
      </c>
      <c r="AU85" s="52">
        <f>AU26-AU84</f>
        <v>0</v>
      </c>
      <c r="AV85" s="52">
        <f>AV26-AV84</f>
        <v>0</v>
      </c>
      <c r="AW85" s="52">
        <f>AW26-AW84</f>
        <v>0</v>
      </c>
      <c r="AX85" s="52">
        <f>AX26-AX84</f>
        <v>-8757.2039999999997</v>
      </c>
      <c r="AY85" s="67">
        <f>SUM(AU85:AX85)</f>
        <v>-8757.2039999999997</v>
      </c>
      <c r="AZ85" s="52">
        <f>AZ26-AZ84</f>
        <v>0</v>
      </c>
      <c r="BA85" s="52">
        <f>BA26-BA84</f>
        <v>0</v>
      </c>
      <c r="BB85" s="52">
        <f>BB26-BB84</f>
        <v>0</v>
      </c>
      <c r="BC85" s="52">
        <f>BC26-BC84</f>
        <v>-1627</v>
      </c>
      <c r="BD85" s="67">
        <f>SUM(AZ85:BC85)</f>
        <v>-1627</v>
      </c>
      <c r="BE85" s="52">
        <f>BE26-BE84</f>
        <v>0</v>
      </c>
      <c r="BF85" s="52">
        <f>BF26-BF84</f>
        <v>0</v>
      </c>
      <c r="BG85" s="52">
        <f>BG26-BG84</f>
        <v>0</v>
      </c>
      <c r="BH85" s="52">
        <f>BH26-BH84</f>
        <v>-5171</v>
      </c>
      <c r="BI85" s="67">
        <f>SUM(BE85:BH85)</f>
        <v>-5171</v>
      </c>
      <c r="BJ85" s="52">
        <f>BJ26-BJ84</f>
        <v>0</v>
      </c>
      <c r="BK85" s="52">
        <f>BK26-BK84</f>
        <v>0</v>
      </c>
      <c r="BL85" s="52">
        <f>BL26-BL84</f>
        <v>0</v>
      </c>
      <c r="BM85" s="52">
        <f>BM26-BM84</f>
        <v>-4262</v>
      </c>
      <c r="BN85" s="67">
        <f>SUM(BJ85:BM85)</f>
        <v>-4262</v>
      </c>
      <c r="BO85" s="52">
        <f>BO26-BO84</f>
        <v>0</v>
      </c>
      <c r="BP85" s="52">
        <f>BP26-BP84</f>
        <v>0</v>
      </c>
      <c r="BQ85" s="52">
        <f>BQ26-BQ84</f>
        <v>0</v>
      </c>
      <c r="BR85" s="52">
        <f>BR26-BR84</f>
        <v>-5280</v>
      </c>
      <c r="BS85" s="67">
        <f>SUM(BO85:BR85)</f>
        <v>-5280</v>
      </c>
      <c r="BT85" s="52">
        <f>BT26-BT84</f>
        <v>0</v>
      </c>
      <c r="BU85" s="52">
        <f>BU26-BU84</f>
        <v>0</v>
      </c>
      <c r="BV85" s="52">
        <f>BV26-BV84</f>
        <v>0</v>
      </c>
      <c r="BW85" s="52">
        <f>BW26-BW84</f>
        <v>-8669</v>
      </c>
      <c r="BX85" s="67">
        <f>SUM(BT85:BW85)</f>
        <v>-8669</v>
      </c>
      <c r="BY85" s="52">
        <f ca="1">BY26-BY84</f>
        <v>-3465</v>
      </c>
      <c r="BZ85" s="52">
        <f ca="1">BZ26-BZ84</f>
        <v>-5215</v>
      </c>
      <c r="CA85" s="52" t="e">
        <f ca="1">CA26-CA84</f>
        <v>#DIV/0!</v>
      </c>
      <c r="CB85" s="52" t="e">
        <f ca="1">-((1+CB86)^(1/4)-1)*AVERAGE('Balance Sheet'!CA50:CB50)</f>
        <v>#DIV/0!</v>
      </c>
      <c r="CC85" s="67" t="e">
        <f ca="1">SUM(BY85:CB85)</f>
        <v>#DIV/0!</v>
      </c>
      <c r="CD85" s="52">
        <f>-((1+CD86)^(1/4)-1)*AVERAGE('Balance Sheet'!CC50:CD50)</f>
        <v>-5172.0039781296327</v>
      </c>
      <c r="CE85" s="52">
        <f>-((1+CE86)^(1/4)-1)*AVERAGE('Balance Sheet'!CD50:CE50)</f>
        <v>-5459.2032018830087</v>
      </c>
      <c r="CF85" s="52">
        <f>-((1+CF86)^(1/4)-1)*AVERAGE('Balance Sheet'!CE50:CF50)</f>
        <v>-5370.9589676517271</v>
      </c>
      <c r="CG85" s="52">
        <f>-((1+CG86)^(1/4)-1)*AVERAGE('Balance Sheet'!CF50:CG50)</f>
        <v>-4119.3343361874377</v>
      </c>
      <c r="CH85" s="67">
        <f>SUM(CD85:CG85)</f>
        <v>-20121.500483851807</v>
      </c>
      <c r="CI85" s="52">
        <f>-((1+CI86)^(1/4)-1)*AVERAGE('Balance Sheet'!CH50:CI50)</f>
        <v>-3539.6930014288296</v>
      </c>
      <c r="CJ85" s="52">
        <f>-((1+CJ86)^(1/4)-1)*AVERAGE('Balance Sheet'!CI50:CJ50)</f>
        <v>-5432.4185076034191</v>
      </c>
      <c r="CK85" s="52">
        <f>-((1+CK86)^(1/4)-1)*AVERAGE('Balance Sheet'!CJ50:CK50)</f>
        <v>-8826.0989422155963</v>
      </c>
      <c r="CL85" s="52">
        <f>-((1+CL86)^(1/4)-1)*AVERAGE('Balance Sheet'!CK50:CL50)</f>
        <v>-13112.089962552096</v>
      </c>
      <c r="CM85" s="67">
        <f>SUM(CI85:CL85)</f>
        <v>-30910.300413799945</v>
      </c>
      <c r="CN85" s="52">
        <f>-((1+CN86)^(1/4)-1)*AVERAGE('Balance Sheet'!CM50:CN50)</f>
        <v>-17681.073441947883</v>
      </c>
      <c r="CO85" s="52">
        <f>-((1+CO86)^(1/4)-1)*AVERAGE('Balance Sheet'!CN50:CO50)</f>
        <v>-20553.173548335155</v>
      </c>
      <c r="CP85" s="52">
        <f>-((1+CP86)^(1/4)-1)*AVERAGE('Balance Sheet'!CO50:CP50)</f>
        <v>-23891.849497168576</v>
      </c>
      <c r="CQ85" s="52">
        <f>-((1+CQ86)^(1/4)-1)*AVERAGE('Balance Sheet'!CP50:CQ50)</f>
        <v>-26630.817509316694</v>
      </c>
      <c r="CR85" s="67">
        <f>SUM(CN85:CQ85)</f>
        <v>-88756.9139967683</v>
      </c>
      <c r="CS85" s="52">
        <f>-((1+CS86)^(1/4)-1)*AVERAGE('Balance Sheet'!CR50:CS50)</f>
        <v>-26700.548020617782</v>
      </c>
      <c r="CT85" s="52">
        <f>-((1+CT86)^(1/4)-1)*AVERAGE('Balance Sheet'!CS50:CT50)</f>
        <v>-26287.375082371087</v>
      </c>
      <c r="CU85" s="52">
        <f>-((1+CU86)^(1/4)-1)*AVERAGE('Balance Sheet'!CT50:CU50)</f>
        <v>-29803.837322045529</v>
      </c>
      <c r="CV85" s="52">
        <f>-((1+CV86)^(1/4)-1)*AVERAGE('Balance Sheet'!CU50:CV50)</f>
        <v>-31543.892118149663</v>
      </c>
      <c r="CW85" s="67">
        <f>SUM(CS85:CV85)</f>
        <v>-114335.65254318406</v>
      </c>
      <c r="CX85" s="52">
        <f>-((1+CX86)^(1/4)-1)*AVERAGE('Balance Sheet'!CW50:CX50)</f>
        <v>-29113.450502658357</v>
      </c>
      <c r="CY85" s="52">
        <f>-((1+CY86)^(1/4)-1)*AVERAGE('Balance Sheet'!CX50:CY50)</f>
        <v>-38247.103893934494</v>
      </c>
      <c r="CZ85" s="52">
        <f>-((1+CZ86)^(1/4)-1)*AVERAGE('Balance Sheet'!CY50:CZ50)</f>
        <v>-48819.912785686996</v>
      </c>
      <c r="DA85" s="52">
        <f>-((1+DA86)^(1/4)-1)*AVERAGE('Balance Sheet'!CZ50:DA50)</f>
        <v>-50298.953276627144</v>
      </c>
      <c r="DB85" s="67">
        <f>SUM(CX85:DA85)</f>
        <v>-166479.420458907</v>
      </c>
      <c r="DC85" s="52">
        <f>-((1+DC86)^(1/4)-1)*AVERAGE('Balance Sheet'!DB50:DC50)</f>
        <v>-62324.377358820297</v>
      </c>
      <c r="DD85" s="52">
        <f>-((1+DD86)^(1/4)-1)*AVERAGE('Balance Sheet'!DC50:DD50)</f>
        <v>-77787.444010895866</v>
      </c>
      <c r="DE85" s="52">
        <f>-((1+DE86)^(1/4)-1)*AVERAGE('Balance Sheet'!DD50:DE50)</f>
        <v>-80851.787699756809</v>
      </c>
      <c r="DF85" s="52">
        <f>-((1+DF86)^(1/4)-1)*AVERAGE('Balance Sheet'!DE50:DF50)</f>
        <v>-86140.362548115751</v>
      </c>
      <c r="DG85" s="67">
        <f>SUM(DC85:DF85)</f>
        <v>-307103.97161758877</v>
      </c>
      <c r="DH85" s="52">
        <f>-((1+DH86)^(1/4)-1)*AVERAGE('Balance Sheet'!DG50:DH50)</f>
        <v>-85654.685156749678</v>
      </c>
      <c r="DI85" s="52">
        <f>-((1+DI86)^(1/4)-1)*AVERAGE('Balance Sheet'!DH50:DI50)</f>
        <v>-79114.45462857651</v>
      </c>
      <c r="DJ85" s="52">
        <f>-((1+DJ86)^(1/4)-1)*AVERAGE('Balance Sheet'!DI50:DJ50)</f>
        <v>-77848.756242343137</v>
      </c>
      <c r="DK85" s="52">
        <f>-((1+DK86)^(1/4)-1)*AVERAGE('Balance Sheet'!DJ50:DK50)</f>
        <v>-77582.723196117237</v>
      </c>
      <c r="DL85" s="67">
        <f>SUM(DH85:DK85)</f>
        <v>-320200.61922378658</v>
      </c>
      <c r="DM85" s="52">
        <f>-((1+DM86)^(1/4)-1)*AVERAGE('Balance Sheet'!DL50:DM50)</f>
        <v>-76913.919069516603</v>
      </c>
      <c r="DN85" s="52">
        <f>-((1+DN86)^(1/4)-1)*AVERAGE('Balance Sheet'!DM50:DN50)</f>
        <v>-77904.210218553912</v>
      </c>
      <c r="DO85" s="52">
        <f>-((1+DO86)^(1/4)-1)*AVERAGE('Balance Sheet'!DN50:DO50)</f>
        <v>-80105.107099378147</v>
      </c>
      <c r="DP85" s="52">
        <f>-((1+DP86)^(1/4)-1)*AVERAGE('Balance Sheet'!DO50:DP50)</f>
        <v>-82047.847909752047</v>
      </c>
      <c r="DQ85" s="67">
        <f>SUM(DM85:DP85)</f>
        <v>-316971.08429720072</v>
      </c>
      <c r="DR85" s="52">
        <f>-((1+DR86)^(1/4)-1)*AVERAGE('Balance Sheet'!DQ50:DR50)</f>
        <v>-61849.486412413127</v>
      </c>
      <c r="DS85" s="52">
        <f>-((1+DS86)^(1/4)-1)*AVERAGE('Balance Sheet'!DR50:DS50)</f>
        <v>-63107.013592456249</v>
      </c>
      <c r="DT85" s="52">
        <f>-((1+DT86)^(1/4)-1)*AVERAGE('Balance Sheet'!DS50:DT50)</f>
        <v>-64309.321069807156</v>
      </c>
      <c r="DU85" s="52">
        <f>-((1+DU86)^(1/4)-1)*AVERAGE('Balance Sheet'!DT50:DU50)</f>
        <v>-65468.400973361095</v>
      </c>
      <c r="DV85" s="67">
        <f>SUM(DR85:DU85)</f>
        <v>-254734.22204803763</v>
      </c>
      <c r="DW85" s="52">
        <f>-((1+DW86)^(1/4)-1)*AVERAGE('Balance Sheet'!DV50:DW50)</f>
        <v>-66592.542272207749</v>
      </c>
      <c r="DX85" s="52">
        <f>-((1+DX86)^(1/4)-1)*AVERAGE('Balance Sheet'!DW50:DX50)</f>
        <v>-67687.824010342127</v>
      </c>
      <c r="DY85" s="52">
        <f>-((1+DY86)^(1/4)-1)*AVERAGE('Balance Sheet'!DX50:DY50)</f>
        <v>-68758.959511184628</v>
      </c>
      <c r="DZ85" s="52">
        <f>-((1+DZ86)^(1/4)-1)*AVERAGE('Balance Sheet'!DY50:DZ50)</f>
        <v>-69809.778221873974</v>
      </c>
      <c r="EA85" s="67">
        <f>SUM(DW85:DZ85)</f>
        <v>-272849.10401560843</v>
      </c>
      <c r="EB85" s="52">
        <f>-((1+EB86)^(1/4)-1)*AVERAGE('Balance Sheet'!EA50:EB50)</f>
        <v>-70843.505317204545</v>
      </c>
      <c r="EC85" s="52">
        <f>-((1+EC86)^(1/4)-1)*AVERAGE('Balance Sheet'!EB50:EC50)</f>
        <v>-71862.927946951124</v>
      </c>
      <c r="ED85" s="52">
        <f>-((1+ED86)^(1/4)-1)*AVERAGE('Balance Sheet'!EC50:ED50)</f>
        <v>-72870.497532393871</v>
      </c>
      <c r="EE85" s="52">
        <f>-((1+EE86)^(1/4)-1)*AVERAGE('Balance Sheet'!ED50:EE50)</f>
        <v>-73868.395614528868</v>
      </c>
      <c r="EF85" s="67">
        <f>SUM(EB85:EE85)</f>
        <v>-289445.32641107839</v>
      </c>
    </row>
    <row r="86" spans="1:136" ht="12.75" customHeight="1">
      <c r="A86" s="1" t="s">
        <v>155</v>
      </c>
      <c r="B86" s="60"/>
      <c r="C86" s="60"/>
      <c r="D86" s="60"/>
      <c r="E86" s="60"/>
      <c r="F86" s="196"/>
      <c r="G86" s="60"/>
      <c r="H86" s="60"/>
      <c r="I86" s="60"/>
      <c r="J86" s="60"/>
      <c r="K86" s="196"/>
      <c r="L86" s="60"/>
      <c r="M86" s="60"/>
      <c r="N86" s="60"/>
      <c r="O86" s="60"/>
      <c r="P86" s="196"/>
      <c r="Q86" s="60"/>
      <c r="R86" s="60"/>
      <c r="S86" s="60"/>
      <c r="T86" s="60"/>
      <c r="U86" s="196"/>
      <c r="V86" s="60"/>
      <c r="W86" s="60"/>
      <c r="X86" s="60"/>
      <c r="Y86" s="60"/>
      <c r="Z86" s="196"/>
      <c r="AA86" s="60"/>
      <c r="AB86" s="60"/>
      <c r="AC86" s="60"/>
      <c r="AD86" s="60"/>
      <c r="AE86" s="196"/>
      <c r="AF86" s="60" t="e">
        <f>(1-AF85/AVERAGE('Balance Sheet'!AE50:AF50))^4-1</f>
        <v>#DIV/0!</v>
      </c>
      <c r="AG86" s="60" t="e">
        <f>(1-AG85/AVERAGE('Balance Sheet'!AF50:AG50))^4-1</f>
        <v>#DIV/0!</v>
      </c>
      <c r="AH86" s="60" t="e">
        <f>(1-AH85/AVERAGE('Balance Sheet'!AG50:AH50))^4-1</f>
        <v>#DIV/0!</v>
      </c>
      <c r="AI86" s="60">
        <f>(1-AI85/AVERAGE('Balance Sheet'!AH50:AI50))^4-1</f>
        <v>0.28166185956083489</v>
      </c>
      <c r="AJ86" s="196">
        <f>(1-AJ85/AVERAGE('Balance Sheet'!AF50:AI50))-1</f>
        <v>0.12800851198345664</v>
      </c>
      <c r="AK86" s="60">
        <f>(1-AK85/AVERAGE('Balance Sheet'!AJ50:AK50))^4-1</f>
        <v>0</v>
      </c>
      <c r="AL86" s="60" t="e">
        <f>(1-AL85/AVERAGE('Balance Sheet'!AK50:AL50))^4-1</f>
        <v>#DIV/0!</v>
      </c>
      <c r="AM86" s="60" t="e">
        <f>(1-AM85/AVERAGE('Balance Sheet'!AL50:AM50))^4-1</f>
        <v>#DIV/0!</v>
      </c>
      <c r="AN86" s="60">
        <f>(1-AN85/AVERAGE('Balance Sheet'!AM50:AN50))^4-1</f>
        <v>0.27338366210677889</v>
      </c>
      <c r="AO86" s="196">
        <f>(1-AO85/AVERAGE('Balance Sheet'!AK50:AN50))-1</f>
        <v>0.12456397939540564</v>
      </c>
      <c r="AP86" s="60">
        <f>(1-AP85/AVERAGE('Balance Sheet'!AO50:AP50))^4-1</f>
        <v>0</v>
      </c>
      <c r="AQ86" s="60" t="e">
        <f>(1-AQ85/AVERAGE('Balance Sheet'!AP50:AQ50))^4-1</f>
        <v>#DIV/0!</v>
      </c>
      <c r="AR86" s="60" t="e">
        <f>(1-AR85/AVERAGE('Balance Sheet'!AQ50:AR50))^4-1</f>
        <v>#DIV/0!</v>
      </c>
      <c r="AS86" s="60">
        <f>(1-AS85/AVERAGE('Balance Sheet'!AR50:AS50))^4-1</f>
        <v>0.51124933423569474</v>
      </c>
      <c r="AT86" s="196">
        <f>(1-AT85/AVERAGE('Balance Sheet'!AP50:AS50))-1</f>
        <v>0.21750203114296762</v>
      </c>
      <c r="AU86" s="60">
        <f>(1-AU85/AVERAGE('Balance Sheet'!AT50:AU50))^4-1</f>
        <v>0</v>
      </c>
      <c r="AV86" s="60" t="e">
        <f>(1-AV85/AVERAGE('Balance Sheet'!AU50:AV50))^4-1</f>
        <v>#DIV/0!</v>
      </c>
      <c r="AW86" s="60" t="e">
        <f>(1-AW85/AVERAGE('Balance Sheet'!AV50:AW50))^4-1</f>
        <v>#DIV/0!</v>
      </c>
      <c r="AX86" s="60">
        <f>(1-AX85/AVERAGE('Balance Sheet'!AW50:AX50))^4-1</f>
        <v>0.84145969592597947</v>
      </c>
      <c r="AY86" s="196">
        <f>(1-AY85/AVERAGE('Balance Sheet'!AU50:AX50))-1</f>
        <v>0.32981024206988119</v>
      </c>
      <c r="AZ86" s="60">
        <f>(1-AZ85/AVERAGE('Balance Sheet'!AY50:AZ50))^4-1</f>
        <v>0</v>
      </c>
      <c r="BA86" s="60" t="e">
        <f>(1-BA85/AVERAGE('Balance Sheet'!AZ50:BA50))^4-1</f>
        <v>#DIV/0!</v>
      </c>
      <c r="BB86" s="60" t="e">
        <f>(1-BB85/AVERAGE('Balance Sheet'!BA50:BB50))^4-1</f>
        <v>#DIV/0!</v>
      </c>
      <c r="BC86" s="60">
        <f>(1-BC85/AVERAGE('Balance Sheet'!BB50:BC50))^4-1</f>
        <v>8.8644708368712966E-2</v>
      </c>
      <c r="BD86" s="196">
        <f>(1-BD85/AVERAGE('Balance Sheet'!AZ50:BC50))-1</f>
        <v>4.292083256390633E-2</v>
      </c>
      <c r="BE86" s="60">
        <f>(1-BE85/AVERAGE('Balance Sheet'!BD50:BE50))^4-1</f>
        <v>0</v>
      </c>
      <c r="BF86" s="60" t="e">
        <f>(1-BF85/AVERAGE('Balance Sheet'!BE50:BF50))^4-1</f>
        <v>#DIV/0!</v>
      </c>
      <c r="BG86" s="60" t="e">
        <f>(1-BG85/AVERAGE('Balance Sheet'!BF50:BG50))^4-1</f>
        <v>#DIV/0!</v>
      </c>
      <c r="BH86" s="60">
        <f>(1-BH85/AVERAGE('Balance Sheet'!BG50:BH50))^4-1</f>
        <v>0.24195530817372024</v>
      </c>
      <c r="BI86" s="196">
        <f>(1-BI85/AVERAGE('Balance Sheet'!BE50:BH50))-1</f>
        <v>0.11133179393606651</v>
      </c>
      <c r="BJ86" s="60">
        <f>(1-BJ85/AVERAGE('Balance Sheet'!BI50:BJ50))^4-1</f>
        <v>0</v>
      </c>
      <c r="BK86" s="60" t="e">
        <f>(1-BK85/AVERAGE('Balance Sheet'!BJ50:BK50))^4-1</f>
        <v>#DIV/0!</v>
      </c>
      <c r="BL86" s="60" t="e">
        <f>(1-BL85/AVERAGE('Balance Sheet'!BK50:BL50))^4-1</f>
        <v>#DIV/0!</v>
      </c>
      <c r="BM86" s="60">
        <f>(1-BM85/AVERAGE('Balance Sheet'!BL50:BM50))^4-1</f>
        <v>0.16759439254984509</v>
      </c>
      <c r="BN86" s="196">
        <f>(1-BN85/AVERAGE('Balance Sheet'!BJ50:BM50))-1</f>
        <v>7.8992850424201899E-2</v>
      </c>
      <c r="BO86" s="60">
        <f>(1-BO85/AVERAGE('Balance Sheet'!BN50:BO50))^4-1</f>
        <v>0</v>
      </c>
      <c r="BP86" s="60" t="e">
        <f>(1-BP85/AVERAGE('Balance Sheet'!BO50:BP50))^4-1</f>
        <v>#DIV/0!</v>
      </c>
      <c r="BQ86" s="60" t="e">
        <f>(1-BQ85/AVERAGE('Balance Sheet'!BP50:BQ50))^4-1</f>
        <v>#DIV/0!</v>
      </c>
      <c r="BR86" s="60">
        <f>(1-BR85/AVERAGE('Balance Sheet'!BQ50:BR50))^4-1</f>
        <v>0.20494918807048168</v>
      </c>
      <c r="BS86" s="196">
        <f>(1-BS85/AVERAGE('Balance Sheet'!BO50:BR50))-1</f>
        <v>9.5425279566248689E-2</v>
      </c>
      <c r="BT86" s="60">
        <f>(1-BT85/AVERAGE('Balance Sheet'!BS50:BT50))^4-1</f>
        <v>0</v>
      </c>
      <c r="BU86" s="60" t="e">
        <f>(1-BU85/AVERAGE('Balance Sheet'!BT50:BU50))^4-1</f>
        <v>#DIV/0!</v>
      </c>
      <c r="BV86" s="60" t="e">
        <f>(1-BV85/AVERAGE('Balance Sheet'!BU50:BV50))^4-1</f>
        <v>#DIV/0!</v>
      </c>
      <c r="BW86" s="60">
        <f>(1-BW85/AVERAGE('Balance Sheet'!BV50:BW50))^4-1</f>
        <v>0.25807627616868056</v>
      </c>
      <c r="BX86" s="196">
        <f>(1-BX85/AVERAGE('Balance Sheet'!BT50:BW50))-1</f>
        <v>0.11815013066840208</v>
      </c>
      <c r="BY86" s="60">
        <f ca="1">(1-BY85/AVERAGE('Balance Sheet'!BX50:BY50))^4-1</f>
        <v>9.7847450362699373E-2</v>
      </c>
      <c r="BZ86" s="60" t="e">
        <f ca="1">(1-BZ85/AVERAGE('Balance Sheet'!BY50:BZ50))^4-1</f>
        <v>#DIV/0!</v>
      </c>
      <c r="CA86" s="60" t="e">
        <f ca="1">(1-CA85/AVERAGE('Balance Sheet'!BZ50:CA50))^4-1</f>
        <v>#DIV/0!</v>
      </c>
      <c r="CB86" s="60" t="e">
        <f ca="1">CB87*Macro!CB17</f>
        <v>#DIV/0!</v>
      </c>
      <c r="CC86" s="196" t="e">
        <f ca="1">(1-CC85/AVERAGE('Balance Sheet'!BY50:CB50))-1</f>
        <v>#DIV/0!</v>
      </c>
      <c r="CD86" s="60">
        <f>CD87*Macro!CD17</f>
        <v>6.5999999999999989E-2</v>
      </c>
      <c r="CE86" s="60">
        <f>CE87*Macro!CE17</f>
        <v>6.5812499999999996E-2</v>
      </c>
      <c r="CF86" s="60">
        <f>CF87*Macro!CF17</f>
        <v>6.5625000000000003E-2</v>
      </c>
      <c r="CG86" s="60">
        <f>CG87*Macro!CG17</f>
        <v>5.6249999999999994E-2</v>
      </c>
      <c r="CH86" s="196">
        <f>(1-CH85/AVERAGE('Balance Sheet'!CD50:CG50))-1</f>
        <v>6.298573139575403E-2</v>
      </c>
      <c r="CI86" s="60">
        <f>CI87*Macro!CI17</f>
        <v>5.1000000000000004E-2</v>
      </c>
      <c r="CJ86" s="60">
        <f>CJ87*Macro!CJ17</f>
        <v>8.1000000000000003E-2</v>
      </c>
      <c r="CK86" s="60">
        <f>CK87*Macro!CK17</f>
        <v>0.11099999999999999</v>
      </c>
      <c r="CL86" s="60">
        <f>CL87*Macro!CL17</f>
        <v>0.14100000000000001</v>
      </c>
      <c r="CM86" s="196">
        <f>(1-CM85/AVERAGE('Balance Sheet'!CI50:CL50))-1</f>
        <v>9.2630952443712999E-2</v>
      </c>
      <c r="CN86" s="60">
        <f>CN87*Macro!CN17</f>
        <v>0.19350000000000001</v>
      </c>
      <c r="CO86" s="60">
        <f>CO87*Macro!CO17</f>
        <v>0.22500000000000001</v>
      </c>
      <c r="CP86" s="60">
        <f>CP87*Macro!CP17</f>
        <v>0.24300000000000002</v>
      </c>
      <c r="CQ86" s="60">
        <f>CQ87*Macro!CQ17</f>
        <v>0.24750000000000003</v>
      </c>
      <c r="CR86" s="196">
        <f>(1-CR85/AVERAGE('Balance Sheet'!CN50:CQ50))-1</f>
        <v>0.20559347664325767</v>
      </c>
      <c r="CS86" s="60">
        <f>CS87*Macro!CS17</f>
        <v>0.24300000000000002</v>
      </c>
      <c r="CT86" s="60">
        <f>CT87*Macro!CT17</f>
        <v>0.23400000000000001</v>
      </c>
      <c r="CU86" s="60">
        <f>CU87*Macro!CU17</f>
        <v>0.22500000000000001</v>
      </c>
      <c r="CV86" s="60">
        <f>CV87*Macro!CV17</f>
        <v>0.216</v>
      </c>
      <c r="CW86" s="196">
        <f>(1-CW85/AVERAGE('Balance Sheet'!CS50:CV50))-1</f>
        <v>0.20479295814863296</v>
      </c>
      <c r="CX86" s="60">
        <f>CX87*Macro!CX17</f>
        <v>0.20587499999999997</v>
      </c>
      <c r="CY86" s="60">
        <f>CY87*Macro!CY17</f>
        <v>0.19462499999999999</v>
      </c>
      <c r="CZ86" s="60">
        <f>CZ87*Macro!CZ17</f>
        <v>0.19125</v>
      </c>
      <c r="DA86" s="60">
        <f>DA87*Macro!DA17</f>
        <v>0.20699999999999999</v>
      </c>
      <c r="DB86" s="196">
        <f>(1-DB85/AVERAGE('Balance Sheet'!CX50:DA50))-1</f>
        <v>0.17656409971951148</v>
      </c>
      <c r="DC86" s="60">
        <f>DC87*Macro!DC17</f>
        <v>0.23850000000000002</v>
      </c>
      <c r="DD86" s="60">
        <f>DD87*Macro!DD17</f>
        <v>0.26324999999999998</v>
      </c>
      <c r="DE86" s="60">
        <f>DE87*Macro!DE17</f>
        <v>0.27</v>
      </c>
      <c r="DF86" s="60">
        <f>DF87*Macro!DF17</f>
        <v>0.27</v>
      </c>
      <c r="DG86" s="196">
        <f>(1-DG85/AVERAGE('Balance Sheet'!DC50:DF50))-1</f>
        <v>0.22816909973378552</v>
      </c>
      <c r="DH86" s="60">
        <f>DH87*Macro!DH17</f>
        <v>0.26550000000000007</v>
      </c>
      <c r="DI86" s="60">
        <f>DI87*Macro!DI17</f>
        <v>0.25650000000000006</v>
      </c>
      <c r="DJ86" s="60">
        <f>DJ87*Macro!DJ17</f>
        <v>0.24750000000000003</v>
      </c>
      <c r="DK86" s="60">
        <f>DK87*Macro!DK17</f>
        <v>0.23850000000000002</v>
      </c>
      <c r="DL86" s="196">
        <f>(1-DL85/AVERAGE('Balance Sheet'!DH50:DK50))-1</f>
        <v>0.23210044469380287</v>
      </c>
      <c r="DM86" s="60">
        <f>DM87*Macro!DM17</f>
        <v>0.23400000000000001</v>
      </c>
      <c r="DN86" s="60">
        <f>DN87*Macro!DN17</f>
        <v>0.23400000000000001</v>
      </c>
      <c r="DO86" s="60">
        <f>DO87*Macro!DO17</f>
        <v>0.23400000000000001</v>
      </c>
      <c r="DP86" s="60">
        <f>DP87*Macro!DP17</f>
        <v>0.23400000000000001</v>
      </c>
      <c r="DQ86" s="196">
        <f>(1-DQ85/AVERAGE('Balance Sheet'!DM50:DP50))-1</f>
        <v>0.21390590945522625</v>
      </c>
      <c r="DR86" s="60">
        <f>DR87*Macro!DR17</f>
        <v>0.16900000000000001</v>
      </c>
      <c r="DS86" s="60">
        <f>DS87*Macro!DS17</f>
        <v>0.16900000000000001</v>
      </c>
      <c r="DT86" s="60">
        <f>DT87*Macro!DT17</f>
        <v>0.16900000000000001</v>
      </c>
      <c r="DU86" s="60">
        <f>DU87*Macro!DU17</f>
        <v>0.16900000000000001</v>
      </c>
      <c r="DV86" s="196">
        <f>(1-DV85/AVERAGE('Balance Sheet'!DR50:DU50))-1</f>
        <v>0.15774008789937799</v>
      </c>
      <c r="DW86" s="60">
        <f>DW87*Macro!DW17</f>
        <v>0.16900000000000001</v>
      </c>
      <c r="DX86" s="60">
        <f>DX87*Macro!DX17</f>
        <v>0.16900000000000001</v>
      </c>
      <c r="DY86" s="60">
        <f>DY87*Macro!DY17</f>
        <v>0.16900000000000001</v>
      </c>
      <c r="DZ86" s="60">
        <f>DZ87*Macro!DZ17</f>
        <v>0.16900000000000001</v>
      </c>
      <c r="EA86" s="196">
        <f>(1-EA85/AVERAGE('Balance Sheet'!DW50:DZ50))-1</f>
        <v>0.15799382930318595</v>
      </c>
      <c r="EB86" s="60">
        <f>EB87*Macro!EB17</f>
        <v>0.16900000000000001</v>
      </c>
      <c r="EC86" s="60">
        <f>EC87*Macro!EC17</f>
        <v>0.16900000000000001</v>
      </c>
      <c r="ED86" s="60">
        <f>ED87*Macro!ED17</f>
        <v>0.16900000000000001</v>
      </c>
      <c r="EE86" s="60">
        <f>EE87*Macro!EE17</f>
        <v>0.16900000000000001</v>
      </c>
      <c r="EF86" s="196">
        <f>(1-EF85/AVERAGE('Balance Sheet'!EB50:EE50))-1</f>
        <v>0.15813439823509023</v>
      </c>
    </row>
    <row r="87" spans="1:136" s="68" customFormat="1" ht="12.75" customHeight="1">
      <c r="A87" s="68" t="s">
        <v>156</v>
      </c>
      <c r="F87" s="28"/>
      <c r="K87" s="28"/>
      <c r="P87" s="28"/>
      <c r="U87" s="28"/>
      <c r="Z87" s="28"/>
      <c r="AE87" s="28"/>
      <c r="AF87" s="68" t="e">
        <f>AF86/Macro!AF17</f>
        <v>#DIV/0!</v>
      </c>
      <c r="AG87" s="68" t="e">
        <f>AG86/Macro!AG17</f>
        <v>#DIV/0!</v>
      </c>
      <c r="AH87" s="68" t="e">
        <f>AH86/Macro!AH17</f>
        <v>#DIV/0!</v>
      </c>
      <c r="AI87" s="68">
        <f>AI86/Macro!AI17</f>
        <v>2.6201103214961385</v>
      </c>
      <c r="AJ87" s="28">
        <f>AJ86/Macro!AJ17</f>
        <v>1.2800851198345664</v>
      </c>
      <c r="AK87" s="68">
        <f>AK86/Macro!AK17</f>
        <v>0</v>
      </c>
      <c r="AL87" s="68" t="e">
        <f>AL86/Macro!AL17</f>
        <v>#DIV/0!</v>
      </c>
      <c r="AM87" s="68" t="e">
        <f>AM86/Macro!AM17</f>
        <v>#DIV/0!</v>
      </c>
      <c r="AN87" s="68">
        <f>AN86/Macro!AN17</f>
        <v>2.3948703553828339</v>
      </c>
      <c r="AO87" s="28">
        <f>AO86/Macro!AO17</f>
        <v>1.0638916389643185</v>
      </c>
      <c r="AP87" s="68">
        <f>AP86/Macro!AP17</f>
        <v>0</v>
      </c>
      <c r="AQ87" s="68" t="e">
        <f>AQ86/Macro!AQ17</f>
        <v>#DIV/0!</v>
      </c>
      <c r="AR87" s="68" t="e">
        <f>AR86/Macro!AR17</f>
        <v>#DIV/0!</v>
      </c>
      <c r="AS87" s="68">
        <f>AS86/Macro!AS17</f>
        <v>7.0517149549751004</v>
      </c>
      <c r="AT87" s="28">
        <f>AT86/Macro!AT17</f>
        <v>2.5715539269681678</v>
      </c>
      <c r="AU87" s="68">
        <f>AU86/Macro!AU17</f>
        <v>0</v>
      </c>
      <c r="AV87" s="68" t="e">
        <f>AV86/Macro!AV17</f>
        <v>#DIV/0!</v>
      </c>
      <c r="AW87" s="68" t="e">
        <f>AW86/Macro!AW17</f>
        <v>#DIV/0!</v>
      </c>
      <c r="AX87" s="68">
        <f>AX86/Macro!AX17</f>
        <v>8.5572172467048748</v>
      </c>
      <c r="AY87" s="28">
        <f>AY86/Macro!AY17</f>
        <v>3.9077042899275027</v>
      </c>
      <c r="AZ87" s="68">
        <f>AZ86/Macro!AZ17</f>
        <v>0</v>
      </c>
      <c r="BA87" s="68" t="e">
        <f>BA86/Macro!BA17</f>
        <v>#DIV/0!</v>
      </c>
      <c r="BB87" s="68" t="e">
        <f>BB86/Macro!BB17</f>
        <v>#DIV/0!</v>
      </c>
      <c r="BC87" s="68">
        <f>BC86/Macro!BC17</f>
        <v>0.80586098517011784</v>
      </c>
      <c r="BD87" s="28">
        <f>BD86/Macro!BD17</f>
        <v>0.38945178885964155</v>
      </c>
      <c r="BE87" s="68">
        <f>BE86/Macro!BE17</f>
        <v>0</v>
      </c>
      <c r="BF87" s="68" t="e">
        <f>BF86/Macro!BF17</f>
        <v>#DIV/0!</v>
      </c>
      <c r="BG87" s="68" t="e">
        <f>BG86/Macro!BG17</f>
        <v>#DIV/0!</v>
      </c>
      <c r="BH87" s="68">
        <f>BH86/Macro!BH17</f>
        <v>1.6979319871840017</v>
      </c>
      <c r="BI87" s="28">
        <f>BI86/Macro!BI17</f>
        <v>0.81962056885447743</v>
      </c>
      <c r="BJ87" s="68">
        <f>BJ86/Macro!BJ17</f>
        <v>0</v>
      </c>
      <c r="BK87" s="68" t="e">
        <f>BK86/Macro!BK17</f>
        <v>#DIV/0!</v>
      </c>
      <c r="BL87" s="68" t="e">
        <f>BL86/Macro!BL17</f>
        <v>#DIV/0!</v>
      </c>
      <c r="BM87" s="68">
        <f>BM86/Macro!BM17</f>
        <v>1.1971028039274649</v>
      </c>
      <c r="BN87" s="28">
        <f>BN86/Macro!BN17</f>
        <v>0.56423464588715633</v>
      </c>
      <c r="BO87" s="68">
        <f>BO86/Macro!BO17</f>
        <v>0</v>
      </c>
      <c r="BP87" s="68" t="e">
        <f>BP86/Macro!BP17</f>
        <v>#DIV/0!</v>
      </c>
      <c r="BQ87" s="68" t="e">
        <f>BQ86/Macro!BQ17</f>
        <v>#DIV/0!</v>
      </c>
      <c r="BR87" s="68">
        <f>BR86/Macro!BR17</f>
        <v>2.6025293723235765</v>
      </c>
      <c r="BS87" s="28">
        <f>BS86/Macro!BS17</f>
        <v>0.99791142030063973</v>
      </c>
      <c r="BT87" s="68">
        <f>BT86/Macro!BT17</f>
        <v>0</v>
      </c>
      <c r="BU87" s="68" t="e">
        <f>BU86/Macro!BU17</f>
        <v>#DIV/0!</v>
      </c>
      <c r="BV87" s="68" t="e">
        <f>BV86/Macro!BV17</f>
        <v>#DIV/0!</v>
      </c>
      <c r="BW87" s="68">
        <f>BW86/Macro!BW17</f>
        <v>3.9704042487489315</v>
      </c>
      <c r="BX87" s="28">
        <f>BX86/Macro!BX17</f>
        <v>1.7833981987683332</v>
      </c>
      <c r="BY87" s="68">
        <f ca="1">BY86/Macro!BY17</f>
        <v>1.56555920580319</v>
      </c>
      <c r="BZ87" s="68" t="e">
        <f ca="1">BZ86/Macro!BZ17</f>
        <v>#DIV/0!</v>
      </c>
      <c r="CA87" s="68" t="e">
        <f ca="1">CA86/Macro!CA17</f>
        <v>#DIV/0!</v>
      </c>
      <c r="CB87" s="68" t="e">
        <f ca="1">CB86/Macro!CB17</f>
        <v>#DIV/0!</v>
      </c>
      <c r="CC87" s="28" t="e">
        <f ca="1">CC86/Macro!CC17</f>
        <v>#DIV/0!</v>
      </c>
      <c r="CD87" s="198">
        <v>1.6</v>
      </c>
      <c r="CE87" s="198">
        <v>1.95</v>
      </c>
      <c r="CF87" s="198">
        <v>2.5</v>
      </c>
      <c r="CG87" s="198">
        <v>2.5</v>
      </c>
      <c r="CH87" s="28">
        <f>CH86/Macro!CH17</f>
        <v>2.2394926718490322</v>
      </c>
      <c r="CI87" s="198">
        <v>1.6</v>
      </c>
      <c r="CJ87" s="198">
        <v>1.6</v>
      </c>
      <c r="CK87" s="198">
        <v>1.6</v>
      </c>
      <c r="CL87" s="198">
        <v>1.6</v>
      </c>
      <c r="CM87" s="28">
        <f>CM86/Macro!CM17</f>
        <v>1.3352209361255929</v>
      </c>
      <c r="CN87" s="198">
        <v>1.8</v>
      </c>
      <c r="CO87" s="198">
        <v>1.8</v>
      </c>
      <c r="CP87" s="198">
        <v>1.8</v>
      </c>
      <c r="CQ87" s="198">
        <v>1.8</v>
      </c>
      <c r="CR87" s="28">
        <f>CR86/Macro!CR17</f>
        <v>1.5664264887105346</v>
      </c>
      <c r="CS87" s="198">
        <v>1.8</v>
      </c>
      <c r="CT87" s="198">
        <v>1.8</v>
      </c>
      <c r="CU87" s="198">
        <v>1.8</v>
      </c>
      <c r="CV87" s="198">
        <v>1.8</v>
      </c>
      <c r="CW87" s="28">
        <f>CW86/Macro!CW17</f>
        <v>1.6383436651890637</v>
      </c>
      <c r="CX87" s="198">
        <v>1.8</v>
      </c>
      <c r="CY87" s="198">
        <v>1.8</v>
      </c>
      <c r="CZ87" s="198">
        <v>1.8</v>
      </c>
      <c r="DA87" s="198">
        <v>1.8</v>
      </c>
      <c r="DB87" s="28">
        <f>DB86/Macro!DB17</f>
        <v>1.5826473924438005</v>
      </c>
      <c r="DC87" s="198">
        <v>1.8</v>
      </c>
      <c r="DD87" s="198">
        <f t="shared" ref="DD87:DD88" si="257">DC87</f>
        <v>1.8</v>
      </c>
      <c r="DE87" s="198">
        <v>1.8</v>
      </c>
      <c r="DF87" s="198">
        <v>1.8</v>
      </c>
      <c r="DG87" s="28">
        <f>DG86/Macro!DG17</f>
        <v>1.5403821079074127</v>
      </c>
      <c r="DH87" s="198">
        <v>1.8</v>
      </c>
      <c r="DI87" s="198">
        <f t="shared" ref="DI87:DI88" si="258">DH87</f>
        <v>1.8</v>
      </c>
      <c r="DJ87" s="198">
        <f t="shared" ref="DJ87:DK88" si="259">DI87</f>
        <v>1.8</v>
      </c>
      <c r="DK87" s="198">
        <f t="shared" si="259"/>
        <v>1.8</v>
      </c>
      <c r="DL87" s="28">
        <f>DL86/Macro!DL17</f>
        <v>1.6880032341367479</v>
      </c>
      <c r="DM87" s="198">
        <v>1.8</v>
      </c>
      <c r="DN87" s="198">
        <f>DM87</f>
        <v>1.8</v>
      </c>
      <c r="DO87" s="198">
        <f>DN87</f>
        <v>1.8</v>
      </c>
      <c r="DP87" s="198">
        <f>DO87</f>
        <v>1.8</v>
      </c>
      <c r="DQ87" s="28">
        <f>DQ86/Macro!DQ17</f>
        <v>1.6454300727325095</v>
      </c>
      <c r="DR87" s="198">
        <v>1.3</v>
      </c>
      <c r="DS87" s="198">
        <f t="shared" ref="DS87:DU88" si="260">DR87</f>
        <v>1.3</v>
      </c>
      <c r="DT87" s="198">
        <f t="shared" si="260"/>
        <v>1.3</v>
      </c>
      <c r="DU87" s="198">
        <f t="shared" si="260"/>
        <v>1.3</v>
      </c>
      <c r="DV87" s="28">
        <f>DV86/Macro!DV17</f>
        <v>1.2133852915336769</v>
      </c>
      <c r="DW87" s="198">
        <f>DU87</f>
        <v>1.3</v>
      </c>
      <c r="DX87" s="198">
        <f t="shared" ref="DX87:DZ88" si="261">DW87</f>
        <v>1.3</v>
      </c>
      <c r="DY87" s="198">
        <f t="shared" si="261"/>
        <v>1.3</v>
      </c>
      <c r="DZ87" s="198">
        <f t="shared" si="261"/>
        <v>1.3</v>
      </c>
      <c r="EA87" s="28">
        <f>EA86/Macro!EA17</f>
        <v>1.2153371484860458</v>
      </c>
      <c r="EB87" s="198">
        <f>DZ87</f>
        <v>1.3</v>
      </c>
      <c r="EC87" s="198">
        <f t="shared" ref="EC87:EE88" si="262">EB87</f>
        <v>1.3</v>
      </c>
      <c r="ED87" s="198">
        <f t="shared" si="262"/>
        <v>1.3</v>
      </c>
      <c r="EE87" s="198">
        <f t="shared" si="262"/>
        <v>1.3</v>
      </c>
      <c r="EF87" s="28">
        <f>EF86/Macro!EF17</f>
        <v>1.2164184479622326</v>
      </c>
    </row>
    <row r="88" spans="1:136" s="68" customFormat="1" ht="12.75" customHeight="1">
      <c r="A88" s="68" t="s">
        <v>165</v>
      </c>
      <c r="F88" s="28"/>
      <c r="K88" s="28"/>
      <c r="P88" s="28"/>
      <c r="U88" s="28"/>
      <c r="Z88" s="28"/>
      <c r="AE88" s="28"/>
      <c r="AF88" s="68" t="e">
        <f t="shared" ref="AF88:BK88" si="263">AF84/-AF85</f>
        <v>#DIV/0!</v>
      </c>
      <c r="AG88" s="68" t="e">
        <f t="shared" si="263"/>
        <v>#DIV/0!</v>
      </c>
      <c r="AH88" s="68" t="e">
        <f t="shared" si="263"/>
        <v>#DIV/0!</v>
      </c>
      <c r="AI88" s="68">
        <f t="shared" si="263"/>
        <v>0</v>
      </c>
      <c r="AJ88" s="28">
        <f t="shared" si="263"/>
        <v>0</v>
      </c>
      <c r="AK88" s="68" t="e">
        <f t="shared" si="263"/>
        <v>#DIV/0!</v>
      </c>
      <c r="AL88" s="68" t="e">
        <f t="shared" si="263"/>
        <v>#DIV/0!</v>
      </c>
      <c r="AM88" s="68" t="e">
        <f t="shared" si="263"/>
        <v>#DIV/0!</v>
      </c>
      <c r="AN88" s="68">
        <f t="shared" si="263"/>
        <v>0</v>
      </c>
      <c r="AO88" s="28">
        <f t="shared" si="263"/>
        <v>0</v>
      </c>
      <c r="AP88" s="68" t="e">
        <f t="shared" si="263"/>
        <v>#DIV/0!</v>
      </c>
      <c r="AQ88" s="68" t="e">
        <f t="shared" si="263"/>
        <v>#DIV/0!</v>
      </c>
      <c r="AR88" s="68" t="e">
        <f t="shared" si="263"/>
        <v>#DIV/0!</v>
      </c>
      <c r="AS88" s="68">
        <f t="shared" si="263"/>
        <v>0</v>
      </c>
      <c r="AT88" s="28">
        <f t="shared" si="263"/>
        <v>0</v>
      </c>
      <c r="AU88" s="68" t="e">
        <f t="shared" si="263"/>
        <v>#DIV/0!</v>
      </c>
      <c r="AV88" s="68" t="e">
        <f t="shared" si="263"/>
        <v>#DIV/0!</v>
      </c>
      <c r="AW88" s="68" t="e">
        <f t="shared" si="263"/>
        <v>#DIV/0!</v>
      </c>
      <c r="AX88" s="68">
        <f t="shared" si="263"/>
        <v>0</v>
      </c>
      <c r="AY88" s="28">
        <f t="shared" si="263"/>
        <v>0</v>
      </c>
      <c r="AZ88" s="68" t="e">
        <f t="shared" si="263"/>
        <v>#DIV/0!</v>
      </c>
      <c r="BA88" s="68" t="e">
        <f t="shared" si="263"/>
        <v>#DIV/0!</v>
      </c>
      <c r="BB88" s="68" t="e">
        <f t="shared" si="263"/>
        <v>#DIV/0!</v>
      </c>
      <c r="BC88" s="68">
        <f t="shared" si="263"/>
        <v>0</v>
      </c>
      <c r="BD88" s="28">
        <f t="shared" si="263"/>
        <v>0</v>
      </c>
      <c r="BE88" s="68" t="e">
        <f t="shared" si="263"/>
        <v>#DIV/0!</v>
      </c>
      <c r="BF88" s="68" t="e">
        <f t="shared" si="263"/>
        <v>#DIV/0!</v>
      </c>
      <c r="BG88" s="68" t="e">
        <f t="shared" si="263"/>
        <v>#DIV/0!</v>
      </c>
      <c r="BH88" s="68">
        <f t="shared" si="263"/>
        <v>0</v>
      </c>
      <c r="BI88" s="28">
        <f t="shared" si="263"/>
        <v>0</v>
      </c>
      <c r="BJ88" s="68" t="e">
        <f t="shared" si="263"/>
        <v>#DIV/0!</v>
      </c>
      <c r="BK88" s="68" t="e">
        <f t="shared" si="263"/>
        <v>#DIV/0!</v>
      </c>
      <c r="BL88" s="68" t="e">
        <f t="shared" ref="BL88:CC88" si="264">BL84/-BL85</f>
        <v>#DIV/0!</v>
      </c>
      <c r="BM88" s="68">
        <f t="shared" si="264"/>
        <v>0</v>
      </c>
      <c r="BN88" s="28">
        <f t="shared" si="264"/>
        <v>0</v>
      </c>
      <c r="BO88" s="68" t="e">
        <f t="shared" si="264"/>
        <v>#DIV/0!</v>
      </c>
      <c r="BP88" s="68" t="e">
        <f t="shared" si="264"/>
        <v>#DIV/0!</v>
      </c>
      <c r="BQ88" s="68" t="e">
        <f t="shared" si="264"/>
        <v>#DIV/0!</v>
      </c>
      <c r="BR88" s="68">
        <f t="shared" si="264"/>
        <v>0</v>
      </c>
      <c r="BS88" s="28">
        <f t="shared" si="264"/>
        <v>0</v>
      </c>
      <c r="BT88" s="68" t="e">
        <f t="shared" si="264"/>
        <v>#DIV/0!</v>
      </c>
      <c r="BU88" s="68" t="e">
        <f t="shared" si="264"/>
        <v>#DIV/0!</v>
      </c>
      <c r="BV88" s="68" t="e">
        <f t="shared" si="264"/>
        <v>#DIV/0!</v>
      </c>
      <c r="BW88" s="68">
        <f t="shared" si="264"/>
        <v>0</v>
      </c>
      <c r="BX88" s="28">
        <f t="shared" si="264"/>
        <v>0</v>
      </c>
      <c r="BY88" s="68">
        <f t="shared" ca="1" si="264"/>
        <v>0</v>
      </c>
      <c r="BZ88" s="68">
        <f t="shared" ca="1" si="264"/>
        <v>0</v>
      </c>
      <c r="CA88" s="68" t="e">
        <f t="shared" ca="1" si="264"/>
        <v>#DIV/0!</v>
      </c>
      <c r="CB88" s="68" t="e">
        <f t="shared" ca="1" si="264"/>
        <v>#DIV/0!</v>
      </c>
      <c r="CC88" s="28" t="e">
        <f t="shared" ca="1" si="264"/>
        <v>#DIV/0!</v>
      </c>
      <c r="CD88" s="198">
        <v>0.6</v>
      </c>
      <c r="CE88" s="198">
        <v>0.6</v>
      </c>
      <c r="CF88" s="198">
        <v>0.6</v>
      </c>
      <c r="CG88" s="198">
        <v>0.6</v>
      </c>
      <c r="CH88" s="28">
        <f>CH84/-CH85</f>
        <v>0.6</v>
      </c>
      <c r="CI88" s="198">
        <v>0.4</v>
      </c>
      <c r="CJ88" s="198">
        <v>0.4</v>
      </c>
      <c r="CK88" s="198">
        <v>0.4</v>
      </c>
      <c r="CL88" s="198">
        <v>0.4</v>
      </c>
      <c r="CM88" s="28">
        <f>CM84/-CM85</f>
        <v>0.39999999999999997</v>
      </c>
      <c r="CN88" s="198">
        <v>0.2</v>
      </c>
      <c r="CO88" s="198">
        <v>0.2</v>
      </c>
      <c r="CP88" s="198">
        <v>0.2</v>
      </c>
      <c r="CQ88" s="198">
        <v>0.2</v>
      </c>
      <c r="CR88" s="28">
        <f>CR84/-CR85</f>
        <v>0.2</v>
      </c>
      <c r="CS88" s="198">
        <v>0.2</v>
      </c>
      <c r="CT88" s="198">
        <v>0.2</v>
      </c>
      <c r="CU88" s="198">
        <v>0.2</v>
      </c>
      <c r="CV88" s="198">
        <v>0.2</v>
      </c>
      <c r="CW88" s="28">
        <f>CW84/-CW85</f>
        <v>0.20000000000000004</v>
      </c>
      <c r="CX88" s="198">
        <v>0.2</v>
      </c>
      <c r="CY88" s="198">
        <v>0.2</v>
      </c>
      <c r="CZ88" s="198">
        <v>0.2</v>
      </c>
      <c r="DA88" s="198">
        <f>CZ88</f>
        <v>0.2</v>
      </c>
      <c r="DB88" s="28">
        <f>DB84/-DB85</f>
        <v>0.2</v>
      </c>
      <c r="DC88" s="198">
        <v>0.2</v>
      </c>
      <c r="DD88" s="198">
        <f t="shared" si="257"/>
        <v>0.2</v>
      </c>
      <c r="DE88" s="198">
        <v>0.2</v>
      </c>
      <c r="DF88" s="198">
        <f>DE88</f>
        <v>0.2</v>
      </c>
      <c r="DG88" s="28">
        <f>DG84/-DG85</f>
        <v>0.19999999999999998</v>
      </c>
      <c r="DH88" s="198">
        <v>0.2</v>
      </c>
      <c r="DI88" s="198">
        <f t="shared" si="258"/>
        <v>0.2</v>
      </c>
      <c r="DJ88" s="198">
        <f t="shared" si="259"/>
        <v>0.2</v>
      </c>
      <c r="DK88" s="198">
        <f t="shared" si="259"/>
        <v>0.2</v>
      </c>
      <c r="DL88" s="28">
        <f>DL84/-DL85</f>
        <v>0.19999999999999998</v>
      </c>
      <c r="DM88" s="198">
        <f>DK88</f>
        <v>0.2</v>
      </c>
      <c r="DN88" s="198">
        <f t="shared" ref="DN88:DP88" si="265">DM88</f>
        <v>0.2</v>
      </c>
      <c r="DO88" s="198">
        <f t="shared" si="265"/>
        <v>0.2</v>
      </c>
      <c r="DP88" s="198">
        <f t="shared" si="265"/>
        <v>0.2</v>
      </c>
      <c r="DQ88" s="28">
        <f>DQ84/-DQ85</f>
        <v>0.2</v>
      </c>
      <c r="DR88" s="198">
        <f>DP88</f>
        <v>0.2</v>
      </c>
      <c r="DS88" s="198">
        <f t="shared" si="260"/>
        <v>0.2</v>
      </c>
      <c r="DT88" s="198">
        <f t="shared" si="260"/>
        <v>0.2</v>
      </c>
      <c r="DU88" s="198">
        <f t="shared" si="260"/>
        <v>0.2</v>
      </c>
      <c r="DV88" s="28">
        <f>DV84/-DV85</f>
        <v>0.2</v>
      </c>
      <c r="DW88" s="198">
        <f>DU88</f>
        <v>0.2</v>
      </c>
      <c r="DX88" s="198">
        <f t="shared" si="261"/>
        <v>0.2</v>
      </c>
      <c r="DY88" s="198">
        <f t="shared" si="261"/>
        <v>0.2</v>
      </c>
      <c r="DZ88" s="198">
        <f t="shared" si="261"/>
        <v>0.2</v>
      </c>
      <c r="EA88" s="28">
        <f>EA84/-EA85</f>
        <v>0.2</v>
      </c>
      <c r="EB88" s="198">
        <f>DZ88</f>
        <v>0.2</v>
      </c>
      <c r="EC88" s="198">
        <f t="shared" si="262"/>
        <v>0.2</v>
      </c>
      <c r="ED88" s="198">
        <f t="shared" si="262"/>
        <v>0.2</v>
      </c>
      <c r="EE88" s="198">
        <f t="shared" si="262"/>
        <v>0.2</v>
      </c>
      <c r="EF88" s="28">
        <f>EF84/-EF85</f>
        <v>0.2</v>
      </c>
    </row>
    <row r="89" spans="1:136" ht="12.75" customHeight="1">
      <c r="F89" s="48"/>
      <c r="K89" s="48"/>
      <c r="P89" s="48"/>
      <c r="U89" s="48"/>
      <c r="Z89" s="48"/>
      <c r="AE89" s="48"/>
      <c r="AJ89" s="48"/>
      <c r="AO89" s="48"/>
      <c r="AT89" s="48"/>
      <c r="AY89" s="48"/>
      <c r="BD89" s="48"/>
      <c r="BI89" s="48"/>
      <c r="BN89" s="48"/>
      <c r="BS89" s="48"/>
      <c r="BX89" s="48"/>
      <c r="CC89" s="48"/>
      <c r="CH89" s="48"/>
      <c r="CM89" s="48"/>
      <c r="CR89" s="48"/>
      <c r="CW89" s="48"/>
      <c r="DB89" s="48"/>
      <c r="DG89" s="48"/>
      <c r="DL89" s="48"/>
      <c r="DQ89" s="48"/>
      <c r="DV89" s="48"/>
      <c r="EA89" s="48"/>
      <c r="EF89" s="48"/>
    </row>
    <row r="90" spans="1:136" ht="12.75" customHeight="1">
      <c r="F90" s="26"/>
      <c r="K90" s="26"/>
      <c r="P90" s="26"/>
      <c r="U90" s="26"/>
      <c r="Z90" s="26"/>
      <c r="AE90" s="26"/>
      <c r="AJ90" s="26"/>
      <c r="AO90" s="26"/>
      <c r="AT90" s="26"/>
      <c r="AY90" s="26"/>
      <c r="BD90" s="26"/>
      <c r="BI90" s="26"/>
      <c r="BN90" s="26"/>
      <c r="BS90" s="26"/>
      <c r="BX90" s="51"/>
      <c r="CC90" s="26"/>
      <c r="CH90" s="26"/>
      <c r="CM90" s="26"/>
      <c r="CR90" s="26"/>
      <c r="CW90" s="26"/>
      <c r="DB90" s="26"/>
      <c r="DG90" s="26"/>
      <c r="DL90" s="26"/>
      <c r="DQ90" s="26"/>
      <c r="DV90" s="26"/>
      <c r="EA90" s="26"/>
      <c r="EF90" s="26"/>
    </row>
    <row r="91" spans="1:136" ht="12.75" customHeight="1">
      <c r="A91" s="1" t="s">
        <v>251</v>
      </c>
      <c r="AF91" s="52">
        <f>AF16+AF18+'Balance Sheet'!AF63+AF21</f>
        <v>0</v>
      </c>
      <c r="AG91" s="52">
        <f>AG16+AG18+'Balance Sheet'!AG63+AG21</f>
        <v>0</v>
      </c>
      <c r="AH91" s="52">
        <f>AH16+AH18+'Balance Sheet'!AH63+AH21</f>
        <v>0</v>
      </c>
      <c r="AI91" s="52">
        <f>AI16+AI18+'Balance Sheet'!AI63+AI21</f>
        <v>-178709.37099999998</v>
      </c>
      <c r="AJ91" s="26">
        <f>AJ16+AJ18+'Balance Sheet'!AJ63+AJ21</f>
        <v>-178709.37099999998</v>
      </c>
      <c r="AK91" s="52">
        <f>AK16+AK18+'Balance Sheet'!AK63+AK21</f>
        <v>234127.86300000001</v>
      </c>
      <c r="AL91" s="52">
        <f>AL16+AL18+'Balance Sheet'!AL63+AL21</f>
        <v>0</v>
      </c>
      <c r="AM91" s="52">
        <f>AM16+AM18+'Balance Sheet'!AM63+AM21</f>
        <v>0</v>
      </c>
      <c r="AN91" s="52">
        <f>AN16+AN18+'Balance Sheet'!AN63+AN21</f>
        <v>-222305.01300000004</v>
      </c>
      <c r="AO91" s="26">
        <f>AO16+AO18+'Balance Sheet'!AO63+AO21</f>
        <v>11822.849999999977</v>
      </c>
      <c r="AP91" s="52">
        <f>AP16+AP18+'Balance Sheet'!AP63+AP21</f>
        <v>314764.64900000003</v>
      </c>
      <c r="AQ91" s="52">
        <f>AQ16+AQ18+'Balance Sheet'!AQ63+AQ21</f>
        <v>0</v>
      </c>
      <c r="AR91" s="52">
        <f>AR16+AR18+'Balance Sheet'!AR63+AR21</f>
        <v>0</v>
      </c>
      <c r="AS91" s="52">
        <f>AS16+AS18+'Balance Sheet'!AS63+AS21</f>
        <v>-252141.726</v>
      </c>
      <c r="AT91" s="26">
        <f>AT16+AT18+'Balance Sheet'!AT63+AT21</f>
        <v>62622.923000000039</v>
      </c>
      <c r="AU91" s="52">
        <f>AU16+AU18+'Balance Sheet'!AU63+AU21</f>
        <v>369786.71299999999</v>
      </c>
      <c r="AV91" s="52">
        <f>AV16+AV18+'Balance Sheet'!AV63+AV21</f>
        <v>0</v>
      </c>
      <c r="AW91" s="52">
        <f>AW16+AW18+'Balance Sheet'!AW63+AW21</f>
        <v>0</v>
      </c>
      <c r="AX91" s="52">
        <f>AX16+AX18+'Balance Sheet'!AX63+AX21</f>
        <v>-265503.25200000004</v>
      </c>
      <c r="AY91" s="26">
        <f>AY16+AY18+'Balance Sheet'!AY63+AY21</f>
        <v>104283.46099999995</v>
      </c>
      <c r="AZ91" s="52">
        <f>AZ16+AZ18+'Balance Sheet'!AZ63+AZ21</f>
        <v>448262</v>
      </c>
      <c r="BA91" s="52">
        <f>BA16+BA18+'Balance Sheet'!BA63+BA21</f>
        <v>0</v>
      </c>
      <c r="BB91" s="52">
        <f>BB16+BB18+'Balance Sheet'!BB63+BB21</f>
        <v>0</v>
      </c>
      <c r="BC91" s="52">
        <f>BC16+BC18+'Balance Sheet'!BC63+BC21</f>
        <v>-336692</v>
      </c>
      <c r="BD91" s="26">
        <f>BD16+BD18+'Balance Sheet'!BD63+BD21</f>
        <v>111570</v>
      </c>
      <c r="BE91" s="52">
        <f>BE16+BE18+'Balance Sheet'!BE63+BE21</f>
        <v>520928</v>
      </c>
      <c r="BF91" s="52">
        <f>BF16+BF18+'Balance Sheet'!BF63+BF21</f>
        <v>0</v>
      </c>
      <c r="BG91" s="52">
        <f>BG16+BG18+'Balance Sheet'!BG63+BG21</f>
        <v>0</v>
      </c>
      <c r="BH91" s="52">
        <f>BH16+BH18+'Balance Sheet'!BH63+BH21</f>
        <v>-444749</v>
      </c>
      <c r="BI91" s="26">
        <f>BI16+BI18+'Balance Sheet'!BI63+BI21</f>
        <v>76179</v>
      </c>
      <c r="BJ91" s="52">
        <f>BJ16+BJ18+'Balance Sheet'!BJ63+BJ21</f>
        <v>611522</v>
      </c>
      <c r="BK91" s="52">
        <f>BK16+BK18+'Balance Sheet'!BK63+BK21</f>
        <v>0</v>
      </c>
      <c r="BL91" s="52">
        <f>BL16+BL18+'Balance Sheet'!BL63+BL21</f>
        <v>0</v>
      </c>
      <c r="BM91" s="52">
        <f>BM16+BM18+'Balance Sheet'!BM63+BM21</f>
        <v>-528535</v>
      </c>
      <c r="BN91" s="26">
        <f>BN16+BN18+'Balance Sheet'!BN63+BN21</f>
        <v>82987</v>
      </c>
      <c r="BO91" s="52">
        <f>BO16+BO18+'Balance Sheet'!BO63+BO21</f>
        <v>649226</v>
      </c>
      <c r="BP91" s="52">
        <f>BP16+BP18+'Balance Sheet'!BP63+BP21</f>
        <v>0</v>
      </c>
      <c r="BQ91" s="52">
        <f>BQ16+BQ18+'Balance Sheet'!BQ63+BQ21</f>
        <v>0</v>
      </c>
      <c r="BR91" s="52">
        <f>BR16+BR18+'Balance Sheet'!BR63+BR21</f>
        <v>-660597</v>
      </c>
      <c r="BS91" s="26">
        <f>BS16+BS18+'Balance Sheet'!BS63+BS21</f>
        <v>-11371</v>
      </c>
      <c r="BT91" s="52">
        <f>BT16+BT18+'Balance Sheet'!BT63+BT21</f>
        <v>765298</v>
      </c>
      <c r="BU91" s="52">
        <f>BU16+BU18+'Balance Sheet'!BU63+BU21</f>
        <v>0</v>
      </c>
      <c r="BV91" s="52">
        <f>BV16+BV18+'Balance Sheet'!BV63+BV21</f>
        <v>0</v>
      </c>
      <c r="BW91" s="52">
        <f>BW16+BW18+'Balance Sheet'!BW63+BW21</f>
        <v>-370286</v>
      </c>
      <c r="BX91" s="26">
        <f>BX16+BX18+'Balance Sheet'!BX63+BX21</f>
        <v>395012</v>
      </c>
      <c r="BY91" s="52">
        <f>BY16+BY18+'Balance Sheet'!BY63+BY21</f>
        <v>573866</v>
      </c>
      <c r="BZ91" s="52">
        <f>BZ16+BZ18+'Balance Sheet'!BZ63+BZ21</f>
        <v>53445</v>
      </c>
      <c r="CA91" s="52">
        <f>CA16+CA18+'Balance Sheet'!CA63+CA21</f>
        <v>29816</v>
      </c>
      <c r="CB91" s="52">
        <f>CB16+CB18+'Balance Sheet'!CB63+CB21</f>
        <v>-599868</v>
      </c>
      <c r="CC91" s="26">
        <f>CC16+CC18+'Balance Sheet'!CC63+CC21</f>
        <v>57259</v>
      </c>
      <c r="CD91" s="52">
        <f>CD16+CD18+'Balance Sheet'!CD63+CD21</f>
        <v>84524</v>
      </c>
      <c r="CE91" s="52">
        <f>CE16+CE18+'Balance Sheet'!CE63+CE21</f>
        <v>-33696</v>
      </c>
      <c r="CF91" s="52">
        <f>CF16+CF18+'Balance Sheet'!CF63+CF21</f>
        <v>-74719</v>
      </c>
      <c r="CG91" s="52">
        <f>CG16+CG18+'Balance Sheet'!CG63+CG21</f>
        <v>114157</v>
      </c>
      <c r="CH91" s="26">
        <f>CH16+CH18+'Balance Sheet'!CH63+CH21</f>
        <v>90266</v>
      </c>
      <c r="CI91" s="52">
        <f>CI16+CI18+'Balance Sheet'!CI63+CI21</f>
        <v>-68989</v>
      </c>
      <c r="CJ91" s="52">
        <f>CJ16+CJ18+'Balance Sheet'!CJ63+CJ21</f>
        <v>-10836</v>
      </c>
      <c r="CK91" s="52">
        <f>CK16+CK18+'Balance Sheet'!CK63+CK21</f>
        <v>39107</v>
      </c>
      <c r="CL91" s="52">
        <f>CL16+CL18+'Balance Sheet'!CL63+CL21</f>
        <v>-58206</v>
      </c>
      <c r="CM91" s="26">
        <f>CM16+CM18+'Balance Sheet'!CM63+CM21</f>
        <v>-98924</v>
      </c>
      <c r="CN91" s="52">
        <f>CN16+CN18+'Balance Sheet'!CN63+CN21</f>
        <v>-253778</v>
      </c>
      <c r="CO91" s="52">
        <f>CO16+CO18+'Balance Sheet'!CO63+CO21</f>
        <v>201765</v>
      </c>
      <c r="CP91" s="52">
        <f>CP16+CP18+'Balance Sheet'!CP63+CP21</f>
        <v>282457</v>
      </c>
      <c r="CQ91" s="52">
        <f>CQ16+CQ18+'Balance Sheet'!CQ63+CQ21</f>
        <v>357947</v>
      </c>
      <c r="CR91" s="26">
        <f>CR16+CR18+'Balance Sheet'!CR63+CR21</f>
        <v>588391</v>
      </c>
      <c r="CS91" s="52">
        <f>CS16+CS18+'Balance Sheet'!CS63+CS21</f>
        <v>257158</v>
      </c>
      <c r="CT91" s="52">
        <f>CT16+CT18+'Balance Sheet'!CT63+CT21</f>
        <v>131406</v>
      </c>
      <c r="CU91" s="52">
        <f>CU16+CU18+'Balance Sheet'!CU63+CU21</f>
        <v>154657</v>
      </c>
      <c r="CV91" s="52">
        <f>CV16+CV18+'Balance Sheet'!CV63+CV21</f>
        <v>192555</v>
      </c>
      <c r="CW91" s="26">
        <f>CW16+CW18+'Balance Sheet'!CW63+CW21</f>
        <v>735776</v>
      </c>
      <c r="CX91" s="52">
        <f>CX16+CX18+'Balance Sheet'!CX63+CX21</f>
        <v>5341</v>
      </c>
      <c r="CY91" s="52">
        <f>CY16+CY18+'Balance Sheet'!CY63+CY21</f>
        <v>129067</v>
      </c>
      <c r="CZ91" s="52">
        <f>CZ16+CZ18+'Balance Sheet'!CZ63+CZ21</f>
        <v>153307</v>
      </c>
      <c r="DA91" s="52">
        <f>DA16+DA18+'Balance Sheet'!DA63+DA21</f>
        <v>265161</v>
      </c>
      <c r="DB91" s="26">
        <f>DB16+DB18+'Balance Sheet'!DB63+DB21</f>
        <v>552876</v>
      </c>
      <c r="DC91" s="52">
        <f>DC16+DC18+'Balance Sheet'!DC63+DC21</f>
        <v>-140970</v>
      </c>
      <c r="DD91" s="52">
        <f>DD16+DD18+'Balance Sheet'!DD63+DD21</f>
        <v>106854</v>
      </c>
      <c r="DE91" s="52">
        <f>DE16+DE18+'Balance Sheet'!DE63+DE21</f>
        <v>300545</v>
      </c>
      <c r="DF91" s="52">
        <f>DF16+DF18+'Balance Sheet'!DF63+DF21</f>
        <v>426087</v>
      </c>
      <c r="DG91" s="26">
        <f>DG16+DG18+'Balance Sheet'!DG63+DG21</f>
        <v>692516</v>
      </c>
      <c r="DH91" s="52">
        <f>DH16+DH18+'Balance Sheet'!DH63+DH21</f>
        <v>54429</v>
      </c>
      <c r="DI91" s="52">
        <f>DI16+DI18+'Balance Sheet'!DI63+DI21</f>
        <v>250446</v>
      </c>
      <c r="DJ91" s="52">
        <f>DJ16+DJ18+'Balance Sheet'!DJ63+DJ21</f>
        <v>349249.43877700588</v>
      </c>
      <c r="DK91" s="52">
        <f>DK16+DK18+'Balance Sheet'!DK63+DK21</f>
        <v>379632.44666956528</v>
      </c>
      <c r="DL91" s="26">
        <f>DL16+DL18+'Balance Sheet'!DL63+DL21</f>
        <v>1033756.8854465716</v>
      </c>
      <c r="DM91" s="52">
        <f>DM16+DM18+'Balance Sheet'!DM63+DM21</f>
        <v>540448.97795482294</v>
      </c>
      <c r="DN91" s="52">
        <f>DN16+DN18+'Balance Sheet'!DN63+DN21</f>
        <v>415951.10361690493</v>
      </c>
      <c r="DO91" s="52">
        <f>DO16+DO18+'Balance Sheet'!DO63+DO21</f>
        <v>436257.73108997493</v>
      </c>
      <c r="DP91" s="52">
        <f>DP16+DP18+'Balance Sheet'!DP63+DP21</f>
        <v>452585.49545261939</v>
      </c>
      <c r="DQ91" s="26">
        <f>DQ16+DQ18+'Balance Sheet'!DQ63+DQ21</f>
        <v>1845243.3081143217</v>
      </c>
      <c r="DR91" s="52">
        <f>DR16+DR18+'Balance Sheet'!DR63+DR21</f>
        <v>462023.35115763097</v>
      </c>
      <c r="DS91" s="52">
        <f>DS16+DS18+'Balance Sheet'!DS63+DS21</f>
        <v>476258.86295299511</v>
      </c>
      <c r="DT91" s="52">
        <f>DT16+DT18+'Balance Sheet'!DT63+DT21</f>
        <v>488979.56558320881</v>
      </c>
      <c r="DU91" s="52">
        <f>DU16+DU18+'Balance Sheet'!DU63+DU21</f>
        <v>500612.14626047894</v>
      </c>
      <c r="DV91" s="26">
        <f>DV16+DV18+'Balance Sheet'!DV63+DV21</f>
        <v>1927873.9259543135</v>
      </c>
      <c r="DW91" s="52">
        <f>DW16+DW18+'Balance Sheet'!DW63+DW21</f>
        <v>511429.35065688659</v>
      </c>
      <c r="DX91" s="52">
        <f>DX16+DX18+'Balance Sheet'!DX63+DX21</f>
        <v>521612.62136611121</v>
      </c>
      <c r="DY91" s="52">
        <f>DY16+DY18+'Balance Sheet'!DY63+DY21</f>
        <v>531288.31966351566</v>
      </c>
      <c r="DZ91" s="52">
        <f>DZ16+DZ18+'Balance Sheet'!DZ63+DZ21</f>
        <v>540548.74413228408</v>
      </c>
      <c r="EA91" s="26">
        <f>EA16+EA18+'Balance Sheet'!EA63+EA21</f>
        <v>2104879.0358187975</v>
      </c>
      <c r="EB91" s="52">
        <f>EB16+EB18+'Balance Sheet'!EB63+EB21</f>
        <v>549464.45442723483</v>
      </c>
      <c r="EC91" s="52">
        <f>EC16+EC18+'Balance Sheet'!EC63+EC21</f>
        <v>558091.59587391338</v>
      </c>
      <c r="ED91" s="52">
        <f>ED16+ED18+'Balance Sheet'!ED63+ED21</f>
        <v>566476.33199011278</v>
      </c>
      <c r="EE91" s="52">
        <f>EE16+EE18+'Balance Sheet'!EE63+EE21</f>
        <v>574657.59049177682</v>
      </c>
      <c r="EF91" s="26">
        <f>EF16+EF18+'Balance Sheet'!EF63+EF21</f>
        <v>2248689.9727830379</v>
      </c>
    </row>
    <row r="92" spans="1:136" ht="12.75" customHeight="1">
      <c r="AJ92" s="48"/>
      <c r="AO92" s="48"/>
      <c r="AT92" s="48"/>
      <c r="AY92" s="48"/>
      <c r="BD92" s="48"/>
      <c r="BI92" s="48"/>
      <c r="BN92" s="48"/>
      <c r="BS92" s="48"/>
      <c r="BX92" s="48"/>
      <c r="CC92" s="48"/>
      <c r="CG92" s="16">
        <f>6.79*CL78</f>
        <v>1981094.45352</v>
      </c>
      <c r="CH92" s="48"/>
      <c r="CM92" s="48"/>
      <c r="CR92" s="48"/>
      <c r="CW92" s="48"/>
      <c r="DB92" s="48"/>
      <c r="DG92" s="48"/>
      <c r="DL92" s="48"/>
      <c r="DQ92" s="48"/>
      <c r="DV92" s="48"/>
      <c r="EA92" s="48"/>
      <c r="EF92" s="48"/>
    </row>
    <row r="93" spans="1:136" ht="12.75" customHeight="1">
      <c r="AJ93" s="67"/>
      <c r="AO93" s="67"/>
      <c r="AT93" s="67"/>
      <c r="CG93" s="1">
        <f>'Balance Sheet'!CL53/'Income Statement'!CG92</f>
        <v>-0.10259934837475836</v>
      </c>
      <c r="CK93" s="41">
        <f>0.058244*CL78</f>
        <v>16993.647327072002</v>
      </c>
      <c r="CY93" s="1" t="s">
        <v>467</v>
      </c>
      <c r="CZ93" s="456">
        <v>1100</v>
      </c>
      <c r="DB93" s="485">
        <v>4100</v>
      </c>
      <c r="DF93" s="1" t="s">
        <v>467</v>
      </c>
      <c r="DG93" s="485">
        <v>4900</v>
      </c>
      <c r="DK93" s="1" t="s">
        <v>467</v>
      </c>
      <c r="DL93" s="486">
        <v>6800</v>
      </c>
    </row>
    <row r="94" spans="1:136" ht="12.75" customHeight="1">
      <c r="CO94" s="309"/>
      <c r="CY94" s="1" t="s">
        <v>468</v>
      </c>
      <c r="CZ94" s="456">
        <v>180</v>
      </c>
      <c r="DB94" s="486">
        <v>700</v>
      </c>
      <c r="DF94" s="1" t="s">
        <v>468</v>
      </c>
      <c r="DG94" s="486">
        <v>850</v>
      </c>
      <c r="DK94" s="1" t="s">
        <v>474</v>
      </c>
      <c r="DL94" s="492" t="s">
        <v>473</v>
      </c>
    </row>
    <row r="95" spans="1:136" ht="12.75" customHeight="1">
      <c r="A95" s="1" t="s">
        <v>465</v>
      </c>
      <c r="CH95" s="411">
        <f>'Balance Sheet'!CH161/CH78</f>
        <v>0.52978827710023679</v>
      </c>
      <c r="CM95" s="411">
        <f>'Balance Sheet'!CM161/CM78</f>
        <v>0.99882272977148767</v>
      </c>
      <c r="CO95" s="309"/>
      <c r="CR95" s="411">
        <f>'Balance Sheet'!CR161/CR78</f>
        <v>1.1416486291247354</v>
      </c>
      <c r="CX95" s="309"/>
      <c r="CY95" s="1" t="s">
        <v>469</v>
      </c>
      <c r="CZ95" s="488">
        <v>0.38500000000000001</v>
      </c>
      <c r="DB95" s="487">
        <v>0.38500000000000001</v>
      </c>
      <c r="DF95" s="1" t="s">
        <v>469</v>
      </c>
      <c r="DG95" s="487">
        <v>0.38500000000000001</v>
      </c>
      <c r="DK95" s="1" t="s">
        <v>468</v>
      </c>
      <c r="DL95" s="486">
        <v>1300</v>
      </c>
    </row>
    <row r="96" spans="1:136" s="68" customFormat="1" ht="12.75" customHeight="1">
      <c r="A96" s="68" t="s">
        <v>252</v>
      </c>
      <c r="F96" s="28"/>
      <c r="K96" s="28"/>
      <c r="P96" s="28"/>
      <c r="U96" s="28"/>
      <c r="Z96" s="28"/>
      <c r="AE96" s="28"/>
      <c r="AF96" s="60"/>
      <c r="AG96" s="60"/>
      <c r="AH96" s="60"/>
      <c r="AI96" s="60"/>
      <c r="AJ96" s="28">
        <f>AJ80/AVERAGE('Balance Sheet'!AF57:AI57)</f>
        <v>1.729614191359006</v>
      </c>
      <c r="AK96" s="60"/>
      <c r="AL96" s="60"/>
      <c r="AM96" s="60"/>
      <c r="AN96" s="60"/>
      <c r="AO96" s="28">
        <f>AO80/AVERAGE('Balance Sheet'!AK57:AN57)</f>
        <v>1.9031803750981111</v>
      </c>
      <c r="AP96" s="60"/>
      <c r="AQ96" s="60"/>
      <c r="AR96" s="60"/>
      <c r="AS96" s="60"/>
      <c r="AT96" s="28">
        <f>AT80/AVERAGE('Balance Sheet'!AP57:AS57)</f>
        <v>1.2801468598261565</v>
      </c>
      <c r="AU96" s="60"/>
      <c r="AV96" s="60"/>
      <c r="AW96" s="60"/>
      <c r="AX96" s="60"/>
      <c r="AY96" s="28">
        <f>AY80/AVERAGE('Balance Sheet'!AU57:AX57)</f>
        <v>1.4337841892514194</v>
      </c>
      <c r="AZ96" s="60"/>
      <c r="BA96" s="60"/>
      <c r="BB96" s="60"/>
      <c r="BC96" s="60"/>
      <c r="BD96" s="48">
        <f>BD80/AVERAGE('Balance Sheet'!AZ57:BC57)</f>
        <v>1.3958466271354386</v>
      </c>
      <c r="BE96" s="60"/>
      <c r="BF96" s="60"/>
      <c r="BG96" s="60"/>
      <c r="BH96" s="60"/>
      <c r="BI96" s="48">
        <f>BI80/AVERAGE('Balance Sheet'!BE57:BH57)</f>
        <v>1.8313986785679361</v>
      </c>
      <c r="BJ96" s="60"/>
      <c r="BK96" s="60"/>
      <c r="BL96" s="60"/>
      <c r="BM96" s="60"/>
      <c r="BN96" s="48">
        <f>BN80/AVERAGE('Balance Sheet'!BJ57:BM57)</f>
        <v>2.1494448381762341</v>
      </c>
      <c r="BO96" s="60"/>
      <c r="BP96" s="60"/>
      <c r="BQ96" s="60"/>
      <c r="BR96" s="60"/>
      <c r="BS96" s="48">
        <f>BS80/AVERAGE('Balance Sheet'!BO57:BR57)</f>
        <v>2.1273980221914268</v>
      </c>
      <c r="BT96" s="60"/>
      <c r="BU96" s="60"/>
      <c r="BV96" s="60"/>
      <c r="BW96" s="60"/>
      <c r="BX96" s="48">
        <f>BX80/AVERAGE('Balance Sheet'!BT57:BW57)</f>
        <v>2.4614271689143803</v>
      </c>
      <c r="BY96" s="60"/>
      <c r="BZ96" s="60"/>
      <c r="CA96" s="60"/>
      <c r="CB96" s="60"/>
      <c r="CC96" s="28">
        <f>CC80/AVERAGE('Balance Sheet'!BY57:CB57)</f>
        <v>2.9984411207078159</v>
      </c>
      <c r="CD96" s="60"/>
      <c r="CE96" s="60"/>
      <c r="CG96" s="60"/>
      <c r="CH96" s="48"/>
      <c r="CM96" s="28"/>
      <c r="CR96" s="48"/>
      <c r="CW96" s="28"/>
      <c r="CY96" s="68" t="s">
        <v>470</v>
      </c>
      <c r="CZ96" s="456">
        <v>130</v>
      </c>
      <c r="DB96" s="486">
        <v>520</v>
      </c>
      <c r="DF96" s="68" t="s">
        <v>470</v>
      </c>
      <c r="DG96" s="486">
        <v>650</v>
      </c>
      <c r="DK96" s="68" t="s">
        <v>475</v>
      </c>
      <c r="DL96" s="486">
        <v>1000</v>
      </c>
      <c r="DQ96" s="28"/>
      <c r="DV96" s="28"/>
      <c r="EA96" s="28"/>
      <c r="EF96" s="28"/>
    </row>
    <row r="97" spans="32:135" ht="12.75" customHeight="1">
      <c r="AF97" s="52"/>
      <c r="AG97" s="52"/>
      <c r="AH97" s="52"/>
      <c r="AI97" s="52"/>
      <c r="AJ97" s="28"/>
      <c r="AK97" s="52"/>
      <c r="AL97" s="52"/>
      <c r="AM97" s="52"/>
      <c r="AN97" s="52"/>
      <c r="AO97" s="28"/>
      <c r="AP97" s="52"/>
      <c r="AQ97" s="52"/>
      <c r="AR97" s="52"/>
      <c r="AS97" s="52"/>
      <c r="AT97" s="28"/>
      <c r="AU97" s="52"/>
      <c r="AV97" s="52"/>
      <c r="AW97" s="52"/>
      <c r="AX97" s="52"/>
      <c r="AY97" s="28"/>
      <c r="AZ97" s="52"/>
      <c r="BA97" s="52"/>
      <c r="BB97" s="52"/>
      <c r="BC97" s="52"/>
      <c r="BD97" s="28"/>
      <c r="BE97" s="52"/>
      <c r="BF97" s="52"/>
      <c r="BG97" s="52"/>
      <c r="BH97" s="52"/>
      <c r="BI97" s="28"/>
      <c r="BJ97" s="52"/>
      <c r="BK97" s="52"/>
      <c r="BL97" s="52"/>
      <c r="BM97" s="52"/>
      <c r="BN97" s="28"/>
      <c r="BO97" s="52"/>
      <c r="BP97" s="52"/>
      <c r="BQ97" s="52"/>
      <c r="BR97" s="52"/>
      <c r="BS97" s="28"/>
      <c r="BT97" s="52"/>
      <c r="BU97" s="52"/>
      <c r="BV97" s="52"/>
      <c r="BW97" s="52"/>
      <c r="BX97" s="28"/>
      <c r="BY97" s="52"/>
      <c r="BZ97" s="52"/>
      <c r="CA97" s="52"/>
      <c r="CB97" s="52"/>
      <c r="CD97" s="52"/>
      <c r="CE97" s="52"/>
      <c r="CG97" s="52"/>
      <c r="CI97" s="52"/>
      <c r="CJ97" s="52"/>
      <c r="CK97" s="52"/>
      <c r="CL97" s="52"/>
      <c r="CS97" s="52"/>
      <c r="CT97" s="52"/>
      <c r="CU97" s="52"/>
      <c r="CY97" s="52"/>
      <c r="DB97" s="270"/>
      <c r="DC97" s="52"/>
      <c r="DD97" s="52"/>
      <c r="DE97" s="52"/>
      <c r="DF97" s="52"/>
      <c r="DH97" s="52"/>
      <c r="DI97" s="52"/>
      <c r="DJ97" s="52"/>
      <c r="DK97" s="52"/>
      <c r="DL97" s="270"/>
      <c r="DM97" s="52"/>
      <c r="DN97" s="52"/>
      <c r="DO97" s="52"/>
      <c r="DP97" s="52"/>
      <c r="DQ97" s="270">
        <f ca="1">DQ81/21+DQ49</f>
        <v>0.3865582913751574</v>
      </c>
      <c r="DR97" s="52"/>
      <c r="DS97" s="52"/>
      <c r="DT97" s="52"/>
      <c r="DU97" s="52"/>
      <c r="DV97" s="270">
        <f ca="1">DV81/21+DV49</f>
        <v>0.30139877610862253</v>
      </c>
      <c r="DW97" s="52"/>
      <c r="DX97" s="52"/>
      <c r="DY97" s="52"/>
      <c r="DZ97" s="52"/>
      <c r="EA97" s="270">
        <f ca="1">EA81/21+EA49</f>
        <v>0.29056160588054686</v>
      </c>
      <c r="EB97" s="52"/>
      <c r="EC97" s="52"/>
      <c r="ED97" s="52"/>
      <c r="EE97" s="52"/>
    </row>
  </sheetData>
  <phoneticPr fontId="4" type="noConversion"/>
  <pageMargins left="0.23" right="0.3" top="0.26" bottom="0.25" header="0.24" footer="0.23"/>
  <pageSetup scale="42" orientation="landscape" r:id="rId1"/>
  <headerFooter alignWithMargins="0"/>
  <ignoredErrors>
    <ignoredError sqref="A2:CC4 A77:CC77 A76:CC76 CF76 A79:CC83 A78:AE78 CH78 A49:CC67 A46:BX46 CH46 A72:CC75 A71:CC71 DG71 A22:BZ23 A20:BZ20 CH20 A21:BX21 CH21 A37:CC39 A36:BX36 DG36 A16:BZ16 A14:BX14 CF2:CF4 CF77 CF79:CF81 CH73:CH75 CH22 CF37:CF38 CF16 CH14 A19:BZ19 A18:BX18 A25:BZ25 A24:BX24 A27:BZ27 A26:BX26 A41:BZ41 A40:BX40 CB40:CC40 A43:BZ43 A42:BX42 CB42:CC42 A45:BZ45 A44:BX44 CB44:CC44 A13:BX13 A15:BX15 A35:BX35 A33:BX33 CB36:CC36 A6:BZ6 A5:BX5 A8:BZ8 A7:BX7 A10:BZ12 A9:BX9 A34:BX34 A32:CC32 A30:BX30 A31:BX31 A29:CC29 A28:BX28 CB28:CC28 CB35:CC35 CH18:CH19 CH17 A17:BX17 CC17 CB30:CC30 CB31:CC31 A69:CC70 A68:BB68 CC68 A85:CC86 A84:BX84 CC84 A89:CC1048576 A87:CA88 CC87:CC88 BX68 BS68:BV68 BN68:BQ68 BI68:BL68 BD68:BG68 CH13 CF29:CF32 FC24:XFD24 CH23 FC23:XFD23 CH25 FC25:XFD25 CC5 CC7 CC9 CC13 CC14 CC15 CC18 CC21 CC24 CC26 CC33 CC34 CC46 CF89:CF1048576 CH88 CM88 CH72 CM72 CH45 CH40 EH40:XFD40 CH41 EH41:XFD41 CH42 EH42:XFD42 CH43 EH43:XFD43 CH44 EH44:XFD44 CR20 CF51:CF67 CF50 DG49:DG50 CM50 CH35 CH34 CM21 CR21 CH33 CH50:CI50 CC78 BX78 BS78:BV78 AJ78 AO78 AT78 AY78 BD78 BI78 BN78 CF11:CF12 CH5:CH10 CH15 CH27 CH28 CH47 CH39 CB16:CC16 CB6:CC6 CB8:CC8 CB10:CC12 CB22:CC23 CB20:CC20 CB19:CC19 CB25:CC25 CB27:CC27 A47:BZ48 CB47:CC48 CB41:CC41 CB43:CC43 CB45:CC45 CF83:CF84 CF82 CM20 CH87 CH70 CH1 CH86 CH85 CH26 CH36 CH48 CM48 CH76 CH2:CJ2 CH77 CH79:CH81 CH37:CH38 CH16 CH29:CH32 CH92:CT92 CH51:CT51 CH11:CH12 CH83:CH84 CF69 A1:CA1 CC1 CM1 CM34 CM87 CM25:CM26 CW87 CR87 EH21:XFD21 CR88 CK1 CM22 CM18:CM19 CM17 CM13 CM23 CM45 CM40 CM42 CM43 CM44 CM35 CM33 CM5:CM9 CM15 CM27 CM28:CN28 CM47 CM39 CH4 CM4 CM36:CM38 CM16 CM29:CN31 CM11:CM12 CM78 CM73:CM74 CM70 CM86 CM85 CL76:CM76 CL77:CO77 CM79:CM81 CH53:CH69 CL69:CO69 CL83:CO83 EI39:XFD39 CK50 CP50 CR50 CM75 CH3:CI3 CM3:CN3 CR15 CR72 CM10 CR10 CM41 CR41 CR43 CL2:CM2 CH52:CJ52 CM52:CO52 CW10 CW41 CM49 CM53:CM68 CM84 CH97:CU1048576 CH93:CJ93 CL93:CT93 CQ1 CR26 CR22 CR18:CR19 CR17 CR13 CR23 CR5:CR9 CR27 CR4 CR16 CR11:CR12 CR48 CR45 CR40 CR42 CR44 CR47 CR39 CR37:CR38 CM32 CR32 CO49:CR49 CR53:CR66 CR73:CR74 CR70 CR75 CR78 CR79:CR81 CQ86:CR86 CQ85:CR85 CQ84:CR84 CQ76 CR28 CR29:CR31 CQ3:CR3 CW88 CW43 DB10 DB41 DB43 CT1 CR35 CR34 CR33 CR36 DC82:DE82 CR68 CR67 EG67:XFD67 CW26 DB87 DB20 CH94:CN94 CP94:CT94 CH95:CN95 CP95:CT95 CH96:CN96 CP96:CT96 CR69 CX1 CQ52:CR52 CH89:CO91 CQ89:CR91 CQ77:CR77 CQ83:CR83 CX49 CR25 CW72 DB72 CW20 CW34 DB69 CW69 CW36 CW15 CW22 CW18:CW19 CW17 CW13 CW23 CW5:CW9 CW27 CW4 CW16 CW11:CW12 CW48 CW45 CW40 CW42 CW44 CW47 CW39 CW37:CW38 CW32 CW28 CW29:CW31 CU3 CW35 CW33 CW53:CW66 CW73:CW74 CW70 CW75 CW78 CW79:CW81 CW86 CW85 CW84 CW68 CW67 CW52:CX52 CT89:CT91 CW77 CW83 DA88:DB88 CW21 CW25 EG71:XFD71 EH46:XFD46 EH14 EG50:XFD50 EG92:XFD92 EG51:XFD51 EG2:XFD2 EG97:XFD1048576 EG93:XFD93 EH10:XFD10 EG76:XFD76 EG82:XFD82 EI26:XFD26 EG87:XFD87 EH20:XFD20 EG94:XFD94 EG95:XFD95 EG96:XFD96 EG1:XFD1 EG49:XFD49 EG72:XFD72 EG69:XFD69 EH15:XFD15 EI22:XFD22 EH19:XFD19 EH17:XFD17 EH13 EG5:XFD8 EI27:XFD27 EG4:XFD4 EH16:XFD16 EH11:XFD11 EH48:XFD48 EH45:XFD45 EH47:XFD47 EI37:XFD38 EI28:XFD28 EI29:XFD31 EG3:XFD3 EG53:XFD66 EG73:XFD74 EG70:XFD70 EG75:XFD75 EG78:XFD78 EG79:XFD81 EG86:XFD86 EG85:XFD85 EG84:XFD84 EG68:XFD68 EG52:XFD52 EG89:XFD91 EG77:XFD77 EG83:XFD83 EG88:XFD88 DB26 DG41 DG43 DG10 DG2 DB2 DB21 CR2:CT2 CW92:CX92 CW89:CW91 CW51:CX51 DG20 DD87 DB27 DB49 DG34 DG35 DB35 DB34 DB33 DB36 CW98:CX1048576 CW3 CW2 DG21 DD96 DB15 DB22 DB19 DB17 DB13 DB23 DB5:DB9 DB4 DB16 DB11:DB12 DB48 DB45 DB40 DB42 DB44 DB47 DB39 DB37:DB38 DB32 DB28 DB29:DB31 DB3 DB53:DB66 DB73:DB74 DB70 DB75 DB78 DB79:DB81 DA86:DB86 DA85:DB85 DA84:DB84 DB68 DB67 DB77 DA83:DB83 DB76:DG76 DA89:DG91 CW97 DC97:DF97 DB18 DC93:DD93 DC94:DD94 DC95:DD95 DA97 CZ1 CZ49 DB52 CZ92:DG92 CZ51:DC51 CZ98:DG1048576 DE51:DG51 DG26 DG27 DG15 DG22 DG19 DG17 DG13 DG23 DG5:DG9 DG4 DG16 DG11:DG12 DG48 DG45 DG40 DG42 DG44 DG39 DG37:DG38 DG32 DG28 DG29:DG31 DG3 DG18 DD69 DG53:DG66 DG73:DG74 DG70 DG75 DG68 DG67 DG52 DG78 DD79:DD81 DD77 DD88 DD86 DD85 DD84 DD83 DD49 DG72 DL4:EF9 DL34:EF40 EF33 DL11:EF13 DL10 DQ10 DL42:EF42 DL41 DQ41 DL44:EF45 DL43 DL47:EF49 DL46 DQ46:EF46 DL15:EF19 DL14 EF14 DL22:EF24 DL21 DN21:EF21 EJ32 EJ33 EJ34:XFD34 EJ35:XFD35 EH12 EJ12:XFD12 EJ13:XFD13 EJ14:XFD14 EJ36:XFD36 DF69:DG69 DG79:DG81 DG77 DG87 DG88 DG86 DG85 DG84 DG83 EL32:XFD32 EL33:XFD33 DQ43 DL20 DN20:EF20 EH18:XFD18 DS10:EF10 DS43:EF43 DS41:EF41 EH9:XFD9 DL27:EF32 DL25 DQ25:EF25 DL26 DN26:EF2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R167"/>
  <sheetViews>
    <sheetView zoomScaleNormal="100" workbookViewId="0">
      <pane xSplit="31" ySplit="3" topLeftCell="CH47" activePane="bottomRight" state="frozen"/>
      <selection pane="topRight" activeCell="AF1" sqref="AF1"/>
      <selection pane="bottomLeft" activeCell="A4" sqref="A4"/>
      <selection pane="bottomRight" activeCell="DJ51" sqref="DJ51"/>
    </sheetView>
  </sheetViews>
  <sheetFormatPr defaultColWidth="10.7109375" defaultRowHeight="12.75" outlineLevelRow="2" outlineLevelCol="1"/>
  <cols>
    <col min="1" max="1" width="30.7109375" style="1" customWidth="1"/>
    <col min="2" max="5" width="10.7109375" style="1" hidden="1" customWidth="1" outlineLevel="1" collapsed="1"/>
    <col min="6" max="6" width="10.7109375" style="2" hidden="1" customWidth="1" collapsed="1"/>
    <col min="7" max="10" width="10.7109375" style="1" hidden="1" customWidth="1" outlineLevel="1" collapsed="1"/>
    <col min="11" max="11" width="10.7109375" style="2" hidden="1" customWidth="1" collapsed="1"/>
    <col min="12" max="15" width="10.7109375" style="1" hidden="1" customWidth="1" outlineLevel="1" collapsed="1"/>
    <col min="16" max="16" width="10.7109375" style="2" hidden="1" customWidth="1" collapsed="1"/>
    <col min="17" max="20" width="10.7109375" style="1" hidden="1" customWidth="1" outlineLevel="1" collapsed="1"/>
    <col min="21" max="21" width="10.7109375" style="2" hidden="1" customWidth="1" collapsed="1"/>
    <col min="22" max="25" width="10.7109375" style="1" hidden="1" customWidth="1" outlineLevel="1" collapsed="1"/>
    <col min="26" max="26" width="10.7109375" style="2" hidden="1" customWidth="1" collapsed="1"/>
    <col min="27" max="30" width="10.7109375" style="1" hidden="1" customWidth="1" outlineLevel="1" collapsed="1"/>
    <col min="31" max="31" width="10.7109375" style="2" hidden="1" customWidth="1" collapsed="1"/>
    <col min="32" max="33" width="10.7109375" style="1" hidden="1" customWidth="1" outlineLevel="1" collapsed="1"/>
    <col min="34" max="35" width="10.7109375" style="1" hidden="1" customWidth="1" outlineLevel="1"/>
    <col min="36" max="36" width="10.7109375" style="2" customWidth="1" collapsed="1"/>
    <col min="37" max="38" width="10.7109375" style="1" hidden="1" customWidth="1" outlineLevel="1" collapsed="1"/>
    <col min="39" max="40" width="10.7109375" style="1" hidden="1" customWidth="1" outlineLevel="1"/>
    <col min="41" max="41" width="10.7109375" style="2" customWidth="1" collapsed="1"/>
    <col min="42" max="43" width="10.7109375" style="1" hidden="1" customWidth="1" outlineLevel="1" collapsed="1"/>
    <col min="44" max="45" width="10.7109375" style="1" hidden="1" customWidth="1" outlineLevel="1"/>
    <col min="46" max="46" width="10.7109375" style="2" customWidth="1" collapsed="1"/>
    <col min="47" max="48" width="10.7109375" style="1" hidden="1" customWidth="1" outlineLevel="1" collapsed="1"/>
    <col min="49" max="50" width="10.7109375" style="1" hidden="1" customWidth="1" outlineLevel="1"/>
    <col min="51" max="51" width="10.7109375" style="2" customWidth="1" collapsed="1"/>
    <col min="52" max="53" width="10.7109375" style="1" hidden="1" customWidth="1" outlineLevel="1" collapsed="1"/>
    <col min="54" max="55" width="10.7109375" style="1" hidden="1" customWidth="1" outlineLevel="1"/>
    <col min="56" max="56" width="10.7109375" style="2" customWidth="1" collapsed="1"/>
    <col min="57" max="58" width="10.7109375" style="1" hidden="1" customWidth="1" outlineLevel="1" collapsed="1"/>
    <col min="59" max="60" width="10.7109375" style="1" hidden="1" customWidth="1" outlineLevel="1"/>
    <col min="61" max="61" width="10.7109375" style="2" customWidth="1" collapsed="1"/>
    <col min="62" max="63" width="10.7109375" style="1" hidden="1" customWidth="1" outlineLevel="1" collapsed="1"/>
    <col min="64" max="65" width="10.7109375" style="1" hidden="1" customWidth="1" outlineLevel="1"/>
    <col min="66" max="66" width="10.7109375" style="2" customWidth="1" collapsed="1"/>
    <col min="67" max="68" width="10.7109375" style="1" hidden="1" customWidth="1" outlineLevel="1" collapsed="1"/>
    <col min="69" max="70" width="10.7109375" style="1" hidden="1" customWidth="1" outlineLevel="1"/>
    <col min="71" max="71" width="10.7109375" style="2" customWidth="1" collapsed="1"/>
    <col min="72" max="73" width="10.7109375" style="1" hidden="1" customWidth="1" outlineLevel="1" collapsed="1"/>
    <col min="74" max="75" width="10.7109375" style="1" hidden="1" customWidth="1" outlineLevel="1"/>
    <col min="76" max="76" width="10.7109375" style="2" customWidth="1" collapsed="1"/>
    <col min="77" max="78" width="10.7109375" style="1" hidden="1" customWidth="1" outlineLevel="1" collapsed="1"/>
    <col min="79" max="80" width="10.7109375" style="1" hidden="1" customWidth="1" outlineLevel="1"/>
    <col min="81" max="81" width="10.7109375" style="2" customWidth="1" collapsed="1"/>
    <col min="82" max="83" width="10.7109375" style="1" hidden="1" customWidth="1" outlineLevel="1" collapsed="1"/>
    <col min="84" max="85" width="10.7109375" style="1" hidden="1" customWidth="1" outlineLevel="1"/>
    <col min="86" max="86" width="10.7109375" style="2" customWidth="1" collapsed="1"/>
    <col min="87" max="88" width="10.7109375" style="1" hidden="1" customWidth="1" outlineLevel="1" collapsed="1"/>
    <col min="89" max="90" width="10.7109375" style="1" hidden="1" customWidth="1" outlineLevel="1"/>
    <col min="91" max="91" width="10.7109375" style="2" customWidth="1" collapsed="1"/>
    <col min="92" max="95" width="10.7109375" style="1" hidden="1" customWidth="1" outlineLevel="1"/>
    <col min="96" max="96" width="10.7109375" style="2" customWidth="1" collapsed="1"/>
    <col min="97" max="98" width="10.7109375" style="1" hidden="1" customWidth="1" outlineLevel="1" collapsed="1"/>
    <col min="99" max="100" width="10.7109375" style="1" hidden="1" customWidth="1" outlineLevel="1"/>
    <col min="101" max="101" width="10.7109375" style="2" customWidth="1" collapsed="1"/>
    <col min="102" max="102" width="10.7109375" style="1" hidden="1" customWidth="1" outlineLevel="1"/>
    <col min="103" max="103" width="10.7109375" style="1" hidden="1" customWidth="1" outlineLevel="1" collapsed="1"/>
    <col min="104" max="105" width="10.7109375" style="1" hidden="1" customWidth="1" outlineLevel="1"/>
    <col min="106" max="106" width="10.7109375" style="2" customWidth="1" collapsed="1"/>
    <col min="107" max="108" width="10.7109375" style="1" customWidth="1" outlineLevel="1" collapsed="1"/>
    <col min="109" max="110" width="10.7109375" style="1" customWidth="1" outlineLevel="1"/>
    <col min="111" max="111" width="10.7109375" style="2" customWidth="1"/>
    <col min="112" max="113" width="10.7109375" style="1" customWidth="1" outlineLevel="1" collapsed="1"/>
    <col min="114" max="115" width="10.7109375" style="1" customWidth="1" outlineLevel="1"/>
    <col min="116" max="116" width="10.7109375" style="2"/>
    <col min="117" max="118" width="10.7109375" style="1" customWidth="1" outlineLevel="1" collapsed="1"/>
    <col min="119" max="120" width="10.7109375" style="1" customWidth="1" outlineLevel="1"/>
    <col min="121" max="121" width="10.7109375" style="2"/>
    <col min="122" max="123" width="10.7109375" style="1" customWidth="1" outlineLevel="1" collapsed="1"/>
    <col min="124" max="125" width="10.7109375" style="1" customWidth="1" outlineLevel="1"/>
    <col min="126" max="126" width="10.7109375" style="2"/>
    <col min="127" max="128" width="10.7109375" style="1" hidden="1" customWidth="1" outlineLevel="1" collapsed="1"/>
    <col min="129" max="130" width="10.7109375" style="1" hidden="1" customWidth="1" outlineLevel="1"/>
    <col min="131" max="131" width="10.7109375" style="2" collapsed="1"/>
    <col min="132" max="133" width="10.7109375" style="1" hidden="1" customWidth="1" outlineLevel="1" collapsed="1"/>
    <col min="134" max="135" width="10.7109375" style="1" hidden="1" customWidth="1" outlineLevel="1"/>
    <col min="136" max="136" width="10.7109375" style="2" collapsed="1"/>
    <col min="137" max="16384" width="10.7109375" style="1"/>
  </cols>
  <sheetData>
    <row r="1" spans="1:200" ht="30" customHeight="1">
      <c r="G1" s="52"/>
      <c r="L1" s="52"/>
      <c r="Q1" s="52"/>
      <c r="V1" s="52"/>
      <c r="AA1" s="52"/>
      <c r="AF1" s="309"/>
      <c r="AI1" s="243"/>
      <c r="AK1" s="309"/>
      <c r="AN1" s="243"/>
      <c r="AP1" s="309"/>
      <c r="AS1" s="243"/>
      <c r="AU1" s="309"/>
      <c r="AX1" s="243"/>
      <c r="AZ1" s="309"/>
      <c r="BC1" s="243"/>
      <c r="BE1" s="309"/>
      <c r="BH1" s="243"/>
      <c r="BJ1" s="426"/>
      <c r="BM1" s="243"/>
      <c r="BO1" s="426"/>
      <c r="BR1" s="243"/>
      <c r="BT1" s="426"/>
      <c r="BY1" s="426"/>
      <c r="CD1" s="426"/>
      <c r="CI1" s="426"/>
      <c r="CR1" s="2">
        <f>490/9760</f>
        <v>5.0204918032786885E-2</v>
      </c>
      <c r="CS1" s="426"/>
      <c r="CT1" s="426"/>
      <c r="CU1" s="426"/>
      <c r="CX1" s="426"/>
      <c r="CY1" s="426"/>
      <c r="CZ1" s="426"/>
      <c r="DB1" s="449">
        <f>DB4/AVERAGE(DB43)</f>
        <v>3.9611262745670808</v>
      </c>
      <c r="DC1" s="407">
        <f>DB61/DB4</f>
        <v>0.9229400167538736</v>
      </c>
      <c r="DD1" s="408">
        <v>0.2</v>
      </c>
      <c r="DE1" s="409">
        <f>DB1*DC1*DD1</f>
        <v>0.73117639004263013</v>
      </c>
      <c r="DF1" s="410">
        <f>(DE1-DCF!$B$25)/(DCF!$B$23-DCF!$B$25)</f>
        <v>6.0295655870633089</v>
      </c>
      <c r="DI1" s="52"/>
    </row>
    <row r="2" spans="1:200" outlineLevel="1">
      <c r="A2" s="3" t="str">
        <f ca="1">DCF!$A$2</f>
        <v>Cury - TP: R$48</v>
      </c>
      <c r="J2" s="52"/>
      <c r="O2" s="52"/>
      <c r="T2" s="52"/>
      <c r="Y2" s="52"/>
      <c r="AD2" s="52"/>
      <c r="AF2" s="27"/>
      <c r="AG2" s="27"/>
      <c r="AH2" s="83"/>
      <c r="AI2" s="27"/>
      <c r="AJ2" s="67"/>
      <c r="AK2" s="27"/>
      <c r="AL2" s="27"/>
      <c r="AM2" s="83"/>
      <c r="AN2" s="27"/>
      <c r="AO2" s="67"/>
      <c r="AP2" s="27"/>
      <c r="AQ2" s="27"/>
      <c r="AR2" s="83"/>
      <c r="AS2" s="27"/>
      <c r="AT2" s="67"/>
      <c r="AU2" s="27"/>
      <c r="AV2" s="27"/>
      <c r="AW2" s="83"/>
      <c r="AX2" s="27"/>
      <c r="AY2" s="67"/>
      <c r="AZ2" s="27"/>
      <c r="BA2" s="27"/>
      <c r="BB2" s="83"/>
      <c r="BC2" s="27"/>
      <c r="BD2" s="67"/>
      <c r="BE2" s="27"/>
      <c r="BF2" s="27"/>
      <c r="BG2" s="83"/>
      <c r="BH2" s="27"/>
      <c r="BI2" s="67"/>
      <c r="BJ2" s="27"/>
      <c r="BK2" s="27"/>
      <c r="BL2" s="83"/>
      <c r="BM2" s="27"/>
      <c r="BN2" s="67"/>
      <c r="BO2" s="27"/>
      <c r="BP2" s="27"/>
      <c r="BQ2" s="83"/>
      <c r="BR2" s="27"/>
      <c r="BS2" s="67"/>
      <c r="BT2" s="27"/>
      <c r="BU2" s="27"/>
      <c r="BV2" s="83"/>
      <c r="BW2" s="27"/>
      <c r="BX2" s="67"/>
      <c r="BY2" s="27"/>
      <c r="BZ2" s="27"/>
      <c r="CA2" s="83"/>
      <c r="CB2" s="402"/>
      <c r="CC2" s="67"/>
      <c r="CD2" s="27"/>
      <c r="CE2" s="27"/>
      <c r="CF2" s="52"/>
      <c r="CG2" s="402"/>
      <c r="CH2" s="411"/>
      <c r="CI2" s="27"/>
      <c r="CJ2" s="402"/>
      <c r="CK2" s="27"/>
      <c r="CL2" s="52"/>
      <c r="CM2" s="411"/>
      <c r="CN2" s="52"/>
      <c r="CO2" s="52"/>
      <c r="CR2" s="411"/>
      <c r="CS2" s="27"/>
      <c r="CT2" s="52"/>
      <c r="CU2" s="27"/>
      <c r="CW2" s="411"/>
      <c r="CX2" s="27"/>
      <c r="CY2" s="52"/>
      <c r="CZ2" s="27"/>
      <c r="DB2" s="449" t="s">
        <v>472</v>
      </c>
      <c r="DC2" s="412" t="s">
        <v>164</v>
      </c>
      <c r="DD2" s="412" t="s">
        <v>124</v>
      </c>
      <c r="DE2" s="413" t="s">
        <v>252</v>
      </c>
      <c r="DF2" s="412" t="s">
        <v>319</v>
      </c>
      <c r="DG2" s="67"/>
      <c r="DH2" s="27"/>
      <c r="DI2" s="27"/>
      <c r="DJ2" s="27"/>
      <c r="DK2" s="27"/>
      <c r="DL2" s="67"/>
      <c r="DM2" s="27"/>
      <c r="DN2" s="27"/>
      <c r="DO2" s="27"/>
      <c r="DP2" s="27"/>
      <c r="DQ2" s="67"/>
      <c r="DR2" s="27"/>
      <c r="DS2" s="27"/>
      <c r="DT2" s="27"/>
      <c r="DU2" s="27"/>
      <c r="DV2" s="67"/>
      <c r="DW2" s="27"/>
      <c r="DX2" s="27"/>
      <c r="DY2" s="27"/>
      <c r="DZ2" s="27"/>
      <c r="EA2" s="67"/>
      <c r="EB2" s="27"/>
      <c r="EC2" s="27"/>
      <c r="ED2" s="27"/>
      <c r="EE2" s="27"/>
      <c r="EF2" s="67"/>
    </row>
    <row r="3" spans="1:200" s="8" customFormat="1" ht="12" customHeight="1" thickBot="1">
      <c r="A3" s="4"/>
      <c r="B3" s="30" t="str">
        <f>Macro!B$9</f>
        <v>1Q04</v>
      </c>
      <c r="C3" s="30" t="str">
        <f>Macro!C$9</f>
        <v>2Q04</v>
      </c>
      <c r="D3" s="30" t="str">
        <f>Macro!D$9</f>
        <v>3Q04</v>
      </c>
      <c r="E3" s="30" t="str">
        <f>Macro!E$9</f>
        <v>4Q04</v>
      </c>
      <c r="F3" s="29" t="str">
        <f>Macro!F$9</f>
        <v>2004</v>
      </c>
      <c r="G3" s="30" t="str">
        <f>Macro!G$9</f>
        <v>1Q05</v>
      </c>
      <c r="H3" s="30" t="str">
        <f>Macro!H$9</f>
        <v>2Q05</v>
      </c>
      <c r="I3" s="30" t="str">
        <f>Macro!I$9</f>
        <v>3Q05</v>
      </c>
      <c r="J3" s="30" t="str">
        <f>Macro!J$9</f>
        <v>4Q05</v>
      </c>
      <c r="K3" s="29" t="str">
        <f>Macro!K$9</f>
        <v>2005</v>
      </c>
      <c r="L3" s="30" t="str">
        <f>Macro!L$9</f>
        <v>1Q06</v>
      </c>
      <c r="M3" s="30" t="str">
        <f>Macro!M$9</f>
        <v>2Q06</v>
      </c>
      <c r="N3" s="30" t="str">
        <f>Macro!N$9</f>
        <v>3Q06</v>
      </c>
      <c r="O3" s="30" t="str">
        <f>Macro!O$9</f>
        <v>4Q06</v>
      </c>
      <c r="P3" s="29" t="str">
        <f>Macro!P$9</f>
        <v>2006</v>
      </c>
      <c r="Q3" s="30" t="str">
        <f>Macro!Q$9</f>
        <v>1Q07</v>
      </c>
      <c r="R3" s="30" t="str">
        <f>Macro!R$9</f>
        <v>2Q07</v>
      </c>
      <c r="S3" s="30" t="str">
        <f>Macro!S$9</f>
        <v>3Q07</v>
      </c>
      <c r="T3" s="30" t="str">
        <f>Macro!T$9</f>
        <v>4Q07</v>
      </c>
      <c r="U3" s="29" t="str">
        <f>Macro!U$9</f>
        <v>2007</v>
      </c>
      <c r="V3" s="30" t="str">
        <f>Macro!V$9</f>
        <v>1Q08</v>
      </c>
      <c r="W3" s="30" t="str">
        <f>Macro!W$9</f>
        <v>2Q08</v>
      </c>
      <c r="X3" s="30" t="str">
        <f>Macro!X$9</f>
        <v>3Q08</v>
      </c>
      <c r="Y3" s="30" t="str">
        <f>Macro!Y$9</f>
        <v>4Q08</v>
      </c>
      <c r="Z3" s="29" t="str">
        <f>Macro!Z$9</f>
        <v>2008</v>
      </c>
      <c r="AA3" s="30" t="str">
        <f>Macro!AA$9</f>
        <v>1Q09</v>
      </c>
      <c r="AB3" s="30" t="str">
        <f>Macro!AB$9</f>
        <v>2Q09</v>
      </c>
      <c r="AC3" s="30" t="str">
        <f>Macro!AC$9</f>
        <v>3Q09</v>
      </c>
      <c r="AD3" s="30" t="str">
        <f>Macro!AD$9</f>
        <v>4Q09</v>
      </c>
      <c r="AE3" s="29" t="str">
        <f>Macro!AE$9</f>
        <v>2009</v>
      </c>
      <c r="AF3" s="30" t="str">
        <f>Macro!AF$9</f>
        <v>1Q10</v>
      </c>
      <c r="AG3" s="30" t="str">
        <f>Macro!AG$9</f>
        <v>2Q10</v>
      </c>
      <c r="AH3" s="30" t="str">
        <f>Macro!AH$9</f>
        <v>3Q10</v>
      </c>
      <c r="AI3" s="31" t="str">
        <f>Macro!AI$9</f>
        <v>4Q10</v>
      </c>
      <c r="AJ3" s="29" t="str">
        <f>Macro!AJ$9</f>
        <v>2010</v>
      </c>
      <c r="AK3" s="30" t="str">
        <f>Macro!AK$9</f>
        <v>1Q11</v>
      </c>
      <c r="AL3" s="30" t="str">
        <f>Macro!AL$9</f>
        <v>2Q11</v>
      </c>
      <c r="AM3" s="30" t="str">
        <f>Macro!AM$9</f>
        <v>3Q11</v>
      </c>
      <c r="AN3" s="31" t="str">
        <f>Macro!AN$9</f>
        <v>4Q11</v>
      </c>
      <c r="AO3" s="29" t="str">
        <f>Macro!AO$9</f>
        <v>2011</v>
      </c>
      <c r="AP3" s="30" t="str">
        <f>Macro!AP$9</f>
        <v>1Q12</v>
      </c>
      <c r="AQ3" s="30" t="str">
        <f>Macro!AQ$9</f>
        <v>2Q12</v>
      </c>
      <c r="AR3" s="30" t="str">
        <f>Macro!AR$9</f>
        <v>3Q12</v>
      </c>
      <c r="AS3" s="31" t="str">
        <f>Macro!AS$9</f>
        <v>4Q12</v>
      </c>
      <c r="AT3" s="29" t="str">
        <f>Macro!AT$9</f>
        <v>2012</v>
      </c>
      <c r="AU3" s="30" t="str">
        <f>Macro!AU$9</f>
        <v>1Q13</v>
      </c>
      <c r="AV3" s="30" t="str">
        <f>Macro!AV$9</f>
        <v>2Q13</v>
      </c>
      <c r="AW3" s="30" t="str">
        <f>Macro!AW$9</f>
        <v>3Q13</v>
      </c>
      <c r="AX3" s="31" t="str">
        <f>Macro!AX$9</f>
        <v>4Q13</v>
      </c>
      <c r="AY3" s="29" t="str">
        <f>Macro!AY$9</f>
        <v>2013</v>
      </c>
      <c r="AZ3" s="30" t="str">
        <f>Macro!AZ$9</f>
        <v>1Q14</v>
      </c>
      <c r="BA3" s="30" t="str">
        <f>Macro!BA$9</f>
        <v>2Q14</v>
      </c>
      <c r="BB3" s="30" t="str">
        <f>Macro!BB$9</f>
        <v>3Q14</v>
      </c>
      <c r="BC3" s="31" t="str">
        <f>Macro!BC$9</f>
        <v>4Q14</v>
      </c>
      <c r="BD3" s="29" t="str">
        <f>Macro!BD$9</f>
        <v>2014</v>
      </c>
      <c r="BE3" s="30" t="str">
        <f>Macro!BE$9</f>
        <v>1Q15</v>
      </c>
      <c r="BF3" s="30" t="str">
        <f>Macro!BF$9</f>
        <v>2Q15</v>
      </c>
      <c r="BG3" s="30" t="str">
        <f>Macro!BG$9</f>
        <v>3Q15</v>
      </c>
      <c r="BH3" s="31" t="str">
        <f>Macro!BH$9</f>
        <v>4Q15</v>
      </c>
      <c r="BI3" s="29" t="str">
        <f>Macro!BI$9</f>
        <v>2015</v>
      </c>
      <c r="BJ3" s="30" t="str">
        <f>Macro!BJ$9</f>
        <v>1Q16</v>
      </c>
      <c r="BK3" s="30" t="str">
        <f>Macro!BK$9</f>
        <v>2Q16</v>
      </c>
      <c r="BL3" s="30" t="str">
        <f>Macro!BL$9</f>
        <v>3Q16</v>
      </c>
      <c r="BM3" s="31" t="str">
        <f>Macro!BM$9</f>
        <v>4Q16</v>
      </c>
      <c r="BN3" s="29" t="str">
        <f>Macro!BN$9</f>
        <v>2016</v>
      </c>
      <c r="BO3" s="30" t="str">
        <f>Macro!BO$9</f>
        <v>1Q17</v>
      </c>
      <c r="BP3" s="30" t="str">
        <f>Macro!BP$9</f>
        <v>2Q17</v>
      </c>
      <c r="BQ3" s="30" t="str">
        <f>Macro!BQ$9</f>
        <v>3Q17</v>
      </c>
      <c r="BR3" s="31" t="str">
        <f>Macro!BR$9</f>
        <v>4Q17</v>
      </c>
      <c r="BS3" s="29" t="str">
        <f>Macro!BS$9</f>
        <v>2017</v>
      </c>
      <c r="BT3" s="30" t="str">
        <f>Macro!BT$9</f>
        <v>1Q18</v>
      </c>
      <c r="BU3" s="30" t="str">
        <f>Macro!BU$9</f>
        <v>2Q18</v>
      </c>
      <c r="BV3" s="30" t="str">
        <f>Macro!BV$9</f>
        <v>3Q18</v>
      </c>
      <c r="BW3" s="31" t="str">
        <f>Macro!BW$9</f>
        <v>4Q18</v>
      </c>
      <c r="BX3" s="29" t="str">
        <f>Macro!BX$9</f>
        <v>2018</v>
      </c>
      <c r="BY3" s="30" t="str">
        <f>Macro!BY$9</f>
        <v>1Q19</v>
      </c>
      <c r="BZ3" s="30" t="str">
        <f>Macro!BZ$9</f>
        <v>2Q19</v>
      </c>
      <c r="CA3" s="30" t="str">
        <f>Macro!CA$9</f>
        <v>3Q19</v>
      </c>
      <c r="CB3" s="31" t="str">
        <f>Macro!CB$9</f>
        <v>4Q19</v>
      </c>
      <c r="CC3" s="29" t="str">
        <f>Macro!CC$9</f>
        <v>2019</v>
      </c>
      <c r="CD3" s="30" t="str">
        <f>Macro!CD$9</f>
        <v>1Q20</v>
      </c>
      <c r="CE3" s="30" t="str">
        <f>Macro!CE$9</f>
        <v>2Q20</v>
      </c>
      <c r="CF3" s="30" t="str">
        <f>Macro!CF$9</f>
        <v>3Q20</v>
      </c>
      <c r="CG3" s="31" t="str">
        <f>Macro!CG$9</f>
        <v>4Q20</v>
      </c>
      <c r="CH3" s="29" t="str">
        <f>Macro!CH$9</f>
        <v>2020</v>
      </c>
      <c r="CI3" s="30" t="str">
        <f>Macro!CI$9</f>
        <v>1Q21</v>
      </c>
      <c r="CJ3" s="31" t="str">
        <f>Macro!CJ$9</f>
        <v>2Q21</v>
      </c>
      <c r="CK3" s="30" t="str">
        <f>Macro!CK$9</f>
        <v>3Q21</v>
      </c>
      <c r="CL3" s="31" t="str">
        <f>Macro!CL$9</f>
        <v>4Q21</v>
      </c>
      <c r="CM3" s="29" t="str">
        <f>Macro!CM$9</f>
        <v>2021</v>
      </c>
      <c r="CN3" s="30" t="str">
        <f>Macro!CN$9</f>
        <v>1Q22</v>
      </c>
      <c r="CO3" s="30" t="str">
        <f>Macro!CO$9</f>
        <v>2Q22</v>
      </c>
      <c r="CP3" s="31" t="str">
        <f>Macro!CP$9</f>
        <v>3Q22</v>
      </c>
      <c r="CQ3" s="31" t="str">
        <f>Macro!CQ$9</f>
        <v>4Q22</v>
      </c>
      <c r="CR3" s="29" t="str">
        <f>Macro!CR$9</f>
        <v>2022</v>
      </c>
      <c r="CS3" s="31" t="str">
        <f>Macro!CS$9</f>
        <v>1Q23</v>
      </c>
      <c r="CT3" s="31" t="str">
        <f>Macro!CT$9</f>
        <v>2Q23</v>
      </c>
      <c r="CU3" s="30" t="str">
        <f>Macro!CU$9</f>
        <v>3Q23</v>
      </c>
      <c r="CV3" s="31" t="str">
        <f>Macro!CV$9</f>
        <v>4Q23</v>
      </c>
      <c r="CW3" s="29" t="str">
        <f>Macro!CW$9</f>
        <v>2023</v>
      </c>
      <c r="CX3" s="31" t="str">
        <f>Macro!CX$9</f>
        <v>1Q24</v>
      </c>
      <c r="CY3" s="31" t="str">
        <f>Macro!CY$9</f>
        <v>2Q24</v>
      </c>
      <c r="CZ3" s="31" t="str">
        <f>Macro!CZ$9</f>
        <v>3Q24</v>
      </c>
      <c r="DA3" s="31" t="str">
        <f>Macro!DA$9</f>
        <v>4Q24</v>
      </c>
      <c r="DB3" s="29" t="str">
        <f>Macro!DB$9</f>
        <v>2024</v>
      </c>
      <c r="DC3" s="31" t="str">
        <f>Macro!DC$9</f>
        <v>1Q25</v>
      </c>
      <c r="DD3" s="30" t="str">
        <f>Macro!DD$9</f>
        <v>2Q25</v>
      </c>
      <c r="DE3" s="31" t="str">
        <f>Macro!DE$9</f>
        <v>3Q25</v>
      </c>
      <c r="DF3" s="31" t="str">
        <f>Macro!DF$9</f>
        <v>4Q25</v>
      </c>
      <c r="DG3" s="29" t="str">
        <f>Macro!DG$9</f>
        <v>2025</v>
      </c>
      <c r="DH3" s="30" t="str">
        <f>Macro!DH$9</f>
        <v>1Q26</v>
      </c>
      <c r="DI3" s="30" t="str">
        <f>Macro!DI$9</f>
        <v>2Q26</v>
      </c>
      <c r="DJ3" s="30" t="str">
        <f>Macro!DJ$9</f>
        <v>3Q26E</v>
      </c>
      <c r="DK3" s="31" t="str">
        <f>Macro!DK$9</f>
        <v>4Q26E</v>
      </c>
      <c r="DL3" s="29" t="str">
        <f>Macro!DL$9</f>
        <v>2026E</v>
      </c>
      <c r="DM3" s="30" t="str">
        <f>Macro!DM$9</f>
        <v>1Q27E</v>
      </c>
      <c r="DN3" s="30" t="str">
        <f>Macro!DN$9</f>
        <v>2Q27E</v>
      </c>
      <c r="DO3" s="30" t="str">
        <f>Macro!DO$9</f>
        <v>3Q27E</v>
      </c>
      <c r="DP3" s="31" t="str">
        <f>Macro!DP$9</f>
        <v>4Q27E</v>
      </c>
      <c r="DQ3" s="29" t="str">
        <f>Macro!DQ$9</f>
        <v>2027E</v>
      </c>
      <c r="DR3" s="30" t="str">
        <f>Macro!DR$9</f>
        <v>1Q28E</v>
      </c>
      <c r="DS3" s="30" t="str">
        <f>Macro!DS$9</f>
        <v>2Q28E</v>
      </c>
      <c r="DT3" s="30" t="str">
        <f>Macro!DT$9</f>
        <v>3Q28E</v>
      </c>
      <c r="DU3" s="31" t="str">
        <f>Macro!DU$9</f>
        <v>4Q28E</v>
      </c>
      <c r="DV3" s="29" t="str">
        <f>Macro!DV$9</f>
        <v>2028E</v>
      </c>
      <c r="DW3" s="30" t="str">
        <f>Macro!DW$9</f>
        <v>1Q29E</v>
      </c>
      <c r="DX3" s="30" t="str">
        <f>Macro!DX$9</f>
        <v>2Q29E</v>
      </c>
      <c r="DY3" s="30" t="str">
        <f>Macro!DY$9</f>
        <v>3Q29E</v>
      </c>
      <c r="DZ3" s="31" t="str">
        <f>Macro!DZ$9</f>
        <v>4Q29E</v>
      </c>
      <c r="EA3" s="29" t="str">
        <f>Macro!EA$9</f>
        <v>2029E</v>
      </c>
      <c r="EB3" s="30" t="str">
        <f>Macro!EB$9</f>
        <v>1Q30E</v>
      </c>
      <c r="EC3" s="30" t="str">
        <f>Macro!EC$9</f>
        <v>2Q30E</v>
      </c>
      <c r="ED3" s="30" t="str">
        <f>Macro!ED$9</f>
        <v>3Q30E</v>
      </c>
      <c r="EE3" s="31" t="str">
        <f>Macro!EE$9</f>
        <v>4Q30E</v>
      </c>
      <c r="EF3" s="29" t="str">
        <f>Macro!EF$9</f>
        <v>2030E</v>
      </c>
    </row>
    <row r="4" spans="1:200" ht="12" customHeight="1">
      <c r="A4" s="121" t="s">
        <v>16</v>
      </c>
      <c r="B4" s="122">
        <f t="shared" ref="B4:K4" si="0">B5+B19</f>
        <v>0</v>
      </c>
      <c r="C4" s="122">
        <f t="shared" si="0"/>
        <v>0</v>
      </c>
      <c r="D4" s="122">
        <f t="shared" si="0"/>
        <v>0</v>
      </c>
      <c r="E4" s="122">
        <f t="shared" si="0"/>
        <v>0</v>
      </c>
      <c r="F4" s="123">
        <f t="shared" si="0"/>
        <v>0</v>
      </c>
      <c r="G4" s="122">
        <f t="shared" si="0"/>
        <v>0</v>
      </c>
      <c r="H4" s="122">
        <f t="shared" si="0"/>
        <v>0</v>
      </c>
      <c r="I4" s="122">
        <f t="shared" si="0"/>
        <v>0</v>
      </c>
      <c r="J4" s="122">
        <f t="shared" si="0"/>
        <v>0</v>
      </c>
      <c r="K4" s="123">
        <f t="shared" si="0"/>
        <v>0</v>
      </c>
      <c r="L4" s="122">
        <f t="shared" ref="L4:BN4" si="1">L5+L19</f>
        <v>0</v>
      </c>
      <c r="M4" s="122">
        <f t="shared" si="1"/>
        <v>0</v>
      </c>
      <c r="N4" s="122">
        <f t="shared" si="1"/>
        <v>0</v>
      </c>
      <c r="O4" s="122">
        <f t="shared" si="1"/>
        <v>0</v>
      </c>
      <c r="P4" s="123">
        <f t="shared" si="1"/>
        <v>0</v>
      </c>
      <c r="Q4" s="122">
        <f t="shared" si="1"/>
        <v>0</v>
      </c>
      <c r="R4" s="122">
        <f t="shared" si="1"/>
        <v>0</v>
      </c>
      <c r="S4" s="122">
        <f t="shared" si="1"/>
        <v>0</v>
      </c>
      <c r="T4" s="122">
        <f t="shared" si="1"/>
        <v>0</v>
      </c>
      <c r="U4" s="123">
        <f t="shared" si="1"/>
        <v>0</v>
      </c>
      <c r="V4" s="122">
        <f t="shared" si="1"/>
        <v>0</v>
      </c>
      <c r="W4" s="122">
        <f t="shared" si="1"/>
        <v>0</v>
      </c>
      <c r="X4" s="122">
        <f t="shared" si="1"/>
        <v>0</v>
      </c>
      <c r="Y4" s="122">
        <f t="shared" si="1"/>
        <v>0</v>
      </c>
      <c r="Z4" s="123">
        <f t="shared" si="1"/>
        <v>0</v>
      </c>
      <c r="AA4" s="122">
        <f t="shared" si="1"/>
        <v>0</v>
      </c>
      <c r="AB4" s="122">
        <f t="shared" si="1"/>
        <v>0</v>
      </c>
      <c r="AC4" s="122">
        <f t="shared" si="1"/>
        <v>0</v>
      </c>
      <c r="AD4" s="122">
        <f t="shared" si="1"/>
        <v>0</v>
      </c>
      <c r="AE4" s="123">
        <f t="shared" si="1"/>
        <v>0</v>
      </c>
      <c r="AF4" s="122">
        <f t="shared" si="1"/>
        <v>0</v>
      </c>
      <c r="AG4" s="122">
        <f t="shared" si="1"/>
        <v>0</v>
      </c>
      <c r="AH4" s="122">
        <f t="shared" si="1"/>
        <v>0</v>
      </c>
      <c r="AI4" s="122">
        <f t="shared" si="1"/>
        <v>314859.24300000002</v>
      </c>
      <c r="AJ4" s="123">
        <f t="shared" si="1"/>
        <v>314859.24300000002</v>
      </c>
      <c r="AK4" s="122">
        <f t="shared" si="1"/>
        <v>0</v>
      </c>
      <c r="AL4" s="122">
        <f t="shared" si="1"/>
        <v>0</v>
      </c>
      <c r="AM4" s="122">
        <f t="shared" si="1"/>
        <v>0</v>
      </c>
      <c r="AN4" s="122">
        <f t="shared" si="1"/>
        <v>474448.429</v>
      </c>
      <c r="AO4" s="123">
        <f t="shared" si="1"/>
        <v>474448.429</v>
      </c>
      <c r="AP4" s="122">
        <f t="shared" si="1"/>
        <v>0</v>
      </c>
      <c r="AQ4" s="122">
        <f t="shared" si="1"/>
        <v>0</v>
      </c>
      <c r="AR4" s="122">
        <f t="shared" si="1"/>
        <v>0</v>
      </c>
      <c r="AS4" s="122">
        <f t="shared" si="1"/>
        <v>700141.09899999993</v>
      </c>
      <c r="AT4" s="123">
        <f t="shared" si="1"/>
        <v>700141.09899999993</v>
      </c>
      <c r="AU4" s="122">
        <f>AU5+AU19</f>
        <v>0</v>
      </c>
      <c r="AV4" s="122">
        <f>AV5+AV19</f>
        <v>0</v>
      </c>
      <c r="AW4" s="122">
        <f>AW5+AW19</f>
        <v>0</v>
      </c>
      <c r="AX4" s="122">
        <f>AX5+AX19</f>
        <v>732510</v>
      </c>
      <c r="AY4" s="123">
        <f>AY5+AY19</f>
        <v>732510</v>
      </c>
      <c r="AZ4" s="122">
        <f t="shared" si="1"/>
        <v>0</v>
      </c>
      <c r="BA4" s="122">
        <f t="shared" si="1"/>
        <v>0</v>
      </c>
      <c r="BB4" s="122">
        <f t="shared" si="1"/>
        <v>0</v>
      </c>
      <c r="BC4" s="122">
        <f t="shared" si="1"/>
        <v>962587</v>
      </c>
      <c r="BD4" s="123">
        <f t="shared" si="1"/>
        <v>962587</v>
      </c>
      <c r="BE4" s="122">
        <f t="shared" si="1"/>
        <v>0</v>
      </c>
      <c r="BF4" s="122">
        <f t="shared" si="1"/>
        <v>0</v>
      </c>
      <c r="BG4" s="122">
        <f t="shared" si="1"/>
        <v>0</v>
      </c>
      <c r="BH4" s="122">
        <f t="shared" si="1"/>
        <v>1097601</v>
      </c>
      <c r="BI4" s="123">
        <f t="shared" si="1"/>
        <v>1097601</v>
      </c>
      <c r="BJ4" s="122">
        <f t="shared" si="1"/>
        <v>0</v>
      </c>
      <c r="BK4" s="122">
        <f t="shared" si="1"/>
        <v>0</v>
      </c>
      <c r="BL4" s="122">
        <f t="shared" si="1"/>
        <v>0</v>
      </c>
      <c r="BM4" s="122">
        <f t="shared" si="1"/>
        <v>1107695</v>
      </c>
      <c r="BN4" s="123">
        <f t="shared" si="1"/>
        <v>1107695</v>
      </c>
      <c r="BO4" s="122">
        <f t="shared" ref="BO4:CC4" si="2">BO5+BO19</f>
        <v>0</v>
      </c>
      <c r="BP4" s="122">
        <f t="shared" si="2"/>
        <v>0</v>
      </c>
      <c r="BQ4" s="122">
        <f t="shared" si="2"/>
        <v>0</v>
      </c>
      <c r="BR4" s="122">
        <f t="shared" si="2"/>
        <v>1275696</v>
      </c>
      <c r="BS4" s="123">
        <f t="shared" si="2"/>
        <v>1275696</v>
      </c>
      <c r="BT4" s="122">
        <f t="shared" si="2"/>
        <v>0</v>
      </c>
      <c r="BU4" s="122">
        <f t="shared" si="2"/>
        <v>0</v>
      </c>
      <c r="BV4" s="122">
        <f t="shared" si="2"/>
        <v>0</v>
      </c>
      <c r="BW4" s="122">
        <f>BW5+BW19</f>
        <v>1129517</v>
      </c>
      <c r="BX4" s="123">
        <f t="shared" si="2"/>
        <v>1129517</v>
      </c>
      <c r="BY4" s="122">
        <f t="shared" si="2"/>
        <v>0</v>
      </c>
      <c r="BZ4" s="122">
        <f t="shared" si="2"/>
        <v>0</v>
      </c>
      <c r="CA4" s="122">
        <f t="shared" si="2"/>
        <v>0</v>
      </c>
      <c r="CB4" s="122">
        <f t="shared" si="2"/>
        <v>1287998</v>
      </c>
      <c r="CC4" s="123">
        <f t="shared" si="2"/>
        <v>1287998</v>
      </c>
      <c r="CD4" s="122">
        <f>CD5+CD19</f>
        <v>1263875</v>
      </c>
      <c r="CE4" s="122">
        <f>CE5+CE19</f>
        <v>1430167</v>
      </c>
      <c r="CF4" s="122">
        <f t="shared" ref="CF4:DG4" si="3">CF5+CF19</f>
        <v>1795232</v>
      </c>
      <c r="CG4" s="122">
        <f t="shared" si="3"/>
        <v>1644712</v>
      </c>
      <c r="CH4" s="123">
        <f t="shared" si="3"/>
        <v>1644712</v>
      </c>
      <c r="CI4" s="122">
        <f t="shared" si="3"/>
        <v>1918297</v>
      </c>
      <c r="CJ4" s="122">
        <f>CJ5+CJ19</f>
        <v>2032570</v>
      </c>
      <c r="CK4" s="122">
        <f t="shared" si="3"/>
        <v>2177211</v>
      </c>
      <c r="CL4" s="122">
        <f>CL5+CL19</f>
        <v>2597922</v>
      </c>
      <c r="CM4" s="123">
        <f t="shared" si="3"/>
        <v>2597922</v>
      </c>
      <c r="CN4" s="122">
        <f>CN5+CN19</f>
        <v>2933909</v>
      </c>
      <c r="CO4" s="122">
        <f>CO5+CO19</f>
        <v>2917631</v>
      </c>
      <c r="CP4" s="122">
        <f>CP5+CP19</f>
        <v>2784853</v>
      </c>
      <c r="CQ4" s="122">
        <f>CQ5+CQ19</f>
        <v>2798431</v>
      </c>
      <c r="CR4" s="123">
        <f t="shared" si="3"/>
        <v>2798431</v>
      </c>
      <c r="CS4" s="122">
        <f t="shared" si="3"/>
        <v>2733836</v>
      </c>
      <c r="CT4" s="122">
        <f t="shared" si="3"/>
        <v>2836650</v>
      </c>
      <c r="CU4" s="122">
        <f t="shared" ref="CU4:DA4" si="4">CU5+CU19</f>
        <v>3150612</v>
      </c>
      <c r="CV4" s="122">
        <f t="shared" si="4"/>
        <v>3092023</v>
      </c>
      <c r="CW4" s="123">
        <f t="shared" si="4"/>
        <v>3092023</v>
      </c>
      <c r="CX4" s="122">
        <f t="shared" si="4"/>
        <v>3412477</v>
      </c>
      <c r="CY4" s="122">
        <f t="shared" si="4"/>
        <v>3983671</v>
      </c>
      <c r="CZ4" s="122">
        <f t="shared" si="4"/>
        <v>3957292</v>
      </c>
      <c r="DA4" s="122">
        <f t="shared" si="4"/>
        <v>4339295</v>
      </c>
      <c r="DB4" s="123">
        <f t="shared" si="3"/>
        <v>4339295</v>
      </c>
      <c r="DC4" s="122">
        <f t="shared" si="3"/>
        <v>4870968</v>
      </c>
      <c r="DD4" s="122">
        <f t="shared" si="3"/>
        <v>5183964</v>
      </c>
      <c r="DE4" s="122">
        <f t="shared" si="3"/>
        <v>5631997</v>
      </c>
      <c r="DF4" s="122">
        <f>DF5+DF19</f>
        <v>5654395</v>
      </c>
      <c r="DG4" s="123">
        <f t="shared" si="3"/>
        <v>5654395</v>
      </c>
      <c r="DH4" s="122">
        <f t="shared" ref="DH4:EF4" si="5">DH5+DH19</f>
        <v>6195487</v>
      </c>
      <c r="DI4" s="122">
        <f t="shared" si="5"/>
        <v>6278509</v>
      </c>
      <c r="DJ4" s="122">
        <f t="shared" ca="1" si="5"/>
        <v>6598650.0910356194</v>
      </c>
      <c r="DK4" s="122">
        <f t="shared" ca="1" si="5"/>
        <v>6826307.1064742059</v>
      </c>
      <c r="DL4" s="123">
        <f t="shared" ca="1" si="5"/>
        <v>6826307.1064742059</v>
      </c>
      <c r="DM4" s="122">
        <f t="shared" ca="1" si="5"/>
        <v>7085772.9841389535</v>
      </c>
      <c r="DN4" s="122">
        <f t="shared" ca="1" si="5"/>
        <v>7343697.7633780567</v>
      </c>
      <c r="DO4" s="122">
        <f t="shared" ca="1" si="5"/>
        <v>7587978.3813489741</v>
      </c>
      <c r="DP4" s="122">
        <f t="shared" ca="1" si="5"/>
        <v>8079184.6537180357</v>
      </c>
      <c r="DQ4" s="123">
        <f t="shared" ca="1" si="5"/>
        <v>8079184.6537180357</v>
      </c>
      <c r="DR4" s="122">
        <f t="shared" ca="1" si="5"/>
        <v>7364358.8283386128</v>
      </c>
      <c r="DS4" s="122">
        <f t="shared" ca="1" si="5"/>
        <v>7619156.2956884364</v>
      </c>
      <c r="DT4" s="122">
        <f t="shared" ca="1" si="5"/>
        <v>8135411.6992269354</v>
      </c>
      <c r="DU4" s="122">
        <f t="shared" ca="1" si="5"/>
        <v>8667397.9859439861</v>
      </c>
      <c r="DV4" s="123">
        <f t="shared" ca="1" si="5"/>
        <v>8667397.9859439861</v>
      </c>
      <c r="DW4" s="122">
        <f t="shared" ca="1" si="5"/>
        <v>7659087.6749640815</v>
      </c>
      <c r="DX4" s="122">
        <f t="shared" ca="1" si="5"/>
        <v>8179250.4496658584</v>
      </c>
      <c r="DY4" s="122">
        <f t="shared" ca="1" si="5"/>
        <v>8715812.0847896393</v>
      </c>
      <c r="DZ4" s="122">
        <f t="shared" ca="1" si="5"/>
        <v>9269513.2373916581</v>
      </c>
      <c r="EA4" s="123">
        <f t="shared" ca="1" si="5"/>
        <v>9269513.2373916581</v>
      </c>
      <c r="EB4" s="122">
        <f t="shared" ca="1" si="5"/>
        <v>8200665.9565143306</v>
      </c>
      <c r="EC4" s="122">
        <f t="shared" ca="1" si="5"/>
        <v>8711791.1807060409</v>
      </c>
      <c r="ED4" s="122">
        <f t="shared" ca="1" si="5"/>
        <v>9210182.433947036</v>
      </c>
      <c r="EE4" s="122">
        <f t="shared" ca="1" si="5"/>
        <v>9696091.2049436066</v>
      </c>
      <c r="EF4" s="123">
        <f t="shared" ca="1" si="5"/>
        <v>9696091.2049436066</v>
      </c>
    </row>
    <row r="5" spans="1:200" ht="12" customHeight="1">
      <c r="A5" s="121" t="s">
        <v>15</v>
      </c>
      <c r="B5" s="122">
        <f t="shared" ref="B5:K5" si="6">SUM(B6:B8)+B11+SUM(B15:B18)</f>
        <v>0</v>
      </c>
      <c r="C5" s="122">
        <f t="shared" si="6"/>
        <v>0</v>
      </c>
      <c r="D5" s="122">
        <f t="shared" si="6"/>
        <v>0</v>
      </c>
      <c r="E5" s="122">
        <f t="shared" si="6"/>
        <v>0</v>
      </c>
      <c r="F5" s="123">
        <f t="shared" si="6"/>
        <v>0</v>
      </c>
      <c r="G5" s="122">
        <f t="shared" si="6"/>
        <v>0</v>
      </c>
      <c r="H5" s="122">
        <f t="shared" si="6"/>
        <v>0</v>
      </c>
      <c r="I5" s="122">
        <f t="shared" si="6"/>
        <v>0</v>
      </c>
      <c r="J5" s="122">
        <f t="shared" si="6"/>
        <v>0</v>
      </c>
      <c r="K5" s="123">
        <f t="shared" si="6"/>
        <v>0</v>
      </c>
      <c r="L5" s="122">
        <f t="shared" ref="L5:AE5" si="7">SUM(L6:L8)+L11+SUM(L15:L18)</f>
        <v>0</v>
      </c>
      <c r="M5" s="122">
        <f t="shared" si="7"/>
        <v>0</v>
      </c>
      <c r="N5" s="122">
        <f t="shared" si="7"/>
        <v>0</v>
      </c>
      <c r="O5" s="122">
        <f t="shared" si="7"/>
        <v>0</v>
      </c>
      <c r="P5" s="123">
        <f t="shared" si="7"/>
        <v>0</v>
      </c>
      <c r="Q5" s="122">
        <f t="shared" si="7"/>
        <v>0</v>
      </c>
      <c r="R5" s="122">
        <f t="shared" si="7"/>
        <v>0</v>
      </c>
      <c r="S5" s="122">
        <f t="shared" si="7"/>
        <v>0</v>
      </c>
      <c r="T5" s="122">
        <f t="shared" si="7"/>
        <v>0</v>
      </c>
      <c r="U5" s="123">
        <f t="shared" si="7"/>
        <v>0</v>
      </c>
      <c r="V5" s="122">
        <f t="shared" si="7"/>
        <v>0</v>
      </c>
      <c r="W5" s="122">
        <f t="shared" si="7"/>
        <v>0</v>
      </c>
      <c r="X5" s="122">
        <f t="shared" si="7"/>
        <v>0</v>
      </c>
      <c r="Y5" s="122">
        <f t="shared" si="7"/>
        <v>0</v>
      </c>
      <c r="Z5" s="123">
        <f t="shared" si="7"/>
        <v>0</v>
      </c>
      <c r="AA5" s="122">
        <f t="shared" si="7"/>
        <v>0</v>
      </c>
      <c r="AB5" s="122">
        <f t="shared" si="7"/>
        <v>0</v>
      </c>
      <c r="AC5" s="122">
        <f t="shared" si="7"/>
        <v>0</v>
      </c>
      <c r="AD5" s="122">
        <f t="shared" si="7"/>
        <v>0</v>
      </c>
      <c r="AE5" s="123">
        <f t="shared" si="7"/>
        <v>0</v>
      </c>
      <c r="AF5" s="122">
        <f t="shared" ref="AF5:BN5" si="8">SUM(AF6:AF8)+AF11+SUM(AF15:AF18)</f>
        <v>0</v>
      </c>
      <c r="AG5" s="122">
        <f t="shared" si="8"/>
        <v>0</v>
      </c>
      <c r="AH5" s="122">
        <f t="shared" si="8"/>
        <v>0</v>
      </c>
      <c r="AI5" s="122">
        <f t="shared" si="8"/>
        <v>309854.641</v>
      </c>
      <c r="AJ5" s="123">
        <f t="shared" si="8"/>
        <v>309854.641</v>
      </c>
      <c r="AK5" s="122">
        <f t="shared" si="8"/>
        <v>0</v>
      </c>
      <c r="AL5" s="122">
        <f t="shared" si="8"/>
        <v>0</v>
      </c>
      <c r="AM5" s="122">
        <f t="shared" si="8"/>
        <v>0</v>
      </c>
      <c r="AN5" s="122">
        <f t="shared" si="8"/>
        <v>467299.61300000001</v>
      </c>
      <c r="AO5" s="123">
        <f t="shared" si="8"/>
        <v>467299.61300000001</v>
      </c>
      <c r="AP5" s="122">
        <f t="shared" si="8"/>
        <v>0</v>
      </c>
      <c r="AQ5" s="122">
        <f t="shared" si="8"/>
        <v>0</v>
      </c>
      <c r="AR5" s="122">
        <f t="shared" si="8"/>
        <v>0</v>
      </c>
      <c r="AS5" s="122">
        <f t="shared" si="8"/>
        <v>669509.92999999993</v>
      </c>
      <c r="AT5" s="123">
        <f t="shared" si="8"/>
        <v>669509.92999999993</v>
      </c>
      <c r="AU5" s="122">
        <f>SUM(AU6:AU8)+AU11+SUM(AU15:AU18)</f>
        <v>0</v>
      </c>
      <c r="AV5" s="122">
        <f>SUM(AV6:AV8)+AV11+SUM(AV15:AV18)</f>
        <v>0</v>
      </c>
      <c r="AW5" s="122">
        <f>SUM(AW6:AW8)+AW11+SUM(AW15:AW18)</f>
        <v>0</v>
      </c>
      <c r="AX5" s="122">
        <f>SUM(AX6:AX8)+AX11+SUM(AX15:AX18)</f>
        <v>716292</v>
      </c>
      <c r="AY5" s="123">
        <f>SUM(AY6:AY8)+AY11+SUM(AY15:AY18)</f>
        <v>716292</v>
      </c>
      <c r="AZ5" s="122">
        <f t="shared" si="8"/>
        <v>0</v>
      </c>
      <c r="BA5" s="122">
        <f t="shared" si="8"/>
        <v>0</v>
      </c>
      <c r="BB5" s="122">
        <f t="shared" si="8"/>
        <v>0</v>
      </c>
      <c r="BC5" s="122">
        <f t="shared" si="8"/>
        <v>940417</v>
      </c>
      <c r="BD5" s="123">
        <f t="shared" si="8"/>
        <v>940417</v>
      </c>
      <c r="BE5" s="122">
        <f t="shared" si="8"/>
        <v>0</v>
      </c>
      <c r="BF5" s="122">
        <f t="shared" si="8"/>
        <v>0</v>
      </c>
      <c r="BG5" s="122">
        <f t="shared" si="8"/>
        <v>0</v>
      </c>
      <c r="BH5" s="122">
        <f t="shared" si="8"/>
        <v>1086831</v>
      </c>
      <c r="BI5" s="123">
        <f t="shared" si="8"/>
        <v>1086831</v>
      </c>
      <c r="BJ5" s="122">
        <f t="shared" si="8"/>
        <v>0</v>
      </c>
      <c r="BK5" s="122">
        <f t="shared" si="8"/>
        <v>0</v>
      </c>
      <c r="BL5" s="122">
        <f t="shared" si="8"/>
        <v>0</v>
      </c>
      <c r="BM5" s="122">
        <f t="shared" si="8"/>
        <v>1097069</v>
      </c>
      <c r="BN5" s="123">
        <f t="shared" si="8"/>
        <v>1097069</v>
      </c>
      <c r="BO5" s="122">
        <f t="shared" ref="BO5:CC5" si="9">SUM(BO6:BO8)+BO11+SUM(BO15:BO18)</f>
        <v>0</v>
      </c>
      <c r="BP5" s="122">
        <f t="shared" si="9"/>
        <v>0</v>
      </c>
      <c r="BQ5" s="122">
        <f t="shared" si="9"/>
        <v>0</v>
      </c>
      <c r="BR5" s="122">
        <f t="shared" si="9"/>
        <v>1250601</v>
      </c>
      <c r="BS5" s="123">
        <f t="shared" si="9"/>
        <v>1250601</v>
      </c>
      <c r="BT5" s="122">
        <f t="shared" si="9"/>
        <v>0</v>
      </c>
      <c r="BU5" s="122">
        <f t="shared" si="9"/>
        <v>0</v>
      </c>
      <c r="BV5" s="122">
        <f t="shared" si="9"/>
        <v>0</v>
      </c>
      <c r="BW5" s="122">
        <f>SUM(BW6:BW8)+BW11+SUM(BW15:BW18)</f>
        <v>1106523</v>
      </c>
      <c r="BX5" s="123">
        <f t="shared" si="9"/>
        <v>1106523</v>
      </c>
      <c r="BY5" s="122">
        <f t="shared" si="9"/>
        <v>0</v>
      </c>
      <c r="BZ5" s="122">
        <f t="shared" si="9"/>
        <v>0</v>
      </c>
      <c r="CA5" s="122">
        <f t="shared" si="9"/>
        <v>0</v>
      </c>
      <c r="CB5" s="122">
        <f t="shared" si="9"/>
        <v>1259442</v>
      </c>
      <c r="CC5" s="123">
        <f t="shared" si="9"/>
        <v>1259442</v>
      </c>
      <c r="CD5" s="122">
        <f>SUM(CD6:CD8)+CD11+SUM(CD15:CD18)</f>
        <v>1232743</v>
      </c>
      <c r="CE5" s="122">
        <f>SUM(CE6:CE8)+CE11+SUM(CE15:CE18)</f>
        <v>1392518</v>
      </c>
      <c r="CF5" s="122">
        <f t="shared" ref="CF5:DG5" si="10">SUM(CF6:CF8)+CF11+SUM(CF15:CF18)</f>
        <v>1755948</v>
      </c>
      <c r="CG5" s="122">
        <f t="shared" si="10"/>
        <v>1603095</v>
      </c>
      <c r="CH5" s="123">
        <f t="shared" si="10"/>
        <v>1603095</v>
      </c>
      <c r="CI5" s="122">
        <f t="shared" si="10"/>
        <v>1869349</v>
      </c>
      <c r="CJ5" s="122">
        <f>SUM(CJ6:CJ8)+CJ11+SUM(CJ15:CJ18)</f>
        <v>1976862</v>
      </c>
      <c r="CK5" s="122">
        <f t="shared" si="10"/>
        <v>2121958</v>
      </c>
      <c r="CL5" s="122">
        <f>SUM(CL6:CL8)+CL11+SUM(CL15:CL18)</f>
        <v>2479491</v>
      </c>
      <c r="CM5" s="123">
        <f t="shared" si="10"/>
        <v>2479491</v>
      </c>
      <c r="CN5" s="122">
        <f>SUM(CN6:CN8)+CN11+SUM(CN15:CN18)</f>
        <v>2812352</v>
      </c>
      <c r="CO5" s="122">
        <f>SUM(CO6:CO8)+CO11+SUM(CO15:CO18)</f>
        <v>2793844</v>
      </c>
      <c r="CP5" s="122">
        <f>SUM(CP6:CP8)+CP11+SUM(CP15:CP18)</f>
        <v>2658289</v>
      </c>
      <c r="CQ5" s="122">
        <f>SUM(CQ6:CQ8)+CQ11+SUM(CQ15:CQ18)</f>
        <v>2672902</v>
      </c>
      <c r="CR5" s="123">
        <f t="shared" si="10"/>
        <v>2672902</v>
      </c>
      <c r="CS5" s="122">
        <f t="shared" si="10"/>
        <v>2601894</v>
      </c>
      <c r="CT5" s="122">
        <f t="shared" si="10"/>
        <v>2701455</v>
      </c>
      <c r="CU5" s="122">
        <f>SUM(CU6:CU8)+CU11+SUM(CU15:CU18)</f>
        <v>3019554</v>
      </c>
      <c r="CV5" s="122">
        <f>SUM(CV6:CV8)+CV11+SUM(CV15:CV18)</f>
        <v>2948710</v>
      </c>
      <c r="CW5" s="123">
        <f t="shared" si="10"/>
        <v>2948710</v>
      </c>
      <c r="CX5" s="122">
        <f t="shared" si="10"/>
        <v>3267225</v>
      </c>
      <c r="CY5" s="122">
        <f t="shared" si="10"/>
        <v>3901801</v>
      </c>
      <c r="CZ5" s="122">
        <f t="shared" si="10"/>
        <v>3874649</v>
      </c>
      <c r="DA5" s="122">
        <f t="shared" si="10"/>
        <v>4255450</v>
      </c>
      <c r="DB5" s="123">
        <f t="shared" si="10"/>
        <v>4255450</v>
      </c>
      <c r="DC5" s="122">
        <f>SUM(DC6:DC8)+DC11+SUM(DC15:DC18)</f>
        <v>4788712</v>
      </c>
      <c r="DD5" s="122">
        <f t="shared" si="10"/>
        <v>5102848</v>
      </c>
      <c r="DE5" s="122">
        <f t="shared" ref="DE5" si="11">SUM(DE6:DE8)+DE11+SUM(DE15:DE18)</f>
        <v>5550281</v>
      </c>
      <c r="DF5" s="122">
        <f>SUM(DF6:DF8)+DF11+SUM(DF15:DF18)</f>
        <v>5571871</v>
      </c>
      <c r="DG5" s="123">
        <f t="shared" si="10"/>
        <v>5571871</v>
      </c>
      <c r="DH5" s="122">
        <f t="shared" ref="DH5:EF5" si="12">SUM(DH6:DH8)+DH11+SUM(DH15:DH18)</f>
        <v>6111357</v>
      </c>
      <c r="DI5" s="122">
        <f t="shared" si="12"/>
        <v>6196896</v>
      </c>
      <c r="DJ5" s="122">
        <f t="shared" ca="1" si="12"/>
        <v>6516203.7249981351</v>
      </c>
      <c r="DK5" s="122">
        <f t="shared" ca="1" si="12"/>
        <v>6743015.3193582315</v>
      </c>
      <c r="DL5" s="123">
        <f t="shared" ca="1" si="12"/>
        <v>6743015.3193582315</v>
      </c>
      <c r="DM5" s="122">
        <f t="shared" ca="1" si="12"/>
        <v>7001623.5131659023</v>
      </c>
      <c r="DN5" s="122">
        <f t="shared" ca="1" si="12"/>
        <v>7258678.1342304153</v>
      </c>
      <c r="DO5" s="122">
        <f t="shared" ca="1" si="12"/>
        <v>7502075.904298163</v>
      </c>
      <c r="DP5" s="122">
        <f t="shared" ca="1" si="12"/>
        <v>7992386.4196801493</v>
      </c>
      <c r="DQ5" s="123">
        <f t="shared" ca="1" si="12"/>
        <v>7992386.4196801493</v>
      </c>
      <c r="DR5" s="122">
        <f t="shared" ca="1" si="12"/>
        <v>7276651.704856691</v>
      </c>
      <c r="DS5" s="122">
        <f t="shared" ca="1" si="12"/>
        <v>7530526.9228398874</v>
      </c>
      <c r="DT5" s="122">
        <f t="shared" ca="1" si="12"/>
        <v>8045846.4854547204</v>
      </c>
      <c r="DU5" s="122">
        <f t="shared" ca="1" si="12"/>
        <v>8576883.1038101222</v>
      </c>
      <c r="DV5" s="123">
        <f t="shared" ca="1" si="12"/>
        <v>8576883.1038101222</v>
      </c>
      <c r="DW5" s="122">
        <f t="shared" ca="1" si="12"/>
        <v>7567609.0568240238</v>
      </c>
      <c r="DX5" s="122">
        <f t="shared" ca="1" si="12"/>
        <v>8086793.783262277</v>
      </c>
      <c r="DY5" s="122">
        <f t="shared" ca="1" si="12"/>
        <v>8622362.808764074</v>
      </c>
      <c r="DZ5" s="122">
        <f t="shared" ca="1" si="12"/>
        <v>9175056.5367125198</v>
      </c>
      <c r="EA5" s="123">
        <f t="shared" ca="1" si="12"/>
        <v>9175056.5367125198</v>
      </c>
      <c r="EB5" s="122">
        <f t="shared" ca="1" si="12"/>
        <v>8105186.7578196591</v>
      </c>
      <c r="EC5" s="122">
        <f t="shared" ca="1" si="12"/>
        <v>8615274.1475593355</v>
      </c>
      <c r="ED5" s="122">
        <f t="shared" ca="1" si="12"/>
        <v>9112611.9620049149</v>
      </c>
      <c r="EE5" s="122">
        <f t="shared" ca="1" si="12"/>
        <v>9597451.4170339815</v>
      </c>
      <c r="EF5" s="123">
        <f t="shared" ca="1" si="12"/>
        <v>9597451.4170339815</v>
      </c>
    </row>
    <row r="6" spans="1:200" ht="12" customHeight="1">
      <c r="A6" s="9" t="s">
        <v>67</v>
      </c>
      <c r="B6" s="94"/>
      <c r="C6" s="94"/>
      <c r="D6" s="94"/>
      <c r="E6" s="94"/>
      <c r="F6" s="26">
        <f t="shared" ref="F6:F14" si="13">E6</f>
        <v>0</v>
      </c>
      <c r="G6" s="94"/>
      <c r="H6" s="94"/>
      <c r="I6" s="94"/>
      <c r="J6" s="94"/>
      <c r="K6" s="26">
        <f t="shared" ref="K6:K18" si="14">J6</f>
        <v>0</v>
      </c>
      <c r="L6" s="94"/>
      <c r="M6" s="94"/>
      <c r="N6" s="94"/>
      <c r="O6" s="94"/>
      <c r="P6" s="26">
        <f>O6</f>
        <v>0</v>
      </c>
      <c r="Q6" s="94"/>
      <c r="R6" s="94"/>
      <c r="S6" s="94"/>
      <c r="T6" s="94"/>
      <c r="U6" s="26">
        <f>T6</f>
        <v>0</v>
      </c>
      <c r="V6" s="94"/>
      <c r="W6" s="94"/>
      <c r="X6" s="94"/>
      <c r="Y6" s="94"/>
      <c r="Z6" s="26">
        <f>Y6</f>
        <v>0</v>
      </c>
      <c r="AA6" s="94"/>
      <c r="AB6" s="94"/>
      <c r="AC6" s="94"/>
      <c r="AD6" s="94"/>
      <c r="AE6" s="26">
        <f>AD6</f>
        <v>0</v>
      </c>
      <c r="AF6" s="94"/>
      <c r="AG6" s="94"/>
      <c r="AH6" s="94"/>
      <c r="AI6" s="94">
        <f>22154.918</f>
        <v>22154.918000000001</v>
      </c>
      <c r="AJ6" s="26">
        <f t="shared" ref="AJ6:AJ18" si="15">AI6</f>
        <v>22154.918000000001</v>
      </c>
      <c r="AK6" s="94"/>
      <c r="AL6" s="94"/>
      <c r="AM6" s="94"/>
      <c r="AN6" s="94">
        <f>50296.698</f>
        <v>50296.697999999997</v>
      </c>
      <c r="AO6" s="26">
        <f t="shared" ref="AO6:AO18" si="16">AN6</f>
        <v>50296.697999999997</v>
      </c>
      <c r="AP6" s="94"/>
      <c r="AQ6" s="94"/>
      <c r="AR6" s="94"/>
      <c r="AS6" s="94">
        <f>80701.929+681.65</f>
        <v>81383.578999999998</v>
      </c>
      <c r="AT6" s="26">
        <f t="shared" ref="AT6:AT18" si="17">AS6</f>
        <v>81383.578999999998</v>
      </c>
      <c r="AU6" s="94"/>
      <c r="AV6" s="94"/>
      <c r="AW6" s="94"/>
      <c r="AX6" s="94">
        <f>60241+25621+0</f>
        <v>85862</v>
      </c>
      <c r="AY6" s="26">
        <f t="shared" ref="AY6:AY18" si="18">AX6</f>
        <v>85862</v>
      </c>
      <c r="AZ6" s="94"/>
      <c r="BA6" s="94"/>
      <c r="BB6" s="94"/>
      <c r="BC6" s="94">
        <f>118308+19787+4044</f>
        <v>142139</v>
      </c>
      <c r="BD6" s="26">
        <f t="shared" ref="BD6:BD18" si="19">BC6</f>
        <v>142139</v>
      </c>
      <c r="BE6" s="94"/>
      <c r="BF6" s="94"/>
      <c r="BG6" s="94"/>
      <c r="BH6" s="94">
        <f>131754+16285+4483</f>
        <v>152522</v>
      </c>
      <c r="BI6" s="26">
        <f t="shared" ref="BI6:BI18" si="20">BH6</f>
        <v>152522</v>
      </c>
      <c r="BJ6" s="94"/>
      <c r="BK6" s="94"/>
      <c r="BL6" s="94"/>
      <c r="BM6" s="94">
        <f>123878+37861</f>
        <v>161739</v>
      </c>
      <c r="BN6" s="26">
        <f t="shared" ref="BN6:BN18" si="21">BM6</f>
        <v>161739</v>
      </c>
      <c r="BO6" s="94"/>
      <c r="BP6" s="94"/>
      <c r="BQ6" s="94"/>
      <c r="BR6" s="94">
        <f>143946+54560</f>
        <v>198506</v>
      </c>
      <c r="BS6" s="26">
        <f t="shared" ref="BS6:BS18" si="22">BR6</f>
        <v>198506</v>
      </c>
      <c r="BT6" s="94"/>
      <c r="BU6" s="94"/>
      <c r="BV6" s="94"/>
      <c r="BW6" s="94">
        <f>171395+79566</f>
        <v>250961</v>
      </c>
      <c r="BX6" s="26">
        <f t="shared" ref="BX6:BX18" si="23">BW6</f>
        <v>250961</v>
      </c>
      <c r="BY6" s="94"/>
      <c r="BZ6" s="94"/>
      <c r="CA6" s="94"/>
      <c r="CB6" s="94">
        <f>249496+64847</f>
        <v>314343</v>
      </c>
      <c r="CC6" s="26">
        <f t="shared" ref="CC6:CC18" si="24">CB6</f>
        <v>314343</v>
      </c>
      <c r="CD6" s="94">
        <f>254528+71000</f>
        <v>325528</v>
      </c>
      <c r="CE6" s="94">
        <f>358082+67765</f>
        <v>425847</v>
      </c>
      <c r="CF6" s="94">
        <f>529672+80177</f>
        <v>609849</v>
      </c>
      <c r="CG6" s="94">
        <f>291125+139773</f>
        <v>430898</v>
      </c>
      <c r="CH6" s="26">
        <f>CG6</f>
        <v>430898</v>
      </c>
      <c r="CI6" s="94">
        <f>329971+106673</f>
        <v>436644</v>
      </c>
      <c r="CJ6" s="94">
        <f>390596+101391</f>
        <v>491987</v>
      </c>
      <c r="CK6" s="94">
        <f>414633+140294</f>
        <v>554927</v>
      </c>
      <c r="CL6" s="224">
        <f>375963+218524</f>
        <v>594487</v>
      </c>
      <c r="CM6" s="26">
        <f>CL6</f>
        <v>594487</v>
      </c>
      <c r="CN6" s="94">
        <f>360921+241647</f>
        <v>602568</v>
      </c>
      <c r="CO6" s="94">
        <f>454074+225903</f>
        <v>679977</v>
      </c>
      <c r="CP6" s="94">
        <f>394522+240386</f>
        <v>634908</v>
      </c>
      <c r="CQ6" s="94">
        <f>562264+227162</f>
        <v>789426</v>
      </c>
      <c r="CR6" s="26">
        <f>CQ6</f>
        <v>789426</v>
      </c>
      <c r="CS6" s="94">
        <f>470159+259664</f>
        <v>729823</v>
      </c>
      <c r="CT6" s="94">
        <f>556696+278694</f>
        <v>835390</v>
      </c>
      <c r="CU6" s="94">
        <f>730072+379003</f>
        <v>1109075</v>
      </c>
      <c r="CV6" s="94">
        <f>643630+348639</f>
        <v>992269</v>
      </c>
      <c r="CW6" s="26">
        <f>CV6</f>
        <v>992269</v>
      </c>
      <c r="CX6" s="94">
        <f>647595+364073</f>
        <v>1011668</v>
      </c>
      <c r="CY6" s="94">
        <f>889522+668498</f>
        <v>1558020</v>
      </c>
      <c r="CZ6" s="94">
        <f>760259+664956</f>
        <v>1425215</v>
      </c>
      <c r="DA6" s="94">
        <f>975224+441012</f>
        <v>1416236</v>
      </c>
      <c r="DB6" s="26">
        <f>DA6</f>
        <v>1416236</v>
      </c>
      <c r="DC6" s="94">
        <f>1031724+512082</f>
        <v>1543806</v>
      </c>
      <c r="DD6" s="94">
        <f>1035262+495613</f>
        <v>1530875</v>
      </c>
      <c r="DE6" s="94">
        <f>1287134+486069</f>
        <v>1773203</v>
      </c>
      <c r="DF6" s="94">
        <f>1355394+435543</f>
        <v>1790937</v>
      </c>
      <c r="DG6" s="26">
        <f>DF6</f>
        <v>1790937</v>
      </c>
      <c r="DH6" s="94">
        <f>1397709+359601</f>
        <v>1757310</v>
      </c>
      <c r="DI6" s="94">
        <f>1375239+258467</f>
        <v>1633706</v>
      </c>
      <c r="DJ6" s="21">
        <f ca="1">'Cash Flow'!DJ15</f>
        <v>1691727.5989267784</v>
      </c>
      <c r="DK6" s="21">
        <f ca="1">'Cash Flow'!DK15</f>
        <v>1791988.9697218041</v>
      </c>
      <c r="DL6" s="26">
        <f ca="1">DK6</f>
        <v>1791988.9697218041</v>
      </c>
      <c r="DM6" s="21">
        <f ca="1">'Cash Flow'!DM15</f>
        <v>2038905.4849619931</v>
      </c>
      <c r="DN6" s="21">
        <f ca="1">'Cash Flow'!DN15</f>
        <v>2153963.4872123585</v>
      </c>
      <c r="DO6" s="21">
        <f ca="1">'Cash Flow'!DO15</f>
        <v>2274940.9808937958</v>
      </c>
      <c r="DP6" s="21">
        <f ca="1">'Cash Flow'!DP15</f>
        <v>2652247.6903838427</v>
      </c>
      <c r="DQ6" s="26">
        <f ca="1">DP6</f>
        <v>2652247.6903838427</v>
      </c>
      <c r="DR6" s="21">
        <f ca="1">'Cash Flow'!DR15</f>
        <v>1828617.9699997469</v>
      </c>
      <c r="DS6" s="21">
        <f ca="1">'Cash Flow'!DS15</f>
        <v>1977213.1490133</v>
      </c>
      <c r="DT6" s="21">
        <f ca="1">'Cash Flow'!DT15</f>
        <v>2392684.5791084031</v>
      </c>
      <c r="DU6" s="21">
        <f ca="1">'Cash Flow'!DU15</f>
        <v>2827051.6671570493</v>
      </c>
      <c r="DV6" s="26">
        <f ca="1">DU6</f>
        <v>2827051.6671570493</v>
      </c>
      <c r="DW6" s="21">
        <f ca="1">'Cash Flow'!DW15</f>
        <v>1723768.01818244</v>
      </c>
      <c r="DX6" s="21">
        <f ca="1">'Cash Flow'!DX15</f>
        <v>2149816.1739923279</v>
      </c>
      <c r="DY6" s="21">
        <f ca="1">'Cash Flow'!DY15</f>
        <v>2594364.9941424616</v>
      </c>
      <c r="DZ6" s="21">
        <f ca="1">'Cash Flow'!DZ15</f>
        <v>3057868.0773153142</v>
      </c>
      <c r="EA6" s="26">
        <f ca="1">DZ6</f>
        <v>3057868.0773153142</v>
      </c>
      <c r="EB6" s="21">
        <f ca="1">'Cash Flow'!EB15</f>
        <v>1900429.8634106587</v>
      </c>
      <c r="EC6" s="21">
        <f ca="1">'Cash Flow'!EC15</f>
        <v>2348955.6248460161</v>
      </c>
      <c r="ED6" s="21">
        <f ca="1">'Cash Flow'!ED15</f>
        <v>2810830.2001529974</v>
      </c>
      <c r="EE6" s="21">
        <f ca="1">'Cash Flow'!EE15</f>
        <v>3286395.5029418501</v>
      </c>
      <c r="EF6" s="26">
        <f ca="1">EE6</f>
        <v>3286395.5029418501</v>
      </c>
      <c r="EG6" s="111"/>
      <c r="EH6" s="111"/>
      <c r="EI6" s="111"/>
      <c r="EJ6" s="111"/>
      <c r="EK6" s="111"/>
      <c r="EL6" s="111"/>
      <c r="EM6" s="111"/>
      <c r="EN6" s="111"/>
      <c r="EO6" s="111"/>
      <c r="EP6" s="111"/>
      <c r="EQ6" s="111"/>
      <c r="ER6" s="111"/>
      <c r="ES6" s="111"/>
      <c r="ET6" s="111"/>
      <c r="EU6" s="111"/>
      <c r="EV6" s="111"/>
      <c r="EW6" s="111"/>
      <c r="EX6" s="111"/>
      <c r="EY6" s="111"/>
      <c r="EZ6" s="111"/>
      <c r="FA6" s="111"/>
      <c r="FB6" s="111"/>
      <c r="FC6" s="111"/>
      <c r="FD6" s="111"/>
      <c r="FE6" s="111"/>
      <c r="FF6" s="111"/>
      <c r="FG6" s="111"/>
      <c r="FH6" s="111"/>
      <c r="FI6" s="111"/>
      <c r="FJ6" s="111"/>
      <c r="FK6" s="111"/>
      <c r="FL6" s="111"/>
      <c r="FM6" s="111"/>
      <c r="FN6" s="111"/>
      <c r="FO6" s="111"/>
      <c r="FP6" s="111"/>
      <c r="FQ6" s="111"/>
      <c r="FR6" s="111"/>
      <c r="FS6" s="111"/>
      <c r="FT6" s="111"/>
      <c r="FU6" s="111"/>
      <c r="FV6" s="111"/>
      <c r="FW6" s="111"/>
      <c r="FX6" s="111"/>
      <c r="FY6" s="111"/>
      <c r="FZ6" s="111"/>
      <c r="GA6" s="111"/>
      <c r="GB6" s="111"/>
      <c r="GC6" s="111"/>
      <c r="GD6" s="111"/>
      <c r="GE6" s="111"/>
      <c r="GF6" s="111"/>
      <c r="GG6" s="111"/>
      <c r="GH6" s="111"/>
      <c r="GI6" s="111"/>
      <c r="GJ6" s="111"/>
      <c r="GK6" s="111"/>
      <c r="GL6" s="111"/>
      <c r="GM6" s="111"/>
      <c r="GN6" s="111"/>
      <c r="GO6" s="111"/>
      <c r="GP6" s="111"/>
      <c r="GQ6" s="111"/>
      <c r="GR6" s="111"/>
    </row>
    <row r="7" spans="1:200" ht="12" customHeight="1">
      <c r="A7" s="9" t="s">
        <v>78</v>
      </c>
      <c r="B7" s="94"/>
      <c r="C7" s="94"/>
      <c r="D7" s="94"/>
      <c r="E7" s="94"/>
      <c r="F7" s="26">
        <f>E7</f>
        <v>0</v>
      </c>
      <c r="G7" s="94"/>
      <c r="H7" s="94"/>
      <c r="I7" s="94"/>
      <c r="J7" s="94"/>
      <c r="K7" s="26">
        <f t="shared" si="14"/>
        <v>0</v>
      </c>
      <c r="L7" s="94"/>
      <c r="M7" s="94"/>
      <c r="N7" s="94"/>
      <c r="O7" s="94"/>
      <c r="P7" s="26">
        <f>O7</f>
        <v>0</v>
      </c>
      <c r="Q7" s="94"/>
      <c r="R7" s="94"/>
      <c r="S7" s="94"/>
      <c r="T7" s="94"/>
      <c r="U7" s="26">
        <f>T7</f>
        <v>0</v>
      </c>
      <c r="V7" s="94"/>
      <c r="W7" s="94"/>
      <c r="X7" s="94"/>
      <c r="Y7" s="94"/>
      <c r="Z7" s="26">
        <f>Y7</f>
        <v>0</v>
      </c>
      <c r="AA7" s="94"/>
      <c r="AB7" s="94"/>
      <c r="AC7" s="94"/>
      <c r="AD7" s="94"/>
      <c r="AE7" s="26">
        <f>AD7</f>
        <v>0</v>
      </c>
      <c r="AF7" s="94"/>
      <c r="AG7" s="94"/>
      <c r="AH7" s="94"/>
      <c r="AI7" s="94">
        <v>13770.332</v>
      </c>
      <c r="AJ7" s="26">
        <f t="shared" si="15"/>
        <v>13770.332</v>
      </c>
      <c r="AK7" s="94"/>
      <c r="AL7" s="94"/>
      <c r="AM7" s="94"/>
      <c r="AN7" s="94">
        <v>5119.0640000000003</v>
      </c>
      <c r="AO7" s="26">
        <f t="shared" si="16"/>
        <v>5119.0640000000003</v>
      </c>
      <c r="AP7" s="94"/>
      <c r="AQ7" s="94"/>
      <c r="AR7" s="94"/>
      <c r="AS7" s="94">
        <v>7765.3680000000004</v>
      </c>
      <c r="AT7" s="26">
        <f t="shared" si="17"/>
        <v>7765.3680000000004</v>
      </c>
      <c r="AU7" s="94"/>
      <c r="AV7" s="94"/>
      <c r="AW7" s="94"/>
      <c r="AX7" s="94">
        <f>5431</f>
        <v>5431</v>
      </c>
      <c r="AY7" s="26">
        <f t="shared" si="18"/>
        <v>5431</v>
      </c>
      <c r="AZ7" s="94"/>
      <c r="BA7" s="94"/>
      <c r="BB7" s="94"/>
      <c r="BC7" s="94">
        <f>9037</f>
        <v>9037</v>
      </c>
      <c r="BD7" s="26">
        <f t="shared" si="19"/>
        <v>9037</v>
      </c>
      <c r="BE7" s="94"/>
      <c r="BF7" s="94"/>
      <c r="BG7" s="94"/>
      <c r="BH7" s="94">
        <f>21089</f>
        <v>21089</v>
      </c>
      <c r="BI7" s="26">
        <f t="shared" si="20"/>
        <v>21089</v>
      </c>
      <c r="BJ7" s="94"/>
      <c r="BK7" s="94"/>
      <c r="BL7" s="94"/>
      <c r="BM7" s="94">
        <f>0+14524</f>
        <v>14524</v>
      </c>
      <c r="BN7" s="26">
        <f t="shared" si="21"/>
        <v>14524</v>
      </c>
      <c r="BO7" s="94"/>
      <c r="BP7" s="94"/>
      <c r="BQ7" s="94"/>
      <c r="BR7" s="94">
        <f>15827</f>
        <v>15827</v>
      </c>
      <c r="BS7" s="26">
        <f t="shared" si="22"/>
        <v>15827</v>
      </c>
      <c r="BT7" s="94"/>
      <c r="BU7" s="94"/>
      <c r="BV7" s="94"/>
      <c r="BW7" s="94">
        <f>16864</f>
        <v>16864</v>
      </c>
      <c r="BX7" s="26">
        <f t="shared" si="23"/>
        <v>16864</v>
      </c>
      <c r="BY7" s="94"/>
      <c r="BZ7" s="94"/>
      <c r="CA7" s="94"/>
      <c r="CB7" s="94">
        <f>35414</f>
        <v>35414</v>
      </c>
      <c r="CC7" s="26">
        <f t="shared" si="24"/>
        <v>35414</v>
      </c>
      <c r="CD7" s="94">
        <v>41381</v>
      </c>
      <c r="CE7" s="94">
        <v>41232</v>
      </c>
      <c r="CF7" s="94">
        <f>32688</f>
        <v>32688</v>
      </c>
      <c r="CG7" s="94">
        <v>12206</v>
      </c>
      <c r="CH7" s="26">
        <f t="shared" ref="CH7:CH14" si="25">CG7</f>
        <v>12206</v>
      </c>
      <c r="CI7" s="94">
        <v>12223</v>
      </c>
      <c r="CJ7" s="94">
        <v>4771</v>
      </c>
      <c r="CK7" s="94">
        <v>4788</v>
      </c>
      <c r="CL7" s="94">
        <v>4321</v>
      </c>
      <c r="CM7" s="26">
        <f t="shared" ref="CM7:CM14" si="26">CL7</f>
        <v>4321</v>
      </c>
      <c r="CN7" s="94">
        <v>4445</v>
      </c>
      <c r="CO7" s="94">
        <v>4724</v>
      </c>
      <c r="CP7" s="94">
        <v>4355</v>
      </c>
      <c r="CQ7" s="94">
        <v>5073</v>
      </c>
      <c r="CR7" s="26">
        <f t="shared" ref="CR7:CR14" si="27">CQ7</f>
        <v>5073</v>
      </c>
      <c r="CS7" s="94">
        <v>4990</v>
      </c>
      <c r="CT7" s="94">
        <v>9220</v>
      </c>
      <c r="CU7" s="94">
        <v>9055</v>
      </c>
      <c r="CV7" s="94">
        <v>12877</v>
      </c>
      <c r="CW7" s="26">
        <f t="shared" ref="CW7:CW14" si="28">CV7</f>
        <v>12877</v>
      </c>
      <c r="CX7" s="94">
        <v>17035</v>
      </c>
      <c r="CY7" s="94">
        <v>20868</v>
      </c>
      <c r="CZ7" s="94">
        <v>18436</v>
      </c>
      <c r="DA7" s="94">
        <v>19811</v>
      </c>
      <c r="DB7" s="26">
        <f t="shared" ref="DB7:DB14" si="29">DA7</f>
        <v>19811</v>
      </c>
      <c r="DC7" s="94">
        <v>15765</v>
      </c>
      <c r="DD7" s="94">
        <v>19451</v>
      </c>
      <c r="DE7" s="94">
        <v>12336</v>
      </c>
      <c r="DF7" s="94">
        <v>11893</v>
      </c>
      <c r="DG7" s="26">
        <f t="shared" ref="DG7:DG14" si="30">DF7</f>
        <v>11893</v>
      </c>
      <c r="DH7" s="94">
        <v>17865</v>
      </c>
      <c r="DI7" s="94">
        <v>18291</v>
      </c>
      <c r="DJ7" s="16">
        <f>DI7</f>
        <v>18291</v>
      </c>
      <c r="DK7" s="16">
        <f>DJ7</f>
        <v>18291</v>
      </c>
      <c r="DL7" s="26">
        <f t="shared" ref="DL7:DL14" si="31">DK7</f>
        <v>18291</v>
      </c>
      <c r="DM7" s="16">
        <f>DL7</f>
        <v>18291</v>
      </c>
      <c r="DN7" s="16">
        <f>DM7</f>
        <v>18291</v>
      </c>
      <c r="DO7" s="16">
        <f>DN7</f>
        <v>18291</v>
      </c>
      <c r="DP7" s="16">
        <f>DO7</f>
        <v>18291</v>
      </c>
      <c r="DQ7" s="26">
        <f t="shared" ref="DQ7:DQ14" si="32">DP7</f>
        <v>18291</v>
      </c>
      <c r="DR7" s="16">
        <f>DQ7</f>
        <v>18291</v>
      </c>
      <c r="DS7" s="16">
        <f>DR7</f>
        <v>18291</v>
      </c>
      <c r="DT7" s="16">
        <f>DS7</f>
        <v>18291</v>
      </c>
      <c r="DU7" s="16">
        <f>DT7</f>
        <v>18291</v>
      </c>
      <c r="DV7" s="26">
        <f t="shared" ref="DV7:DV14" si="33">DU7</f>
        <v>18291</v>
      </c>
      <c r="DW7" s="16">
        <f>DV7</f>
        <v>18291</v>
      </c>
      <c r="DX7" s="16">
        <f>DW7</f>
        <v>18291</v>
      </c>
      <c r="DY7" s="16">
        <f>DX7</f>
        <v>18291</v>
      </c>
      <c r="DZ7" s="16">
        <f>DY7</f>
        <v>18291</v>
      </c>
      <c r="EA7" s="26">
        <f t="shared" ref="EA7:EA14" si="34">DZ7</f>
        <v>18291</v>
      </c>
      <c r="EB7" s="16">
        <f>EA7</f>
        <v>18291</v>
      </c>
      <c r="EC7" s="16">
        <f>EB7</f>
        <v>18291</v>
      </c>
      <c r="ED7" s="16">
        <f>EC7</f>
        <v>18291</v>
      </c>
      <c r="EE7" s="16">
        <f>ED7</f>
        <v>18291</v>
      </c>
      <c r="EF7" s="26">
        <f t="shared" ref="EF7:EF14" si="35">EE7</f>
        <v>18291</v>
      </c>
    </row>
    <row r="8" spans="1:200" ht="12" customHeight="1">
      <c r="A8" s="9" t="s">
        <v>18</v>
      </c>
      <c r="B8" s="94"/>
      <c r="C8" s="94"/>
      <c r="D8" s="94"/>
      <c r="E8" s="94"/>
      <c r="F8" s="26">
        <v>0</v>
      </c>
      <c r="G8" s="94"/>
      <c r="H8" s="94"/>
      <c r="I8" s="94"/>
      <c r="J8" s="94"/>
      <c r="K8" s="26">
        <v>0</v>
      </c>
      <c r="L8" s="94"/>
      <c r="M8" s="94"/>
      <c r="N8" s="94"/>
      <c r="O8" s="94"/>
      <c r="P8" s="26">
        <v>0</v>
      </c>
      <c r="Q8" s="94"/>
      <c r="R8" s="94"/>
      <c r="S8" s="94"/>
      <c r="T8" s="94"/>
      <c r="U8" s="26">
        <v>0</v>
      </c>
      <c r="V8" s="94"/>
      <c r="W8" s="94"/>
      <c r="X8" s="94"/>
      <c r="Y8" s="94"/>
      <c r="Z8" s="26">
        <v>0</v>
      </c>
      <c r="AA8" s="94"/>
      <c r="AB8" s="94"/>
      <c r="AC8" s="94"/>
      <c r="AD8" s="94"/>
      <c r="AE8" s="26">
        <v>0</v>
      </c>
      <c r="AF8" s="16">
        <f>AF9+AF10</f>
        <v>0</v>
      </c>
      <c r="AG8" s="16">
        <f>AG9+AG10</f>
        <v>0</v>
      </c>
      <c r="AH8" s="16">
        <f>AH9+AH10</f>
        <v>0</v>
      </c>
      <c r="AI8" s="16">
        <f>AI9+AI10</f>
        <v>234127.86300000001</v>
      </c>
      <c r="AJ8" s="26">
        <f t="shared" si="15"/>
        <v>234127.86300000001</v>
      </c>
      <c r="AK8" s="16">
        <f>AK9+AK10</f>
        <v>0</v>
      </c>
      <c r="AL8" s="16">
        <f>AL9+AL10</f>
        <v>0</v>
      </c>
      <c r="AM8" s="16">
        <f>AM9+AM10</f>
        <v>0</v>
      </c>
      <c r="AN8" s="16">
        <f>AN9+AN10</f>
        <v>314764.64900000003</v>
      </c>
      <c r="AO8" s="26">
        <f t="shared" si="16"/>
        <v>314764.64900000003</v>
      </c>
      <c r="AP8" s="16">
        <f>AP9+AP10</f>
        <v>0</v>
      </c>
      <c r="AQ8" s="16">
        <f>AQ9+AQ10</f>
        <v>0</v>
      </c>
      <c r="AR8" s="16">
        <f>AR9+AR10</f>
        <v>0</v>
      </c>
      <c r="AS8" s="16">
        <f>AS9+AS10</f>
        <v>369786.71299999999</v>
      </c>
      <c r="AT8" s="26">
        <f t="shared" si="17"/>
        <v>369786.71299999999</v>
      </c>
      <c r="AU8" s="16">
        <f>AU9+AU10</f>
        <v>0</v>
      </c>
      <c r="AV8" s="16">
        <f>AV9+AV10</f>
        <v>0</v>
      </c>
      <c r="AW8" s="16">
        <f>AW9+AW10</f>
        <v>0</v>
      </c>
      <c r="AX8" s="16">
        <f>AX9+AX10</f>
        <v>448262</v>
      </c>
      <c r="AY8" s="26">
        <f t="shared" si="18"/>
        <v>448262</v>
      </c>
      <c r="AZ8" s="16">
        <f>AZ9+AZ10</f>
        <v>0</v>
      </c>
      <c r="BA8" s="16">
        <f>BA9+BA10</f>
        <v>0</v>
      </c>
      <c r="BB8" s="16">
        <f>BB9+BB10</f>
        <v>0</v>
      </c>
      <c r="BC8" s="16">
        <f t="shared" ref="BC8:BH8" si="36">BC9+BC10</f>
        <v>520928</v>
      </c>
      <c r="BD8" s="26">
        <f t="shared" si="19"/>
        <v>520928</v>
      </c>
      <c r="BE8" s="16">
        <f t="shared" si="36"/>
        <v>0</v>
      </c>
      <c r="BF8" s="16">
        <f t="shared" si="36"/>
        <v>0</v>
      </c>
      <c r="BG8" s="16">
        <f t="shared" si="36"/>
        <v>0</v>
      </c>
      <c r="BH8" s="16">
        <f t="shared" si="36"/>
        <v>611522</v>
      </c>
      <c r="BI8" s="26">
        <f t="shared" si="20"/>
        <v>611522</v>
      </c>
      <c r="BJ8" s="16">
        <f>BJ9+BJ10</f>
        <v>0</v>
      </c>
      <c r="BK8" s="16">
        <f>BK9+BK10</f>
        <v>0</v>
      </c>
      <c r="BL8" s="16">
        <f>BL9+BL10</f>
        <v>0</v>
      </c>
      <c r="BM8" s="16">
        <f>BM9+BM10</f>
        <v>649226</v>
      </c>
      <c r="BN8" s="26">
        <f t="shared" si="21"/>
        <v>649226</v>
      </c>
      <c r="BO8" s="16">
        <f>BO9+BO10</f>
        <v>0</v>
      </c>
      <c r="BP8" s="16">
        <f>BP9+BP10</f>
        <v>0</v>
      </c>
      <c r="BQ8" s="16">
        <f>BQ9+BQ10</f>
        <v>0</v>
      </c>
      <c r="BR8" s="16">
        <f>BR9+BR10</f>
        <v>765298</v>
      </c>
      <c r="BS8" s="26">
        <f t="shared" si="22"/>
        <v>765298</v>
      </c>
      <c r="BT8" s="16">
        <f>BT9+BT10</f>
        <v>0</v>
      </c>
      <c r="BU8" s="16">
        <f>BU9+BU10</f>
        <v>0</v>
      </c>
      <c r="BV8" s="16">
        <f>BV9+BV10</f>
        <v>0</v>
      </c>
      <c r="BW8" s="16">
        <f>BW9+BW10</f>
        <v>557065</v>
      </c>
      <c r="BX8" s="26">
        <f t="shared" si="23"/>
        <v>557065</v>
      </c>
      <c r="BY8" s="16">
        <f>BY9+BY10</f>
        <v>0</v>
      </c>
      <c r="BZ8" s="16">
        <f>BZ9+BZ10</f>
        <v>0</v>
      </c>
      <c r="CA8" s="16">
        <f>CA9+CA10</f>
        <v>0</v>
      </c>
      <c r="CB8" s="16">
        <f>CB9+CB10</f>
        <v>659335</v>
      </c>
      <c r="CC8" s="26">
        <f t="shared" si="24"/>
        <v>659335</v>
      </c>
      <c r="CD8" s="16">
        <f>CD9+CD10</f>
        <v>605454</v>
      </c>
      <c r="CE8" s="16">
        <f>CE9+CE10</f>
        <v>685673</v>
      </c>
      <c r="CF8" s="16">
        <f>CF9+CF10</f>
        <v>831054</v>
      </c>
      <c r="CG8" s="16">
        <f>CG9+CG10</f>
        <v>799322</v>
      </c>
      <c r="CH8" s="26">
        <f t="shared" si="25"/>
        <v>799322</v>
      </c>
      <c r="CI8" s="16">
        <f>CI9+CI10</f>
        <v>938013</v>
      </c>
      <c r="CJ8" s="16">
        <f>CJ9+CJ10</f>
        <v>1049124</v>
      </c>
      <c r="CK8" s="16">
        <f>CK9+CK10</f>
        <v>1106282</v>
      </c>
      <c r="CL8" s="16">
        <f>CL9+CL10</f>
        <v>1277665</v>
      </c>
      <c r="CM8" s="26">
        <f t="shared" si="26"/>
        <v>1277665</v>
      </c>
      <c r="CN8" s="16">
        <f>CN9+CN10</f>
        <v>1630579</v>
      </c>
      <c r="CO8" s="16">
        <f>CO9+CO10</f>
        <v>1556792</v>
      </c>
      <c r="CP8" s="16">
        <f>CP9+CP10</f>
        <v>1399701</v>
      </c>
      <c r="CQ8" s="16">
        <f>CQ9+CQ10</f>
        <v>1179262</v>
      </c>
      <c r="CR8" s="26">
        <f t="shared" si="27"/>
        <v>1179262</v>
      </c>
      <c r="CS8" s="16">
        <f>CS9+CS10</f>
        <v>1050636</v>
      </c>
      <c r="CT8" s="16">
        <f>CT9+CT10</f>
        <v>1085689</v>
      </c>
      <c r="CU8" s="16">
        <f>CU9+CU10</f>
        <v>1080391</v>
      </c>
      <c r="CV8" s="16">
        <f>CV9+CV10</f>
        <v>1090801</v>
      </c>
      <c r="CW8" s="26">
        <f t="shared" si="28"/>
        <v>1090801</v>
      </c>
      <c r="CX8" s="16">
        <f>CX9+CX10</f>
        <v>1285208</v>
      </c>
      <c r="CY8" s="16">
        <f>CY9+CY10</f>
        <v>1379252</v>
      </c>
      <c r="CZ8" s="16">
        <f>CZ9+CZ10</f>
        <v>1454230</v>
      </c>
      <c r="DA8" s="16">
        <f>DA9+DA10</f>
        <v>1437237</v>
      </c>
      <c r="DB8" s="26">
        <f t="shared" si="29"/>
        <v>1437237</v>
      </c>
      <c r="DC8" s="16">
        <f>DC9+DC10</f>
        <v>1896708</v>
      </c>
      <c r="DD8" s="16">
        <f>DD9+DD10</f>
        <v>2133707</v>
      </c>
      <c r="DE8" s="16">
        <f>DE9+DE10</f>
        <v>2198778</v>
      </c>
      <c r="DF8" s="16">
        <f>DF9+DF10</f>
        <v>2157943</v>
      </c>
      <c r="DG8" s="26">
        <f t="shared" si="30"/>
        <v>2157943</v>
      </c>
      <c r="DH8" s="16">
        <f>DH9+DH10</f>
        <v>2549380</v>
      </c>
      <c r="DI8" s="16">
        <f>DI9+DI10</f>
        <v>2722340</v>
      </c>
      <c r="DJ8" s="16">
        <f>DJ9+DJ10</f>
        <v>2817694.3696391871</v>
      </c>
      <c r="DK8" s="16">
        <f>DK9+DK10</f>
        <v>2949442.073139322</v>
      </c>
      <c r="DL8" s="26">
        <f t="shared" si="31"/>
        <v>2949442.073139322</v>
      </c>
      <c r="DM8" s="16">
        <f>DM9+DM10</f>
        <v>2909130.1804664577</v>
      </c>
      <c r="DN8" s="16">
        <f>DN9+DN10</f>
        <v>3004927.6449103588</v>
      </c>
      <c r="DO8" s="16">
        <f>DO9+DO10</f>
        <v>3086197.4850974437</v>
      </c>
      <c r="DP8" s="16">
        <f>DP9+DP10</f>
        <v>3161214.4047849858</v>
      </c>
      <c r="DQ8" s="26">
        <f t="shared" si="32"/>
        <v>3161214.4047849858</v>
      </c>
      <c r="DR8" s="16">
        <f>DR9+DR10</f>
        <v>3231611.6426382125</v>
      </c>
      <c r="DS8" s="16">
        <f>DS9+DS10</f>
        <v>3298522.5122645828</v>
      </c>
      <c r="DT8" s="16">
        <f>DT9+DT10</f>
        <v>3362683.485792038</v>
      </c>
      <c r="DU8" s="16">
        <f>DU9+DU10</f>
        <v>3424603.9521148964</v>
      </c>
      <c r="DV8" s="26">
        <f t="shared" si="33"/>
        <v>3424603.9521148964</v>
      </c>
      <c r="DW8" s="16">
        <f>DW9+DW10</f>
        <v>3484657.6341529507</v>
      </c>
      <c r="DX8" s="16">
        <f>DX9+DX10</f>
        <v>3543134.3497378239</v>
      </c>
      <c r="DY8" s="16">
        <f>DY9+DY10</f>
        <v>3600269.5597952786</v>
      </c>
      <c r="DZ8" s="16">
        <f>DZ9+DZ10</f>
        <v>3656261.5208573993</v>
      </c>
      <c r="EA8" s="26">
        <f t="shared" si="34"/>
        <v>3656261.5208573993</v>
      </c>
      <c r="EB8" s="16">
        <f>EB9+EB10</f>
        <v>3711281.4890116402</v>
      </c>
      <c r="EC8" s="16">
        <f>EC9+EC10</f>
        <v>3765480.0031962851</v>
      </c>
      <c r="ED8" s="16">
        <f>ED9+ED10</f>
        <v>3818990.9334288505</v>
      </c>
      <c r="EE8" s="16">
        <f>EE9+EE10</f>
        <v>3871934.2345938412</v>
      </c>
      <c r="EF8" s="26">
        <f t="shared" si="35"/>
        <v>3871934.2345938412</v>
      </c>
    </row>
    <row r="9" spans="1:200" s="131" customFormat="1" ht="12" customHeight="1" outlineLevel="1">
      <c r="A9" s="125" t="s">
        <v>299</v>
      </c>
      <c r="B9" s="127"/>
      <c r="C9" s="127"/>
      <c r="D9" s="127"/>
      <c r="E9" s="127"/>
      <c r="F9" s="130">
        <v>0</v>
      </c>
      <c r="G9" s="127"/>
      <c r="H9" s="127"/>
      <c r="I9" s="127"/>
      <c r="J9" s="127"/>
      <c r="K9" s="130">
        <v>0</v>
      </c>
      <c r="L9" s="127"/>
      <c r="M9" s="127"/>
      <c r="N9" s="127"/>
      <c r="O9" s="127"/>
      <c r="P9" s="130">
        <v>0</v>
      </c>
      <c r="Q9" s="127"/>
      <c r="R9" s="127"/>
      <c r="S9" s="127"/>
      <c r="T9" s="127"/>
      <c r="U9" s="130">
        <v>0</v>
      </c>
      <c r="V9" s="127"/>
      <c r="W9" s="127"/>
      <c r="X9" s="127"/>
      <c r="Y9" s="127"/>
      <c r="Z9" s="130">
        <v>0</v>
      </c>
      <c r="AA9" s="127"/>
      <c r="AB9" s="127"/>
      <c r="AC9" s="127"/>
      <c r="AD9" s="127"/>
      <c r="AE9" s="130">
        <v>0</v>
      </c>
      <c r="AF9" s="127"/>
      <c r="AG9" s="127"/>
      <c r="AH9" s="127"/>
      <c r="AI9" s="127">
        <f>232224.676+1903.187</f>
        <v>234127.86300000001</v>
      </c>
      <c r="AJ9" s="126">
        <f t="shared" si="15"/>
        <v>234127.86300000001</v>
      </c>
      <c r="AK9" s="127"/>
      <c r="AL9" s="127"/>
      <c r="AM9" s="127"/>
      <c r="AN9" s="127">
        <f>305145.074+9619.575</f>
        <v>314764.64900000003</v>
      </c>
      <c r="AO9" s="126">
        <f t="shared" si="16"/>
        <v>314764.64900000003</v>
      </c>
      <c r="AP9" s="127"/>
      <c r="AQ9" s="127"/>
      <c r="AR9" s="127"/>
      <c r="AS9" s="127">
        <f>329682.082+40104.631</f>
        <v>369786.71299999999</v>
      </c>
      <c r="AT9" s="126">
        <f t="shared" si="17"/>
        <v>369786.71299999999</v>
      </c>
      <c r="AU9" s="127"/>
      <c r="AV9" s="127"/>
      <c r="AW9" s="127"/>
      <c r="AX9" s="127">
        <f>363323+84939</f>
        <v>448262</v>
      </c>
      <c r="AY9" s="126">
        <f t="shared" si="18"/>
        <v>448262</v>
      </c>
      <c r="AZ9" s="127"/>
      <c r="BA9" s="127"/>
      <c r="BB9" s="127"/>
      <c r="BC9" s="127">
        <f>401889+119039-BC10</f>
        <v>324766</v>
      </c>
      <c r="BD9" s="126">
        <f t="shared" si="19"/>
        <v>324766</v>
      </c>
      <c r="BE9" s="127"/>
      <c r="BF9" s="127"/>
      <c r="BG9" s="127"/>
      <c r="BH9" s="127">
        <f>464947+146575-BH10</f>
        <v>443781</v>
      </c>
      <c r="BI9" s="126">
        <f t="shared" si="20"/>
        <v>443781</v>
      </c>
      <c r="BJ9" s="127"/>
      <c r="BK9" s="127"/>
      <c r="BL9" s="127"/>
      <c r="BM9" s="127">
        <f>486471+162755-BM10</f>
        <v>586074</v>
      </c>
      <c r="BN9" s="126">
        <f t="shared" si="21"/>
        <v>586074</v>
      </c>
      <c r="BO9" s="127"/>
      <c r="BP9" s="127"/>
      <c r="BQ9" s="127"/>
      <c r="BR9" s="127">
        <f>680292+85006-BR10</f>
        <v>718932</v>
      </c>
      <c r="BS9" s="126">
        <f t="shared" si="22"/>
        <v>718932</v>
      </c>
      <c r="BT9" s="127"/>
      <c r="BU9" s="127"/>
      <c r="BV9" s="127"/>
      <c r="BW9" s="127">
        <f>417334+139731-BW10</f>
        <v>481986</v>
      </c>
      <c r="BX9" s="126">
        <f t="shared" si="23"/>
        <v>481986</v>
      </c>
      <c r="BY9" s="127"/>
      <c r="BZ9" s="127"/>
      <c r="CA9" s="127"/>
      <c r="CB9" s="127">
        <f>533437+125898-CB10</f>
        <v>556863</v>
      </c>
      <c r="CC9" s="126">
        <f t="shared" si="24"/>
        <v>556863</v>
      </c>
      <c r="CD9" s="127">
        <f>448111+157343-CD10</f>
        <v>527013</v>
      </c>
      <c r="CE9" s="127">
        <f>528330+157343-CE10</f>
        <v>594707</v>
      </c>
      <c r="CF9" s="127">
        <f>647241+183813-CF10</f>
        <v>745284</v>
      </c>
      <c r="CG9" s="127">
        <f>627243+172079-CG10</f>
        <v>713804</v>
      </c>
      <c r="CH9" s="126">
        <f t="shared" si="25"/>
        <v>713804</v>
      </c>
      <c r="CI9" s="127">
        <f>770187+167826-CI10</f>
        <v>866972</v>
      </c>
      <c r="CJ9" s="127">
        <f>835343+213781-CJ10</f>
        <v>974152</v>
      </c>
      <c r="CK9" s="127">
        <f>700282+406000-CK10</f>
        <v>1025135</v>
      </c>
      <c r="CL9" s="128">
        <f>731349+546316-CL10</f>
        <v>1186992</v>
      </c>
      <c r="CM9" s="126">
        <f t="shared" si="26"/>
        <v>1186992</v>
      </c>
      <c r="CN9" s="127">
        <f>996524+634055-CN10</f>
        <v>1549111</v>
      </c>
      <c r="CO9" s="127">
        <f>1004386+552406-CO10</f>
        <v>1482423</v>
      </c>
      <c r="CP9" s="127">
        <f>870147+529554-CP10</f>
        <v>1335180</v>
      </c>
      <c r="CQ9" s="127">
        <f>681536+497726-CQ10</f>
        <v>1128332</v>
      </c>
      <c r="CR9" s="126">
        <f t="shared" si="27"/>
        <v>1128332</v>
      </c>
      <c r="CS9" s="127">
        <f>677724+372912-CS10</f>
        <v>998907</v>
      </c>
      <c r="CT9" s="127">
        <f>678261+407428-CT10</f>
        <v>1032846</v>
      </c>
      <c r="CU9" s="127">
        <f>489221+591170-CU10</f>
        <v>1080391</v>
      </c>
      <c r="CV9" s="127">
        <f>481218+609583-CV10</f>
        <v>1090801</v>
      </c>
      <c r="CW9" s="126">
        <f t="shared" si="28"/>
        <v>1090801</v>
      </c>
      <c r="CX9" s="127">
        <f>649909+635299-CX10</f>
        <v>1285208</v>
      </c>
      <c r="CY9" s="127">
        <f>494497+884755-CY10</f>
        <v>1379252</v>
      </c>
      <c r="CZ9" s="127">
        <f>371958+1082272-CZ10</f>
        <v>1454230</v>
      </c>
      <c r="DA9" s="127">
        <f>345783+1091454-DA10</f>
        <v>1437237</v>
      </c>
      <c r="DB9" s="126">
        <f t="shared" si="29"/>
        <v>1437237</v>
      </c>
      <c r="DC9" s="127">
        <f>602208+1294500-DC10</f>
        <v>1896708</v>
      </c>
      <c r="DD9" s="127">
        <f>552497+1581210-DD10</f>
        <v>2133707</v>
      </c>
      <c r="DE9" s="127">
        <f>475943+1722835-DE10</f>
        <v>2198778</v>
      </c>
      <c r="DF9" s="127">
        <f>286215+1871728-DF10</f>
        <v>2157943</v>
      </c>
      <c r="DG9" s="126">
        <f t="shared" si="30"/>
        <v>2157943</v>
      </c>
      <c r="DH9" s="127">
        <f>536930+2012450-DH10</f>
        <v>2549380</v>
      </c>
      <c r="DI9" s="127">
        <f>580014+2142326-DI10</f>
        <v>2722340</v>
      </c>
      <c r="DJ9" s="241">
        <f>DJ66</f>
        <v>2817694.3696391871</v>
      </c>
      <c r="DK9" s="241">
        <f>DK66</f>
        <v>2949442.073139322</v>
      </c>
      <c r="DL9" s="126">
        <f t="shared" si="31"/>
        <v>2949442.073139322</v>
      </c>
      <c r="DM9" s="241">
        <f>DM66</f>
        <v>2909130.1804664577</v>
      </c>
      <c r="DN9" s="241">
        <f>DN66</f>
        <v>3004927.6449103588</v>
      </c>
      <c r="DO9" s="241">
        <f>DO66</f>
        <v>3086197.4850974437</v>
      </c>
      <c r="DP9" s="241">
        <f>DP66</f>
        <v>3161214.4047849858</v>
      </c>
      <c r="DQ9" s="126">
        <f t="shared" si="32"/>
        <v>3161214.4047849858</v>
      </c>
      <c r="DR9" s="241">
        <f>DR66</f>
        <v>3231611.6426382125</v>
      </c>
      <c r="DS9" s="241">
        <f>DS66</f>
        <v>3298522.5122645828</v>
      </c>
      <c r="DT9" s="241">
        <f>DT66</f>
        <v>3362683.485792038</v>
      </c>
      <c r="DU9" s="241">
        <f>DU66</f>
        <v>3424603.9521148964</v>
      </c>
      <c r="DV9" s="126">
        <f t="shared" si="33"/>
        <v>3424603.9521148964</v>
      </c>
      <c r="DW9" s="241">
        <f>DW66</f>
        <v>3484657.6341529507</v>
      </c>
      <c r="DX9" s="241">
        <f>DX66</f>
        <v>3543134.3497378239</v>
      </c>
      <c r="DY9" s="241">
        <f>DY66</f>
        <v>3600269.5597952786</v>
      </c>
      <c r="DZ9" s="241">
        <f>DZ66</f>
        <v>3656261.5208573993</v>
      </c>
      <c r="EA9" s="126">
        <f t="shared" si="34"/>
        <v>3656261.5208573993</v>
      </c>
      <c r="EB9" s="241">
        <f>EB66</f>
        <v>3711281.4890116402</v>
      </c>
      <c r="EC9" s="241">
        <f>EC66</f>
        <v>3765480.0031962851</v>
      </c>
      <c r="ED9" s="241">
        <f>ED66</f>
        <v>3818990.9334288505</v>
      </c>
      <c r="EE9" s="241">
        <f>EE66</f>
        <v>3871934.2345938412</v>
      </c>
      <c r="EF9" s="126">
        <f t="shared" si="35"/>
        <v>3871934.2345938412</v>
      </c>
    </row>
    <row r="10" spans="1:200" s="131" customFormat="1" ht="12" customHeight="1" outlineLevel="1">
      <c r="A10" s="125" t="s">
        <v>294</v>
      </c>
      <c r="B10" s="127"/>
      <c r="C10" s="127"/>
      <c r="D10" s="127"/>
      <c r="E10" s="127"/>
      <c r="F10" s="130"/>
      <c r="G10" s="127"/>
      <c r="H10" s="127"/>
      <c r="I10" s="127"/>
      <c r="J10" s="127"/>
      <c r="K10" s="130"/>
      <c r="L10" s="127"/>
      <c r="M10" s="127"/>
      <c r="N10" s="127"/>
      <c r="O10" s="127"/>
      <c r="P10" s="130"/>
      <c r="Q10" s="127"/>
      <c r="R10" s="127"/>
      <c r="S10" s="127"/>
      <c r="T10" s="127"/>
      <c r="U10" s="130"/>
      <c r="V10" s="127"/>
      <c r="W10" s="127"/>
      <c r="X10" s="127"/>
      <c r="Y10" s="127"/>
      <c r="Z10" s="130"/>
      <c r="AA10" s="127"/>
      <c r="AB10" s="127"/>
      <c r="AC10" s="127"/>
      <c r="AD10" s="127"/>
      <c r="AE10" s="130"/>
      <c r="AF10" s="127"/>
      <c r="AG10" s="127"/>
      <c r="AH10" s="127"/>
      <c r="AI10" s="128"/>
      <c r="AJ10" s="130">
        <f t="shared" si="15"/>
        <v>0</v>
      </c>
      <c r="AK10" s="127"/>
      <c r="AL10" s="127"/>
      <c r="AM10" s="127"/>
      <c r="AN10" s="128"/>
      <c r="AO10" s="130">
        <f t="shared" si="16"/>
        <v>0</v>
      </c>
      <c r="AP10" s="127"/>
      <c r="AQ10" s="127"/>
      <c r="AR10" s="127"/>
      <c r="AS10" s="128"/>
      <c r="AT10" s="130">
        <f t="shared" si="17"/>
        <v>0</v>
      </c>
      <c r="AU10" s="127"/>
      <c r="AV10" s="127"/>
      <c r="AW10" s="127"/>
      <c r="AX10" s="128"/>
      <c r="AY10" s="130">
        <f t="shared" si="18"/>
        <v>0</v>
      </c>
      <c r="AZ10" s="127"/>
      <c r="BA10" s="127"/>
      <c r="BB10" s="127"/>
      <c r="BC10" s="127">
        <f>167941+28221</f>
        <v>196162</v>
      </c>
      <c r="BD10" s="130">
        <f t="shared" si="19"/>
        <v>196162</v>
      </c>
      <c r="BE10" s="127"/>
      <c r="BF10" s="127"/>
      <c r="BG10" s="127"/>
      <c r="BH10" s="127">
        <f>155577+12164</f>
        <v>167741</v>
      </c>
      <c r="BI10" s="130">
        <f t="shared" si="20"/>
        <v>167741</v>
      </c>
      <c r="BJ10" s="127"/>
      <c r="BK10" s="127"/>
      <c r="BL10" s="127"/>
      <c r="BM10" s="127">
        <f>33404+29748</f>
        <v>63152</v>
      </c>
      <c r="BN10" s="130">
        <f t="shared" si="21"/>
        <v>63152</v>
      </c>
      <c r="BO10" s="127"/>
      <c r="BP10" s="127"/>
      <c r="BQ10" s="127"/>
      <c r="BR10" s="127">
        <f>20764+25602</f>
        <v>46366</v>
      </c>
      <c r="BS10" s="130">
        <f t="shared" si="22"/>
        <v>46366</v>
      </c>
      <c r="BT10" s="127"/>
      <c r="BU10" s="127"/>
      <c r="BV10" s="127"/>
      <c r="BW10" s="127">
        <f>54903+20176</f>
        <v>75079</v>
      </c>
      <c r="BX10" s="130">
        <f t="shared" si="23"/>
        <v>75079</v>
      </c>
      <c r="BY10" s="127"/>
      <c r="BZ10" s="127"/>
      <c r="CA10" s="127"/>
      <c r="CB10" s="127">
        <f>95525+6947</f>
        <v>102472</v>
      </c>
      <c r="CC10" s="130">
        <f t="shared" si="24"/>
        <v>102472</v>
      </c>
      <c r="CD10" s="127">
        <f>77017+1424</f>
        <v>78441</v>
      </c>
      <c r="CE10" s="127">
        <f>89542+1424</f>
        <v>90966</v>
      </c>
      <c r="CF10" s="127">
        <f>84346+1424</f>
        <v>85770</v>
      </c>
      <c r="CG10" s="127">
        <v>85518</v>
      </c>
      <c r="CH10" s="130">
        <f t="shared" si="25"/>
        <v>85518</v>
      </c>
      <c r="CI10" s="127">
        <v>71041</v>
      </c>
      <c r="CJ10" s="127">
        <v>74972</v>
      </c>
      <c r="CK10" s="127">
        <v>81147</v>
      </c>
      <c r="CL10" s="127">
        <v>90673</v>
      </c>
      <c r="CM10" s="130">
        <f t="shared" si="26"/>
        <v>90673</v>
      </c>
      <c r="CN10" s="127">
        <v>81468</v>
      </c>
      <c r="CO10" s="127">
        <v>74369</v>
      </c>
      <c r="CP10" s="127">
        <v>64521</v>
      </c>
      <c r="CQ10" s="127">
        <v>50930</v>
      </c>
      <c r="CR10" s="130">
        <f t="shared" si="27"/>
        <v>50930</v>
      </c>
      <c r="CS10" s="127">
        <v>51729</v>
      </c>
      <c r="CT10" s="127">
        <v>52843</v>
      </c>
      <c r="CU10" s="128">
        <v>0</v>
      </c>
      <c r="CV10" s="127">
        <v>0</v>
      </c>
      <c r="CW10" s="130">
        <f t="shared" si="28"/>
        <v>0</v>
      </c>
      <c r="CX10" s="127">
        <v>0</v>
      </c>
      <c r="CY10" s="127">
        <v>0</v>
      </c>
      <c r="CZ10" s="127">
        <v>0</v>
      </c>
      <c r="DA10" s="127">
        <v>0</v>
      </c>
      <c r="DB10" s="130">
        <f t="shared" si="29"/>
        <v>0</v>
      </c>
      <c r="DC10" s="127">
        <v>0</v>
      </c>
      <c r="DD10" s="127">
        <v>0</v>
      </c>
      <c r="DE10" s="127">
        <v>0</v>
      </c>
      <c r="DF10" s="127">
        <v>0</v>
      </c>
      <c r="DG10" s="130">
        <f t="shared" si="30"/>
        <v>0</v>
      </c>
      <c r="DH10" s="127">
        <v>0</v>
      </c>
      <c r="DI10" s="127">
        <v>0</v>
      </c>
      <c r="DJ10" s="127">
        <f>DI10</f>
        <v>0</v>
      </c>
      <c r="DK10" s="127">
        <f>DJ10</f>
        <v>0</v>
      </c>
      <c r="DL10" s="130">
        <f t="shared" si="31"/>
        <v>0</v>
      </c>
      <c r="DM10" s="127">
        <f>DL10</f>
        <v>0</v>
      </c>
      <c r="DN10" s="127">
        <f>DM10</f>
        <v>0</v>
      </c>
      <c r="DO10" s="127">
        <f>DN10</f>
        <v>0</v>
      </c>
      <c r="DP10" s="127">
        <f>DO10</f>
        <v>0</v>
      </c>
      <c r="DQ10" s="130">
        <f t="shared" si="32"/>
        <v>0</v>
      </c>
      <c r="DR10" s="127">
        <f>DQ10</f>
        <v>0</v>
      </c>
      <c r="DS10" s="127">
        <f>DR10</f>
        <v>0</v>
      </c>
      <c r="DT10" s="127">
        <f>DS10</f>
        <v>0</v>
      </c>
      <c r="DU10" s="127">
        <f>DT10</f>
        <v>0</v>
      </c>
      <c r="DV10" s="130">
        <f t="shared" si="33"/>
        <v>0</v>
      </c>
      <c r="DW10" s="127">
        <f>DV10</f>
        <v>0</v>
      </c>
      <c r="DX10" s="127">
        <f>DW10</f>
        <v>0</v>
      </c>
      <c r="DY10" s="127">
        <f>DX10</f>
        <v>0</v>
      </c>
      <c r="DZ10" s="127">
        <f>DY10</f>
        <v>0</v>
      </c>
      <c r="EA10" s="130">
        <f t="shared" si="34"/>
        <v>0</v>
      </c>
      <c r="EB10" s="127">
        <f>EA10</f>
        <v>0</v>
      </c>
      <c r="EC10" s="127">
        <f>EB10</f>
        <v>0</v>
      </c>
      <c r="ED10" s="127">
        <f>EC10</f>
        <v>0</v>
      </c>
      <c r="EE10" s="127">
        <f>ED10</f>
        <v>0</v>
      </c>
      <c r="EF10" s="130">
        <f t="shared" si="35"/>
        <v>0</v>
      </c>
    </row>
    <row r="11" spans="1:200" ht="12" customHeight="1">
      <c r="A11" s="9" t="s">
        <v>82</v>
      </c>
      <c r="B11" s="16">
        <f>SUM(B12:B14)</f>
        <v>0</v>
      </c>
      <c r="C11" s="16">
        <f>SUM(C12:C14)</f>
        <v>0</v>
      </c>
      <c r="D11" s="16">
        <f>SUM(D12:D14)</f>
        <v>0</v>
      </c>
      <c r="E11" s="16">
        <f>SUM(E12:E14)</f>
        <v>0</v>
      </c>
      <c r="F11" s="26">
        <f t="shared" si="13"/>
        <v>0</v>
      </c>
      <c r="G11" s="16">
        <f>SUM(G12:G14)</f>
        <v>0</v>
      </c>
      <c r="H11" s="16">
        <f>SUM(H12:H14)</f>
        <v>0</v>
      </c>
      <c r="I11" s="16">
        <f>SUM(I12:I14)</f>
        <v>0</v>
      </c>
      <c r="J11" s="16">
        <f>SUM(J12:J14)</f>
        <v>0</v>
      </c>
      <c r="K11" s="26">
        <f t="shared" si="14"/>
        <v>0</v>
      </c>
      <c r="L11" s="16">
        <f>SUM(L12:L14)</f>
        <v>0</v>
      </c>
      <c r="M11" s="16">
        <f>SUM(M12:M14)</f>
        <v>0</v>
      </c>
      <c r="N11" s="16">
        <f>SUM(N12:N14)</f>
        <v>0</v>
      </c>
      <c r="O11" s="16">
        <f>SUM(O12:O14)</f>
        <v>0</v>
      </c>
      <c r="P11" s="26">
        <f t="shared" ref="P11:P18" si="37">O11</f>
        <v>0</v>
      </c>
      <c r="Q11" s="16">
        <f>SUM(Q12:Q14)</f>
        <v>0</v>
      </c>
      <c r="R11" s="16">
        <f>SUM(R12:R14)</f>
        <v>0</v>
      </c>
      <c r="S11" s="16">
        <f>SUM(S12:S14)</f>
        <v>0</v>
      </c>
      <c r="T11" s="16">
        <f>SUM(T12:T14)</f>
        <v>0</v>
      </c>
      <c r="U11" s="26">
        <f t="shared" ref="U11:U18" si="38">T11</f>
        <v>0</v>
      </c>
      <c r="V11" s="16">
        <f>SUM(V12:V14)</f>
        <v>0</v>
      </c>
      <c r="W11" s="16">
        <f>SUM(W12:W14)</f>
        <v>0</v>
      </c>
      <c r="X11" s="16">
        <f>SUM(X12:X14)</f>
        <v>0</v>
      </c>
      <c r="Y11" s="16">
        <f>SUM(Y12:Y14)</f>
        <v>0</v>
      </c>
      <c r="Z11" s="26">
        <f t="shared" ref="Z11:Z18" si="39">Y11</f>
        <v>0</v>
      </c>
      <c r="AA11" s="16">
        <f>SUM(AA12:AA14)</f>
        <v>0</v>
      </c>
      <c r="AB11" s="16">
        <f>SUM(AB12:AB14)</f>
        <v>0</v>
      </c>
      <c r="AC11" s="16">
        <f>SUM(AC12:AC14)</f>
        <v>0</v>
      </c>
      <c r="AD11" s="16">
        <f>SUM(AD12:AD14)</f>
        <v>0</v>
      </c>
      <c r="AE11" s="26">
        <f t="shared" ref="AE11:AE18" si="40">AD11</f>
        <v>0</v>
      </c>
      <c r="AF11" s="16">
        <f>SUM(AF12:AF14)</f>
        <v>0</v>
      </c>
      <c r="AG11" s="16">
        <f>SUM(AG12:AG14)</f>
        <v>0</v>
      </c>
      <c r="AH11" s="16">
        <f>SUM(AH12:AH14)</f>
        <v>0</v>
      </c>
      <c r="AI11" s="16">
        <f>SUM(AI12:AI14)</f>
        <v>24299.129000000001</v>
      </c>
      <c r="AJ11" s="26">
        <f t="shared" si="15"/>
        <v>24299.129000000001</v>
      </c>
      <c r="AK11" s="16">
        <f>SUM(AK12:AK14)</f>
        <v>0</v>
      </c>
      <c r="AL11" s="16">
        <f>SUM(AL12:AL14)</f>
        <v>0</v>
      </c>
      <c r="AM11" s="16">
        <f>SUM(AM12:AM14)</f>
        <v>0</v>
      </c>
      <c r="AN11" s="16">
        <f>SUM(AN12:AN14)</f>
        <v>68050.569000000003</v>
      </c>
      <c r="AO11" s="26">
        <f t="shared" si="16"/>
        <v>68050.569000000003</v>
      </c>
      <c r="AP11" s="16">
        <f>SUM(AP12:AP14)</f>
        <v>0</v>
      </c>
      <c r="AQ11" s="16">
        <f>SUM(AQ12:AQ14)</f>
        <v>0</v>
      </c>
      <c r="AR11" s="16">
        <f>SUM(AR12:AR14)</f>
        <v>0</v>
      </c>
      <c r="AS11" s="16">
        <f>SUM(AS12:AS14)</f>
        <v>175651.45699999999</v>
      </c>
      <c r="AT11" s="26">
        <f t="shared" si="17"/>
        <v>175651.45699999999</v>
      </c>
      <c r="AU11" s="16">
        <f>SUM(AU12:AU14)</f>
        <v>0</v>
      </c>
      <c r="AV11" s="16">
        <f>SUM(AV12:AV14)</f>
        <v>0</v>
      </c>
      <c r="AW11" s="16">
        <f>SUM(AW12:AW14)</f>
        <v>0</v>
      </c>
      <c r="AX11" s="16">
        <f>SUM(AX12:AX14)</f>
        <v>153972</v>
      </c>
      <c r="AY11" s="26">
        <f t="shared" si="18"/>
        <v>153972</v>
      </c>
      <c r="AZ11" s="16">
        <f>SUM(AZ12:AZ14)</f>
        <v>0</v>
      </c>
      <c r="BA11" s="16">
        <f>SUM(BA12:BA14)</f>
        <v>0</v>
      </c>
      <c r="BB11" s="16">
        <f>SUM(BB12:BB14)</f>
        <v>0</v>
      </c>
      <c r="BC11" s="16">
        <f t="shared" ref="BC11:BH11" si="41">SUM(BC12:BC14)</f>
        <v>256240</v>
      </c>
      <c r="BD11" s="26">
        <f t="shared" si="19"/>
        <v>256240</v>
      </c>
      <c r="BE11" s="16">
        <f t="shared" si="41"/>
        <v>0</v>
      </c>
      <c r="BF11" s="16">
        <f t="shared" si="41"/>
        <v>0</v>
      </c>
      <c r="BG11" s="16">
        <f t="shared" si="41"/>
        <v>0</v>
      </c>
      <c r="BH11" s="16">
        <f t="shared" si="41"/>
        <v>285355</v>
      </c>
      <c r="BI11" s="26">
        <f t="shared" si="20"/>
        <v>285355</v>
      </c>
      <c r="BJ11" s="16">
        <f>SUM(BJ12:BJ14)</f>
        <v>0</v>
      </c>
      <c r="BK11" s="16">
        <f>SUM(BK12:BK14)</f>
        <v>0</v>
      </c>
      <c r="BL11" s="16">
        <f>SUM(BL12:BL14)</f>
        <v>0</v>
      </c>
      <c r="BM11" s="16">
        <f>SUM(BM12:BM14)</f>
        <v>253854</v>
      </c>
      <c r="BN11" s="26">
        <f t="shared" si="21"/>
        <v>253854</v>
      </c>
      <c r="BO11" s="16">
        <f>SUM(BO12:BO14)</f>
        <v>0</v>
      </c>
      <c r="BP11" s="16">
        <f>SUM(BP12:BP14)</f>
        <v>0</v>
      </c>
      <c r="BQ11" s="16">
        <f>SUM(BQ12:BQ14)</f>
        <v>0</v>
      </c>
      <c r="BR11" s="16">
        <f>SUM(BR12:BR14)</f>
        <v>249149</v>
      </c>
      <c r="BS11" s="26">
        <f t="shared" si="22"/>
        <v>249149</v>
      </c>
      <c r="BT11" s="16">
        <f>SUM(BT12:BT14)</f>
        <v>0</v>
      </c>
      <c r="BU11" s="16">
        <f>SUM(BU12:BU14)</f>
        <v>0</v>
      </c>
      <c r="BV11" s="16">
        <f>SUM(BV12:BV14)</f>
        <v>0</v>
      </c>
      <c r="BW11" s="16">
        <f>SUM(BW12:BW14)</f>
        <v>241079</v>
      </c>
      <c r="BX11" s="26">
        <f t="shared" si="23"/>
        <v>241079</v>
      </c>
      <c r="BY11" s="16">
        <f>SUM(BY12:BY14)</f>
        <v>0</v>
      </c>
      <c r="BZ11" s="16">
        <f>SUM(BZ12:BZ14)</f>
        <v>0</v>
      </c>
      <c r="CA11" s="16">
        <f>SUM(CA12:CA14)</f>
        <v>0</v>
      </c>
      <c r="CB11" s="16">
        <f>SUM(CB12:CB14)</f>
        <v>198799</v>
      </c>
      <c r="CC11" s="26">
        <f t="shared" si="24"/>
        <v>198799</v>
      </c>
      <c r="CD11" s="16">
        <f>SUM(CD12:CD14)</f>
        <v>210689</v>
      </c>
      <c r="CE11" s="16">
        <f>SUM(CE12:CE14)</f>
        <v>190026</v>
      </c>
      <c r="CF11" s="16">
        <f>SUM(CF12:CF14)</f>
        <v>226704</v>
      </c>
      <c r="CG11" s="16">
        <f>SUM(CG12:CG14)</f>
        <v>296258</v>
      </c>
      <c r="CH11" s="26">
        <f t="shared" si="25"/>
        <v>296258</v>
      </c>
      <c r="CI11" s="16">
        <f>SUM(CI12:CI14)</f>
        <v>419485</v>
      </c>
      <c r="CJ11" s="16">
        <f>SUM(CJ12:CJ14)</f>
        <v>365678</v>
      </c>
      <c r="CK11" s="16">
        <f>SUM(CK12:CK14)</f>
        <v>381628</v>
      </c>
      <c r="CL11" s="16">
        <f>SUM(CL12:CL14)</f>
        <v>532708</v>
      </c>
      <c r="CM11" s="26">
        <f t="shared" si="26"/>
        <v>532708</v>
      </c>
      <c r="CN11" s="16">
        <f>SUM(CN12:CN14)</f>
        <v>500791</v>
      </c>
      <c r="CO11" s="16">
        <f>SUM(CO12:CO14)</f>
        <v>470587</v>
      </c>
      <c r="CP11" s="16">
        <f>SUM(CP12:CP14)</f>
        <v>528140</v>
      </c>
      <c r="CQ11" s="16">
        <f>SUM(CQ12:CQ14)</f>
        <v>604089</v>
      </c>
      <c r="CR11" s="26">
        <f t="shared" si="27"/>
        <v>604089</v>
      </c>
      <c r="CS11" s="16">
        <f>SUM(CS12:CS14)</f>
        <v>712498</v>
      </c>
      <c r="CT11" s="16">
        <f>SUM(CT12:CT14)</f>
        <v>657603</v>
      </c>
      <c r="CU11" s="16">
        <f>SUM(CU12:CU14)</f>
        <v>689025</v>
      </c>
      <c r="CV11" s="16">
        <f>SUM(CV12:CV14)</f>
        <v>717548</v>
      </c>
      <c r="CW11" s="26">
        <f t="shared" si="28"/>
        <v>717548</v>
      </c>
      <c r="CX11" s="16">
        <f>SUM(CX12:CX14)</f>
        <v>811385</v>
      </c>
      <c r="CY11" s="16">
        <f>SUM(CY12:CY14)</f>
        <v>766051</v>
      </c>
      <c r="CZ11" s="16">
        <f>SUM(CZ12:CZ14)</f>
        <v>791617</v>
      </c>
      <c r="DA11" s="16">
        <f>SUM(DA12:DA14)</f>
        <v>1193128</v>
      </c>
      <c r="DB11" s="26">
        <f t="shared" si="29"/>
        <v>1193128</v>
      </c>
      <c r="DC11" s="16">
        <f>SUM(DC12:DC14)</f>
        <v>1134943</v>
      </c>
      <c r="DD11" s="16">
        <f>SUM(DD12:DD14)</f>
        <v>1183857</v>
      </c>
      <c r="DE11" s="16">
        <f>SUM(DE12:DE14)</f>
        <v>1316855</v>
      </c>
      <c r="DF11" s="16">
        <f>SUM(DF12:DF14)</f>
        <v>1348649</v>
      </c>
      <c r="DG11" s="26">
        <f t="shared" si="30"/>
        <v>1348649</v>
      </c>
      <c r="DH11" s="16">
        <f>SUM(DH12:DH14)</f>
        <v>1521588</v>
      </c>
      <c r="DI11" s="16">
        <f>SUM(DI12:DI14)</f>
        <v>1530119</v>
      </c>
      <c r="DJ11" s="16">
        <f>SUM(DJ12:DJ14)</f>
        <v>1694285.6571031462</v>
      </c>
      <c r="DK11" s="16">
        <f>SUM(DK12:DK14)</f>
        <v>1685020.3794660841</v>
      </c>
      <c r="DL11" s="26">
        <f t="shared" si="31"/>
        <v>1685020.3794660841</v>
      </c>
      <c r="DM11" s="16">
        <f>SUM(DM12:DM14)</f>
        <v>1736117.2737563411</v>
      </c>
      <c r="DN11" s="16">
        <f>SUM(DN12:DN14)</f>
        <v>1780195.1093104908</v>
      </c>
      <c r="DO11" s="16">
        <f>SUM(DO12:DO14)</f>
        <v>1820009.1633053476</v>
      </c>
      <c r="DP11" s="16">
        <f>SUM(DP12:DP14)</f>
        <v>1857400.8465103642</v>
      </c>
      <c r="DQ11" s="26">
        <f t="shared" si="32"/>
        <v>1857400.8465103642</v>
      </c>
      <c r="DR11" s="16">
        <f>SUM(DR12:DR14)</f>
        <v>1893849.8818821656</v>
      </c>
      <c r="DS11" s="16">
        <f>SUM(DS12:DS14)</f>
        <v>1931269.8225315609</v>
      </c>
      <c r="DT11" s="16">
        <f>SUM(DT12:DT14)</f>
        <v>1965980.8042994281</v>
      </c>
      <c r="DU11" s="16">
        <f>SUM(DU12:DU14)</f>
        <v>1999853.6439181801</v>
      </c>
      <c r="DV11" s="26">
        <f t="shared" si="33"/>
        <v>1999853.6439181801</v>
      </c>
      <c r="DW11" s="16">
        <f>SUM(DW12:DW14)</f>
        <v>2032995.1370992807</v>
      </c>
      <c r="DX11" s="16">
        <f>SUM(DX12:DX14)</f>
        <v>2066821.3201853663</v>
      </c>
      <c r="DY11" s="16">
        <f>SUM(DY12:DY14)</f>
        <v>2099914.5808137073</v>
      </c>
      <c r="DZ11" s="16">
        <f>SUM(DZ12:DZ14)</f>
        <v>2132337.5512915868</v>
      </c>
      <c r="EA11" s="26">
        <f t="shared" si="34"/>
        <v>2132337.5512915868</v>
      </c>
      <c r="EB11" s="16">
        <f>SUM(EB12:EB14)</f>
        <v>2164145.9713784009</v>
      </c>
      <c r="EC11" s="16">
        <f>SUM(EC12:EC14)</f>
        <v>2170784.0164960404</v>
      </c>
      <c r="ED11" s="16">
        <f>SUM(ED12:ED14)</f>
        <v>2152026.1385673936</v>
      </c>
      <c r="EE11" s="16">
        <f>SUM(EE12:EE14)</f>
        <v>2107640.511103435</v>
      </c>
      <c r="EF11" s="26">
        <f t="shared" si="35"/>
        <v>2107640.511103435</v>
      </c>
    </row>
    <row r="12" spans="1:200" s="131" customFormat="1" ht="12" customHeight="1" outlineLevel="1" collapsed="1">
      <c r="A12" s="125" t="s">
        <v>19</v>
      </c>
      <c r="B12" s="127"/>
      <c r="C12" s="127"/>
      <c r="D12" s="127"/>
      <c r="E12" s="127"/>
      <c r="F12" s="130">
        <f t="shared" si="13"/>
        <v>0</v>
      </c>
      <c r="G12" s="127"/>
      <c r="H12" s="127"/>
      <c r="I12" s="127"/>
      <c r="J12" s="127"/>
      <c r="K12" s="130">
        <f t="shared" si="14"/>
        <v>0</v>
      </c>
      <c r="L12" s="127"/>
      <c r="M12" s="127"/>
      <c r="N12" s="127"/>
      <c r="O12" s="127"/>
      <c r="P12" s="130">
        <f t="shared" si="37"/>
        <v>0</v>
      </c>
      <c r="Q12" s="127"/>
      <c r="R12" s="127"/>
      <c r="S12" s="127"/>
      <c r="T12" s="127"/>
      <c r="U12" s="130">
        <f t="shared" si="38"/>
        <v>0</v>
      </c>
      <c r="V12" s="127"/>
      <c r="W12" s="127"/>
      <c r="X12" s="127"/>
      <c r="Y12" s="127"/>
      <c r="Z12" s="130">
        <f t="shared" si="39"/>
        <v>0</v>
      </c>
      <c r="AA12" s="127"/>
      <c r="AB12" s="127"/>
      <c r="AC12" s="127"/>
      <c r="AD12" s="127"/>
      <c r="AE12" s="130">
        <f t="shared" si="40"/>
        <v>0</v>
      </c>
      <c r="AF12" s="127"/>
      <c r="AG12" s="127"/>
      <c r="AH12" s="127"/>
      <c r="AI12" s="128"/>
      <c r="AJ12" s="126">
        <f t="shared" si="15"/>
        <v>0</v>
      </c>
      <c r="AK12" s="127"/>
      <c r="AL12" s="127"/>
      <c r="AM12" s="127"/>
      <c r="AN12" s="128"/>
      <c r="AO12" s="126">
        <f t="shared" si="16"/>
        <v>0</v>
      </c>
      <c r="AP12" s="127"/>
      <c r="AQ12" s="127"/>
      <c r="AR12" s="127"/>
      <c r="AS12" s="128"/>
      <c r="AT12" s="126">
        <f t="shared" si="17"/>
        <v>0</v>
      </c>
      <c r="AU12" s="127"/>
      <c r="AV12" s="127"/>
      <c r="AW12" s="127"/>
      <c r="AX12" s="128"/>
      <c r="AY12" s="126">
        <f t="shared" si="18"/>
        <v>0</v>
      </c>
      <c r="AZ12" s="127"/>
      <c r="BA12" s="127"/>
      <c r="BB12" s="127"/>
      <c r="BC12" s="127">
        <f>159414+15945</f>
        <v>175359</v>
      </c>
      <c r="BD12" s="126">
        <f t="shared" si="19"/>
        <v>175359</v>
      </c>
      <c r="BE12" s="127"/>
      <c r="BF12" s="127"/>
      <c r="BG12" s="127"/>
      <c r="BH12" s="127">
        <f>173687+30356</f>
        <v>204043</v>
      </c>
      <c r="BI12" s="126">
        <f t="shared" si="20"/>
        <v>204043</v>
      </c>
      <c r="BJ12" s="127"/>
      <c r="BK12" s="127"/>
      <c r="BL12" s="127"/>
      <c r="BM12" s="127">
        <f>149116+14332</f>
        <v>163448</v>
      </c>
      <c r="BN12" s="126">
        <f t="shared" si="21"/>
        <v>163448</v>
      </c>
      <c r="BO12" s="127"/>
      <c r="BP12" s="127"/>
      <c r="BQ12" s="127"/>
      <c r="BR12" s="127">
        <f>124007+11346</f>
        <v>135353</v>
      </c>
      <c r="BS12" s="126">
        <f t="shared" si="22"/>
        <v>135353</v>
      </c>
      <c r="BT12" s="127"/>
      <c r="BU12" s="127"/>
      <c r="BV12" s="127"/>
      <c r="BW12" s="127">
        <f>125952+21816</f>
        <v>147768</v>
      </c>
      <c r="BX12" s="126">
        <f t="shared" si="23"/>
        <v>147768</v>
      </c>
      <c r="BY12" s="127"/>
      <c r="BZ12" s="127"/>
      <c r="CA12" s="127"/>
      <c r="CB12" s="127">
        <f>76265+17434</f>
        <v>93699</v>
      </c>
      <c r="CC12" s="126">
        <f t="shared" si="24"/>
        <v>93699</v>
      </c>
      <c r="CD12" s="127">
        <f>107393+27593</f>
        <v>134986</v>
      </c>
      <c r="CE12" s="127">
        <f>57453+30078</f>
        <v>87531</v>
      </c>
      <c r="CF12" s="127">
        <f>106340+22964</f>
        <v>129304</v>
      </c>
      <c r="CG12" s="127">
        <f>112089+40092</f>
        <v>152181</v>
      </c>
      <c r="CH12" s="126">
        <f t="shared" si="25"/>
        <v>152181</v>
      </c>
      <c r="CI12" s="127">
        <f>219727+45763</f>
        <v>265490</v>
      </c>
      <c r="CJ12" s="127">
        <f>158439+44683</f>
        <v>203122</v>
      </c>
      <c r="CK12" s="127">
        <f>159550+42742</f>
        <v>202292</v>
      </c>
      <c r="CL12" s="127">
        <f>307683+35660</f>
        <v>343343</v>
      </c>
      <c r="CM12" s="126">
        <f t="shared" si="26"/>
        <v>343343</v>
      </c>
      <c r="CN12" s="127">
        <f>220144+35392</f>
        <v>255536</v>
      </c>
      <c r="CO12" s="127">
        <f>235089+39330</f>
        <v>274419</v>
      </c>
      <c r="CP12" s="127">
        <f>237599+40391</f>
        <v>277990</v>
      </c>
      <c r="CQ12" s="127">
        <f>314475+58410</f>
        <v>372885</v>
      </c>
      <c r="CR12" s="126">
        <f t="shared" si="27"/>
        <v>372885</v>
      </c>
      <c r="CS12" s="127">
        <f>387388+37104</f>
        <v>424492</v>
      </c>
      <c r="CT12" s="127">
        <f>276992+42745</f>
        <v>319737</v>
      </c>
      <c r="CU12" s="127">
        <f>289416+45996</f>
        <v>335412</v>
      </c>
      <c r="CV12" s="127">
        <f>374076+22809</f>
        <v>396885</v>
      </c>
      <c r="CW12" s="126">
        <f t="shared" si="28"/>
        <v>396885</v>
      </c>
      <c r="CX12" s="127">
        <f>456982+24878</f>
        <v>481860</v>
      </c>
      <c r="CY12" s="127">
        <f>431470+32988</f>
        <v>464458</v>
      </c>
      <c r="CZ12" s="127">
        <f>409557+73725</f>
        <v>483282</v>
      </c>
      <c r="DA12" s="127">
        <f>793435+43049</f>
        <v>836484</v>
      </c>
      <c r="DB12" s="126">
        <f t="shared" si="29"/>
        <v>836484</v>
      </c>
      <c r="DC12" s="127">
        <f>623700+48397</f>
        <v>672097</v>
      </c>
      <c r="DD12" s="127">
        <f>601904+69910</f>
        <v>671814</v>
      </c>
      <c r="DE12" s="127">
        <f>687215+55686</f>
        <v>742901</v>
      </c>
      <c r="DF12" s="127">
        <f>766382+62689</f>
        <v>829071</v>
      </c>
      <c r="DG12" s="126">
        <f t="shared" si="30"/>
        <v>829071</v>
      </c>
      <c r="DH12" s="127">
        <f>888105+67481</f>
        <v>955586</v>
      </c>
      <c r="DI12" s="127">
        <f>730803+70013</f>
        <v>800816</v>
      </c>
      <c r="DJ12" s="129">
        <f>DJ73</f>
        <v>912004.70709849894</v>
      </c>
      <c r="DK12" s="129">
        <f>DK73</f>
        <v>923116.96824128716</v>
      </c>
      <c r="DL12" s="126">
        <f t="shared" si="31"/>
        <v>923116.96824128716</v>
      </c>
      <c r="DM12" s="129">
        <f>DM73</f>
        <v>924496.99573188578</v>
      </c>
      <c r="DN12" s="129">
        <f>DN73</f>
        <v>925892.29321355664</v>
      </c>
      <c r="DO12" s="129">
        <f>DO73</f>
        <v>927303.0296486055</v>
      </c>
      <c r="DP12" s="129">
        <f>DP73</f>
        <v>928729.37586890487</v>
      </c>
      <c r="DQ12" s="126">
        <f t="shared" si="32"/>
        <v>928729.37586890487</v>
      </c>
      <c r="DR12" s="129">
        <f>DR73</f>
        <v>930171.50459658063</v>
      </c>
      <c r="DS12" s="129">
        <f>DS73</f>
        <v>931629.59046492632</v>
      </c>
      <c r="DT12" s="129">
        <f>DT73</f>
        <v>933103.81003955263</v>
      </c>
      <c r="DU12" s="129">
        <f>DU73</f>
        <v>934594.34183976566</v>
      </c>
      <c r="DV12" s="126">
        <f t="shared" si="33"/>
        <v>934594.34183976566</v>
      </c>
      <c r="DW12" s="129">
        <f>DW73</f>
        <v>936101.3663601866</v>
      </c>
      <c r="DX12" s="129">
        <f>DX73</f>
        <v>937625.06609260803</v>
      </c>
      <c r="DY12" s="129">
        <f>DY73</f>
        <v>939165.6255480923</v>
      </c>
      <c r="DZ12" s="129">
        <f>DZ73</f>
        <v>940723.23127931484</v>
      </c>
      <c r="EA12" s="126">
        <f t="shared" si="34"/>
        <v>940723.23127931484</v>
      </c>
      <c r="EB12" s="129">
        <f>EB73</f>
        <v>942298.07190315495</v>
      </c>
      <c r="EC12" s="129">
        <f>EC73</f>
        <v>919283.83372647362</v>
      </c>
      <c r="ED12" s="129">
        <f>ED73</f>
        <v>871408.43882596039</v>
      </c>
      <c r="EE12" s="129">
        <f>EE73</f>
        <v>798396.79873866809</v>
      </c>
      <c r="EF12" s="126">
        <f t="shared" si="35"/>
        <v>798396.79873866809</v>
      </c>
    </row>
    <row r="13" spans="1:200" s="131" customFormat="1" ht="12" customHeight="1" outlineLevel="1">
      <c r="A13" s="125" t="s">
        <v>20</v>
      </c>
      <c r="B13" s="127"/>
      <c r="C13" s="127"/>
      <c r="D13" s="127"/>
      <c r="E13" s="127"/>
      <c r="F13" s="130">
        <f t="shared" si="13"/>
        <v>0</v>
      </c>
      <c r="G13" s="127"/>
      <c r="H13" s="127"/>
      <c r="I13" s="127"/>
      <c r="J13" s="127"/>
      <c r="K13" s="130">
        <f t="shared" si="14"/>
        <v>0</v>
      </c>
      <c r="L13" s="127"/>
      <c r="M13" s="127"/>
      <c r="N13" s="127"/>
      <c r="O13" s="127"/>
      <c r="P13" s="130">
        <f t="shared" si="37"/>
        <v>0</v>
      </c>
      <c r="Q13" s="127"/>
      <c r="R13" s="127"/>
      <c r="S13" s="127"/>
      <c r="T13" s="127"/>
      <c r="U13" s="130">
        <f t="shared" si="38"/>
        <v>0</v>
      </c>
      <c r="V13" s="127"/>
      <c r="W13" s="127"/>
      <c r="X13" s="127"/>
      <c r="Y13" s="127"/>
      <c r="Z13" s="130">
        <f t="shared" si="39"/>
        <v>0</v>
      </c>
      <c r="AA13" s="127"/>
      <c r="AB13" s="127"/>
      <c r="AC13" s="127"/>
      <c r="AD13" s="127"/>
      <c r="AE13" s="130">
        <f t="shared" si="40"/>
        <v>0</v>
      </c>
      <c r="AF13" s="127"/>
      <c r="AG13" s="127"/>
      <c r="AH13" s="127"/>
      <c r="AI13" s="127">
        <f>24299.129+0-AI12-AI14</f>
        <v>24299.129000000001</v>
      </c>
      <c r="AJ13" s="126">
        <f t="shared" si="15"/>
        <v>24299.129000000001</v>
      </c>
      <c r="AK13" s="127"/>
      <c r="AL13" s="127"/>
      <c r="AM13" s="127"/>
      <c r="AN13" s="127">
        <f>62826.588+5223.981-AN12-AN14</f>
        <v>68050.569000000003</v>
      </c>
      <c r="AO13" s="126">
        <f t="shared" si="16"/>
        <v>68050.569000000003</v>
      </c>
      <c r="AP13" s="127"/>
      <c r="AQ13" s="127"/>
      <c r="AR13" s="127"/>
      <c r="AS13" s="127">
        <f>88494.203+87157.254-AS12-AS14</f>
        <v>175651.45699999999</v>
      </c>
      <c r="AT13" s="126">
        <f t="shared" si="17"/>
        <v>175651.45699999999</v>
      </c>
      <c r="AU13" s="127"/>
      <c r="AV13" s="127"/>
      <c r="AW13" s="127"/>
      <c r="AX13" s="127">
        <f>80543+73429-AX12-AX14</f>
        <v>153972</v>
      </c>
      <c r="AY13" s="126">
        <f t="shared" si="18"/>
        <v>153972</v>
      </c>
      <c r="AZ13" s="127"/>
      <c r="BA13" s="127"/>
      <c r="BB13" s="127"/>
      <c r="BC13" s="127">
        <f>202171+54069-BC12-BC14</f>
        <v>80881</v>
      </c>
      <c r="BD13" s="126">
        <f t="shared" si="19"/>
        <v>80881</v>
      </c>
      <c r="BE13" s="127"/>
      <c r="BF13" s="127"/>
      <c r="BG13" s="127"/>
      <c r="BH13" s="127">
        <f>177675+107680-BH12-BH14</f>
        <v>81312</v>
      </c>
      <c r="BI13" s="126">
        <f t="shared" si="20"/>
        <v>81312</v>
      </c>
      <c r="BJ13" s="127"/>
      <c r="BK13" s="127"/>
      <c r="BL13" s="127"/>
      <c r="BM13" s="127">
        <f>239522+14332-BM12-BM14</f>
        <v>90406</v>
      </c>
      <c r="BN13" s="126">
        <f t="shared" si="21"/>
        <v>90406</v>
      </c>
      <c r="BO13" s="127"/>
      <c r="BP13" s="127"/>
      <c r="BQ13" s="127"/>
      <c r="BR13" s="127">
        <f>173079+76070-BR12-BR14</f>
        <v>113796</v>
      </c>
      <c r="BS13" s="126">
        <f t="shared" si="22"/>
        <v>113796</v>
      </c>
      <c r="BT13" s="127"/>
      <c r="BU13" s="127"/>
      <c r="BV13" s="127"/>
      <c r="BW13" s="127">
        <f>216094+24985-BW12-BW14</f>
        <v>93311</v>
      </c>
      <c r="BX13" s="126">
        <f t="shared" si="23"/>
        <v>93311</v>
      </c>
      <c r="BY13" s="127"/>
      <c r="BZ13" s="127"/>
      <c r="CA13" s="127"/>
      <c r="CB13" s="127">
        <f>181365+17434-CB12-CB14</f>
        <v>100326</v>
      </c>
      <c r="CC13" s="126">
        <f t="shared" si="24"/>
        <v>100326</v>
      </c>
      <c r="CD13" s="127">
        <f>210689-CD12-CD14</f>
        <v>75703</v>
      </c>
      <c r="CE13" s="127">
        <f>190026-CE12-CE14</f>
        <v>102495</v>
      </c>
      <c r="CF13" s="127">
        <f>226704+0-CF12-CF14</f>
        <v>89754</v>
      </c>
      <c r="CG13" s="127">
        <f>270277+25981-CG12-CG14</f>
        <v>136569</v>
      </c>
      <c r="CH13" s="126">
        <f t="shared" si="25"/>
        <v>136569</v>
      </c>
      <c r="CI13" s="127">
        <f>382697+36788-CI12-CI14</f>
        <v>141608</v>
      </c>
      <c r="CJ13" s="127">
        <f>320995+44683-CJ12-CJ14</f>
        <v>151854</v>
      </c>
      <c r="CK13" s="127">
        <f>338886+42742-CK12-CK14</f>
        <v>168352</v>
      </c>
      <c r="CL13" s="127">
        <f>486666+46042-CL12-CL14</f>
        <v>175219</v>
      </c>
      <c r="CM13" s="126">
        <f t="shared" si="26"/>
        <v>175219</v>
      </c>
      <c r="CN13" s="127">
        <f>454883+45908-CN12-CN14</f>
        <v>233624</v>
      </c>
      <c r="CO13" s="127">
        <f>420684+49903-CO12-CO14</f>
        <v>185800</v>
      </c>
      <c r="CP13" s="127">
        <f>477113+51027-CP12-CP14</f>
        <v>238927</v>
      </c>
      <c r="CQ13" s="127">
        <f>534993+69096-CQ12-CQ14</f>
        <v>220026</v>
      </c>
      <c r="CR13" s="126">
        <f t="shared" si="27"/>
        <v>220026</v>
      </c>
      <c r="CS13" s="127">
        <f>663404+49094-CS12-CS14</f>
        <v>277060</v>
      </c>
      <c r="CT13" s="127">
        <f>602449+55154-CT12-CT14</f>
        <v>326500</v>
      </c>
      <c r="CU13" s="127">
        <f>626691+62334-CU12-CU14</f>
        <v>341906</v>
      </c>
      <c r="CV13" s="127">
        <f>641546+76002-CV12-CV14</f>
        <v>309364</v>
      </c>
      <c r="CW13" s="126">
        <f t="shared" si="28"/>
        <v>309364</v>
      </c>
      <c r="CX13" s="127">
        <f>683171+128214-CX12-CX14</f>
        <v>319575</v>
      </c>
      <c r="CY13" s="127">
        <f>699423+66628-CY12-CY14</f>
        <v>289267</v>
      </c>
      <c r="CZ13" s="127">
        <f>683894+107723-CZ12-CZ14</f>
        <v>296756</v>
      </c>
      <c r="DA13" s="127">
        <f>808203+384925-DA12-DA14</f>
        <v>346247</v>
      </c>
      <c r="DB13" s="126">
        <f t="shared" si="29"/>
        <v>346247</v>
      </c>
      <c r="DC13" s="127">
        <f>742802+392141-DC12-DC14</f>
        <v>452810</v>
      </c>
      <c r="DD13" s="127">
        <f>744049+439808-DD12-DD14</f>
        <v>491168</v>
      </c>
      <c r="DE13" s="127">
        <f>960833+356022-DE12-DE14</f>
        <v>555062</v>
      </c>
      <c r="DF13" s="127">
        <f>919547+429102-DF12-DF14</f>
        <v>488926</v>
      </c>
      <c r="DG13" s="126">
        <f t="shared" si="30"/>
        <v>488926</v>
      </c>
      <c r="DH13" s="127">
        <f>1180633+340955-DH12-DH14</f>
        <v>538848</v>
      </c>
      <c r="DI13" s="127">
        <f>1185612+344507-DI12-DI14</f>
        <v>696895</v>
      </c>
      <c r="DJ13" s="129">
        <f>DJ75</f>
        <v>735975.8083466586</v>
      </c>
      <c r="DK13" s="129">
        <f>DK75</f>
        <v>687755.86220401502</v>
      </c>
      <c r="DL13" s="126">
        <f t="shared" si="31"/>
        <v>687755.86220401502</v>
      </c>
      <c r="DM13" s="129">
        <f>DM75</f>
        <v>709296.06803350674</v>
      </c>
      <c r="DN13" s="129">
        <f>DN75</f>
        <v>725688.75742731895</v>
      </c>
      <c r="DO13" s="129">
        <f>DO75</f>
        <v>739848.92926899483</v>
      </c>
      <c r="DP13" s="129">
        <f>DP75</f>
        <v>752669.17958183971</v>
      </c>
      <c r="DQ13" s="126">
        <f t="shared" si="32"/>
        <v>752669.17958183971</v>
      </c>
      <c r="DR13" s="129">
        <f>DR75</f>
        <v>764681.532266867</v>
      </c>
      <c r="DS13" s="129">
        <f>DS75</f>
        <v>776191.22366407455</v>
      </c>
      <c r="DT13" s="129">
        <f>DT75</f>
        <v>787377.57331864536</v>
      </c>
      <c r="DU13" s="129">
        <f>DU75</f>
        <v>798349.12171376531</v>
      </c>
      <c r="DV13" s="126">
        <f t="shared" si="33"/>
        <v>798349.12171376531</v>
      </c>
      <c r="DW13" s="129">
        <f>DW75</f>
        <v>809174.32576977042</v>
      </c>
      <c r="DX13" s="129">
        <f>DX75</f>
        <v>819898.66092450276</v>
      </c>
      <c r="DY13" s="129">
        <f>DY75</f>
        <v>830554.17865731346</v>
      </c>
      <c r="DZ13" s="129">
        <f>DZ75</f>
        <v>841164.87325321278</v>
      </c>
      <c r="EA13" s="126">
        <f t="shared" si="34"/>
        <v>841164.87325321278</v>
      </c>
      <c r="EB13" s="129">
        <f>EB75</f>
        <v>851749.71823688364</v>
      </c>
      <c r="EC13" s="129">
        <f>EC75</f>
        <v>862324.40472559177</v>
      </c>
      <c r="ED13" s="129">
        <f>ED75</f>
        <v>872902.3546617676</v>
      </c>
      <c r="EE13" s="129">
        <f>EE75</f>
        <v>883495.32715375908</v>
      </c>
      <c r="EF13" s="126">
        <f t="shared" si="35"/>
        <v>883495.32715375908</v>
      </c>
    </row>
    <row r="14" spans="1:200" s="131" customFormat="1" ht="12" customHeight="1" outlineLevel="1">
      <c r="A14" s="125" t="s">
        <v>21</v>
      </c>
      <c r="B14" s="127"/>
      <c r="C14" s="127"/>
      <c r="D14" s="127"/>
      <c r="E14" s="127"/>
      <c r="F14" s="130">
        <f t="shared" si="13"/>
        <v>0</v>
      </c>
      <c r="G14" s="127"/>
      <c r="H14" s="127"/>
      <c r="I14" s="127"/>
      <c r="J14" s="127"/>
      <c r="K14" s="130">
        <f t="shared" si="14"/>
        <v>0</v>
      </c>
      <c r="L14" s="127"/>
      <c r="M14" s="127"/>
      <c r="N14" s="127"/>
      <c r="O14" s="127"/>
      <c r="P14" s="130">
        <f t="shared" si="37"/>
        <v>0</v>
      </c>
      <c r="Q14" s="127"/>
      <c r="R14" s="127"/>
      <c r="S14" s="127"/>
      <c r="T14" s="127"/>
      <c r="U14" s="130">
        <f t="shared" si="38"/>
        <v>0</v>
      </c>
      <c r="V14" s="127"/>
      <c r="W14" s="127"/>
      <c r="X14" s="127"/>
      <c r="Y14" s="127"/>
      <c r="Z14" s="130">
        <f t="shared" si="39"/>
        <v>0</v>
      </c>
      <c r="AA14" s="127"/>
      <c r="AB14" s="127"/>
      <c r="AC14" s="127"/>
      <c r="AD14" s="127"/>
      <c r="AE14" s="130">
        <f t="shared" si="40"/>
        <v>0</v>
      </c>
      <c r="AF14" s="127"/>
      <c r="AG14" s="127"/>
      <c r="AH14" s="127"/>
      <c r="AI14" s="128"/>
      <c r="AJ14" s="126">
        <f t="shared" si="15"/>
        <v>0</v>
      </c>
      <c r="AK14" s="127"/>
      <c r="AL14" s="127"/>
      <c r="AM14" s="127"/>
      <c r="AN14" s="128"/>
      <c r="AO14" s="126">
        <f t="shared" si="16"/>
        <v>0</v>
      </c>
      <c r="AP14" s="127"/>
      <c r="AQ14" s="127"/>
      <c r="AR14" s="127"/>
      <c r="AS14" s="128"/>
      <c r="AT14" s="126">
        <f t="shared" si="17"/>
        <v>0</v>
      </c>
      <c r="AU14" s="127"/>
      <c r="AV14" s="127"/>
      <c r="AW14" s="127"/>
      <c r="AX14" s="128"/>
      <c r="AY14" s="126">
        <f t="shared" si="18"/>
        <v>0</v>
      </c>
      <c r="AZ14" s="127"/>
      <c r="BA14" s="127"/>
      <c r="BB14" s="127"/>
      <c r="BC14" s="127"/>
      <c r="BD14" s="126">
        <f t="shared" si="19"/>
        <v>0</v>
      </c>
      <c r="BE14" s="127"/>
      <c r="BF14" s="127"/>
      <c r="BG14" s="127"/>
      <c r="BH14" s="127"/>
      <c r="BI14" s="126">
        <f t="shared" si="20"/>
        <v>0</v>
      </c>
      <c r="BJ14" s="127"/>
      <c r="BK14" s="127"/>
      <c r="BL14" s="127"/>
      <c r="BM14" s="127"/>
      <c r="BN14" s="126">
        <f t="shared" si="21"/>
        <v>0</v>
      </c>
      <c r="BO14" s="127"/>
      <c r="BP14" s="127"/>
      <c r="BQ14" s="127"/>
      <c r="BR14" s="128"/>
      <c r="BS14" s="126">
        <f t="shared" si="22"/>
        <v>0</v>
      </c>
      <c r="BT14" s="127"/>
      <c r="BU14" s="127"/>
      <c r="BV14" s="127"/>
      <c r="BW14" s="128"/>
      <c r="BX14" s="126">
        <f t="shared" si="23"/>
        <v>0</v>
      </c>
      <c r="BY14" s="127"/>
      <c r="BZ14" s="127"/>
      <c r="CA14" s="127"/>
      <c r="CB14" s="127">
        <v>4774</v>
      </c>
      <c r="CC14" s="126">
        <f t="shared" si="24"/>
        <v>4774</v>
      </c>
      <c r="CD14" s="128"/>
      <c r="CE14" s="128"/>
      <c r="CF14" s="127">
        <v>7646</v>
      </c>
      <c r="CG14" s="127">
        <v>7508</v>
      </c>
      <c r="CH14" s="126">
        <f t="shared" si="25"/>
        <v>7508</v>
      </c>
      <c r="CI14" s="127">
        <v>12387</v>
      </c>
      <c r="CJ14" s="127">
        <v>10702</v>
      </c>
      <c r="CK14" s="127">
        <v>10984</v>
      </c>
      <c r="CL14" s="127">
        <v>14146</v>
      </c>
      <c r="CM14" s="126">
        <f t="shared" si="26"/>
        <v>14146</v>
      </c>
      <c r="CN14" s="127">
        <v>11631</v>
      </c>
      <c r="CO14" s="127">
        <v>10368</v>
      </c>
      <c r="CP14" s="127">
        <v>11223</v>
      </c>
      <c r="CQ14" s="127">
        <v>11178</v>
      </c>
      <c r="CR14" s="126">
        <f t="shared" si="27"/>
        <v>11178</v>
      </c>
      <c r="CS14" s="127">
        <v>10946</v>
      </c>
      <c r="CT14" s="127">
        <v>11366</v>
      </c>
      <c r="CU14" s="127">
        <v>11707</v>
      </c>
      <c r="CV14" s="127">
        <v>11299</v>
      </c>
      <c r="CW14" s="126">
        <f t="shared" si="28"/>
        <v>11299</v>
      </c>
      <c r="CX14" s="127">
        <v>9950</v>
      </c>
      <c r="CY14" s="127">
        <v>12326</v>
      </c>
      <c r="CZ14" s="127">
        <v>11579</v>
      </c>
      <c r="DA14" s="127">
        <v>10397</v>
      </c>
      <c r="DB14" s="126">
        <f t="shared" si="29"/>
        <v>10397</v>
      </c>
      <c r="DC14" s="127">
        <v>10036</v>
      </c>
      <c r="DD14" s="127">
        <v>20875</v>
      </c>
      <c r="DE14" s="127">
        <v>18892</v>
      </c>
      <c r="DF14" s="127">
        <v>30652</v>
      </c>
      <c r="DG14" s="126">
        <f t="shared" si="30"/>
        <v>30652</v>
      </c>
      <c r="DH14" s="127">
        <v>27154</v>
      </c>
      <c r="DI14" s="127">
        <v>32408</v>
      </c>
      <c r="DJ14" s="129">
        <f>DJ77</f>
        <v>46305.141657988817</v>
      </c>
      <c r="DK14" s="129">
        <f>DK77</f>
        <v>74147.549020781982</v>
      </c>
      <c r="DL14" s="126">
        <f t="shared" si="31"/>
        <v>74147.549020781982</v>
      </c>
      <c r="DM14" s="129">
        <f>DM77</f>
        <v>102324.20999094845</v>
      </c>
      <c r="DN14" s="129">
        <f>DN77</f>
        <v>128614.05866961526</v>
      </c>
      <c r="DO14" s="129">
        <f>DO77</f>
        <v>152857.2043877473</v>
      </c>
      <c r="DP14" s="129">
        <f>DP77</f>
        <v>176002.29105961963</v>
      </c>
      <c r="DQ14" s="126">
        <f t="shared" si="32"/>
        <v>176002.29105961963</v>
      </c>
      <c r="DR14" s="129">
        <f>DR77</f>
        <v>198996.84501871787</v>
      </c>
      <c r="DS14" s="129">
        <f>DS77</f>
        <v>223449.00840255985</v>
      </c>
      <c r="DT14" s="129">
        <f>DT77</f>
        <v>245499.42094123023</v>
      </c>
      <c r="DU14" s="129">
        <f>DU77</f>
        <v>266910.1803646491</v>
      </c>
      <c r="DV14" s="126">
        <f t="shared" si="33"/>
        <v>266910.1803646491</v>
      </c>
      <c r="DW14" s="129">
        <f>DW77</f>
        <v>287719.44496932375</v>
      </c>
      <c r="DX14" s="129">
        <f>DX77</f>
        <v>309297.59316825558</v>
      </c>
      <c r="DY14" s="129">
        <f>DY77</f>
        <v>330194.77660830156</v>
      </c>
      <c r="DZ14" s="129">
        <f>DZ77</f>
        <v>350449.44675905909</v>
      </c>
      <c r="EA14" s="126">
        <f t="shared" si="34"/>
        <v>350449.44675905909</v>
      </c>
      <c r="EB14" s="129">
        <f>EB77</f>
        <v>370098.18123836222</v>
      </c>
      <c r="EC14" s="129">
        <f>EC77</f>
        <v>389175.77804397506</v>
      </c>
      <c r="ED14" s="129">
        <f>ED77</f>
        <v>407715.3450796656</v>
      </c>
      <c r="EE14" s="129">
        <f>EE77</f>
        <v>425748.38521100767</v>
      </c>
      <c r="EF14" s="126">
        <f t="shared" si="35"/>
        <v>425748.38521100767</v>
      </c>
    </row>
    <row r="15" spans="1:200" ht="12" customHeight="1">
      <c r="A15" s="9" t="s">
        <v>113</v>
      </c>
      <c r="B15" s="94"/>
      <c r="C15" s="94"/>
      <c r="D15" s="94"/>
      <c r="E15" s="94"/>
      <c r="F15" s="20">
        <f>E15</f>
        <v>0</v>
      </c>
      <c r="G15" s="94"/>
      <c r="H15" s="94"/>
      <c r="I15" s="94"/>
      <c r="J15" s="94"/>
      <c r="K15" s="20">
        <f t="shared" si="14"/>
        <v>0</v>
      </c>
      <c r="L15" s="94"/>
      <c r="M15" s="94"/>
      <c r="N15" s="94"/>
      <c r="O15" s="94"/>
      <c r="P15" s="20">
        <f t="shared" si="37"/>
        <v>0</v>
      </c>
      <c r="Q15" s="94"/>
      <c r="R15" s="94"/>
      <c r="S15" s="94"/>
      <c r="T15" s="94"/>
      <c r="U15" s="20">
        <f t="shared" si="38"/>
        <v>0</v>
      </c>
      <c r="V15" s="94"/>
      <c r="W15" s="94"/>
      <c r="X15" s="94"/>
      <c r="Y15" s="94"/>
      <c r="Z15" s="20">
        <f t="shared" si="39"/>
        <v>0</v>
      </c>
      <c r="AA15" s="94"/>
      <c r="AB15" s="94"/>
      <c r="AC15" s="94"/>
      <c r="AD15" s="94"/>
      <c r="AE15" s="20">
        <f t="shared" si="40"/>
        <v>0</v>
      </c>
      <c r="AF15" s="94"/>
      <c r="AG15" s="94"/>
      <c r="AH15" s="94"/>
      <c r="AI15" s="94">
        <f>7039.688</f>
        <v>7039.6880000000001</v>
      </c>
      <c r="AJ15" s="20">
        <f t="shared" si="15"/>
        <v>7039.6880000000001</v>
      </c>
      <c r="AK15" s="94"/>
      <c r="AL15" s="94"/>
      <c r="AM15" s="94"/>
      <c r="AN15" s="94">
        <f>7454.976</f>
        <v>7454.9759999999997</v>
      </c>
      <c r="AO15" s="20">
        <f t="shared" si="16"/>
        <v>7454.9759999999997</v>
      </c>
      <c r="AP15" s="94"/>
      <c r="AQ15" s="94"/>
      <c r="AR15" s="94"/>
      <c r="AS15" s="94">
        <f>3735.719</f>
        <v>3735.7190000000001</v>
      </c>
      <c r="AT15" s="20">
        <f t="shared" si="17"/>
        <v>3735.7190000000001</v>
      </c>
      <c r="AU15" s="94"/>
      <c r="AV15" s="94"/>
      <c r="AW15" s="94"/>
      <c r="AX15" s="94">
        <f>3746</f>
        <v>3746</v>
      </c>
      <c r="AY15" s="20">
        <f t="shared" si="18"/>
        <v>3746</v>
      </c>
      <c r="AZ15" s="94"/>
      <c r="BA15" s="94"/>
      <c r="BB15" s="94"/>
      <c r="BC15" s="94">
        <f>1831</f>
        <v>1831</v>
      </c>
      <c r="BD15" s="20">
        <f t="shared" si="19"/>
        <v>1831</v>
      </c>
      <c r="BE15" s="94"/>
      <c r="BF15" s="94"/>
      <c r="BG15" s="94"/>
      <c r="BH15" s="94">
        <f>1824</f>
        <v>1824</v>
      </c>
      <c r="BI15" s="20">
        <f t="shared" si="20"/>
        <v>1824</v>
      </c>
      <c r="BJ15" s="94"/>
      <c r="BK15" s="94"/>
      <c r="BL15" s="94"/>
      <c r="BM15" s="94">
        <f>5060</f>
        <v>5060</v>
      </c>
      <c r="BN15" s="20">
        <f t="shared" si="21"/>
        <v>5060</v>
      </c>
      <c r="BO15" s="94"/>
      <c r="BP15" s="94"/>
      <c r="BQ15" s="94"/>
      <c r="BR15" s="94">
        <f>4801</f>
        <v>4801</v>
      </c>
      <c r="BS15" s="20">
        <f t="shared" si="22"/>
        <v>4801</v>
      </c>
      <c r="BT15" s="94"/>
      <c r="BU15" s="94"/>
      <c r="BV15" s="94"/>
      <c r="BW15" s="94">
        <f>4471</f>
        <v>4471</v>
      </c>
      <c r="BX15" s="20">
        <f t="shared" si="23"/>
        <v>4471</v>
      </c>
      <c r="BY15" s="94"/>
      <c r="BZ15" s="94"/>
      <c r="CA15" s="94"/>
      <c r="CB15" s="94">
        <f>8922</f>
        <v>8922</v>
      </c>
      <c r="CC15" s="20">
        <f t="shared" si="24"/>
        <v>8922</v>
      </c>
      <c r="CD15" s="94">
        <v>11718</v>
      </c>
      <c r="CE15" s="94">
        <v>9125</v>
      </c>
      <c r="CF15" s="94">
        <v>8463</v>
      </c>
      <c r="CG15" s="94">
        <v>7748</v>
      </c>
      <c r="CH15" s="20">
        <f>CG15</f>
        <v>7748</v>
      </c>
      <c r="CI15" s="94">
        <v>7755</v>
      </c>
      <c r="CJ15" s="94">
        <v>5560</v>
      </c>
      <c r="CK15" s="94">
        <v>9083</v>
      </c>
      <c r="CL15" s="94">
        <v>6611</v>
      </c>
      <c r="CM15" s="20">
        <f>CL15</f>
        <v>6611</v>
      </c>
      <c r="CN15" s="94">
        <v>6676</v>
      </c>
      <c r="CO15" s="94">
        <v>6582</v>
      </c>
      <c r="CP15" s="94">
        <v>8343</v>
      </c>
      <c r="CQ15" s="94">
        <v>7297</v>
      </c>
      <c r="CR15" s="20">
        <f>CQ15</f>
        <v>7297</v>
      </c>
      <c r="CS15" s="94">
        <v>7108</v>
      </c>
      <c r="CT15" s="94">
        <v>9562</v>
      </c>
      <c r="CU15" s="94">
        <v>11558</v>
      </c>
      <c r="CV15" s="94">
        <v>13547</v>
      </c>
      <c r="CW15" s="20">
        <f>CV15</f>
        <v>13547</v>
      </c>
      <c r="CX15" s="94">
        <v>9839</v>
      </c>
      <c r="CY15" s="94">
        <v>26070</v>
      </c>
      <c r="CZ15" s="94">
        <v>15022</v>
      </c>
      <c r="DA15" s="94">
        <v>17033</v>
      </c>
      <c r="DB15" s="20">
        <f>DA15</f>
        <v>17033</v>
      </c>
      <c r="DC15" s="94">
        <v>15238</v>
      </c>
      <c r="DD15" s="94">
        <v>8316</v>
      </c>
      <c r="DE15" s="94">
        <v>9581</v>
      </c>
      <c r="DF15" s="94">
        <v>11708</v>
      </c>
      <c r="DG15" s="20">
        <f>DF15</f>
        <v>11708</v>
      </c>
      <c r="DH15" s="94">
        <v>10253</v>
      </c>
      <c r="DI15" s="94">
        <v>9152</v>
      </c>
      <c r="DJ15" s="21">
        <f>DJ100</f>
        <v>9522.6449398683253</v>
      </c>
      <c r="DK15" s="21">
        <f>DK100</f>
        <v>10376.822724575733</v>
      </c>
      <c r="DL15" s="20">
        <f>DK15</f>
        <v>10376.822724575733</v>
      </c>
      <c r="DM15" s="21">
        <f>DM100</f>
        <v>10567.211570189193</v>
      </c>
      <c r="DN15" s="21">
        <f>DN100</f>
        <v>11012.657371513205</v>
      </c>
      <c r="DO15" s="21">
        <f>DO100</f>
        <v>11293.27801060982</v>
      </c>
      <c r="DP15" s="21">
        <f>DP100</f>
        <v>11418.261900347639</v>
      </c>
      <c r="DQ15" s="20">
        <f>DP15</f>
        <v>11418.261900347639</v>
      </c>
      <c r="DR15" s="21">
        <f>DR100</f>
        <v>11638.480290938238</v>
      </c>
      <c r="DS15" s="21">
        <f>DS100</f>
        <v>11837.804377905266</v>
      </c>
      <c r="DT15" s="21">
        <f>DT100</f>
        <v>12042.787260563548</v>
      </c>
      <c r="DU15" s="21">
        <f>DU100</f>
        <v>12226.781510513181</v>
      </c>
      <c r="DV15" s="20">
        <f>DU15</f>
        <v>12226.781510513181</v>
      </c>
      <c r="DW15" s="21">
        <f>DW100</f>
        <v>12397.799172800946</v>
      </c>
      <c r="DX15" s="21">
        <f>DX100</f>
        <v>12572.858041977121</v>
      </c>
      <c r="DY15" s="21">
        <f>DY100</f>
        <v>12739.110695749694</v>
      </c>
      <c r="DZ15" s="21">
        <f>DZ100</f>
        <v>12901.999084427302</v>
      </c>
      <c r="EA15" s="20">
        <f>DZ15</f>
        <v>12901.999084427302</v>
      </c>
      <c r="EB15" s="21">
        <f>EB100</f>
        <v>13057.398039223806</v>
      </c>
      <c r="EC15" s="21">
        <f>EC100</f>
        <v>13209.651882518407</v>
      </c>
      <c r="ED15" s="21">
        <f>ED100</f>
        <v>13358.780689133391</v>
      </c>
      <c r="EE15" s="21">
        <f>EE100</f>
        <v>13509.230661214779</v>
      </c>
      <c r="EF15" s="20">
        <f>EE15</f>
        <v>13509.230661214779</v>
      </c>
    </row>
    <row r="16" spans="1:200" ht="12" customHeight="1">
      <c r="A16" s="9" t="s">
        <v>114</v>
      </c>
      <c r="B16" s="94"/>
      <c r="C16" s="94"/>
      <c r="D16" s="94"/>
      <c r="E16" s="94"/>
      <c r="F16" s="20">
        <f>E16</f>
        <v>0</v>
      </c>
      <c r="G16" s="94"/>
      <c r="H16" s="94"/>
      <c r="I16" s="94"/>
      <c r="J16" s="94"/>
      <c r="K16" s="20">
        <f t="shared" si="14"/>
        <v>0</v>
      </c>
      <c r="L16" s="94"/>
      <c r="M16" s="94"/>
      <c r="N16" s="94"/>
      <c r="O16" s="94"/>
      <c r="P16" s="20">
        <f t="shared" si="37"/>
        <v>0</v>
      </c>
      <c r="Q16" s="94"/>
      <c r="R16" s="94"/>
      <c r="S16" s="94"/>
      <c r="T16" s="94"/>
      <c r="U16" s="20">
        <f t="shared" si="38"/>
        <v>0</v>
      </c>
      <c r="V16" s="94"/>
      <c r="W16" s="94"/>
      <c r="X16" s="94"/>
      <c r="Y16" s="94"/>
      <c r="Z16" s="20">
        <f t="shared" si="39"/>
        <v>0</v>
      </c>
      <c r="AA16" s="94"/>
      <c r="AB16" s="94"/>
      <c r="AC16" s="94"/>
      <c r="AD16" s="94"/>
      <c r="AE16" s="20">
        <f t="shared" si="40"/>
        <v>0</v>
      </c>
      <c r="AF16" s="94"/>
      <c r="AG16" s="94"/>
      <c r="AH16" s="94"/>
      <c r="AI16" s="94">
        <v>0</v>
      </c>
      <c r="AJ16" s="20">
        <f t="shared" si="15"/>
        <v>0</v>
      </c>
      <c r="AK16" s="94"/>
      <c r="AL16" s="94"/>
      <c r="AM16" s="94"/>
      <c r="AN16" s="94">
        <v>0</v>
      </c>
      <c r="AO16" s="20">
        <f t="shared" si="16"/>
        <v>0</v>
      </c>
      <c r="AP16" s="94"/>
      <c r="AQ16" s="94"/>
      <c r="AR16" s="94"/>
      <c r="AS16" s="94">
        <v>2660.68</v>
      </c>
      <c r="AT16" s="20">
        <f t="shared" si="17"/>
        <v>2660.68</v>
      </c>
      <c r="AU16" s="94"/>
      <c r="AV16" s="94"/>
      <c r="AW16" s="94"/>
      <c r="AX16" s="94">
        <v>0</v>
      </c>
      <c r="AY16" s="20">
        <f t="shared" si="18"/>
        <v>0</v>
      </c>
      <c r="AZ16" s="94"/>
      <c r="BA16" s="94"/>
      <c r="BB16" s="94"/>
      <c r="BC16" s="94">
        <v>0</v>
      </c>
      <c r="BD16" s="20">
        <f t="shared" si="19"/>
        <v>0</v>
      </c>
      <c r="BE16" s="94"/>
      <c r="BF16" s="94"/>
      <c r="BG16" s="94"/>
      <c r="BH16" s="94">
        <v>0</v>
      </c>
      <c r="BI16" s="20">
        <f t="shared" si="20"/>
        <v>0</v>
      </c>
      <c r="BJ16" s="94"/>
      <c r="BK16" s="94"/>
      <c r="BL16" s="94"/>
      <c r="BM16" s="94">
        <v>0</v>
      </c>
      <c r="BN16" s="20">
        <f t="shared" si="21"/>
        <v>0</v>
      </c>
      <c r="BO16" s="94"/>
      <c r="BP16" s="94"/>
      <c r="BQ16" s="94"/>
      <c r="BR16" s="94">
        <v>0</v>
      </c>
      <c r="BS16" s="20">
        <f t="shared" si="22"/>
        <v>0</v>
      </c>
      <c r="BT16" s="94"/>
      <c r="BU16" s="94"/>
      <c r="BV16" s="94"/>
      <c r="BW16" s="94">
        <v>0</v>
      </c>
      <c r="BX16" s="20">
        <f t="shared" si="23"/>
        <v>0</v>
      </c>
      <c r="BY16" s="94"/>
      <c r="BZ16" s="94"/>
      <c r="CA16" s="94"/>
      <c r="CB16" s="94">
        <v>0</v>
      </c>
      <c r="CC16" s="20">
        <f t="shared" si="24"/>
        <v>0</v>
      </c>
      <c r="CD16" s="94">
        <v>0</v>
      </c>
      <c r="CE16" s="94">
        <v>0</v>
      </c>
      <c r="CF16" s="94">
        <v>0</v>
      </c>
      <c r="CG16" s="94">
        <v>0</v>
      </c>
      <c r="CH16" s="20">
        <f>CG16</f>
        <v>0</v>
      </c>
      <c r="CI16" s="94">
        <v>0</v>
      </c>
      <c r="CJ16" s="94">
        <v>0</v>
      </c>
      <c r="CK16" s="94">
        <v>0</v>
      </c>
      <c r="CL16" s="94">
        <v>0</v>
      </c>
      <c r="CM16" s="20">
        <f>CL16</f>
        <v>0</v>
      </c>
      <c r="CN16" s="94">
        <v>0</v>
      </c>
      <c r="CO16" s="94">
        <v>0</v>
      </c>
      <c r="CP16" s="94">
        <v>0</v>
      </c>
      <c r="CQ16" s="94">
        <v>0</v>
      </c>
      <c r="CR16" s="20">
        <f>CQ16</f>
        <v>0</v>
      </c>
      <c r="CS16" s="94">
        <v>0</v>
      </c>
      <c r="CT16" s="94">
        <v>0</v>
      </c>
      <c r="CU16" s="94">
        <v>0</v>
      </c>
      <c r="CV16" s="94">
        <v>0</v>
      </c>
      <c r="CW16" s="20">
        <f>CV16</f>
        <v>0</v>
      </c>
      <c r="CX16" s="94">
        <v>0</v>
      </c>
      <c r="CY16" s="94">
        <v>0</v>
      </c>
      <c r="CZ16" s="94">
        <v>0</v>
      </c>
      <c r="DA16" s="94">
        <v>0</v>
      </c>
      <c r="DB16" s="20">
        <f>DA16</f>
        <v>0</v>
      </c>
      <c r="DC16" s="94">
        <v>0</v>
      </c>
      <c r="DD16" s="94">
        <v>0</v>
      </c>
      <c r="DE16" s="94">
        <v>0</v>
      </c>
      <c r="DF16" s="94">
        <v>0</v>
      </c>
      <c r="DG16" s="20">
        <f>DF16</f>
        <v>0</v>
      </c>
      <c r="DH16" s="94">
        <v>0</v>
      </c>
      <c r="DI16" s="94">
        <v>0</v>
      </c>
      <c r="DJ16" s="94">
        <f>DI16</f>
        <v>0</v>
      </c>
      <c r="DK16" s="94">
        <f>DJ16</f>
        <v>0</v>
      </c>
      <c r="DL16" s="20">
        <f>DK16</f>
        <v>0</v>
      </c>
      <c r="DM16" s="94">
        <f>DL16</f>
        <v>0</v>
      </c>
      <c r="DN16" s="94">
        <f>DM16</f>
        <v>0</v>
      </c>
      <c r="DO16" s="94">
        <f>DN16</f>
        <v>0</v>
      </c>
      <c r="DP16" s="94">
        <f>DO16</f>
        <v>0</v>
      </c>
      <c r="DQ16" s="20">
        <f>DP16</f>
        <v>0</v>
      </c>
      <c r="DR16" s="94">
        <f>DQ16</f>
        <v>0</v>
      </c>
      <c r="DS16" s="94">
        <f>DR16</f>
        <v>0</v>
      </c>
      <c r="DT16" s="94">
        <f>DS16</f>
        <v>0</v>
      </c>
      <c r="DU16" s="94">
        <f>DT16</f>
        <v>0</v>
      </c>
      <c r="DV16" s="20">
        <f>DU16</f>
        <v>0</v>
      </c>
      <c r="DW16" s="94">
        <f>DV16</f>
        <v>0</v>
      </c>
      <c r="DX16" s="94">
        <f>DW16</f>
        <v>0</v>
      </c>
      <c r="DY16" s="94">
        <f>DX16</f>
        <v>0</v>
      </c>
      <c r="DZ16" s="94">
        <f>DY16</f>
        <v>0</v>
      </c>
      <c r="EA16" s="20">
        <f>DZ16</f>
        <v>0</v>
      </c>
      <c r="EB16" s="94">
        <f>EA16</f>
        <v>0</v>
      </c>
      <c r="EC16" s="94">
        <f>EB16</f>
        <v>0</v>
      </c>
      <c r="ED16" s="94">
        <f>EC16</f>
        <v>0</v>
      </c>
      <c r="EE16" s="94">
        <f>ED16</f>
        <v>0</v>
      </c>
      <c r="EF16" s="20">
        <f>EE16</f>
        <v>0</v>
      </c>
    </row>
    <row r="17" spans="1:136" ht="12" customHeight="1">
      <c r="A17" s="9" t="s">
        <v>115</v>
      </c>
      <c r="B17" s="94"/>
      <c r="C17" s="94"/>
      <c r="D17" s="94"/>
      <c r="E17" s="94"/>
      <c r="F17" s="20">
        <f>E17</f>
        <v>0</v>
      </c>
      <c r="G17" s="94"/>
      <c r="H17" s="94"/>
      <c r="I17" s="94"/>
      <c r="J17" s="94"/>
      <c r="K17" s="20">
        <f t="shared" si="14"/>
        <v>0</v>
      </c>
      <c r="L17" s="94"/>
      <c r="M17" s="94"/>
      <c r="N17" s="94"/>
      <c r="O17" s="94"/>
      <c r="P17" s="20">
        <f t="shared" si="37"/>
        <v>0</v>
      </c>
      <c r="Q17" s="94"/>
      <c r="R17" s="94"/>
      <c r="S17" s="94"/>
      <c r="T17" s="94"/>
      <c r="U17" s="20">
        <f t="shared" si="38"/>
        <v>0</v>
      </c>
      <c r="V17" s="94"/>
      <c r="W17" s="94"/>
      <c r="X17" s="94"/>
      <c r="Y17" s="94"/>
      <c r="Z17" s="20">
        <f t="shared" si="39"/>
        <v>0</v>
      </c>
      <c r="AA17" s="94"/>
      <c r="AB17" s="94"/>
      <c r="AC17" s="94"/>
      <c r="AD17" s="94"/>
      <c r="AE17" s="20">
        <f t="shared" si="40"/>
        <v>0</v>
      </c>
      <c r="AF17" s="94"/>
      <c r="AG17" s="94"/>
      <c r="AH17" s="94"/>
      <c r="AI17" s="94">
        <v>0</v>
      </c>
      <c r="AJ17" s="20">
        <f t="shared" si="15"/>
        <v>0</v>
      </c>
      <c r="AK17" s="94"/>
      <c r="AL17" s="94"/>
      <c r="AM17" s="94"/>
      <c r="AN17" s="94">
        <v>0</v>
      </c>
      <c r="AO17" s="20">
        <f t="shared" si="16"/>
        <v>0</v>
      </c>
      <c r="AP17" s="94"/>
      <c r="AQ17" s="94"/>
      <c r="AR17" s="94"/>
      <c r="AS17" s="94">
        <v>0</v>
      </c>
      <c r="AT17" s="20">
        <f t="shared" si="17"/>
        <v>0</v>
      </c>
      <c r="AU17" s="94"/>
      <c r="AV17" s="94"/>
      <c r="AW17" s="94"/>
      <c r="AX17" s="94">
        <v>0</v>
      </c>
      <c r="AY17" s="20">
        <f t="shared" si="18"/>
        <v>0</v>
      </c>
      <c r="AZ17" s="94"/>
      <c r="BA17" s="94"/>
      <c r="BB17" s="94"/>
      <c r="BC17" s="94">
        <v>0</v>
      </c>
      <c r="BD17" s="20">
        <f t="shared" si="19"/>
        <v>0</v>
      </c>
      <c r="BE17" s="94"/>
      <c r="BF17" s="94"/>
      <c r="BG17" s="94"/>
      <c r="BH17" s="94">
        <v>0</v>
      </c>
      <c r="BI17" s="20">
        <f t="shared" si="20"/>
        <v>0</v>
      </c>
      <c r="BJ17" s="94"/>
      <c r="BK17" s="94"/>
      <c r="BL17" s="94"/>
      <c r="BM17" s="94">
        <v>0</v>
      </c>
      <c r="BN17" s="20">
        <f t="shared" si="21"/>
        <v>0</v>
      </c>
      <c r="BO17" s="94"/>
      <c r="BP17" s="94"/>
      <c r="BQ17" s="94"/>
      <c r="BR17" s="94">
        <f>11264</f>
        <v>11264</v>
      </c>
      <c r="BS17" s="20">
        <f t="shared" si="22"/>
        <v>11264</v>
      </c>
      <c r="BT17" s="94"/>
      <c r="BU17" s="94"/>
      <c r="BV17" s="94"/>
      <c r="BW17" s="94">
        <f>21229</f>
        <v>21229</v>
      </c>
      <c r="BX17" s="20">
        <f t="shared" si="23"/>
        <v>21229</v>
      </c>
      <c r="BY17" s="94"/>
      <c r="BZ17" s="94"/>
      <c r="CA17" s="94"/>
      <c r="CB17" s="94">
        <v>28509</v>
      </c>
      <c r="CC17" s="20">
        <f t="shared" si="24"/>
        <v>28509</v>
      </c>
      <c r="CD17" s="94">
        <v>29049</v>
      </c>
      <c r="CE17" s="94">
        <v>31857</v>
      </c>
      <c r="CF17" s="94">
        <v>34742</v>
      </c>
      <c r="CG17" s="94">
        <v>35795</v>
      </c>
      <c r="CH17" s="20">
        <f>CG17</f>
        <v>35795</v>
      </c>
      <c r="CI17" s="94">
        <v>35108</v>
      </c>
      <c r="CJ17" s="94">
        <v>35750</v>
      </c>
      <c r="CK17" s="94">
        <v>35795</v>
      </c>
      <c r="CL17" s="94">
        <v>30956</v>
      </c>
      <c r="CM17" s="20">
        <f>CL17</f>
        <v>30956</v>
      </c>
      <c r="CN17" s="94">
        <v>31947</v>
      </c>
      <c r="CO17" s="94">
        <v>33536</v>
      </c>
      <c r="CP17" s="94">
        <v>34097</v>
      </c>
      <c r="CQ17" s="94">
        <v>32029</v>
      </c>
      <c r="CR17" s="20">
        <f>CQ17</f>
        <v>32029</v>
      </c>
      <c r="CS17" s="94">
        <v>33030</v>
      </c>
      <c r="CT17" s="94">
        <v>34160</v>
      </c>
      <c r="CU17" s="94">
        <v>32888</v>
      </c>
      <c r="CV17" s="94">
        <v>30236</v>
      </c>
      <c r="CW17" s="20">
        <f>CV17</f>
        <v>30236</v>
      </c>
      <c r="CX17" s="94">
        <v>31224</v>
      </c>
      <c r="CY17" s="94">
        <v>28707</v>
      </c>
      <c r="CZ17" s="94">
        <v>29068</v>
      </c>
      <c r="DA17" s="94">
        <v>26391</v>
      </c>
      <c r="DB17" s="20">
        <f>DA17</f>
        <v>26391</v>
      </c>
      <c r="DC17" s="94">
        <v>27551</v>
      </c>
      <c r="DD17" s="94">
        <v>32719</v>
      </c>
      <c r="DE17" s="94">
        <v>31161</v>
      </c>
      <c r="DF17" s="94">
        <v>26986</v>
      </c>
      <c r="DG17" s="20">
        <f>DF17</f>
        <v>26986</v>
      </c>
      <c r="DH17" s="94">
        <v>26816</v>
      </c>
      <c r="DI17" s="94">
        <v>34432</v>
      </c>
      <c r="DJ17" s="21">
        <f>DJ97</f>
        <v>35826.454389154955</v>
      </c>
      <c r="DK17" s="21">
        <f>DK97</f>
        <v>39040.074306445764</v>
      </c>
      <c r="DL17" s="20">
        <f>DK17</f>
        <v>39040.074306445764</v>
      </c>
      <c r="DM17" s="21">
        <f>DM97</f>
        <v>39756.362410921574</v>
      </c>
      <c r="DN17" s="21">
        <f>DN97</f>
        <v>41432.235425693034</v>
      </c>
      <c r="DO17" s="21">
        <f>DO97</f>
        <v>42487.996990965614</v>
      </c>
      <c r="DP17" s="21">
        <f>DP97</f>
        <v>42958.216100608603</v>
      </c>
      <c r="DQ17" s="20">
        <f>DP17</f>
        <v>42958.216100608603</v>
      </c>
      <c r="DR17" s="21">
        <f>DR97</f>
        <v>43786.730045627774</v>
      </c>
      <c r="DS17" s="21">
        <f>DS97</f>
        <v>44536.634652538691</v>
      </c>
      <c r="DT17" s="21">
        <f>DT97</f>
        <v>45307.828994288029</v>
      </c>
      <c r="DU17" s="21">
        <f>DU97</f>
        <v>46000.059109483154</v>
      </c>
      <c r="DV17" s="20">
        <f>DU17</f>
        <v>46000.059109483154</v>
      </c>
      <c r="DW17" s="21">
        <f>DW97</f>
        <v>46643.46821655181</v>
      </c>
      <c r="DX17" s="21">
        <f>DX97</f>
        <v>47302.081304781052</v>
      </c>
      <c r="DY17" s="21">
        <f>DY97</f>
        <v>47927.563316876469</v>
      </c>
      <c r="DZ17" s="21">
        <f>DZ97</f>
        <v>48540.38816378943</v>
      </c>
      <c r="EA17" s="20">
        <f>DZ17</f>
        <v>48540.38816378943</v>
      </c>
      <c r="EB17" s="21">
        <f>EB97</f>
        <v>49125.035979737113</v>
      </c>
      <c r="EC17" s="21">
        <f>EC97</f>
        <v>49697.851138425889</v>
      </c>
      <c r="ED17" s="21">
        <f>ED97</f>
        <v>50258.909166110236</v>
      </c>
      <c r="EE17" s="21">
        <f>EE97</f>
        <v>50824.937732402454</v>
      </c>
      <c r="EF17" s="20">
        <f>EE17</f>
        <v>50824.937732402454</v>
      </c>
    </row>
    <row r="18" spans="1:136" ht="12" customHeight="1">
      <c r="A18" s="9" t="s">
        <v>202</v>
      </c>
      <c r="B18" s="94"/>
      <c r="C18" s="94"/>
      <c r="D18" s="94"/>
      <c r="E18" s="94"/>
      <c r="F18" s="20">
        <f>E18</f>
        <v>0</v>
      </c>
      <c r="G18" s="94"/>
      <c r="H18" s="94"/>
      <c r="I18" s="94"/>
      <c r="J18" s="94"/>
      <c r="K18" s="20">
        <f t="shared" si="14"/>
        <v>0</v>
      </c>
      <c r="L18" s="94"/>
      <c r="M18" s="94"/>
      <c r="N18" s="94"/>
      <c r="O18" s="94"/>
      <c r="P18" s="20">
        <f t="shared" si="37"/>
        <v>0</v>
      </c>
      <c r="Q18" s="94"/>
      <c r="R18" s="94"/>
      <c r="S18" s="94"/>
      <c r="T18" s="94"/>
      <c r="U18" s="20">
        <f t="shared" si="38"/>
        <v>0</v>
      </c>
      <c r="V18" s="94"/>
      <c r="W18" s="94"/>
      <c r="X18" s="94"/>
      <c r="Y18" s="94"/>
      <c r="Z18" s="20">
        <f t="shared" si="39"/>
        <v>0</v>
      </c>
      <c r="AA18" s="94"/>
      <c r="AB18" s="94"/>
      <c r="AC18" s="94"/>
      <c r="AD18" s="94"/>
      <c r="AE18" s="20">
        <f t="shared" si="40"/>
        <v>0</v>
      </c>
      <c r="AF18" s="140"/>
      <c r="AG18" s="140"/>
      <c r="AH18" s="140"/>
      <c r="AI18" s="140">
        <f>6653.051+47.791+1761.869</f>
        <v>8462.7110000000011</v>
      </c>
      <c r="AJ18" s="20">
        <f t="shared" si="15"/>
        <v>8462.7110000000011</v>
      </c>
      <c r="AK18" s="140"/>
      <c r="AL18" s="140"/>
      <c r="AM18" s="140"/>
      <c r="AN18" s="140">
        <f>20449.648+791.568+372.441</f>
        <v>21613.656999999999</v>
      </c>
      <c r="AO18" s="20">
        <f t="shared" si="16"/>
        <v>21613.656999999999</v>
      </c>
      <c r="AP18" s="140"/>
      <c r="AQ18" s="140"/>
      <c r="AR18" s="140"/>
      <c r="AS18" s="140">
        <f>26432.804+2093.61</f>
        <v>28526.414000000001</v>
      </c>
      <c r="AT18" s="20">
        <f t="shared" si="17"/>
        <v>28526.414000000001</v>
      </c>
      <c r="AU18" s="140"/>
      <c r="AV18" s="140"/>
      <c r="AW18" s="140"/>
      <c r="AX18" s="140">
        <f>19019+0</f>
        <v>19019</v>
      </c>
      <c r="AY18" s="20">
        <f t="shared" si="18"/>
        <v>19019</v>
      </c>
      <c r="AZ18" s="140"/>
      <c r="BA18" s="140"/>
      <c r="BB18" s="140"/>
      <c r="BC18" s="140">
        <f>9972+270</f>
        <v>10242</v>
      </c>
      <c r="BD18" s="20">
        <f t="shared" si="19"/>
        <v>10242</v>
      </c>
      <c r="BE18" s="140"/>
      <c r="BF18" s="140"/>
      <c r="BG18" s="140"/>
      <c r="BH18" s="140">
        <f>13257+1262</f>
        <v>14519</v>
      </c>
      <c r="BI18" s="20">
        <f t="shared" si="20"/>
        <v>14519</v>
      </c>
      <c r="BJ18" s="140"/>
      <c r="BK18" s="140"/>
      <c r="BL18" s="140"/>
      <c r="BM18" s="140">
        <f>11324+1342</f>
        <v>12666</v>
      </c>
      <c r="BN18" s="20">
        <f t="shared" si="21"/>
        <v>12666</v>
      </c>
      <c r="BO18" s="140"/>
      <c r="BP18" s="140"/>
      <c r="BQ18" s="140"/>
      <c r="BR18" s="140">
        <f>12936+4084-BR17</f>
        <v>5756</v>
      </c>
      <c r="BS18" s="20">
        <f t="shared" si="22"/>
        <v>5756</v>
      </c>
      <c r="BT18" s="140"/>
      <c r="BU18" s="140"/>
      <c r="BV18" s="140"/>
      <c r="BW18" s="140">
        <f>32923+3160-BW17</f>
        <v>14854</v>
      </c>
      <c r="BX18" s="20">
        <f t="shared" si="23"/>
        <v>14854</v>
      </c>
      <c r="BY18" s="140"/>
      <c r="BZ18" s="140"/>
      <c r="CA18" s="140"/>
      <c r="CB18" s="140">
        <f>38789+3840-CB17</f>
        <v>14120</v>
      </c>
      <c r="CC18" s="20">
        <f t="shared" si="24"/>
        <v>14120</v>
      </c>
      <c r="CD18" s="140">
        <f>34331+3642-CD17</f>
        <v>8924</v>
      </c>
      <c r="CE18" s="140">
        <f>36889+3726-CE17</f>
        <v>8758</v>
      </c>
      <c r="CF18" s="140">
        <f>42749+4441-CF17</f>
        <v>12448</v>
      </c>
      <c r="CG18" s="140">
        <f>16345+40318-CG17</f>
        <v>20868</v>
      </c>
      <c r="CH18" s="20">
        <f>CG18</f>
        <v>20868</v>
      </c>
      <c r="CI18" s="140">
        <f>15478+39751-CI17</f>
        <v>20121</v>
      </c>
      <c r="CJ18" s="140">
        <f>19254+40488-CJ17</f>
        <v>23992</v>
      </c>
      <c r="CK18" s="140">
        <f>24330+40920-CK17</f>
        <v>29455</v>
      </c>
      <c r="CL18" s="140">
        <f>27836+35863-CL17</f>
        <v>32743</v>
      </c>
      <c r="CM18" s="20">
        <f>CL18</f>
        <v>32743</v>
      </c>
      <c r="CN18" s="140">
        <f>30305+36988-CN17</f>
        <v>35346</v>
      </c>
      <c r="CO18" s="140">
        <f>36248+38934-CO17</f>
        <v>41646</v>
      </c>
      <c r="CP18" s="140">
        <f>43329+39513-CP17</f>
        <v>48745</v>
      </c>
      <c r="CQ18" s="140">
        <f>50270+37485-CQ17</f>
        <v>55726</v>
      </c>
      <c r="CR18" s="20">
        <f>CQ18</f>
        <v>55726</v>
      </c>
      <c r="CS18" s="140">
        <f>58214+38625-CS17</f>
        <v>63809</v>
      </c>
      <c r="CT18" s="140">
        <f>63169+40822-CT17</f>
        <v>69831</v>
      </c>
      <c r="CU18" s="140">
        <f>79675+40775-CU17</f>
        <v>87562</v>
      </c>
      <c r="CV18" s="140">
        <f>84228+37440-CV17</f>
        <v>91432</v>
      </c>
      <c r="CW18" s="20">
        <f>CV18</f>
        <v>91432</v>
      </c>
      <c r="CX18" s="140">
        <f>92050+40040-CX17</f>
        <v>100866</v>
      </c>
      <c r="CY18" s="140">
        <f>115011+36529-CY17</f>
        <v>122833</v>
      </c>
      <c r="CZ18" s="140">
        <f>132338+37791-CZ17</f>
        <v>141061</v>
      </c>
      <c r="DA18" s="140">
        <f>138882+33123-DA17</f>
        <v>145614</v>
      </c>
      <c r="DB18" s="20">
        <f>DA18</f>
        <v>145614</v>
      </c>
      <c r="DC18" s="140">
        <f>144504+37748-DC17</f>
        <v>154701</v>
      </c>
      <c r="DD18" s="140">
        <f>170013+56629-DD17</f>
        <v>193923</v>
      </c>
      <c r="DE18" s="140">
        <f>187277+52251-DE17</f>
        <v>208367</v>
      </c>
      <c r="DF18" s="140">
        <f>203465+47276-DF17</f>
        <v>223755</v>
      </c>
      <c r="DG18" s="20">
        <f>DF18</f>
        <v>223755</v>
      </c>
      <c r="DH18" s="140">
        <f>206713+48248-DH17</f>
        <v>228145</v>
      </c>
      <c r="DI18" s="140">
        <f>230579+52709-DI17</f>
        <v>248856</v>
      </c>
      <c r="DJ18" s="94">
        <f>DI18</f>
        <v>248856</v>
      </c>
      <c r="DK18" s="94">
        <f>DJ18</f>
        <v>248856</v>
      </c>
      <c r="DL18" s="20">
        <f>DK18</f>
        <v>248856</v>
      </c>
      <c r="DM18" s="94">
        <f>DK18</f>
        <v>248856</v>
      </c>
      <c r="DN18" s="94">
        <f>DM18</f>
        <v>248856</v>
      </c>
      <c r="DO18" s="94">
        <f>DN18</f>
        <v>248856</v>
      </c>
      <c r="DP18" s="94">
        <f>DO18</f>
        <v>248856</v>
      </c>
      <c r="DQ18" s="20">
        <f>DP18</f>
        <v>248856</v>
      </c>
      <c r="DR18" s="94">
        <f>DP18</f>
        <v>248856</v>
      </c>
      <c r="DS18" s="94">
        <f>DR18</f>
        <v>248856</v>
      </c>
      <c r="DT18" s="94">
        <f>DS18</f>
        <v>248856</v>
      </c>
      <c r="DU18" s="94">
        <f>DT18</f>
        <v>248856</v>
      </c>
      <c r="DV18" s="20">
        <f>DU18</f>
        <v>248856</v>
      </c>
      <c r="DW18" s="94">
        <f>DU18</f>
        <v>248856</v>
      </c>
      <c r="DX18" s="94">
        <f>DW18</f>
        <v>248856</v>
      </c>
      <c r="DY18" s="94">
        <f>DX18</f>
        <v>248856</v>
      </c>
      <c r="DZ18" s="94">
        <f>DY18</f>
        <v>248856</v>
      </c>
      <c r="EA18" s="20">
        <f>DZ18</f>
        <v>248856</v>
      </c>
      <c r="EB18" s="94">
        <f>DZ18</f>
        <v>248856</v>
      </c>
      <c r="EC18" s="94">
        <f>EB18</f>
        <v>248856</v>
      </c>
      <c r="ED18" s="94">
        <f>EC18</f>
        <v>248856</v>
      </c>
      <c r="EE18" s="94">
        <f>ED18</f>
        <v>248856</v>
      </c>
      <c r="EF18" s="20">
        <f>EE18</f>
        <v>248856</v>
      </c>
    </row>
    <row r="19" spans="1:136" s="92" customFormat="1" ht="12" customHeight="1">
      <c r="A19" s="121" t="s">
        <v>41</v>
      </c>
      <c r="B19" s="122">
        <f t="shared" ref="B19:K19" si="42">B20+B21+B22+B23</f>
        <v>0</v>
      </c>
      <c r="C19" s="122">
        <f t="shared" si="42"/>
        <v>0</v>
      </c>
      <c r="D19" s="122">
        <f t="shared" si="42"/>
        <v>0</v>
      </c>
      <c r="E19" s="122">
        <f t="shared" si="42"/>
        <v>0</v>
      </c>
      <c r="F19" s="123">
        <f t="shared" si="42"/>
        <v>0</v>
      </c>
      <c r="G19" s="122">
        <f t="shared" si="42"/>
        <v>0</v>
      </c>
      <c r="H19" s="122">
        <f t="shared" si="42"/>
        <v>0</v>
      </c>
      <c r="I19" s="122">
        <f t="shared" si="42"/>
        <v>0</v>
      </c>
      <c r="J19" s="122">
        <f t="shared" si="42"/>
        <v>0</v>
      </c>
      <c r="K19" s="123">
        <f t="shared" si="42"/>
        <v>0</v>
      </c>
      <c r="L19" s="122">
        <f t="shared" ref="L19:BN19" si="43">L20+L21+L22+L23</f>
        <v>0</v>
      </c>
      <c r="M19" s="122">
        <f t="shared" si="43"/>
        <v>0</v>
      </c>
      <c r="N19" s="122">
        <f t="shared" si="43"/>
        <v>0</v>
      </c>
      <c r="O19" s="122">
        <f t="shared" si="43"/>
        <v>0</v>
      </c>
      <c r="P19" s="123">
        <f t="shared" si="43"/>
        <v>0</v>
      </c>
      <c r="Q19" s="122">
        <f t="shared" si="43"/>
        <v>0</v>
      </c>
      <c r="R19" s="122">
        <f t="shared" si="43"/>
        <v>0</v>
      </c>
      <c r="S19" s="122">
        <f t="shared" si="43"/>
        <v>0</v>
      </c>
      <c r="T19" s="122">
        <f t="shared" si="43"/>
        <v>0</v>
      </c>
      <c r="U19" s="123">
        <f t="shared" si="43"/>
        <v>0</v>
      </c>
      <c r="V19" s="122">
        <f t="shared" si="43"/>
        <v>0</v>
      </c>
      <c r="W19" s="122">
        <f t="shared" si="43"/>
        <v>0</v>
      </c>
      <c r="X19" s="122">
        <f t="shared" si="43"/>
        <v>0</v>
      </c>
      <c r="Y19" s="122">
        <f t="shared" si="43"/>
        <v>0</v>
      </c>
      <c r="Z19" s="123">
        <f t="shared" si="43"/>
        <v>0</v>
      </c>
      <c r="AA19" s="122">
        <f t="shared" si="43"/>
        <v>0</v>
      </c>
      <c r="AB19" s="122">
        <f t="shared" si="43"/>
        <v>0</v>
      </c>
      <c r="AC19" s="122">
        <f t="shared" si="43"/>
        <v>0</v>
      </c>
      <c r="AD19" s="122">
        <f t="shared" si="43"/>
        <v>0</v>
      </c>
      <c r="AE19" s="123">
        <f t="shared" si="43"/>
        <v>0</v>
      </c>
      <c r="AF19" s="122">
        <f t="shared" si="43"/>
        <v>0</v>
      </c>
      <c r="AG19" s="122">
        <f t="shared" si="43"/>
        <v>0</v>
      </c>
      <c r="AH19" s="122">
        <f t="shared" si="43"/>
        <v>0</v>
      </c>
      <c r="AI19" s="122">
        <f t="shared" si="43"/>
        <v>5004.6019999999999</v>
      </c>
      <c r="AJ19" s="123">
        <f t="shared" si="43"/>
        <v>5004.6019999999999</v>
      </c>
      <c r="AK19" s="122">
        <f>AK20+AK21+AK22+AK23</f>
        <v>0</v>
      </c>
      <c r="AL19" s="122">
        <f>AL20+AL21+AL22+AL23</f>
        <v>0</v>
      </c>
      <c r="AM19" s="122">
        <f>AM20+AM21+AM22+AM23</f>
        <v>0</v>
      </c>
      <c r="AN19" s="122">
        <f>AN20+AN21+AN22+AN23</f>
        <v>7148.8159999999998</v>
      </c>
      <c r="AO19" s="123">
        <f t="shared" si="43"/>
        <v>7148.8159999999998</v>
      </c>
      <c r="AP19" s="122">
        <f t="shared" si="43"/>
        <v>0</v>
      </c>
      <c r="AQ19" s="122">
        <f t="shared" si="43"/>
        <v>0</v>
      </c>
      <c r="AR19" s="122">
        <f t="shared" si="43"/>
        <v>0</v>
      </c>
      <c r="AS19" s="122">
        <f t="shared" si="43"/>
        <v>30631.169000000002</v>
      </c>
      <c r="AT19" s="123">
        <f t="shared" si="43"/>
        <v>30631.169000000002</v>
      </c>
      <c r="AU19" s="122">
        <f>AU20+AU21+AU22+AU23</f>
        <v>0</v>
      </c>
      <c r="AV19" s="122">
        <f>AV20+AV21+AV22+AV23</f>
        <v>0</v>
      </c>
      <c r="AW19" s="122">
        <f>AW20+AW21+AW22+AW23</f>
        <v>0</v>
      </c>
      <c r="AX19" s="122">
        <f>AX20+AX21+AX22+AX23</f>
        <v>16218</v>
      </c>
      <c r="AY19" s="123">
        <f>AY20+AY21+AY22+AY23</f>
        <v>16218</v>
      </c>
      <c r="AZ19" s="122">
        <f t="shared" si="43"/>
        <v>0</v>
      </c>
      <c r="BA19" s="122">
        <f t="shared" si="43"/>
        <v>0</v>
      </c>
      <c r="BB19" s="122">
        <f t="shared" si="43"/>
        <v>0</v>
      </c>
      <c r="BC19" s="122">
        <f>BC20+BC21+BC22+BC23</f>
        <v>22170</v>
      </c>
      <c r="BD19" s="123">
        <f t="shared" si="43"/>
        <v>22170</v>
      </c>
      <c r="BE19" s="122">
        <f t="shared" si="43"/>
        <v>0</v>
      </c>
      <c r="BF19" s="122">
        <f t="shared" si="43"/>
        <v>0</v>
      </c>
      <c r="BG19" s="122">
        <f t="shared" si="43"/>
        <v>0</v>
      </c>
      <c r="BH19" s="122">
        <f t="shared" si="43"/>
        <v>10770</v>
      </c>
      <c r="BI19" s="123">
        <f t="shared" si="43"/>
        <v>10770</v>
      </c>
      <c r="BJ19" s="122">
        <f t="shared" si="43"/>
        <v>0</v>
      </c>
      <c r="BK19" s="122">
        <f t="shared" si="43"/>
        <v>0</v>
      </c>
      <c r="BL19" s="122">
        <f t="shared" si="43"/>
        <v>0</v>
      </c>
      <c r="BM19" s="122">
        <f t="shared" si="43"/>
        <v>10626</v>
      </c>
      <c r="BN19" s="123">
        <f t="shared" si="43"/>
        <v>10626</v>
      </c>
      <c r="BO19" s="122">
        <f>BO20+BO21+BO22+BO23</f>
        <v>0</v>
      </c>
      <c r="BP19" s="122">
        <f>BP20+BP21+BP22+BP23</f>
        <v>0</v>
      </c>
      <c r="BQ19" s="122">
        <f>BQ20+BQ21+BQ22+BQ23</f>
        <v>0</v>
      </c>
      <c r="BR19" s="122">
        <f>BR20+BR21+BR22+BR23</f>
        <v>25095</v>
      </c>
      <c r="BS19" s="123">
        <f t="shared" ref="BS19:CE19" si="44">BS20+BS21+BS22+BS23</f>
        <v>25095</v>
      </c>
      <c r="BT19" s="122">
        <f t="shared" si="44"/>
        <v>0</v>
      </c>
      <c r="BU19" s="122">
        <f t="shared" si="44"/>
        <v>0</v>
      </c>
      <c r="BV19" s="122">
        <f>BV20+BV21+BV22+BV23</f>
        <v>0</v>
      </c>
      <c r="BW19" s="122">
        <f>BW20+BW21+BW22+BW23</f>
        <v>22994</v>
      </c>
      <c r="BX19" s="123">
        <f t="shared" si="44"/>
        <v>22994</v>
      </c>
      <c r="BY19" s="122">
        <f>BY20+BY21+BY22+BY23</f>
        <v>0</v>
      </c>
      <c r="BZ19" s="122">
        <f>BZ20+BZ21+BZ22+BZ23</f>
        <v>0</v>
      </c>
      <c r="CA19" s="122">
        <f>CA20+CA21+CA22+CA23</f>
        <v>0</v>
      </c>
      <c r="CB19" s="122">
        <f>CB20+CB21+CB22+CB23</f>
        <v>28556</v>
      </c>
      <c r="CC19" s="123">
        <f t="shared" si="44"/>
        <v>28556</v>
      </c>
      <c r="CD19" s="122">
        <f>CD20+CD21+CD22+CD23</f>
        <v>31132</v>
      </c>
      <c r="CE19" s="122">
        <f t="shared" si="44"/>
        <v>37649</v>
      </c>
      <c r="CF19" s="122">
        <f t="shared" ref="CF19:DI19" si="45">CF20+CF21+CF22+CF23</f>
        <v>39284</v>
      </c>
      <c r="CG19" s="122">
        <f t="shared" si="45"/>
        <v>41617</v>
      </c>
      <c r="CH19" s="123">
        <f t="shared" si="45"/>
        <v>41617</v>
      </c>
      <c r="CI19" s="122">
        <f>CI20+CI21+CI22+CI23</f>
        <v>48948</v>
      </c>
      <c r="CJ19" s="122">
        <f>CJ20+CJ21+CJ22+CJ23</f>
        <v>55708</v>
      </c>
      <c r="CK19" s="122">
        <f>CK20+CK21+CK22+CK23</f>
        <v>55253</v>
      </c>
      <c r="CL19" s="122">
        <f>CL20+CL21+CL22+CL23</f>
        <v>118431</v>
      </c>
      <c r="CM19" s="123">
        <f t="shared" si="45"/>
        <v>118431</v>
      </c>
      <c r="CN19" s="122">
        <f t="shared" si="45"/>
        <v>121557</v>
      </c>
      <c r="CO19" s="122">
        <f t="shared" si="45"/>
        <v>123787</v>
      </c>
      <c r="CP19" s="122">
        <f t="shared" si="45"/>
        <v>126564</v>
      </c>
      <c r="CQ19" s="122">
        <f t="shared" si="45"/>
        <v>125529</v>
      </c>
      <c r="CR19" s="123">
        <f t="shared" si="45"/>
        <v>125529</v>
      </c>
      <c r="CS19" s="122">
        <f>CS20+CS21+CS22+CS23</f>
        <v>131942</v>
      </c>
      <c r="CT19" s="122">
        <f>CT20+CT21+CT22+CT23</f>
        <v>135195</v>
      </c>
      <c r="CU19" s="122">
        <f>CU20+CU21+CU22+CU23</f>
        <v>131058</v>
      </c>
      <c r="CV19" s="122">
        <f>CV20+CV21+CV22+CV23</f>
        <v>143313</v>
      </c>
      <c r="CW19" s="123">
        <f t="shared" si="45"/>
        <v>143313</v>
      </c>
      <c r="CX19" s="122">
        <f t="shared" si="45"/>
        <v>145252</v>
      </c>
      <c r="CY19" s="122">
        <f t="shared" si="45"/>
        <v>81870</v>
      </c>
      <c r="CZ19" s="122">
        <f t="shared" si="45"/>
        <v>82643</v>
      </c>
      <c r="DA19" s="122">
        <f t="shared" si="45"/>
        <v>83845</v>
      </c>
      <c r="DB19" s="123">
        <f t="shared" si="45"/>
        <v>83845</v>
      </c>
      <c r="DC19" s="122">
        <f>DC20+DC21+DC22+DC23</f>
        <v>82256</v>
      </c>
      <c r="DD19" s="122">
        <f>DD20+DD21+DD22+DD23</f>
        <v>81116</v>
      </c>
      <c r="DE19" s="122">
        <f t="shared" ref="DE19:DF19" si="46">DE20+DE21+DE22+DE23</f>
        <v>81716</v>
      </c>
      <c r="DF19" s="122">
        <f t="shared" si="46"/>
        <v>82524</v>
      </c>
      <c r="DG19" s="123">
        <f t="shared" si="45"/>
        <v>82524</v>
      </c>
      <c r="DH19" s="122">
        <f t="shared" si="45"/>
        <v>84130</v>
      </c>
      <c r="DI19" s="122">
        <f t="shared" si="45"/>
        <v>81613</v>
      </c>
      <c r="DJ19" s="122">
        <f t="shared" ref="DJ19:EF19" si="47">DJ20+DJ21+DJ22+DJ23</f>
        <v>82446.366037484098</v>
      </c>
      <c r="DK19" s="122">
        <f t="shared" si="47"/>
        <v>83291.787115973973</v>
      </c>
      <c r="DL19" s="123">
        <f t="shared" si="47"/>
        <v>83291.787115973973</v>
      </c>
      <c r="DM19" s="122">
        <f t="shared" si="47"/>
        <v>84149.470973050906</v>
      </c>
      <c r="DN19" s="122">
        <f t="shared" si="47"/>
        <v>85019.629147641128</v>
      </c>
      <c r="DO19" s="122">
        <f t="shared" si="47"/>
        <v>85902.477050810819</v>
      </c>
      <c r="DP19" s="122">
        <f t="shared" si="47"/>
        <v>86798.234037885937</v>
      </c>
      <c r="DQ19" s="123">
        <f t="shared" si="47"/>
        <v>86798.234037885937</v>
      </c>
      <c r="DR19" s="122">
        <f t="shared" si="47"/>
        <v>87707.123481921968</v>
      </c>
      <c r="DS19" s="122">
        <f t="shared" si="47"/>
        <v>88629.372848548621</v>
      </c>
      <c r="DT19" s="122">
        <f t="shared" si="47"/>
        <v>89565.213772215386</v>
      </c>
      <c r="DU19" s="122">
        <f t="shared" si="47"/>
        <v>90514.882133864303</v>
      </c>
      <c r="DV19" s="123">
        <f t="shared" si="47"/>
        <v>90514.882133864303</v>
      </c>
      <c r="DW19" s="122">
        <f t="shared" si="47"/>
        <v>91478.618140056351</v>
      </c>
      <c r="DX19" s="122">
        <f t="shared" si="47"/>
        <v>92456.666403579147</v>
      </c>
      <c r="DY19" s="122">
        <f t="shared" si="47"/>
        <v>93449.276025563348</v>
      </c>
      <c r="DZ19" s="122">
        <f t="shared" si="47"/>
        <v>94456.700679136207</v>
      </c>
      <c r="EA19" s="123">
        <f t="shared" si="47"/>
        <v>94456.700679136207</v>
      </c>
      <c r="EB19" s="122">
        <f t="shared" si="47"/>
        <v>95479.198694641047</v>
      </c>
      <c r="EC19" s="122">
        <f t="shared" si="47"/>
        <v>96517.0331464521</v>
      </c>
      <c r="ED19" s="122">
        <f t="shared" si="47"/>
        <v>97570.471941414318</v>
      </c>
      <c r="EE19" s="122">
        <f t="shared" si="47"/>
        <v>98639.787908939092</v>
      </c>
      <c r="EF19" s="123">
        <f t="shared" si="47"/>
        <v>98639.787908939092</v>
      </c>
    </row>
    <row r="20" spans="1:136" ht="12" customHeight="1" outlineLevel="1">
      <c r="A20" s="9" t="s">
        <v>22</v>
      </c>
      <c r="B20" s="94"/>
      <c r="C20" s="94"/>
      <c r="D20" s="94"/>
      <c r="E20" s="132"/>
      <c r="F20" s="26">
        <f>E20</f>
        <v>0</v>
      </c>
      <c r="G20" s="94"/>
      <c r="H20" s="94"/>
      <c r="I20" s="94"/>
      <c r="J20" s="132"/>
      <c r="K20" s="26">
        <f>J20</f>
        <v>0</v>
      </c>
      <c r="L20" s="94"/>
      <c r="M20" s="94"/>
      <c r="N20" s="94"/>
      <c r="O20" s="132"/>
      <c r="P20" s="26">
        <f>O20</f>
        <v>0</v>
      </c>
      <c r="Q20" s="94"/>
      <c r="R20" s="94"/>
      <c r="S20" s="94"/>
      <c r="T20" s="132"/>
      <c r="U20" s="26">
        <f>T20</f>
        <v>0</v>
      </c>
      <c r="V20" s="94"/>
      <c r="W20" s="94"/>
      <c r="X20" s="94"/>
      <c r="Y20" s="132"/>
      <c r="Z20" s="26">
        <f>Y20</f>
        <v>0</v>
      </c>
      <c r="AA20" s="94"/>
      <c r="AB20" s="94"/>
      <c r="AC20" s="94"/>
      <c r="AD20" s="132"/>
      <c r="AE20" s="26">
        <f>AD20</f>
        <v>0</v>
      </c>
      <c r="AF20" s="132"/>
      <c r="AG20" s="132"/>
      <c r="AH20" s="132"/>
      <c r="AI20" s="132">
        <v>0</v>
      </c>
      <c r="AJ20" s="26">
        <f>AI20</f>
        <v>0</v>
      </c>
      <c r="AK20" s="132"/>
      <c r="AL20" s="132"/>
      <c r="AM20" s="132"/>
      <c r="AN20" s="132">
        <v>0</v>
      </c>
      <c r="AO20" s="26">
        <f>AN20</f>
        <v>0</v>
      </c>
      <c r="AP20" s="132"/>
      <c r="AQ20" s="132"/>
      <c r="AR20" s="132"/>
      <c r="AS20" s="132">
        <v>17746.226999999999</v>
      </c>
      <c r="AT20" s="26">
        <f>AS20</f>
        <v>17746.226999999999</v>
      </c>
      <c r="AU20" s="132"/>
      <c r="AV20" s="132"/>
      <c r="AW20" s="132"/>
      <c r="AX20" s="132">
        <v>6544</v>
      </c>
      <c r="AY20" s="26">
        <f>AX20</f>
        <v>6544</v>
      </c>
      <c r="AZ20" s="132"/>
      <c r="BA20" s="132"/>
      <c r="BB20" s="132"/>
      <c r="BC20" s="132">
        <v>14389</v>
      </c>
      <c r="BD20" s="26">
        <f>BC20</f>
        <v>14389</v>
      </c>
      <c r="BE20" s="132"/>
      <c r="BF20" s="132"/>
      <c r="BG20" s="132"/>
      <c r="BH20" s="132">
        <v>462</v>
      </c>
      <c r="BI20" s="26">
        <f>BH20</f>
        <v>462</v>
      </c>
      <c r="BJ20" s="132"/>
      <c r="BK20" s="132"/>
      <c r="BL20" s="132"/>
      <c r="BM20" s="132">
        <v>503</v>
      </c>
      <c r="BN20" s="26">
        <f>BM20</f>
        <v>503</v>
      </c>
      <c r="BO20" s="132"/>
      <c r="BP20" s="132"/>
      <c r="BQ20" s="132"/>
      <c r="BR20" s="132">
        <f>17147</f>
        <v>17147</v>
      </c>
      <c r="BS20" s="26">
        <f>BR20</f>
        <v>17147</v>
      </c>
      <c r="BT20" s="132"/>
      <c r="BU20" s="132"/>
      <c r="BV20" s="132"/>
      <c r="BW20" s="132">
        <f>16063</f>
        <v>16063</v>
      </c>
      <c r="BX20" s="26">
        <f>BW20</f>
        <v>16063</v>
      </c>
      <c r="BY20" s="132"/>
      <c r="BZ20" s="132"/>
      <c r="CA20" s="132"/>
      <c r="CB20" s="132">
        <v>16517</v>
      </c>
      <c r="CC20" s="26">
        <f>CB20</f>
        <v>16517</v>
      </c>
      <c r="CD20" s="132">
        <v>18857</v>
      </c>
      <c r="CE20" s="132">
        <v>24778</v>
      </c>
      <c r="CF20" s="132">
        <v>25680</v>
      </c>
      <c r="CG20" s="132">
        <v>26948</v>
      </c>
      <c r="CH20" s="26">
        <f>CG20</f>
        <v>26948</v>
      </c>
      <c r="CI20" s="132">
        <v>28737</v>
      </c>
      <c r="CJ20" s="132">
        <v>32139</v>
      </c>
      <c r="CK20" s="132">
        <v>29674</v>
      </c>
      <c r="CL20" s="132">
        <v>92666</v>
      </c>
      <c r="CM20" s="26">
        <f>CL20</f>
        <v>92666</v>
      </c>
      <c r="CN20" s="132">
        <v>97227</v>
      </c>
      <c r="CO20" s="132">
        <v>101278</v>
      </c>
      <c r="CP20" s="132">
        <v>104361</v>
      </c>
      <c r="CQ20" s="132">
        <v>102598</v>
      </c>
      <c r="CR20" s="26">
        <f>CQ20</f>
        <v>102598</v>
      </c>
      <c r="CS20" s="132">
        <v>100841</v>
      </c>
      <c r="CT20" s="132">
        <v>101902</v>
      </c>
      <c r="CU20" s="132">
        <v>97780</v>
      </c>
      <c r="CV20" s="132">
        <v>108717</v>
      </c>
      <c r="CW20" s="26">
        <f>CV20</f>
        <v>108717</v>
      </c>
      <c r="CX20" s="132">
        <f>67594+40803</f>
        <v>108397</v>
      </c>
      <c r="CY20" s="132">
        <v>44707</v>
      </c>
      <c r="CZ20" s="132">
        <v>42837</v>
      </c>
      <c r="DA20" s="132">
        <v>42244</v>
      </c>
      <c r="DB20" s="26">
        <f>DA20</f>
        <v>42244</v>
      </c>
      <c r="DC20" s="132">
        <f>40372</f>
        <v>40372</v>
      </c>
      <c r="DD20" s="132">
        <v>40727</v>
      </c>
      <c r="DE20" s="132">
        <v>41203</v>
      </c>
      <c r="DF20" s="132">
        <v>41321</v>
      </c>
      <c r="DG20" s="26">
        <f>DF20</f>
        <v>41321</v>
      </c>
      <c r="DH20" s="132">
        <v>37757</v>
      </c>
      <c r="DI20" s="132">
        <v>30471</v>
      </c>
      <c r="DJ20" s="16">
        <f>DI20+'Income Statement'!DJ36/2</f>
        <v>31042.331249999999</v>
      </c>
      <c r="DK20" s="16">
        <f>DJ20+'Income Statement'!DK36/2</f>
        <v>31624.374960937501</v>
      </c>
      <c r="DL20" s="26">
        <f>DK20</f>
        <v>31624.374960937501</v>
      </c>
      <c r="DM20" s="16">
        <f>DL20+'Income Statement'!DM36/2</f>
        <v>32217.331991455078</v>
      </c>
      <c r="DN20" s="16">
        <f>DM20+'Income Statement'!DN36/2</f>
        <v>32821.40696629486</v>
      </c>
      <c r="DO20" s="16">
        <f>DN20+'Income Statement'!DO36/2</f>
        <v>33436.808346912891</v>
      </c>
      <c r="DP20" s="16">
        <f>DO20+'Income Statement'!DP36/2</f>
        <v>34063.748503417504</v>
      </c>
      <c r="DQ20" s="26">
        <f>DP20</f>
        <v>34063.748503417504</v>
      </c>
      <c r="DR20" s="16">
        <f>DQ20+'Income Statement'!DR36/2</f>
        <v>34702.44378785658</v>
      </c>
      <c r="DS20" s="16">
        <f>DR20+'Income Statement'!DS36/2</f>
        <v>35353.114608878888</v>
      </c>
      <c r="DT20" s="16">
        <f>DS20+'Income Statement'!DT36/2</f>
        <v>36015.985507795369</v>
      </c>
      <c r="DU20" s="16">
        <f>DT20+'Income Statement'!DU36/2</f>
        <v>36691.285236066535</v>
      </c>
      <c r="DV20" s="26">
        <f>DU20</f>
        <v>36691.285236066535</v>
      </c>
      <c r="DW20" s="16">
        <f>DV20+'Income Statement'!DW36/2</f>
        <v>37379.246834242782</v>
      </c>
      <c r="DX20" s="16">
        <f>DW20+'Income Statement'!DX36/2</f>
        <v>38080.107712384837</v>
      </c>
      <c r="DY20" s="16">
        <f>DX20+'Income Statement'!DY36/2</f>
        <v>38794.109731992052</v>
      </c>
      <c r="DZ20" s="16">
        <f>DY20+'Income Statement'!DZ36/2</f>
        <v>39521.499289466905</v>
      </c>
      <c r="EA20" s="26">
        <f>DZ20</f>
        <v>39521.499289466905</v>
      </c>
      <c r="EB20" s="16">
        <f>EA20+'Income Statement'!EB36/2</f>
        <v>40262.527401144413</v>
      </c>
      <c r="EC20" s="16">
        <f>EB20+'Income Statement'!EC36/2</f>
        <v>41017.449789915867</v>
      </c>
      <c r="ED20" s="16">
        <f>EC20+'Income Statement'!ED36/2</f>
        <v>41786.526973476786</v>
      </c>
      <c r="EE20" s="16">
        <f>ED20+'Income Statement'!EE36/2</f>
        <v>42570.024354229477</v>
      </c>
      <c r="EF20" s="26">
        <f>EE20</f>
        <v>42570.024354229477</v>
      </c>
    </row>
    <row r="21" spans="1:136" ht="12" customHeight="1" outlineLevel="1">
      <c r="A21" s="9" t="s">
        <v>119</v>
      </c>
      <c r="B21" s="94"/>
      <c r="C21" s="94"/>
      <c r="D21" s="94"/>
      <c r="E21" s="94"/>
      <c r="F21" s="26">
        <f>E21</f>
        <v>0</v>
      </c>
      <c r="G21" s="94"/>
      <c r="H21" s="94"/>
      <c r="I21" s="94"/>
      <c r="J21" s="94"/>
      <c r="K21" s="26">
        <f>J21</f>
        <v>0</v>
      </c>
      <c r="L21" s="94"/>
      <c r="M21" s="94"/>
      <c r="N21" s="94"/>
      <c r="O21" s="94"/>
      <c r="P21" s="26">
        <f>O21</f>
        <v>0</v>
      </c>
      <c r="Q21" s="94"/>
      <c r="R21" s="94"/>
      <c r="S21" s="94"/>
      <c r="T21" s="94"/>
      <c r="U21" s="26">
        <f>T21</f>
        <v>0</v>
      </c>
      <c r="V21" s="94"/>
      <c r="W21" s="94"/>
      <c r="X21" s="94"/>
      <c r="Y21" s="94"/>
      <c r="Z21" s="26">
        <f>Y21</f>
        <v>0</v>
      </c>
      <c r="AA21" s="94"/>
      <c r="AB21" s="94"/>
      <c r="AC21" s="94"/>
      <c r="AD21" s="94"/>
      <c r="AE21" s="26">
        <f>AD21</f>
        <v>0</v>
      </c>
      <c r="AF21" s="94"/>
      <c r="AG21" s="94"/>
      <c r="AH21" s="94"/>
      <c r="AI21" s="94">
        <v>79.576999999999998</v>
      </c>
      <c r="AJ21" s="26">
        <f>AI21</f>
        <v>79.576999999999998</v>
      </c>
      <c r="AK21" s="94"/>
      <c r="AL21" s="94"/>
      <c r="AM21" s="94"/>
      <c r="AN21" s="94">
        <v>191.34299999999999</v>
      </c>
      <c r="AO21" s="26">
        <f>AN21</f>
        <v>191.34299999999999</v>
      </c>
      <c r="AP21" s="94"/>
      <c r="AQ21" s="94"/>
      <c r="AR21" s="94"/>
      <c r="AS21" s="94">
        <v>4416.5010000000002</v>
      </c>
      <c r="AT21" s="26">
        <f>AS21</f>
        <v>4416.5010000000002</v>
      </c>
      <c r="AU21" s="94"/>
      <c r="AV21" s="94"/>
      <c r="AW21" s="94"/>
      <c r="AX21" s="94">
        <v>2554</v>
      </c>
      <c r="AY21" s="26">
        <f>AX21</f>
        <v>2554</v>
      </c>
      <c r="AZ21" s="94"/>
      <c r="BA21" s="94"/>
      <c r="BB21" s="94"/>
      <c r="BC21" s="94">
        <v>1223</v>
      </c>
      <c r="BD21" s="26">
        <f>BC21</f>
        <v>1223</v>
      </c>
      <c r="BE21" s="94"/>
      <c r="BF21" s="94"/>
      <c r="BG21" s="94"/>
      <c r="BH21" s="94">
        <v>452</v>
      </c>
      <c r="BI21" s="26">
        <f>BH21</f>
        <v>452</v>
      </c>
      <c r="BJ21" s="94"/>
      <c r="BK21" s="94"/>
      <c r="BL21" s="94"/>
      <c r="BM21" s="94">
        <v>276</v>
      </c>
      <c r="BN21" s="26">
        <f>BM21</f>
        <v>276</v>
      </c>
      <c r="BO21" s="94"/>
      <c r="BP21" s="94"/>
      <c r="BQ21" s="94"/>
      <c r="BR21" s="94">
        <f>92</f>
        <v>92</v>
      </c>
      <c r="BS21" s="26">
        <f>BR21</f>
        <v>92</v>
      </c>
      <c r="BT21" s="94"/>
      <c r="BU21" s="94"/>
      <c r="BV21" s="94"/>
      <c r="BW21" s="94">
        <f>29</f>
        <v>29</v>
      </c>
      <c r="BX21" s="26">
        <f>BW21</f>
        <v>29</v>
      </c>
      <c r="BY21" s="94"/>
      <c r="BZ21" s="94"/>
      <c r="CA21" s="94"/>
      <c r="CB21" s="94">
        <v>0</v>
      </c>
      <c r="CC21" s="26">
        <f>CB21</f>
        <v>0</v>
      </c>
      <c r="CD21" s="94">
        <v>0</v>
      </c>
      <c r="CE21" s="94">
        <v>0</v>
      </c>
      <c r="CF21" s="94">
        <v>0</v>
      </c>
      <c r="CG21" s="94">
        <v>0</v>
      </c>
      <c r="CH21" s="26">
        <f>CG21</f>
        <v>0</v>
      </c>
      <c r="CI21" s="94">
        <v>0</v>
      </c>
      <c r="CJ21" s="94">
        <v>0</v>
      </c>
      <c r="CK21" s="94">
        <v>0</v>
      </c>
      <c r="CL21" s="94">
        <v>0</v>
      </c>
      <c r="CM21" s="26">
        <f>CL21</f>
        <v>0</v>
      </c>
      <c r="CN21" s="94">
        <v>0</v>
      </c>
      <c r="CO21" s="94">
        <v>0</v>
      </c>
      <c r="CP21" s="94">
        <v>0</v>
      </c>
      <c r="CQ21" s="94">
        <v>0</v>
      </c>
      <c r="CR21" s="26">
        <f>CQ21</f>
        <v>0</v>
      </c>
      <c r="CS21" s="94">
        <v>0</v>
      </c>
      <c r="CT21" s="94">
        <v>0</v>
      </c>
      <c r="CU21" s="94">
        <v>0</v>
      </c>
      <c r="CV21" s="94">
        <v>0</v>
      </c>
      <c r="CW21" s="26">
        <f>CV21</f>
        <v>0</v>
      </c>
      <c r="CX21" s="94">
        <v>0</v>
      </c>
      <c r="CY21" s="94">
        <v>0</v>
      </c>
      <c r="CZ21" s="94">
        <v>0</v>
      </c>
      <c r="DA21" s="94">
        <v>0</v>
      </c>
      <c r="DB21" s="26">
        <f>DA21</f>
        <v>0</v>
      </c>
      <c r="DC21" s="94">
        <v>0</v>
      </c>
      <c r="DD21" s="94">
        <v>0</v>
      </c>
      <c r="DE21" s="94">
        <v>0</v>
      </c>
      <c r="DF21" s="94">
        <v>0</v>
      </c>
      <c r="DG21" s="26">
        <f>DF21</f>
        <v>0</v>
      </c>
      <c r="DH21" s="94">
        <v>0</v>
      </c>
      <c r="DI21" s="94">
        <v>0</v>
      </c>
      <c r="DJ21" s="94">
        <f>DI21</f>
        <v>0</v>
      </c>
      <c r="DK21" s="94">
        <f>DJ21</f>
        <v>0</v>
      </c>
      <c r="DL21" s="26">
        <f>DK21</f>
        <v>0</v>
      </c>
      <c r="DM21" s="94">
        <f>DL21</f>
        <v>0</v>
      </c>
      <c r="DN21" s="94">
        <f>DM21</f>
        <v>0</v>
      </c>
      <c r="DO21" s="94">
        <f>DN21</f>
        <v>0</v>
      </c>
      <c r="DP21" s="94">
        <f>DO21</f>
        <v>0</v>
      </c>
      <c r="DQ21" s="26">
        <f>DP21</f>
        <v>0</v>
      </c>
      <c r="DR21" s="94">
        <f>DQ21</f>
        <v>0</v>
      </c>
      <c r="DS21" s="94">
        <f>DR21</f>
        <v>0</v>
      </c>
      <c r="DT21" s="94">
        <f>DS21</f>
        <v>0</v>
      </c>
      <c r="DU21" s="94">
        <f>DT21</f>
        <v>0</v>
      </c>
      <c r="DV21" s="26">
        <f>DU21</f>
        <v>0</v>
      </c>
      <c r="DW21" s="94">
        <f>DV21</f>
        <v>0</v>
      </c>
      <c r="DX21" s="94">
        <f>DW21</f>
        <v>0</v>
      </c>
      <c r="DY21" s="94">
        <f>DX21</f>
        <v>0</v>
      </c>
      <c r="DZ21" s="94">
        <f>DY21</f>
        <v>0</v>
      </c>
      <c r="EA21" s="26">
        <f>DZ21</f>
        <v>0</v>
      </c>
      <c r="EB21" s="94">
        <f>EA21</f>
        <v>0</v>
      </c>
      <c r="EC21" s="94">
        <f>EB21</f>
        <v>0</v>
      </c>
      <c r="ED21" s="94">
        <f>EC21</f>
        <v>0</v>
      </c>
      <c r="EE21" s="94">
        <f>ED21</f>
        <v>0</v>
      </c>
      <c r="EF21" s="26">
        <f>EE21</f>
        <v>0</v>
      </c>
    </row>
    <row r="22" spans="1:136" ht="12" customHeight="1" outlineLevel="1">
      <c r="A22" s="9" t="s">
        <v>23</v>
      </c>
      <c r="B22" s="94"/>
      <c r="C22" s="94"/>
      <c r="D22" s="94"/>
      <c r="E22" s="94"/>
      <c r="F22" s="26">
        <f>E22</f>
        <v>0</v>
      </c>
      <c r="G22" s="94"/>
      <c r="H22" s="94"/>
      <c r="I22" s="94"/>
      <c r="J22" s="94"/>
      <c r="K22" s="26">
        <f>J22</f>
        <v>0</v>
      </c>
      <c r="L22" s="94"/>
      <c r="M22" s="94"/>
      <c r="N22" s="94"/>
      <c r="O22" s="94"/>
      <c r="P22" s="26">
        <f>O22</f>
        <v>0</v>
      </c>
      <c r="Q22" s="94"/>
      <c r="R22" s="94"/>
      <c r="S22" s="94"/>
      <c r="T22" s="94"/>
      <c r="U22" s="26">
        <f>T22</f>
        <v>0</v>
      </c>
      <c r="V22" s="94"/>
      <c r="W22" s="94"/>
      <c r="X22" s="94"/>
      <c r="Y22" s="94"/>
      <c r="Z22" s="26">
        <f>Y22</f>
        <v>0</v>
      </c>
      <c r="AA22" s="94"/>
      <c r="AB22" s="94"/>
      <c r="AC22" s="94"/>
      <c r="AD22" s="94"/>
      <c r="AE22" s="26">
        <f>AD22</f>
        <v>0</v>
      </c>
      <c r="AF22" s="94"/>
      <c r="AG22" s="94"/>
      <c r="AH22" s="94"/>
      <c r="AI22" s="94">
        <v>4925.0249999999996</v>
      </c>
      <c r="AJ22" s="20">
        <f>AI22</f>
        <v>4925.0249999999996</v>
      </c>
      <c r="AK22" s="94"/>
      <c r="AL22" s="94"/>
      <c r="AM22" s="94"/>
      <c r="AN22" s="94">
        <v>6957.473</v>
      </c>
      <c r="AO22" s="20">
        <f>AN22</f>
        <v>6957.473</v>
      </c>
      <c r="AP22" s="94"/>
      <c r="AQ22" s="94"/>
      <c r="AR22" s="94"/>
      <c r="AS22" s="94">
        <v>8468.4410000000007</v>
      </c>
      <c r="AT22" s="20">
        <f>AS22</f>
        <v>8468.4410000000007</v>
      </c>
      <c r="AU22" s="94"/>
      <c r="AV22" s="94"/>
      <c r="AW22" s="94"/>
      <c r="AX22" s="94">
        <v>7120</v>
      </c>
      <c r="AY22" s="20">
        <f>AX22</f>
        <v>7120</v>
      </c>
      <c r="AZ22" s="94"/>
      <c r="BA22" s="94"/>
      <c r="BB22" s="94"/>
      <c r="BC22" s="94">
        <v>6558</v>
      </c>
      <c r="BD22" s="20">
        <f>BC22</f>
        <v>6558</v>
      </c>
      <c r="BE22" s="94"/>
      <c r="BF22" s="94"/>
      <c r="BG22" s="94"/>
      <c r="BH22" s="94">
        <v>9856</v>
      </c>
      <c r="BI22" s="20">
        <f>BH22</f>
        <v>9856</v>
      </c>
      <c r="BJ22" s="94"/>
      <c r="BK22" s="94"/>
      <c r="BL22" s="94"/>
      <c r="BM22" s="94">
        <v>9847</v>
      </c>
      <c r="BN22" s="20">
        <f>BM22</f>
        <v>9847</v>
      </c>
      <c r="BO22" s="94"/>
      <c r="BP22" s="94"/>
      <c r="BQ22" s="94"/>
      <c r="BR22" s="94">
        <f>7856</f>
        <v>7856</v>
      </c>
      <c r="BS22" s="20">
        <f>BR22</f>
        <v>7856</v>
      </c>
      <c r="BT22" s="94"/>
      <c r="BU22" s="94"/>
      <c r="BV22" s="94"/>
      <c r="BW22" s="94">
        <f>6902</f>
        <v>6902</v>
      </c>
      <c r="BX22" s="20">
        <f>BW22</f>
        <v>6902</v>
      </c>
      <c r="BY22" s="94"/>
      <c r="BZ22" s="94"/>
      <c r="CA22" s="94"/>
      <c r="CB22" s="94">
        <v>12039</v>
      </c>
      <c r="CC22" s="20">
        <f>CB22</f>
        <v>12039</v>
      </c>
      <c r="CD22" s="94">
        <v>12275</v>
      </c>
      <c r="CE22" s="94">
        <v>12871</v>
      </c>
      <c r="CF22" s="94">
        <v>13604</v>
      </c>
      <c r="CG22" s="94">
        <v>14669</v>
      </c>
      <c r="CH22" s="20">
        <f>CG22</f>
        <v>14669</v>
      </c>
      <c r="CI22" s="94">
        <v>20211</v>
      </c>
      <c r="CJ22" s="94">
        <v>23569</v>
      </c>
      <c r="CK22" s="94">
        <v>25579</v>
      </c>
      <c r="CL22" s="94">
        <v>25765</v>
      </c>
      <c r="CM22" s="20">
        <f>CL22</f>
        <v>25765</v>
      </c>
      <c r="CN22" s="94">
        <v>24330</v>
      </c>
      <c r="CO22" s="94">
        <v>22509</v>
      </c>
      <c r="CP22" s="94">
        <v>22203</v>
      </c>
      <c r="CQ22" s="94">
        <v>22931</v>
      </c>
      <c r="CR22" s="20">
        <f>CQ22</f>
        <v>22931</v>
      </c>
      <c r="CS22" s="94">
        <v>31101</v>
      </c>
      <c r="CT22" s="94">
        <v>33293</v>
      </c>
      <c r="CU22" s="94">
        <v>33278</v>
      </c>
      <c r="CV22" s="94">
        <v>34596</v>
      </c>
      <c r="CW22" s="20">
        <f>CV22</f>
        <v>34596</v>
      </c>
      <c r="CX22" s="94">
        <v>36855</v>
      </c>
      <c r="CY22" s="94">
        <v>37163</v>
      </c>
      <c r="CZ22" s="94">
        <v>39806</v>
      </c>
      <c r="DA22" s="94">
        <v>41601</v>
      </c>
      <c r="DB22" s="20">
        <f>DA22</f>
        <v>41601</v>
      </c>
      <c r="DC22" s="94">
        <v>41884</v>
      </c>
      <c r="DD22" s="94">
        <v>40389</v>
      </c>
      <c r="DE22" s="94">
        <v>40513</v>
      </c>
      <c r="DF22" s="94">
        <v>41203</v>
      </c>
      <c r="DG22" s="20">
        <f>DF22</f>
        <v>41203</v>
      </c>
      <c r="DH22" s="94">
        <v>46373</v>
      </c>
      <c r="DI22" s="94">
        <v>51142</v>
      </c>
      <c r="DJ22" s="21">
        <f>DJ91-DJ23</f>
        <v>51404.034787484103</v>
      </c>
      <c r="DK22" s="21">
        <f>DK91-DK23</f>
        <v>51667.41215503648</v>
      </c>
      <c r="DL22" s="20">
        <f>DK22</f>
        <v>51667.41215503648</v>
      </c>
      <c r="DM22" s="21">
        <f>DM91-DM23</f>
        <v>51932.138981595832</v>
      </c>
      <c r="DN22" s="21">
        <f>DN91-DN23</f>
        <v>52198.222181346267</v>
      </c>
      <c r="DO22" s="21">
        <f>DO91-DO23</f>
        <v>52465.668703897922</v>
      </c>
      <c r="DP22" s="21">
        <f>DP91-DP23</f>
        <v>52734.485534468433</v>
      </c>
      <c r="DQ22" s="20">
        <f>DP22</f>
        <v>52734.485534468433</v>
      </c>
      <c r="DR22" s="21">
        <f>DR91-DR23</f>
        <v>53004.679694065395</v>
      </c>
      <c r="DS22" s="21">
        <f>DS91-DS23</f>
        <v>53276.258239669733</v>
      </c>
      <c r="DT22" s="21">
        <f>DT91-DT23</f>
        <v>53549.228264420024</v>
      </c>
      <c r="DU22" s="21">
        <f>DU91-DU23</f>
        <v>53823.596897797768</v>
      </c>
      <c r="DV22" s="20">
        <f>DU22</f>
        <v>53823.596897797768</v>
      </c>
      <c r="DW22" s="21">
        <f>DW91-DW23</f>
        <v>54099.371305813569</v>
      </c>
      <c r="DX22" s="21">
        <f>DX91-DX23</f>
        <v>54376.558691194317</v>
      </c>
      <c r="DY22" s="21">
        <f>DY91-DY23</f>
        <v>54655.166293571296</v>
      </c>
      <c r="DZ22" s="21">
        <f>DZ91-DZ23</f>
        <v>54935.201389669295</v>
      </c>
      <c r="EA22" s="20">
        <f>DZ22</f>
        <v>54935.201389669295</v>
      </c>
      <c r="EB22" s="21">
        <f>EB91-EB23</f>
        <v>55216.671293496634</v>
      </c>
      <c r="EC22" s="21">
        <f>EC91-EC23</f>
        <v>55499.583356536226</v>
      </c>
      <c r="ED22" s="21">
        <f>ED91-ED23</f>
        <v>55783.944967937532</v>
      </c>
      <c r="EE22" s="21">
        <f>EE91-EE23</f>
        <v>56069.763554709614</v>
      </c>
      <c r="EF22" s="20">
        <f>EE22</f>
        <v>56069.763554709614</v>
      </c>
    </row>
    <row r="23" spans="1:136" s="92" customFormat="1" ht="12" customHeight="1" outlineLevel="1">
      <c r="A23" s="134" t="s">
        <v>24</v>
      </c>
      <c r="B23" s="136"/>
      <c r="C23" s="136"/>
      <c r="D23" s="136"/>
      <c r="E23" s="137"/>
      <c r="F23" s="135">
        <f>E23</f>
        <v>0</v>
      </c>
      <c r="G23" s="136"/>
      <c r="H23" s="136"/>
      <c r="I23" s="136"/>
      <c r="J23" s="137"/>
      <c r="K23" s="135">
        <f>J23</f>
        <v>0</v>
      </c>
      <c r="L23" s="136"/>
      <c r="M23" s="136"/>
      <c r="N23" s="136"/>
      <c r="O23" s="137"/>
      <c r="P23" s="135">
        <f>O23</f>
        <v>0</v>
      </c>
      <c r="Q23" s="136"/>
      <c r="R23" s="136"/>
      <c r="S23" s="136"/>
      <c r="T23" s="137"/>
      <c r="U23" s="135">
        <f>T23</f>
        <v>0</v>
      </c>
      <c r="V23" s="136"/>
      <c r="W23" s="136"/>
      <c r="X23" s="136"/>
      <c r="Y23" s="137"/>
      <c r="Z23" s="135">
        <f>Y23</f>
        <v>0</v>
      </c>
      <c r="AA23" s="136"/>
      <c r="AB23" s="136"/>
      <c r="AC23" s="136"/>
      <c r="AD23" s="137"/>
      <c r="AE23" s="135">
        <f>AD23</f>
        <v>0</v>
      </c>
      <c r="AF23" s="136"/>
      <c r="AG23" s="136"/>
      <c r="AH23" s="136"/>
      <c r="AI23" s="136">
        <v>0</v>
      </c>
      <c r="AJ23" s="135">
        <f>AI23</f>
        <v>0</v>
      </c>
      <c r="AK23" s="136"/>
      <c r="AL23" s="136"/>
      <c r="AM23" s="136"/>
      <c r="AN23" s="136">
        <v>0</v>
      </c>
      <c r="AO23" s="135">
        <f>AN23</f>
        <v>0</v>
      </c>
      <c r="AP23" s="136"/>
      <c r="AQ23" s="136"/>
      <c r="AR23" s="136"/>
      <c r="AS23" s="136">
        <v>0</v>
      </c>
      <c r="AT23" s="135">
        <f>AS23</f>
        <v>0</v>
      </c>
      <c r="AU23" s="136"/>
      <c r="AV23" s="136"/>
      <c r="AW23" s="136"/>
      <c r="AX23" s="136">
        <v>0</v>
      </c>
      <c r="AY23" s="135">
        <f>AX23</f>
        <v>0</v>
      </c>
      <c r="AZ23" s="136"/>
      <c r="BA23" s="136"/>
      <c r="BB23" s="136"/>
      <c r="BC23" s="136">
        <v>0</v>
      </c>
      <c r="BD23" s="135">
        <f>BC23</f>
        <v>0</v>
      </c>
      <c r="BE23" s="136"/>
      <c r="BF23" s="136"/>
      <c r="BG23" s="136"/>
      <c r="BH23" s="136">
        <v>0</v>
      </c>
      <c r="BI23" s="135">
        <f>BH23</f>
        <v>0</v>
      </c>
      <c r="BJ23" s="136"/>
      <c r="BK23" s="136"/>
      <c r="BL23" s="136"/>
      <c r="BM23" s="136">
        <v>0</v>
      </c>
      <c r="BN23" s="135">
        <f>BM23</f>
        <v>0</v>
      </c>
      <c r="BO23" s="136"/>
      <c r="BP23" s="136"/>
      <c r="BQ23" s="136"/>
      <c r="BR23" s="136">
        <v>0</v>
      </c>
      <c r="BS23" s="135">
        <f>BR23</f>
        <v>0</v>
      </c>
      <c r="BT23" s="136"/>
      <c r="BU23" s="136"/>
      <c r="BV23" s="136"/>
      <c r="BW23" s="136">
        <v>0</v>
      </c>
      <c r="BX23" s="135">
        <f>BW23</f>
        <v>0</v>
      </c>
      <c r="BY23" s="136"/>
      <c r="BZ23" s="136"/>
      <c r="CA23" s="136"/>
      <c r="CB23" s="136">
        <v>0</v>
      </c>
      <c r="CC23" s="135">
        <f>CB23</f>
        <v>0</v>
      </c>
      <c r="CD23" s="136">
        <v>0</v>
      </c>
      <c r="CE23" s="136">
        <v>0</v>
      </c>
      <c r="CF23" s="136">
        <v>0</v>
      </c>
      <c r="CG23" s="136">
        <v>0</v>
      </c>
      <c r="CH23" s="135">
        <f>CG23</f>
        <v>0</v>
      </c>
      <c r="CI23" s="136">
        <v>0</v>
      </c>
      <c r="CJ23" s="136">
        <v>0</v>
      </c>
      <c r="CK23" s="136">
        <v>0</v>
      </c>
      <c r="CL23" s="136">
        <v>0</v>
      </c>
      <c r="CM23" s="135">
        <f>CL23</f>
        <v>0</v>
      </c>
      <c r="CN23" s="136">
        <v>0</v>
      </c>
      <c r="CO23" s="136">
        <v>0</v>
      </c>
      <c r="CP23" s="136">
        <v>0</v>
      </c>
      <c r="CQ23" s="136">
        <v>0</v>
      </c>
      <c r="CR23" s="135">
        <f>CQ23</f>
        <v>0</v>
      </c>
      <c r="CS23" s="136">
        <v>0</v>
      </c>
      <c r="CT23" s="136">
        <v>0</v>
      </c>
      <c r="CU23" s="136">
        <v>0</v>
      </c>
      <c r="CV23" s="136">
        <v>0</v>
      </c>
      <c r="CW23" s="135">
        <f>CV23</f>
        <v>0</v>
      </c>
      <c r="CX23" s="136">
        <v>0</v>
      </c>
      <c r="CY23" s="136">
        <v>0</v>
      </c>
      <c r="CZ23" s="136">
        <v>0</v>
      </c>
      <c r="DA23" s="136">
        <v>0</v>
      </c>
      <c r="DB23" s="135">
        <f>DA23</f>
        <v>0</v>
      </c>
      <c r="DC23" s="136">
        <v>0</v>
      </c>
      <c r="DD23" s="136">
        <v>0</v>
      </c>
      <c r="DE23" s="136">
        <v>0</v>
      </c>
      <c r="DF23" s="136">
        <v>0</v>
      </c>
      <c r="DG23" s="135">
        <f>DF23</f>
        <v>0</v>
      </c>
      <c r="DH23" s="136">
        <v>0</v>
      </c>
      <c r="DI23" s="136">
        <v>0</v>
      </c>
      <c r="DJ23" s="136">
        <f>DI23</f>
        <v>0</v>
      </c>
      <c r="DK23" s="137">
        <f>DJ23</f>
        <v>0</v>
      </c>
      <c r="DL23" s="135">
        <f>DK23</f>
        <v>0</v>
      </c>
      <c r="DM23" s="136">
        <f>DL23</f>
        <v>0</v>
      </c>
      <c r="DN23" s="136">
        <f>DM23</f>
        <v>0</v>
      </c>
      <c r="DO23" s="136">
        <f>DN23</f>
        <v>0</v>
      </c>
      <c r="DP23" s="137">
        <f>DO23</f>
        <v>0</v>
      </c>
      <c r="DQ23" s="135">
        <f>DP23</f>
        <v>0</v>
      </c>
      <c r="DR23" s="136">
        <f>DQ23</f>
        <v>0</v>
      </c>
      <c r="DS23" s="136">
        <f>DR23</f>
        <v>0</v>
      </c>
      <c r="DT23" s="136">
        <f>DS23</f>
        <v>0</v>
      </c>
      <c r="DU23" s="137">
        <f>DT23</f>
        <v>0</v>
      </c>
      <c r="DV23" s="135">
        <f>DU23</f>
        <v>0</v>
      </c>
      <c r="DW23" s="136">
        <f>DV23</f>
        <v>0</v>
      </c>
      <c r="DX23" s="136">
        <f>DW23</f>
        <v>0</v>
      </c>
      <c r="DY23" s="136">
        <f>DX23</f>
        <v>0</v>
      </c>
      <c r="DZ23" s="137">
        <f>DY23</f>
        <v>0</v>
      </c>
      <c r="EA23" s="135">
        <f>DZ23</f>
        <v>0</v>
      </c>
      <c r="EB23" s="136">
        <f>EA23</f>
        <v>0</v>
      </c>
      <c r="EC23" s="136">
        <f>EB23</f>
        <v>0</v>
      </c>
      <c r="ED23" s="136">
        <f>EC23</f>
        <v>0</v>
      </c>
      <c r="EE23" s="137">
        <f>ED23</f>
        <v>0</v>
      </c>
      <c r="EF23" s="135">
        <f>EE23</f>
        <v>0</v>
      </c>
    </row>
    <row r="24" spans="1:136" ht="12" customHeight="1">
      <c r="A24" s="235"/>
      <c r="B24" s="68"/>
      <c r="C24" s="68"/>
      <c r="D24" s="68"/>
      <c r="E24" s="68"/>
      <c r="F24" s="28"/>
      <c r="G24" s="68"/>
      <c r="H24" s="68"/>
      <c r="I24" s="68"/>
      <c r="J24" s="68"/>
      <c r="K24" s="28"/>
      <c r="L24" s="68"/>
      <c r="M24" s="68"/>
      <c r="N24" s="68"/>
      <c r="O24" s="68"/>
      <c r="P24" s="28"/>
      <c r="Q24" s="68"/>
      <c r="R24" s="68"/>
      <c r="S24" s="68"/>
      <c r="T24" s="68"/>
      <c r="U24" s="28"/>
      <c r="V24" s="68"/>
      <c r="W24" s="68"/>
      <c r="X24" s="68"/>
      <c r="Y24" s="68"/>
      <c r="Z24" s="28"/>
      <c r="AA24" s="68"/>
      <c r="AB24" s="68"/>
      <c r="AC24" s="68"/>
      <c r="AD24" s="68"/>
      <c r="AE24" s="28"/>
      <c r="AF24" s="16"/>
      <c r="AG24" s="16"/>
      <c r="AH24" s="21"/>
      <c r="AI24" s="9"/>
      <c r="AJ24" s="139"/>
      <c r="AK24" s="16"/>
      <c r="AL24" s="16"/>
      <c r="AM24" s="21"/>
      <c r="AN24" s="9"/>
      <c r="AO24" s="139"/>
      <c r="AP24" s="16"/>
      <c r="AQ24" s="16"/>
      <c r="AR24" s="21"/>
      <c r="AS24" s="9"/>
      <c r="AT24" s="139"/>
      <c r="AU24" s="16"/>
      <c r="AV24" s="16"/>
      <c r="AW24" s="21"/>
      <c r="AX24" s="9"/>
      <c r="AY24" s="139"/>
      <c r="AZ24" s="16"/>
      <c r="BA24" s="16"/>
      <c r="BB24" s="21"/>
      <c r="BC24" s="9"/>
      <c r="BD24" s="139"/>
      <c r="BE24" s="16"/>
      <c r="BF24" s="16"/>
      <c r="BG24" s="21"/>
      <c r="BH24" s="9"/>
      <c r="BI24" s="139"/>
      <c r="BJ24" s="16"/>
      <c r="BK24" s="16"/>
      <c r="BL24" s="21"/>
      <c r="BM24" s="9"/>
      <c r="BN24" s="139"/>
      <c r="BO24" s="16"/>
      <c r="BP24" s="16"/>
      <c r="BQ24" s="21"/>
      <c r="BR24" s="9"/>
      <c r="BS24" s="139"/>
      <c r="BT24" s="16"/>
      <c r="BU24" s="16"/>
      <c r="BV24" s="21"/>
      <c r="BW24" s="9"/>
      <c r="BX24" s="139"/>
      <c r="BY24" s="16"/>
      <c r="BZ24" s="16"/>
      <c r="CA24" s="21"/>
      <c r="CB24" s="9"/>
      <c r="CC24" s="139"/>
      <c r="CD24" s="16"/>
      <c r="CE24" s="16"/>
      <c r="CF24" s="21"/>
      <c r="CG24" s="9"/>
      <c r="CH24" s="139"/>
      <c r="CI24" s="16"/>
      <c r="CJ24" s="16"/>
      <c r="CK24" s="21"/>
      <c r="CL24" s="9"/>
      <c r="CM24" s="139"/>
      <c r="CN24" s="16"/>
      <c r="CO24" s="16"/>
      <c r="CP24" s="21"/>
      <c r="CQ24" s="9"/>
      <c r="CR24" s="139"/>
      <c r="CS24" s="9"/>
      <c r="CT24" s="9"/>
      <c r="CU24" s="9"/>
      <c r="CV24" s="9"/>
      <c r="CW24" s="139"/>
      <c r="CX24" s="9"/>
      <c r="CY24" s="9"/>
      <c r="CZ24" s="9"/>
      <c r="DA24" s="9"/>
      <c r="DB24" s="139"/>
      <c r="DC24" s="16"/>
      <c r="DD24" s="16"/>
      <c r="DE24" s="21"/>
      <c r="DF24" s="9"/>
      <c r="DG24" s="139"/>
      <c r="DH24" s="9"/>
      <c r="DI24" s="16"/>
      <c r="DJ24" s="21"/>
      <c r="DK24" s="9"/>
      <c r="DL24" s="139"/>
      <c r="DM24" s="16"/>
      <c r="DN24" s="16"/>
      <c r="DO24" s="21"/>
      <c r="DP24" s="9"/>
      <c r="DQ24" s="139"/>
      <c r="DR24" s="16"/>
      <c r="DS24" s="16"/>
      <c r="DT24" s="21"/>
      <c r="DU24" s="9"/>
      <c r="DV24" s="139"/>
      <c r="DW24" s="16"/>
      <c r="DX24" s="16"/>
      <c r="DY24" s="21"/>
      <c r="DZ24" s="9"/>
      <c r="EA24" s="139"/>
      <c r="EB24" s="16"/>
      <c r="EC24" s="16"/>
      <c r="ED24" s="21"/>
      <c r="EE24" s="9"/>
      <c r="EF24" s="139"/>
    </row>
    <row r="25" spans="1:136" s="8" customFormat="1" ht="12" customHeight="1" thickBot="1">
      <c r="A25" s="4"/>
      <c r="B25" s="30" t="str">
        <f>Macro!B$9</f>
        <v>1Q04</v>
      </c>
      <c r="C25" s="30" t="str">
        <f>Macro!C$9</f>
        <v>2Q04</v>
      </c>
      <c r="D25" s="30" t="str">
        <f>Macro!D$9</f>
        <v>3Q04</v>
      </c>
      <c r="E25" s="31" t="str">
        <f>Macro!E$9</f>
        <v>4Q04</v>
      </c>
      <c r="F25" s="29" t="str">
        <f>Macro!F$9</f>
        <v>2004</v>
      </c>
      <c r="G25" s="30" t="str">
        <f>Macro!G$9</f>
        <v>1Q05</v>
      </c>
      <c r="H25" s="30" t="str">
        <f>Macro!H$9</f>
        <v>2Q05</v>
      </c>
      <c r="I25" s="30" t="str">
        <f>Macro!I$9</f>
        <v>3Q05</v>
      </c>
      <c r="J25" s="31" t="str">
        <f>Macro!J$9</f>
        <v>4Q05</v>
      </c>
      <c r="K25" s="29" t="str">
        <f>Macro!K$9</f>
        <v>2005</v>
      </c>
      <c r="L25" s="30" t="str">
        <f>Macro!L$9</f>
        <v>1Q06</v>
      </c>
      <c r="M25" s="30" t="str">
        <f>Macro!M$9</f>
        <v>2Q06</v>
      </c>
      <c r="N25" s="30" t="str">
        <f>Macro!N$9</f>
        <v>3Q06</v>
      </c>
      <c r="O25" s="31" t="str">
        <f>Macro!O$9</f>
        <v>4Q06</v>
      </c>
      <c r="P25" s="29" t="str">
        <f>Macro!P$9</f>
        <v>2006</v>
      </c>
      <c r="Q25" s="30" t="str">
        <f>Macro!Q$9</f>
        <v>1Q07</v>
      </c>
      <c r="R25" s="30" t="str">
        <f>Macro!R$9</f>
        <v>2Q07</v>
      </c>
      <c r="S25" s="30" t="str">
        <f>Macro!S$9</f>
        <v>3Q07</v>
      </c>
      <c r="T25" s="31" t="str">
        <f>Macro!T$9</f>
        <v>4Q07</v>
      </c>
      <c r="U25" s="29" t="str">
        <f>Macro!U$9</f>
        <v>2007</v>
      </c>
      <c r="V25" s="30" t="str">
        <f>Macro!V$9</f>
        <v>1Q08</v>
      </c>
      <c r="W25" s="30" t="str">
        <f>Macro!W$9</f>
        <v>2Q08</v>
      </c>
      <c r="X25" s="30" t="str">
        <f>Macro!X$9</f>
        <v>3Q08</v>
      </c>
      <c r="Y25" s="31" t="str">
        <f>Macro!Y$9</f>
        <v>4Q08</v>
      </c>
      <c r="Z25" s="29" t="str">
        <f>Macro!Z$9</f>
        <v>2008</v>
      </c>
      <c r="AA25" s="30" t="str">
        <f>Macro!AA$9</f>
        <v>1Q09</v>
      </c>
      <c r="AB25" s="30" t="str">
        <f>Macro!AB$9</f>
        <v>2Q09</v>
      </c>
      <c r="AC25" s="30" t="str">
        <f>Macro!AC$9</f>
        <v>3Q09</v>
      </c>
      <c r="AD25" s="31" t="str">
        <f>Macro!AD$9</f>
        <v>4Q09</v>
      </c>
      <c r="AE25" s="29" t="str">
        <f>Macro!AE$9</f>
        <v>2009</v>
      </c>
      <c r="AF25" s="30" t="str">
        <f>Macro!AF$9</f>
        <v>1Q10</v>
      </c>
      <c r="AG25" s="30" t="str">
        <f>Macro!AG$9</f>
        <v>2Q10</v>
      </c>
      <c r="AH25" s="30" t="str">
        <f>Macro!AH$9</f>
        <v>3Q10</v>
      </c>
      <c r="AI25" s="31" t="str">
        <f>Macro!AI$9</f>
        <v>4Q10</v>
      </c>
      <c r="AJ25" s="29" t="str">
        <f>Macro!AJ$9</f>
        <v>2010</v>
      </c>
      <c r="AK25" s="30" t="str">
        <f>Macro!AK$9</f>
        <v>1Q11</v>
      </c>
      <c r="AL25" s="30" t="str">
        <f>Macro!AL$9</f>
        <v>2Q11</v>
      </c>
      <c r="AM25" s="30" t="str">
        <f>Macro!AM$9</f>
        <v>3Q11</v>
      </c>
      <c r="AN25" s="31" t="str">
        <f>Macro!AN$9</f>
        <v>4Q11</v>
      </c>
      <c r="AO25" s="29" t="str">
        <f>Macro!AO$9</f>
        <v>2011</v>
      </c>
      <c r="AP25" s="30" t="str">
        <f>Macro!AP$9</f>
        <v>1Q12</v>
      </c>
      <c r="AQ25" s="30" t="str">
        <f>Macro!AQ$9</f>
        <v>2Q12</v>
      </c>
      <c r="AR25" s="30" t="str">
        <f>Macro!AR$9</f>
        <v>3Q12</v>
      </c>
      <c r="AS25" s="31" t="str">
        <f>Macro!AS$9</f>
        <v>4Q12</v>
      </c>
      <c r="AT25" s="29" t="str">
        <f>Macro!AT$9</f>
        <v>2012</v>
      </c>
      <c r="AU25" s="30" t="str">
        <f>Macro!AU$9</f>
        <v>1Q13</v>
      </c>
      <c r="AV25" s="30" t="str">
        <f>Macro!AV$9</f>
        <v>2Q13</v>
      </c>
      <c r="AW25" s="30" t="str">
        <f>Macro!AW$9</f>
        <v>3Q13</v>
      </c>
      <c r="AX25" s="31" t="str">
        <f>Macro!AX$9</f>
        <v>4Q13</v>
      </c>
      <c r="AY25" s="29" t="str">
        <f>Macro!AY$9</f>
        <v>2013</v>
      </c>
      <c r="AZ25" s="30" t="str">
        <f>Macro!AZ$9</f>
        <v>1Q14</v>
      </c>
      <c r="BA25" s="30" t="str">
        <f>Macro!BA$9</f>
        <v>2Q14</v>
      </c>
      <c r="BB25" s="30" t="str">
        <f>Macro!BB$9</f>
        <v>3Q14</v>
      </c>
      <c r="BC25" s="31" t="str">
        <f>Macro!BC$9</f>
        <v>4Q14</v>
      </c>
      <c r="BD25" s="29" t="str">
        <f>Macro!BD$9</f>
        <v>2014</v>
      </c>
      <c r="BE25" s="30" t="str">
        <f>Macro!BE$9</f>
        <v>1Q15</v>
      </c>
      <c r="BF25" s="30" t="str">
        <f>Macro!BF$9</f>
        <v>2Q15</v>
      </c>
      <c r="BG25" s="30" t="str">
        <f>Macro!BG$9</f>
        <v>3Q15</v>
      </c>
      <c r="BH25" s="31" t="str">
        <f>Macro!BH$9</f>
        <v>4Q15</v>
      </c>
      <c r="BI25" s="29" t="str">
        <f>Macro!BI$9</f>
        <v>2015</v>
      </c>
      <c r="BJ25" s="30" t="str">
        <f>Macro!BJ$9</f>
        <v>1Q16</v>
      </c>
      <c r="BK25" s="30" t="str">
        <f>Macro!BK$9</f>
        <v>2Q16</v>
      </c>
      <c r="BL25" s="30" t="str">
        <f>Macro!BL$9</f>
        <v>3Q16</v>
      </c>
      <c r="BM25" s="31" t="str">
        <f>Macro!BM$9</f>
        <v>4Q16</v>
      </c>
      <c r="BN25" s="29" t="str">
        <f>Macro!BN$9</f>
        <v>2016</v>
      </c>
      <c r="BO25" s="30" t="str">
        <f>Macro!BO$9</f>
        <v>1Q17</v>
      </c>
      <c r="BP25" s="30" t="str">
        <f>Macro!BP$9</f>
        <v>2Q17</v>
      </c>
      <c r="BQ25" s="30" t="str">
        <f>Macro!BQ$9</f>
        <v>3Q17</v>
      </c>
      <c r="BR25" s="31" t="str">
        <f>Macro!BR$9</f>
        <v>4Q17</v>
      </c>
      <c r="BS25" s="29" t="str">
        <f>Macro!BS$9</f>
        <v>2017</v>
      </c>
      <c r="BT25" s="30" t="str">
        <f>Macro!BT$9</f>
        <v>1Q18</v>
      </c>
      <c r="BU25" s="30" t="str">
        <f>Macro!BU$9</f>
        <v>2Q18</v>
      </c>
      <c r="BV25" s="30" t="str">
        <f>Macro!BV$9</f>
        <v>3Q18</v>
      </c>
      <c r="BW25" s="31" t="str">
        <f>Macro!BW$9</f>
        <v>4Q18</v>
      </c>
      <c r="BX25" s="29" t="str">
        <f>Macro!BX$9</f>
        <v>2018</v>
      </c>
      <c r="BY25" s="30" t="str">
        <f>Macro!BY$9</f>
        <v>1Q19</v>
      </c>
      <c r="BZ25" s="30" t="str">
        <f>Macro!BZ$9</f>
        <v>2Q19</v>
      </c>
      <c r="CA25" s="30" t="str">
        <f>Macro!CA$9</f>
        <v>3Q19</v>
      </c>
      <c r="CB25" s="31" t="str">
        <f>Macro!CB$9</f>
        <v>4Q19</v>
      </c>
      <c r="CC25" s="29" t="str">
        <f>Macro!CC$9</f>
        <v>2019</v>
      </c>
      <c r="CD25" s="30" t="str">
        <f>Macro!CD$9</f>
        <v>1Q20</v>
      </c>
      <c r="CE25" s="30" t="str">
        <f>Macro!CE$9</f>
        <v>2Q20</v>
      </c>
      <c r="CF25" s="30" t="str">
        <f>Macro!CF$9</f>
        <v>3Q20</v>
      </c>
      <c r="CG25" s="31" t="str">
        <f>Macro!CG$9</f>
        <v>4Q20</v>
      </c>
      <c r="CH25" s="29" t="str">
        <f>Macro!CH$9</f>
        <v>2020</v>
      </c>
      <c r="CI25" s="30" t="str">
        <f>Macro!CI$9</f>
        <v>1Q21</v>
      </c>
      <c r="CJ25" s="31" t="str">
        <f>Macro!CJ$9</f>
        <v>2Q21</v>
      </c>
      <c r="CK25" s="30" t="str">
        <f>Macro!CK$9</f>
        <v>3Q21</v>
      </c>
      <c r="CL25" s="31" t="str">
        <f>Macro!CL$9</f>
        <v>4Q21</v>
      </c>
      <c r="CM25" s="29" t="str">
        <f>Macro!CM$9</f>
        <v>2021</v>
      </c>
      <c r="CN25" s="30" t="str">
        <f>Macro!CN$9</f>
        <v>1Q22</v>
      </c>
      <c r="CO25" s="30" t="str">
        <f>Macro!CO$9</f>
        <v>2Q22</v>
      </c>
      <c r="CP25" s="31" t="str">
        <f>Macro!CP$9</f>
        <v>3Q22</v>
      </c>
      <c r="CQ25" s="31" t="str">
        <f>Macro!CQ$9</f>
        <v>4Q22</v>
      </c>
      <c r="CR25" s="29" t="str">
        <f>Macro!CR$9</f>
        <v>2022</v>
      </c>
      <c r="CS25" s="31" t="str">
        <f>Macro!CS$9</f>
        <v>1Q23</v>
      </c>
      <c r="CT25" s="31" t="str">
        <f>Macro!CT$9</f>
        <v>2Q23</v>
      </c>
      <c r="CU25" s="31" t="str">
        <f>Macro!CU$9</f>
        <v>3Q23</v>
      </c>
      <c r="CV25" s="31" t="str">
        <f>Macro!CV$9</f>
        <v>4Q23</v>
      </c>
      <c r="CW25" s="29" t="str">
        <f>Macro!CW$9</f>
        <v>2023</v>
      </c>
      <c r="CX25" s="31" t="str">
        <f>Macro!CX$9</f>
        <v>1Q24</v>
      </c>
      <c r="CY25" s="31" t="str">
        <f>Macro!CY$9</f>
        <v>2Q24</v>
      </c>
      <c r="CZ25" s="31" t="str">
        <f>Macro!CZ$9</f>
        <v>3Q24</v>
      </c>
      <c r="DA25" s="31" t="str">
        <f>Macro!DA$9</f>
        <v>4Q24</v>
      </c>
      <c r="DB25" s="29" t="str">
        <f>Macro!DB$9</f>
        <v>2024</v>
      </c>
      <c r="DC25" s="31" t="str">
        <f>Macro!DC$9</f>
        <v>1Q25</v>
      </c>
      <c r="DD25" s="30" t="str">
        <f>Macro!DD$9</f>
        <v>2Q25</v>
      </c>
      <c r="DE25" s="31" t="str">
        <f>Macro!DE$9</f>
        <v>3Q25</v>
      </c>
      <c r="DF25" s="31" t="str">
        <f>Macro!DF$9</f>
        <v>4Q25</v>
      </c>
      <c r="DG25" s="29" t="str">
        <f>Macro!DG$9</f>
        <v>2025</v>
      </c>
      <c r="DH25" s="31" t="str">
        <f>Macro!DH$9</f>
        <v>1Q26</v>
      </c>
      <c r="DI25" s="30" t="str">
        <f>Macro!DI$9</f>
        <v>2Q26</v>
      </c>
      <c r="DJ25" s="30" t="str">
        <f>Macro!DJ$9</f>
        <v>3Q26E</v>
      </c>
      <c r="DK25" s="31" t="str">
        <f>Macro!DK$9</f>
        <v>4Q26E</v>
      </c>
      <c r="DL25" s="29" t="str">
        <f>Macro!DL$9</f>
        <v>2026E</v>
      </c>
      <c r="DM25" s="30" t="str">
        <f>Macro!DM$9</f>
        <v>1Q27E</v>
      </c>
      <c r="DN25" s="30" t="str">
        <f>Macro!DN$9</f>
        <v>2Q27E</v>
      </c>
      <c r="DO25" s="30" t="str">
        <f>Macro!DO$9</f>
        <v>3Q27E</v>
      </c>
      <c r="DP25" s="31" t="str">
        <f>Macro!DP$9</f>
        <v>4Q27E</v>
      </c>
      <c r="DQ25" s="29" t="str">
        <f>Macro!DQ$9</f>
        <v>2027E</v>
      </c>
      <c r="DR25" s="30" t="str">
        <f>Macro!DR$9</f>
        <v>1Q28E</v>
      </c>
      <c r="DS25" s="30" t="str">
        <f>Macro!DS$9</f>
        <v>2Q28E</v>
      </c>
      <c r="DT25" s="30" t="str">
        <f>Macro!DT$9</f>
        <v>3Q28E</v>
      </c>
      <c r="DU25" s="31" t="str">
        <f>Macro!DU$9</f>
        <v>4Q28E</v>
      </c>
      <c r="DV25" s="29" t="str">
        <f>Macro!DV$9</f>
        <v>2028E</v>
      </c>
      <c r="DW25" s="30" t="str">
        <f>Macro!DW$9</f>
        <v>1Q29E</v>
      </c>
      <c r="DX25" s="30" t="str">
        <f>Macro!DX$9</f>
        <v>2Q29E</v>
      </c>
      <c r="DY25" s="30" t="str">
        <f>Macro!DY$9</f>
        <v>3Q29E</v>
      </c>
      <c r="DZ25" s="31" t="str">
        <f>Macro!DZ$9</f>
        <v>4Q29E</v>
      </c>
      <c r="EA25" s="29" t="str">
        <f>Macro!EA$9</f>
        <v>2029E</v>
      </c>
      <c r="EB25" s="30" t="str">
        <f>Macro!EB$9</f>
        <v>1Q30E</v>
      </c>
      <c r="EC25" s="30" t="str">
        <f>Macro!EC$9</f>
        <v>2Q30E</v>
      </c>
      <c r="ED25" s="30" t="str">
        <f>Macro!ED$9</f>
        <v>3Q30E</v>
      </c>
      <c r="EE25" s="31" t="str">
        <f>Macro!EE$9</f>
        <v>4Q30E</v>
      </c>
      <c r="EF25" s="29" t="str">
        <f>Macro!EF$9</f>
        <v>2030E</v>
      </c>
    </row>
    <row r="26" spans="1:136" ht="12" customHeight="1">
      <c r="A26" s="121" t="s">
        <v>158</v>
      </c>
      <c r="B26" s="122">
        <f t="shared" ref="B26:K26" si="48">B27+B41+B42+B43</f>
        <v>0</v>
      </c>
      <c r="C26" s="122">
        <f t="shared" si="48"/>
        <v>0</v>
      </c>
      <c r="D26" s="122">
        <f t="shared" si="48"/>
        <v>0</v>
      </c>
      <c r="E26" s="122">
        <f t="shared" si="48"/>
        <v>0</v>
      </c>
      <c r="F26" s="123">
        <f t="shared" si="48"/>
        <v>0</v>
      </c>
      <c r="G26" s="122">
        <f t="shared" si="48"/>
        <v>0</v>
      </c>
      <c r="H26" s="122">
        <f t="shared" si="48"/>
        <v>0</v>
      </c>
      <c r="I26" s="122">
        <f t="shared" si="48"/>
        <v>0</v>
      </c>
      <c r="J26" s="122">
        <f t="shared" si="48"/>
        <v>0</v>
      </c>
      <c r="K26" s="123">
        <f t="shared" si="48"/>
        <v>0</v>
      </c>
      <c r="L26" s="122">
        <f t="shared" ref="L26:BN26" si="49">L27+L41+L42+L43</f>
        <v>0</v>
      </c>
      <c r="M26" s="122">
        <f t="shared" si="49"/>
        <v>0</v>
      </c>
      <c r="N26" s="122">
        <f t="shared" si="49"/>
        <v>0</v>
      </c>
      <c r="O26" s="122">
        <f t="shared" si="49"/>
        <v>0</v>
      </c>
      <c r="P26" s="123">
        <f t="shared" si="49"/>
        <v>0</v>
      </c>
      <c r="Q26" s="122">
        <f t="shared" si="49"/>
        <v>0</v>
      </c>
      <c r="R26" s="122">
        <f t="shared" si="49"/>
        <v>0</v>
      </c>
      <c r="S26" s="122">
        <f t="shared" si="49"/>
        <v>0</v>
      </c>
      <c r="T26" s="122">
        <f t="shared" si="49"/>
        <v>0</v>
      </c>
      <c r="U26" s="123">
        <f t="shared" si="49"/>
        <v>0</v>
      </c>
      <c r="V26" s="122">
        <f t="shared" si="49"/>
        <v>0</v>
      </c>
      <c r="W26" s="122">
        <f t="shared" si="49"/>
        <v>0</v>
      </c>
      <c r="X26" s="122">
        <f t="shared" si="49"/>
        <v>0</v>
      </c>
      <c r="Y26" s="122">
        <f t="shared" si="49"/>
        <v>0</v>
      </c>
      <c r="Z26" s="123">
        <f t="shared" si="49"/>
        <v>0</v>
      </c>
      <c r="AA26" s="122">
        <f t="shared" si="49"/>
        <v>0</v>
      </c>
      <c r="AB26" s="122">
        <f t="shared" si="49"/>
        <v>0</v>
      </c>
      <c r="AC26" s="122">
        <f t="shared" si="49"/>
        <v>0</v>
      </c>
      <c r="AD26" s="122">
        <f t="shared" si="49"/>
        <v>0</v>
      </c>
      <c r="AE26" s="123">
        <f t="shared" si="49"/>
        <v>0</v>
      </c>
      <c r="AF26" s="122">
        <f t="shared" si="49"/>
        <v>0</v>
      </c>
      <c r="AG26" s="122">
        <f t="shared" si="49"/>
        <v>0</v>
      </c>
      <c r="AH26" s="122">
        <f t="shared" si="49"/>
        <v>0</v>
      </c>
      <c r="AI26" s="122">
        <f t="shared" si="49"/>
        <v>314859.24300000002</v>
      </c>
      <c r="AJ26" s="123">
        <f t="shared" si="49"/>
        <v>314859.24300000002</v>
      </c>
      <c r="AK26" s="122">
        <f>AK27+AK41+AK42+AK43</f>
        <v>0</v>
      </c>
      <c r="AL26" s="122">
        <f>AL27+AL41+AL42+AL43</f>
        <v>0</v>
      </c>
      <c r="AM26" s="122">
        <f>AM27+AM41+AM42+AM43</f>
        <v>0</v>
      </c>
      <c r="AN26" s="122">
        <f>AN27+AN41+AN42+AN43</f>
        <v>474448.429</v>
      </c>
      <c r="AO26" s="123">
        <f t="shared" si="49"/>
        <v>474448.429</v>
      </c>
      <c r="AP26" s="122">
        <f t="shared" si="49"/>
        <v>0</v>
      </c>
      <c r="AQ26" s="122">
        <f t="shared" si="49"/>
        <v>0</v>
      </c>
      <c r="AR26" s="122">
        <f t="shared" si="49"/>
        <v>0</v>
      </c>
      <c r="AS26" s="122">
        <f t="shared" si="49"/>
        <v>700141.09899999993</v>
      </c>
      <c r="AT26" s="123">
        <f t="shared" si="49"/>
        <v>700141.09899999993</v>
      </c>
      <c r="AU26" s="122">
        <f>AU27+AU41+AU42+AU43</f>
        <v>0</v>
      </c>
      <c r="AV26" s="122">
        <f>AV27+AV41+AV42+AV43</f>
        <v>0</v>
      </c>
      <c r="AW26" s="122">
        <f>AW27+AW41+AW42+AW43</f>
        <v>0</v>
      </c>
      <c r="AX26" s="122">
        <f>AX27+AX41+AX42+AX43</f>
        <v>732510</v>
      </c>
      <c r="AY26" s="123">
        <f>AY27+AY41+AY42+AY43</f>
        <v>732510</v>
      </c>
      <c r="AZ26" s="122">
        <f t="shared" si="49"/>
        <v>0</v>
      </c>
      <c r="BA26" s="122">
        <f t="shared" si="49"/>
        <v>0</v>
      </c>
      <c r="BB26" s="122">
        <f t="shared" si="49"/>
        <v>0</v>
      </c>
      <c r="BC26" s="122">
        <f t="shared" si="49"/>
        <v>962587</v>
      </c>
      <c r="BD26" s="123">
        <f t="shared" si="49"/>
        <v>962587</v>
      </c>
      <c r="BE26" s="122">
        <f t="shared" si="49"/>
        <v>0</v>
      </c>
      <c r="BF26" s="122">
        <f t="shared" si="49"/>
        <v>0</v>
      </c>
      <c r="BG26" s="122">
        <f t="shared" si="49"/>
        <v>0</v>
      </c>
      <c r="BH26" s="122">
        <f t="shared" si="49"/>
        <v>1097601</v>
      </c>
      <c r="BI26" s="123">
        <f t="shared" si="49"/>
        <v>1097601</v>
      </c>
      <c r="BJ26" s="122">
        <f t="shared" si="49"/>
        <v>0</v>
      </c>
      <c r="BK26" s="122">
        <f t="shared" si="49"/>
        <v>0</v>
      </c>
      <c r="BL26" s="122">
        <f t="shared" si="49"/>
        <v>0</v>
      </c>
      <c r="BM26" s="122">
        <f t="shared" si="49"/>
        <v>1107695</v>
      </c>
      <c r="BN26" s="123">
        <f t="shared" si="49"/>
        <v>1107695</v>
      </c>
      <c r="BO26" s="122">
        <f t="shared" ref="BO26:BW26" si="50">BO27+BO41+BO42+BO43</f>
        <v>0</v>
      </c>
      <c r="BP26" s="122">
        <f t="shared" si="50"/>
        <v>0</v>
      </c>
      <c r="BQ26" s="122">
        <f t="shared" si="50"/>
        <v>0</v>
      </c>
      <c r="BR26" s="122">
        <f t="shared" si="50"/>
        <v>1275696</v>
      </c>
      <c r="BS26" s="123">
        <f t="shared" si="50"/>
        <v>1275696</v>
      </c>
      <c r="BT26" s="122">
        <f t="shared" si="50"/>
        <v>0</v>
      </c>
      <c r="BU26" s="122">
        <f t="shared" si="50"/>
        <v>0</v>
      </c>
      <c r="BV26" s="122">
        <f t="shared" si="50"/>
        <v>0</v>
      </c>
      <c r="BW26" s="122">
        <f t="shared" si="50"/>
        <v>1129517</v>
      </c>
      <c r="BX26" s="123">
        <f t="shared" ref="BX26:CC26" si="51">BX27+BX41+BX42+BX43</f>
        <v>1129517</v>
      </c>
      <c r="BY26" s="122">
        <f t="shared" si="51"/>
        <v>0</v>
      </c>
      <c r="BZ26" s="122">
        <f t="shared" si="51"/>
        <v>0</v>
      </c>
      <c r="CA26" s="122">
        <f t="shared" si="51"/>
        <v>0</v>
      </c>
      <c r="CB26" s="122">
        <f t="shared" si="51"/>
        <v>1287998</v>
      </c>
      <c r="CC26" s="123">
        <f t="shared" si="51"/>
        <v>1287998</v>
      </c>
      <c r="CD26" s="122">
        <f>CD27+CD41+CD42+CD43</f>
        <v>1263875</v>
      </c>
      <c r="CE26" s="122">
        <f>CE27+CE41+CE42+CE43</f>
        <v>1430167</v>
      </c>
      <c r="CF26" s="122">
        <f t="shared" ref="CF26:DH26" si="52">CF27+CF41+CF42+CF43</f>
        <v>1795232</v>
      </c>
      <c r="CG26" s="122">
        <f t="shared" si="52"/>
        <v>1644712</v>
      </c>
      <c r="CH26" s="123">
        <f t="shared" si="52"/>
        <v>1644712</v>
      </c>
      <c r="CI26" s="122">
        <f t="shared" si="52"/>
        <v>1918297</v>
      </c>
      <c r="CJ26" s="122">
        <f>CJ27+CJ41+CJ42+CJ43</f>
        <v>2032570</v>
      </c>
      <c r="CK26" s="122">
        <f t="shared" si="52"/>
        <v>2177211</v>
      </c>
      <c r="CL26" s="122">
        <f>CL27+CL41+CL42+CL43</f>
        <v>2597922</v>
      </c>
      <c r="CM26" s="123">
        <f t="shared" si="52"/>
        <v>2597922</v>
      </c>
      <c r="CN26" s="122">
        <f>CN27+CN41+CN42+CN43</f>
        <v>2933909</v>
      </c>
      <c r="CO26" s="122">
        <f>CO27+CO41+CO42+CO43</f>
        <v>2917631</v>
      </c>
      <c r="CP26" s="122">
        <f>CP27+CP41+CP42+CP43</f>
        <v>2784853</v>
      </c>
      <c r="CQ26" s="122">
        <f>CQ27+CQ41+CQ42+CQ43</f>
        <v>2798431</v>
      </c>
      <c r="CR26" s="123">
        <f t="shared" si="52"/>
        <v>2798431</v>
      </c>
      <c r="CS26" s="122">
        <f t="shared" si="52"/>
        <v>2733836</v>
      </c>
      <c r="CT26" s="122">
        <f t="shared" si="52"/>
        <v>2836650</v>
      </c>
      <c r="CU26" s="122">
        <f>CU27+CU41+CU42+CU43</f>
        <v>3150612</v>
      </c>
      <c r="CV26" s="122">
        <f>CV27+CV41+CV42+CV43</f>
        <v>3092023</v>
      </c>
      <c r="CW26" s="123">
        <f t="shared" si="52"/>
        <v>3092023</v>
      </c>
      <c r="CX26" s="122">
        <f t="shared" si="52"/>
        <v>3412477</v>
      </c>
      <c r="CY26" s="122">
        <f t="shared" si="52"/>
        <v>3983671</v>
      </c>
      <c r="CZ26" s="122">
        <f t="shared" si="52"/>
        <v>3957292</v>
      </c>
      <c r="DA26" s="122">
        <f t="shared" si="52"/>
        <v>4339295</v>
      </c>
      <c r="DB26" s="123">
        <f t="shared" si="52"/>
        <v>4339295</v>
      </c>
      <c r="DC26" s="122">
        <f>DC27+DC41+DC42+DC43</f>
        <v>4870968</v>
      </c>
      <c r="DD26" s="122">
        <f t="shared" si="52"/>
        <v>5183964</v>
      </c>
      <c r="DE26" s="122">
        <f t="shared" ref="DE26:DF26" si="53">DE27+DE41+DE42+DE43</f>
        <v>5631997</v>
      </c>
      <c r="DF26" s="122">
        <f t="shared" si="53"/>
        <v>5654395</v>
      </c>
      <c r="DG26" s="123">
        <f t="shared" si="52"/>
        <v>5654395</v>
      </c>
      <c r="DH26" s="122">
        <f t="shared" si="52"/>
        <v>6195487</v>
      </c>
      <c r="DI26" s="122">
        <f t="shared" ref="DI26:EF26" si="54">DI27+DI41+DI42+DI43</f>
        <v>6278509</v>
      </c>
      <c r="DJ26" s="122">
        <f t="shared" ca="1" si="54"/>
        <v>6598650.0910356194</v>
      </c>
      <c r="DK26" s="122">
        <f t="shared" ca="1" si="54"/>
        <v>6826307.1064742049</v>
      </c>
      <c r="DL26" s="123">
        <f t="shared" ca="1" si="54"/>
        <v>6826307.1064742049</v>
      </c>
      <c r="DM26" s="122">
        <f t="shared" ca="1" si="54"/>
        <v>7085772.9841389535</v>
      </c>
      <c r="DN26" s="122">
        <f t="shared" ca="1" si="54"/>
        <v>7343697.7633780558</v>
      </c>
      <c r="DO26" s="122">
        <f t="shared" ca="1" si="54"/>
        <v>7587978.3813489731</v>
      </c>
      <c r="DP26" s="122">
        <f t="shared" ca="1" si="54"/>
        <v>8079184.6537180347</v>
      </c>
      <c r="DQ26" s="123">
        <f t="shared" ca="1" si="54"/>
        <v>8079184.6537180347</v>
      </c>
      <c r="DR26" s="122">
        <f t="shared" ca="1" si="54"/>
        <v>7364358.8283386128</v>
      </c>
      <c r="DS26" s="122">
        <f t="shared" ca="1" si="54"/>
        <v>7619156.2956884364</v>
      </c>
      <c r="DT26" s="122">
        <f t="shared" ca="1" si="54"/>
        <v>8135411.6992269363</v>
      </c>
      <c r="DU26" s="122">
        <f t="shared" ca="1" si="54"/>
        <v>8667397.985943988</v>
      </c>
      <c r="DV26" s="123">
        <f t="shared" ca="1" si="54"/>
        <v>8667397.985943988</v>
      </c>
      <c r="DW26" s="122">
        <f t="shared" ca="1" si="54"/>
        <v>7659087.6749640815</v>
      </c>
      <c r="DX26" s="122">
        <f t="shared" ca="1" si="54"/>
        <v>8179250.4496658556</v>
      </c>
      <c r="DY26" s="122">
        <f t="shared" ca="1" si="54"/>
        <v>8715812.0847896338</v>
      </c>
      <c r="DZ26" s="122">
        <f t="shared" ca="1" si="54"/>
        <v>9269513.2373916507</v>
      </c>
      <c r="EA26" s="123">
        <f t="shared" ca="1" si="54"/>
        <v>9269513.2373916507</v>
      </c>
      <c r="EB26" s="122">
        <f t="shared" ca="1" si="54"/>
        <v>8200665.9565142961</v>
      </c>
      <c r="EC26" s="122">
        <f t="shared" ca="1" si="54"/>
        <v>8711791.1807057336</v>
      </c>
      <c r="ED26" s="122">
        <f t="shared" ca="1" si="54"/>
        <v>9210182.4339458458</v>
      </c>
      <c r="EE26" s="122">
        <f t="shared" ca="1" si="54"/>
        <v>9696091.2049411982</v>
      </c>
      <c r="EF26" s="123">
        <f t="shared" ca="1" si="54"/>
        <v>9696091.2049411982</v>
      </c>
    </row>
    <row r="27" spans="1:136" ht="12" customHeight="1">
      <c r="A27" s="121" t="s">
        <v>203</v>
      </c>
      <c r="B27" s="122">
        <f t="shared" ref="B27:K27" si="55">B28+SUM(B31:B40)</f>
        <v>0</v>
      </c>
      <c r="C27" s="122">
        <f t="shared" si="55"/>
        <v>0</v>
      </c>
      <c r="D27" s="122">
        <f t="shared" si="55"/>
        <v>0</v>
      </c>
      <c r="E27" s="122">
        <f t="shared" si="55"/>
        <v>0</v>
      </c>
      <c r="F27" s="123">
        <f t="shared" si="55"/>
        <v>0</v>
      </c>
      <c r="G27" s="122">
        <f t="shared" si="55"/>
        <v>0</v>
      </c>
      <c r="H27" s="122">
        <f t="shared" si="55"/>
        <v>0</v>
      </c>
      <c r="I27" s="122">
        <f t="shared" si="55"/>
        <v>0</v>
      </c>
      <c r="J27" s="122">
        <f t="shared" si="55"/>
        <v>0</v>
      </c>
      <c r="K27" s="123">
        <f t="shared" si="55"/>
        <v>0</v>
      </c>
      <c r="L27" s="122">
        <f t="shared" ref="L27:AE27" si="56">L28+SUM(L31:L40)</f>
        <v>0</v>
      </c>
      <c r="M27" s="122">
        <f t="shared" si="56"/>
        <v>0</v>
      </c>
      <c r="N27" s="122">
        <f t="shared" si="56"/>
        <v>0</v>
      </c>
      <c r="O27" s="122">
        <f t="shared" si="56"/>
        <v>0</v>
      </c>
      <c r="P27" s="123">
        <f t="shared" si="56"/>
        <v>0</v>
      </c>
      <c r="Q27" s="122">
        <f t="shared" si="56"/>
        <v>0</v>
      </c>
      <c r="R27" s="122">
        <f t="shared" si="56"/>
        <v>0</v>
      </c>
      <c r="S27" s="122">
        <f t="shared" si="56"/>
        <v>0</v>
      </c>
      <c r="T27" s="122">
        <f t="shared" si="56"/>
        <v>0</v>
      </c>
      <c r="U27" s="123">
        <f t="shared" si="56"/>
        <v>0</v>
      </c>
      <c r="V27" s="122">
        <f t="shared" si="56"/>
        <v>0</v>
      </c>
      <c r="W27" s="122">
        <f t="shared" si="56"/>
        <v>0</v>
      </c>
      <c r="X27" s="122">
        <f t="shared" si="56"/>
        <v>0</v>
      </c>
      <c r="Y27" s="122">
        <f t="shared" si="56"/>
        <v>0</v>
      </c>
      <c r="Z27" s="123">
        <f t="shared" si="56"/>
        <v>0</v>
      </c>
      <c r="AA27" s="122">
        <f t="shared" si="56"/>
        <v>0</v>
      </c>
      <c r="AB27" s="122">
        <f t="shared" si="56"/>
        <v>0</v>
      </c>
      <c r="AC27" s="122">
        <f t="shared" si="56"/>
        <v>0</v>
      </c>
      <c r="AD27" s="122">
        <f t="shared" si="56"/>
        <v>0</v>
      </c>
      <c r="AE27" s="123">
        <f t="shared" si="56"/>
        <v>0</v>
      </c>
      <c r="AF27" s="122">
        <f>AF28+SUM(AF31:AF40)</f>
        <v>0</v>
      </c>
      <c r="AG27" s="122">
        <f>AG28+SUM(AG31:AG40)</f>
        <v>0</v>
      </c>
      <c r="AH27" s="122">
        <f>AH28+SUM(AH31:AH40)</f>
        <v>0</v>
      </c>
      <c r="AI27" s="122">
        <f>AI28+SUM(AI31:AI40)</f>
        <v>194375.109</v>
      </c>
      <c r="AJ27" s="123">
        <f t="shared" ref="AJ27:BN27" si="57">AJ28+SUM(AJ31:AJ40)</f>
        <v>194375.109</v>
      </c>
      <c r="AK27" s="122">
        <f>AK28+SUM(AK31:AK40)</f>
        <v>0</v>
      </c>
      <c r="AL27" s="122">
        <f>AL28+SUM(AL31:AL40)</f>
        <v>0</v>
      </c>
      <c r="AM27" s="122">
        <f>AM28+SUM(AM31:AM40)</f>
        <v>0</v>
      </c>
      <c r="AN27" s="122">
        <f>AN28+SUM(AN31:AN40)</f>
        <v>285285.33299999998</v>
      </c>
      <c r="AO27" s="123">
        <f t="shared" si="57"/>
        <v>285285.33299999998</v>
      </c>
      <c r="AP27" s="122">
        <f t="shared" si="57"/>
        <v>0</v>
      </c>
      <c r="AQ27" s="122">
        <f t="shared" si="57"/>
        <v>0</v>
      </c>
      <c r="AR27" s="122">
        <f t="shared" si="57"/>
        <v>0</v>
      </c>
      <c r="AS27" s="122">
        <f t="shared" si="57"/>
        <v>369911.201</v>
      </c>
      <c r="AT27" s="123">
        <f t="shared" si="57"/>
        <v>369911.201</v>
      </c>
      <c r="AU27" s="122">
        <f>AU28+SUM(AU31:AU40)</f>
        <v>0</v>
      </c>
      <c r="AV27" s="122">
        <f>AV28+SUM(AV31:AV40)</f>
        <v>0</v>
      </c>
      <c r="AW27" s="122">
        <f>AW28+SUM(AW31:AW40)</f>
        <v>0</v>
      </c>
      <c r="AX27" s="122">
        <f>AX28+SUM(AX31:AX40)</f>
        <v>300501</v>
      </c>
      <c r="AY27" s="123">
        <f>AY28+SUM(AY31:AY40)</f>
        <v>300501</v>
      </c>
      <c r="AZ27" s="122">
        <f t="shared" si="57"/>
        <v>0</v>
      </c>
      <c r="BA27" s="122">
        <f t="shared" si="57"/>
        <v>0</v>
      </c>
      <c r="BB27" s="122">
        <f t="shared" si="57"/>
        <v>0</v>
      </c>
      <c r="BC27" s="122">
        <f t="shared" si="57"/>
        <v>423438</v>
      </c>
      <c r="BD27" s="123">
        <f t="shared" si="57"/>
        <v>423438</v>
      </c>
      <c r="BE27" s="122">
        <f t="shared" si="57"/>
        <v>0</v>
      </c>
      <c r="BF27" s="122">
        <f t="shared" si="57"/>
        <v>0</v>
      </c>
      <c r="BG27" s="122">
        <f t="shared" si="57"/>
        <v>0</v>
      </c>
      <c r="BH27" s="122">
        <f t="shared" si="57"/>
        <v>667356</v>
      </c>
      <c r="BI27" s="123">
        <f t="shared" si="57"/>
        <v>667356</v>
      </c>
      <c r="BJ27" s="122">
        <f t="shared" si="57"/>
        <v>0</v>
      </c>
      <c r="BK27" s="122">
        <f t="shared" si="57"/>
        <v>0</v>
      </c>
      <c r="BL27" s="122">
        <f t="shared" si="57"/>
        <v>0</v>
      </c>
      <c r="BM27" s="122">
        <f t="shared" si="57"/>
        <v>825819</v>
      </c>
      <c r="BN27" s="123">
        <f t="shared" si="57"/>
        <v>825819</v>
      </c>
      <c r="BO27" s="122">
        <f t="shared" ref="BO27:BW27" si="58">BO28+SUM(BO31:BO40)</f>
        <v>0</v>
      </c>
      <c r="BP27" s="122">
        <f t="shared" si="58"/>
        <v>0</v>
      </c>
      <c r="BQ27" s="122">
        <f t="shared" si="58"/>
        <v>0</v>
      </c>
      <c r="BR27" s="122">
        <f t="shared" si="58"/>
        <v>938997</v>
      </c>
      <c r="BS27" s="123">
        <f t="shared" si="58"/>
        <v>938997</v>
      </c>
      <c r="BT27" s="122">
        <f t="shared" si="58"/>
        <v>0</v>
      </c>
      <c r="BU27" s="122">
        <f t="shared" si="58"/>
        <v>0</v>
      </c>
      <c r="BV27" s="122">
        <f t="shared" si="58"/>
        <v>0</v>
      </c>
      <c r="BW27" s="122">
        <f t="shared" si="58"/>
        <v>782870</v>
      </c>
      <c r="BX27" s="123">
        <f t="shared" ref="BX27:CE27" si="59">BX28+SUM(BX31:BX40)</f>
        <v>782870</v>
      </c>
      <c r="BY27" s="122">
        <f>BY28+SUM(BY31:BY40)</f>
        <v>0</v>
      </c>
      <c r="BZ27" s="122">
        <f>BZ28+SUM(BZ31:BZ40)</f>
        <v>0</v>
      </c>
      <c r="CA27" s="122">
        <f>CA28+SUM(CA31:CA40)</f>
        <v>0</v>
      </c>
      <c r="CB27" s="122">
        <f>CB28+SUM(CB31:CB40)</f>
        <v>924201</v>
      </c>
      <c r="CC27" s="123">
        <f t="shared" si="59"/>
        <v>924201</v>
      </c>
      <c r="CD27" s="122">
        <f t="shared" si="59"/>
        <v>888251</v>
      </c>
      <c r="CE27" s="122">
        <f t="shared" si="59"/>
        <v>1010396</v>
      </c>
      <c r="CF27" s="122">
        <f t="shared" ref="CF27:DH27" si="60">CF28+SUM(CF31:CF40)</f>
        <v>1164609</v>
      </c>
      <c r="CG27" s="122">
        <f t="shared" si="60"/>
        <v>1002325</v>
      </c>
      <c r="CH27" s="123">
        <f t="shared" si="60"/>
        <v>1002325</v>
      </c>
      <c r="CI27" s="122">
        <f t="shared" si="60"/>
        <v>1224582</v>
      </c>
      <c r="CJ27" s="122">
        <f>CJ28+SUM(CJ31:CJ40)</f>
        <v>1341185</v>
      </c>
      <c r="CK27" s="122">
        <f t="shared" si="60"/>
        <v>1420019</v>
      </c>
      <c r="CL27" s="122">
        <f>CL28+SUM(CL31:CL40)</f>
        <v>1859594</v>
      </c>
      <c r="CM27" s="123">
        <f t="shared" si="60"/>
        <v>1859594</v>
      </c>
      <c r="CN27" s="122">
        <f>CN28+SUM(CN31:CN40)</f>
        <v>2141767</v>
      </c>
      <c r="CO27" s="122">
        <f>CO28+SUM(CO31:CO40)</f>
        <v>2121385</v>
      </c>
      <c r="CP27" s="122">
        <f>CP28+SUM(CP31:CP40)</f>
        <v>1912520</v>
      </c>
      <c r="CQ27" s="122">
        <f>CQ28+SUM(CQ31:CQ40)</f>
        <v>1920683</v>
      </c>
      <c r="CR27" s="123">
        <f t="shared" si="60"/>
        <v>1920683</v>
      </c>
      <c r="CS27" s="122">
        <f t="shared" si="60"/>
        <v>1764183</v>
      </c>
      <c r="CT27" s="122">
        <f t="shared" si="60"/>
        <v>1734163</v>
      </c>
      <c r="CU27" s="122">
        <f>CU28+SUM(CU31:CU40)</f>
        <v>2094448</v>
      </c>
      <c r="CV27" s="122">
        <f>CV28+SUM(CV31:CV40)</f>
        <v>2095043</v>
      </c>
      <c r="CW27" s="123">
        <f t="shared" si="60"/>
        <v>2095043</v>
      </c>
      <c r="CX27" s="122">
        <f t="shared" si="60"/>
        <v>2254035</v>
      </c>
      <c r="CY27" s="122">
        <f t="shared" si="60"/>
        <v>2930701</v>
      </c>
      <c r="CZ27" s="122">
        <f t="shared" si="60"/>
        <v>2723972</v>
      </c>
      <c r="DA27" s="122">
        <f t="shared" si="60"/>
        <v>3029756</v>
      </c>
      <c r="DB27" s="123">
        <f t="shared" si="60"/>
        <v>3029756</v>
      </c>
      <c r="DC27" s="122">
        <f>DC28+SUM(DC31:DC40)</f>
        <v>3509484</v>
      </c>
      <c r="DD27" s="122">
        <f t="shared" si="60"/>
        <v>3605670</v>
      </c>
      <c r="DE27" s="122">
        <f t="shared" ref="DE27:DF27" si="61">DE28+SUM(DE31:DE40)</f>
        <v>3989868</v>
      </c>
      <c r="DF27" s="122">
        <f t="shared" si="61"/>
        <v>3992341</v>
      </c>
      <c r="DG27" s="123">
        <f t="shared" si="60"/>
        <v>3992341</v>
      </c>
      <c r="DH27" s="122">
        <f t="shared" si="60"/>
        <v>4303517</v>
      </c>
      <c r="DI27" s="122">
        <f t="shared" ref="DI27:EF27" si="62">DI28+SUM(DI31:DI40)</f>
        <v>4229668</v>
      </c>
      <c r="DJ27" s="122">
        <f t="shared" si="62"/>
        <v>4410213.0334490566</v>
      </c>
      <c r="DK27" s="122">
        <f t="shared" si="62"/>
        <v>4469894.7422868162</v>
      </c>
      <c r="DL27" s="123">
        <f t="shared" si="62"/>
        <v>4469894.7422868162</v>
      </c>
      <c r="DM27" s="122">
        <f t="shared" si="62"/>
        <v>4588619.381623555</v>
      </c>
      <c r="DN27" s="122">
        <f t="shared" si="62"/>
        <v>4693544.396119684</v>
      </c>
      <c r="DO27" s="122">
        <f t="shared" si="62"/>
        <v>4780728.5189605588</v>
      </c>
      <c r="DP27" s="122">
        <f t="shared" ca="1" si="62"/>
        <v>5102476.225432693</v>
      </c>
      <c r="DQ27" s="123">
        <f t="shared" ca="1" si="62"/>
        <v>5102476.225432693</v>
      </c>
      <c r="DR27" s="122">
        <f t="shared" ca="1" si="62"/>
        <v>5177220.2017182903</v>
      </c>
      <c r="DS27" s="122">
        <f t="shared" si="62"/>
        <v>4997814.0504462402</v>
      </c>
      <c r="DT27" s="122">
        <f t="shared" si="62"/>
        <v>5065181.7086835206</v>
      </c>
      <c r="DU27" s="122">
        <f t="shared" si="62"/>
        <v>5129924.9377927491</v>
      </c>
      <c r="DV27" s="123">
        <f t="shared" si="62"/>
        <v>5129924.9377927491</v>
      </c>
      <c r="DW27" s="122">
        <f t="shared" si="62"/>
        <v>5192725.729543292</v>
      </c>
      <c r="DX27" s="122">
        <f t="shared" si="62"/>
        <v>5254565.3401520569</v>
      </c>
      <c r="DY27" s="122">
        <f t="shared" si="62"/>
        <v>5315086.5191816557</v>
      </c>
      <c r="DZ27" s="122">
        <f t="shared" si="62"/>
        <v>5374682.830329312</v>
      </c>
      <c r="EA27" s="123">
        <f t="shared" si="62"/>
        <v>5374682.830329312</v>
      </c>
      <c r="EB27" s="122">
        <f t="shared" si="62"/>
        <v>5433312.125605382</v>
      </c>
      <c r="EC27" s="122">
        <f t="shared" si="62"/>
        <v>5461750.7704599742</v>
      </c>
      <c r="ED27" s="122">
        <f t="shared" si="62"/>
        <v>5459776.5780990059</v>
      </c>
      <c r="EE27" s="122">
        <f t="shared" si="62"/>
        <v>5427342.9446331207</v>
      </c>
      <c r="EF27" s="123">
        <f t="shared" si="62"/>
        <v>5427342.9446331207</v>
      </c>
    </row>
    <row r="28" spans="1:136" ht="12" customHeight="1">
      <c r="A28" s="9" t="s">
        <v>25</v>
      </c>
      <c r="B28" s="140"/>
      <c r="C28" s="140"/>
      <c r="D28" s="140"/>
      <c r="E28" s="140"/>
      <c r="F28" s="26">
        <f>E28</f>
        <v>0</v>
      </c>
      <c r="G28" s="140">
        <f>G29+G30</f>
        <v>0</v>
      </c>
      <c r="H28" s="140">
        <f>H29+H30</f>
        <v>0</v>
      </c>
      <c r="I28" s="140">
        <f>I29+I30</f>
        <v>0</v>
      </c>
      <c r="J28" s="140">
        <f>J29+J30</f>
        <v>0</v>
      </c>
      <c r="K28" s="26">
        <f t="shared" ref="K28:K42" si="63">J28</f>
        <v>0</v>
      </c>
      <c r="L28" s="140">
        <f>L29+L30</f>
        <v>0</v>
      </c>
      <c r="M28" s="140">
        <f>M29+M30</f>
        <v>0</v>
      </c>
      <c r="N28" s="140">
        <f>N29+N30</f>
        <v>0</v>
      </c>
      <c r="O28" s="140">
        <f>O29+O30</f>
        <v>0</v>
      </c>
      <c r="P28" s="26">
        <f t="shared" ref="P28:P42" si="64">O28</f>
        <v>0</v>
      </c>
      <c r="Q28" s="140">
        <f>Q29+Q30</f>
        <v>0</v>
      </c>
      <c r="R28" s="140">
        <f>R29+R30</f>
        <v>0</v>
      </c>
      <c r="S28" s="140">
        <f>S29+S30</f>
        <v>0</v>
      </c>
      <c r="T28" s="140">
        <f>T29+T30</f>
        <v>0</v>
      </c>
      <c r="U28" s="26">
        <f t="shared" ref="U28:U42" si="65">T28</f>
        <v>0</v>
      </c>
      <c r="V28" s="140">
        <f>V29+V30</f>
        <v>0</v>
      </c>
      <c r="W28" s="140">
        <f>W29+W30</f>
        <v>0</v>
      </c>
      <c r="X28" s="140">
        <f>X29+X30</f>
        <v>0</v>
      </c>
      <c r="Y28" s="140">
        <f>Y29+Y30</f>
        <v>0</v>
      </c>
      <c r="Z28" s="26">
        <f t="shared" ref="Z28:Z42" si="66">Y28</f>
        <v>0</v>
      </c>
      <c r="AA28" s="140">
        <f>AA29+AA30</f>
        <v>0</v>
      </c>
      <c r="AB28" s="140">
        <f>AB29+AB30</f>
        <v>0</v>
      </c>
      <c r="AC28" s="140">
        <f>AC29+AC30</f>
        <v>0</v>
      </c>
      <c r="AD28" s="140">
        <f>AD29+AD30</f>
        <v>0</v>
      </c>
      <c r="AE28" s="26">
        <f t="shared" ref="AE28:AE42" si="67">AD28</f>
        <v>0</v>
      </c>
      <c r="AF28" s="83">
        <f>AF29+AF30</f>
        <v>0</v>
      </c>
      <c r="AG28" s="83">
        <f>AG29+AG30</f>
        <v>0</v>
      </c>
      <c r="AH28" s="83">
        <f>AH29+AH30</f>
        <v>0</v>
      </c>
      <c r="AI28" s="83">
        <f>AI29+AI30</f>
        <v>96143.043999999994</v>
      </c>
      <c r="AJ28" s="26">
        <f t="shared" ref="AJ28:AJ42" si="68">AI28</f>
        <v>96143.043999999994</v>
      </c>
      <c r="AK28" s="83">
        <f>AK29+AK30</f>
        <v>0</v>
      </c>
      <c r="AL28" s="83">
        <f>AL29+AL30</f>
        <v>0</v>
      </c>
      <c r="AM28" s="83">
        <f>AM29+AM30</f>
        <v>0</v>
      </c>
      <c r="AN28" s="83">
        <f>AN29+AN30</f>
        <v>152838.53400000001</v>
      </c>
      <c r="AO28" s="26">
        <f t="shared" ref="AO28:AO42" si="69">AN28</f>
        <v>152838.53400000001</v>
      </c>
      <c r="AP28" s="83">
        <f>AP29+AP30</f>
        <v>0</v>
      </c>
      <c r="AQ28" s="83">
        <f>AQ29+AQ30</f>
        <v>0</v>
      </c>
      <c r="AR28" s="83">
        <f>AR29+AR30</f>
        <v>0</v>
      </c>
      <c r="AS28" s="83">
        <f>AS29+AS30</f>
        <v>97036.176000000007</v>
      </c>
      <c r="AT28" s="26">
        <f t="shared" ref="AT28:AT42" si="70">AS28</f>
        <v>97036.176000000007</v>
      </c>
      <c r="AU28" s="83">
        <f>AU29+AU30</f>
        <v>0</v>
      </c>
      <c r="AV28" s="83">
        <f>AV29+AV30</f>
        <v>0</v>
      </c>
      <c r="AW28" s="83">
        <f>AW29+AW30</f>
        <v>0</v>
      </c>
      <c r="AX28" s="83">
        <f>AX29+AX30</f>
        <v>99674</v>
      </c>
      <c r="AY28" s="26">
        <f t="shared" ref="AY28:AY42" si="71">AX28</f>
        <v>99674</v>
      </c>
      <c r="AZ28" s="83">
        <f>AZ29+AZ30</f>
        <v>0</v>
      </c>
      <c r="BA28" s="83">
        <f>BA29+BA30</f>
        <v>0</v>
      </c>
      <c r="BB28" s="83">
        <f>BB29+BB30</f>
        <v>0</v>
      </c>
      <c r="BC28" s="83">
        <f>BC29+BC30</f>
        <v>146045</v>
      </c>
      <c r="BD28" s="26">
        <f t="shared" ref="BD28:BD42" si="72">BC28</f>
        <v>146045</v>
      </c>
      <c r="BE28" s="83">
        <f>BE29+BE30</f>
        <v>0</v>
      </c>
      <c r="BF28" s="83">
        <f>BF29+BF30</f>
        <v>0</v>
      </c>
      <c r="BG28" s="83">
        <f>BG29+BG30</f>
        <v>0</v>
      </c>
      <c r="BH28" s="83">
        <f>BH29+BH30</f>
        <v>168657</v>
      </c>
      <c r="BI28" s="26">
        <f t="shared" ref="BI28:BI42" si="73">BH28</f>
        <v>168657</v>
      </c>
      <c r="BJ28" s="83">
        <f>BJ29+BJ30</f>
        <v>0</v>
      </c>
      <c r="BK28" s="83">
        <f>BK29+BK30</f>
        <v>0</v>
      </c>
      <c r="BL28" s="83">
        <f>BL29+BL30</f>
        <v>0</v>
      </c>
      <c r="BM28" s="83">
        <f>BM29+BM30</f>
        <v>174236</v>
      </c>
      <c r="BN28" s="26">
        <f t="shared" ref="BN28:BN42" si="74">BM28</f>
        <v>174236</v>
      </c>
      <c r="BO28" s="83">
        <f>BO29+BO30</f>
        <v>0</v>
      </c>
      <c r="BP28" s="83">
        <f>BP29+BP30</f>
        <v>0</v>
      </c>
      <c r="BQ28" s="83">
        <f>BQ29+BQ30</f>
        <v>0</v>
      </c>
      <c r="BR28" s="83">
        <f>BR29+BR30</f>
        <v>187563</v>
      </c>
      <c r="BS28" s="26">
        <f t="shared" ref="BS28:BS36" si="75">BR28</f>
        <v>187563</v>
      </c>
      <c r="BT28" s="83">
        <f>BT29+BT30</f>
        <v>0</v>
      </c>
      <c r="BU28" s="83">
        <f>BU29+BU30</f>
        <v>0</v>
      </c>
      <c r="BV28" s="83">
        <f>BV29+BV30</f>
        <v>0</v>
      </c>
      <c r="BW28" s="83">
        <f>BW29+BW30</f>
        <v>217596</v>
      </c>
      <c r="BX28" s="26">
        <f t="shared" ref="BX28:BX36" si="76">BW28</f>
        <v>217596</v>
      </c>
      <c r="BY28" s="83">
        <f>BY29+BY30</f>
        <v>0</v>
      </c>
      <c r="BZ28" s="83">
        <f>BZ29+BZ30</f>
        <v>0</v>
      </c>
      <c r="CA28" s="83">
        <f>CA29+CA30</f>
        <v>0</v>
      </c>
      <c r="CB28" s="83">
        <f>CB29+CB30</f>
        <v>286966</v>
      </c>
      <c r="CC28" s="26">
        <f t="shared" ref="CC28:CC40" si="77">CB28</f>
        <v>286966</v>
      </c>
      <c r="CD28" s="83">
        <f>CD29+CD30</f>
        <v>295331</v>
      </c>
      <c r="CE28" s="83">
        <f>CE29+CE30</f>
        <v>335796</v>
      </c>
      <c r="CF28" s="83">
        <f>CF29+CF30</f>
        <v>306192</v>
      </c>
      <c r="CG28" s="83">
        <f>CG29+CG30</f>
        <v>276703</v>
      </c>
      <c r="CH28" s="26">
        <f t="shared" ref="CH28:CH40" si="78">CG28</f>
        <v>276703</v>
      </c>
      <c r="CI28" s="83">
        <f>CI29+CI30</f>
        <v>280789</v>
      </c>
      <c r="CJ28" s="83">
        <f>CJ29+CJ30</f>
        <v>270295</v>
      </c>
      <c r="CK28" s="83">
        <f>CK29+CK30</f>
        <v>390224</v>
      </c>
      <c r="CL28" s="83">
        <f>CL29+CL30</f>
        <v>391228</v>
      </c>
      <c r="CM28" s="26">
        <f t="shared" ref="CM28:CM40" si="79">CL28</f>
        <v>391228</v>
      </c>
      <c r="CN28" s="83">
        <f>CN29+CN30</f>
        <v>390862</v>
      </c>
      <c r="CO28" s="83">
        <f>CO29+CO30</f>
        <v>398972</v>
      </c>
      <c r="CP28" s="83">
        <f>CP29+CP30</f>
        <v>456021</v>
      </c>
      <c r="CQ28" s="83">
        <f>CQ29+CQ30</f>
        <v>480988</v>
      </c>
      <c r="CR28" s="26">
        <f t="shared" ref="CR28:CR40" si="80">CQ28</f>
        <v>480988</v>
      </c>
      <c r="CS28" s="83">
        <f>CS29+CS30</f>
        <v>474517</v>
      </c>
      <c r="CT28" s="83">
        <f>CT29+CT30</f>
        <v>499607</v>
      </c>
      <c r="CU28" s="83">
        <f>CU29+CU30</f>
        <v>645719</v>
      </c>
      <c r="CV28" s="83">
        <f>CV29+CV30</f>
        <v>613352</v>
      </c>
      <c r="CW28" s="26">
        <f t="shared" ref="CW28:CW40" si="81">CV28</f>
        <v>613352</v>
      </c>
      <c r="CX28" s="83">
        <f>CX29+CX30</f>
        <v>601890</v>
      </c>
      <c r="CY28" s="83">
        <f>CY29+CY30</f>
        <v>1080738</v>
      </c>
      <c r="CZ28" s="83">
        <f>CZ29+CZ30</f>
        <v>1102525</v>
      </c>
      <c r="DA28" s="83">
        <f>DA29+DA30</f>
        <v>986382</v>
      </c>
      <c r="DB28" s="26">
        <f t="shared" ref="DB28:DB40" si="82">DA28</f>
        <v>986382</v>
      </c>
      <c r="DC28" s="83">
        <f>DC29+DC30</f>
        <v>1282811</v>
      </c>
      <c r="DD28" s="83">
        <f>DD29+DD30</f>
        <v>1303112</v>
      </c>
      <c r="DE28" s="83">
        <f>DE29+DE30</f>
        <v>1322986</v>
      </c>
      <c r="DF28" s="83">
        <f>DF29+DF30</f>
        <v>1474887</v>
      </c>
      <c r="DG28" s="26">
        <f t="shared" ref="DG28:DG40" si="83">DF28</f>
        <v>1474887</v>
      </c>
      <c r="DH28" s="83">
        <f>DH29+DH30</f>
        <v>1350416</v>
      </c>
      <c r="DI28" s="83">
        <f>DI29+DI30</f>
        <v>1343155</v>
      </c>
      <c r="DJ28" s="83">
        <f>DJ29+DJ30</f>
        <v>1395964.2633257378</v>
      </c>
      <c r="DK28" s="83">
        <f>DK29+DK30</f>
        <v>1428775.9083087535</v>
      </c>
      <c r="DL28" s="26">
        <f t="shared" ref="DL28:DL40" si="84">DK28</f>
        <v>1428775.9083087535</v>
      </c>
      <c r="DM28" s="83">
        <f>DM29+DM30</f>
        <v>1421401.9533035813</v>
      </c>
      <c r="DN28" s="83">
        <f>DN29+DN30</f>
        <v>1465472.8539810409</v>
      </c>
      <c r="DO28" s="83">
        <f>DO29+DO30</f>
        <v>1502959.9813082034</v>
      </c>
      <c r="DP28" s="83">
        <f>DP29+DP30</f>
        <v>1537464.4637646212</v>
      </c>
      <c r="DQ28" s="26">
        <f t="shared" ref="DQ28:DQ40" si="85">DP28</f>
        <v>1537464.4637646212</v>
      </c>
      <c r="DR28" s="83">
        <f>DR29+DR30</f>
        <v>1569836.8668253669</v>
      </c>
      <c r="DS28" s="83">
        <f>DS29+DS30</f>
        <v>1600642.286353894</v>
      </c>
      <c r="DT28" s="83">
        <f>DT29+DT30</f>
        <v>1630240.466610166</v>
      </c>
      <c r="DU28" s="83">
        <f>DU29+DU30</f>
        <v>1658874.1446195822</v>
      </c>
      <c r="DV28" s="26">
        <f t="shared" ref="DV28:DV40" si="86">DU28</f>
        <v>1658874.1446195822</v>
      </c>
      <c r="DW28" s="83">
        <f>DW29+DW30</f>
        <v>1686717.0189033526</v>
      </c>
      <c r="DX28" s="83">
        <f>DX29+DX30</f>
        <v>1713900.8004527793</v>
      </c>
      <c r="DY28" s="83">
        <f>DY29+DY30</f>
        <v>1740530.5743598472</v>
      </c>
      <c r="DZ28" s="83">
        <f>DZ29+DZ30</f>
        <v>1766693.6459125041</v>
      </c>
      <c r="EA28" s="26">
        <f t="shared" ref="EA28:EA40" si="87">DZ28</f>
        <v>1766693.6459125041</v>
      </c>
      <c r="EB28" s="83">
        <f>EB29+EB30</f>
        <v>1792464.7417249449</v>
      </c>
      <c r="EC28" s="83">
        <f>EC29+EC30</f>
        <v>1817909.1608275855</v>
      </c>
      <c r="ED28" s="83">
        <f>ED29+ED30</f>
        <v>1843084.7629266067</v>
      </c>
      <c r="EE28" s="83">
        <f>EE29+EE30</f>
        <v>1868043.2883405497</v>
      </c>
      <c r="EF28" s="26">
        <f t="shared" ref="EF28:EF40" si="88">EE28</f>
        <v>1868043.2883405497</v>
      </c>
    </row>
    <row r="29" spans="1:136" ht="12" customHeight="1" outlineLevel="1" collapsed="1">
      <c r="A29" s="125" t="s">
        <v>126</v>
      </c>
      <c r="B29" s="127"/>
      <c r="C29" s="127"/>
      <c r="D29" s="127"/>
      <c r="E29" s="127"/>
      <c r="F29" s="126">
        <f>E29</f>
        <v>0</v>
      </c>
      <c r="G29" s="127"/>
      <c r="H29" s="127"/>
      <c r="I29" s="127"/>
      <c r="J29" s="127"/>
      <c r="K29" s="126">
        <f t="shared" si="63"/>
        <v>0</v>
      </c>
      <c r="L29" s="127"/>
      <c r="M29" s="127"/>
      <c r="N29" s="127"/>
      <c r="O29" s="127"/>
      <c r="P29" s="126">
        <f t="shared" si="64"/>
        <v>0</v>
      </c>
      <c r="Q29" s="127"/>
      <c r="R29" s="127"/>
      <c r="S29" s="127"/>
      <c r="T29" s="127"/>
      <c r="U29" s="126">
        <f t="shared" si="65"/>
        <v>0</v>
      </c>
      <c r="V29" s="127"/>
      <c r="W29" s="127"/>
      <c r="X29" s="127"/>
      <c r="Y29" s="127"/>
      <c r="Z29" s="126">
        <f t="shared" si="66"/>
        <v>0</v>
      </c>
      <c r="AA29" s="127"/>
      <c r="AB29" s="127"/>
      <c r="AC29" s="127"/>
      <c r="AD29" s="127"/>
      <c r="AE29" s="126">
        <f t="shared" si="67"/>
        <v>0</v>
      </c>
      <c r="AF29" s="127"/>
      <c r="AG29" s="127"/>
      <c r="AH29" s="127"/>
      <c r="AI29" s="127">
        <f>20187.313+75955.731-AI30</f>
        <v>96143.043999999994</v>
      </c>
      <c r="AJ29" s="126">
        <f t="shared" si="68"/>
        <v>96143.043999999994</v>
      </c>
      <c r="AK29" s="127"/>
      <c r="AL29" s="127"/>
      <c r="AM29" s="127"/>
      <c r="AN29" s="127">
        <f>34533.476+118305.058-AN30</f>
        <v>152838.53400000001</v>
      </c>
      <c r="AO29" s="126">
        <f t="shared" si="69"/>
        <v>152838.53400000001</v>
      </c>
      <c r="AP29" s="127"/>
      <c r="AQ29" s="127"/>
      <c r="AR29" s="127"/>
      <c r="AS29" s="127">
        <f>34385.363+62650.813-AS30</f>
        <v>97036.176000000007</v>
      </c>
      <c r="AT29" s="126">
        <f t="shared" si="70"/>
        <v>97036.176000000007</v>
      </c>
      <c r="AU29" s="127"/>
      <c r="AV29" s="127"/>
      <c r="AW29" s="127"/>
      <c r="AX29" s="127">
        <f>94845+4829-AX30</f>
        <v>99674</v>
      </c>
      <c r="AY29" s="126">
        <f t="shared" si="71"/>
        <v>99674</v>
      </c>
      <c r="AZ29" s="127"/>
      <c r="BA29" s="127"/>
      <c r="BB29" s="127"/>
      <c r="BC29" s="127">
        <f>65239+80806-BC30</f>
        <v>146045</v>
      </c>
      <c r="BD29" s="126">
        <f t="shared" si="72"/>
        <v>146045</v>
      </c>
      <c r="BE29" s="127"/>
      <c r="BF29" s="127"/>
      <c r="BG29" s="127"/>
      <c r="BH29" s="127">
        <f>99916+68741-BH30</f>
        <v>168657</v>
      </c>
      <c r="BI29" s="126">
        <f t="shared" si="73"/>
        <v>168657</v>
      </c>
      <c r="BJ29" s="127"/>
      <c r="BK29" s="127"/>
      <c r="BL29" s="127"/>
      <c r="BM29" s="127">
        <f>79433+94803-BM30</f>
        <v>174236</v>
      </c>
      <c r="BN29" s="126">
        <f t="shared" si="74"/>
        <v>174236</v>
      </c>
      <c r="BO29" s="127"/>
      <c r="BP29" s="127"/>
      <c r="BQ29" s="127"/>
      <c r="BR29" s="127">
        <f>108366+79197-BR30</f>
        <v>187563</v>
      </c>
      <c r="BS29" s="126">
        <f t="shared" si="75"/>
        <v>187563</v>
      </c>
      <c r="BT29" s="127"/>
      <c r="BU29" s="127"/>
      <c r="BV29" s="127"/>
      <c r="BW29" s="127">
        <f>40763+176833-BW30</f>
        <v>217596</v>
      </c>
      <c r="BX29" s="126">
        <f t="shared" si="76"/>
        <v>217596</v>
      </c>
      <c r="BY29" s="127"/>
      <c r="BZ29" s="127"/>
      <c r="CA29" s="127"/>
      <c r="CB29" s="127">
        <f>123694+163272-CB30</f>
        <v>286966</v>
      </c>
      <c r="CC29" s="126">
        <f t="shared" si="77"/>
        <v>286966</v>
      </c>
      <c r="CD29" s="127">
        <f>60662+234669-CD30</f>
        <v>295331</v>
      </c>
      <c r="CE29" s="127">
        <f>102684+233112-CE30</f>
        <v>335796</v>
      </c>
      <c r="CF29" s="127">
        <f>93603+212589-CF30</f>
        <v>306192</v>
      </c>
      <c r="CG29" s="127">
        <f>91704+184999-CG30</f>
        <v>276703</v>
      </c>
      <c r="CH29" s="126">
        <f t="shared" si="78"/>
        <v>276703</v>
      </c>
      <c r="CI29" s="127">
        <f>100616+180173-CI30</f>
        <v>280789</v>
      </c>
      <c r="CJ29" s="127">
        <f>116920+153375-CJ30</f>
        <v>270295</v>
      </c>
      <c r="CK29" s="127">
        <f>63863+326361-CK30</f>
        <v>390224</v>
      </c>
      <c r="CL29" s="127">
        <f>68020+323208-CL30</f>
        <v>391228</v>
      </c>
      <c r="CM29" s="126">
        <f t="shared" si="79"/>
        <v>391228</v>
      </c>
      <c r="CN29" s="127">
        <f>67654+323208-CN30</f>
        <v>390862</v>
      </c>
      <c r="CO29" s="127">
        <f>75764+323208-CO30</f>
        <v>398972</v>
      </c>
      <c r="CP29" s="127">
        <f>32789+423232-CP30</f>
        <v>456021</v>
      </c>
      <c r="CQ29" s="127">
        <f>120906+360082-CQ30</f>
        <v>480988</v>
      </c>
      <c r="CR29" s="126">
        <f t="shared" si="80"/>
        <v>480988</v>
      </c>
      <c r="CS29" s="127">
        <f>114117+360400-CS30</f>
        <v>474517</v>
      </c>
      <c r="CT29" s="127">
        <f>138967+360640-CT30</f>
        <v>499607</v>
      </c>
      <c r="CU29" s="127">
        <f>134940+510779-CU30</f>
        <v>645719</v>
      </c>
      <c r="CV29" s="127">
        <f>124271+489081-CV30</f>
        <v>613352</v>
      </c>
      <c r="CW29" s="126">
        <f t="shared" si="81"/>
        <v>613352</v>
      </c>
      <c r="CX29" s="127">
        <f>121622+480268-CX30</f>
        <v>601890</v>
      </c>
      <c r="CY29" s="127">
        <f>120030+960708-CY30</f>
        <v>1080738</v>
      </c>
      <c r="CZ29" s="127">
        <f>141500+961025-CZ30</f>
        <v>1102525</v>
      </c>
      <c r="DA29" s="127">
        <f>208869+777513-DA30</f>
        <v>986382</v>
      </c>
      <c r="DB29" s="126">
        <f t="shared" si="82"/>
        <v>986382</v>
      </c>
      <c r="DC29" s="127">
        <f>132078+1150733-DC30</f>
        <v>1282811</v>
      </c>
      <c r="DD29" s="127">
        <f>156104+1147008-DD30</f>
        <v>1303112</v>
      </c>
      <c r="DE29" s="127">
        <f>150698+1172288-DE30</f>
        <v>1322986</v>
      </c>
      <c r="DF29" s="127">
        <f>299859+1175028-DF30</f>
        <v>1474887</v>
      </c>
      <c r="DG29" s="126">
        <f t="shared" si="83"/>
        <v>1474887</v>
      </c>
      <c r="DH29" s="127">
        <f>175806+1174610-DH30</f>
        <v>1350416</v>
      </c>
      <c r="DI29" s="127">
        <f>178913+1164242-DI30</f>
        <v>1343155</v>
      </c>
      <c r="DJ29" s="127">
        <f>(DI29/(DI8+DI13))*(DJ8+DJ13)</f>
        <v>1395964.2633257378</v>
      </c>
      <c r="DK29" s="127">
        <f>(DJ29/(DJ8+DJ13))*(DK8+DK13)</f>
        <v>1428775.9083087535</v>
      </c>
      <c r="DL29" s="126">
        <f t="shared" si="84"/>
        <v>1428775.9083087535</v>
      </c>
      <c r="DM29" s="127">
        <f>(DL29/(DL8+DL13))*(DM8+DM13)</f>
        <v>1421401.9533035813</v>
      </c>
      <c r="DN29" s="127">
        <f>(DM29/(DM8+DM13))*(DN8+DN13)</f>
        <v>1465472.8539810409</v>
      </c>
      <c r="DO29" s="127">
        <f>(DN29/(DN8+DN13))*(DO8+DO13)</f>
        <v>1502959.9813082034</v>
      </c>
      <c r="DP29" s="127">
        <f>(DO29/(DO8+DO13))*(DP8+DP13)</f>
        <v>1537464.4637646212</v>
      </c>
      <c r="DQ29" s="126">
        <f t="shared" si="85"/>
        <v>1537464.4637646212</v>
      </c>
      <c r="DR29" s="127">
        <f>(DQ29/(DQ8+DQ13))*(DR8+DR13)</f>
        <v>1569836.8668253669</v>
      </c>
      <c r="DS29" s="127">
        <f>(DR29/(DR8+DR13))*(DS8+DS13)</f>
        <v>1600642.286353894</v>
      </c>
      <c r="DT29" s="127">
        <f>(DS29/(DS8+DS13))*(DT8+DT13)</f>
        <v>1630240.466610166</v>
      </c>
      <c r="DU29" s="127">
        <f>(DT29/(DT8+DT13))*(DU8+DU13)</f>
        <v>1658874.1446195822</v>
      </c>
      <c r="DV29" s="126">
        <f t="shared" si="86"/>
        <v>1658874.1446195822</v>
      </c>
      <c r="DW29" s="127">
        <f>(DV29/(DV8+DV13))*(DW8+DW13)</f>
        <v>1686717.0189033526</v>
      </c>
      <c r="DX29" s="127">
        <f>(DW29/(DW8+DW13))*(DX8+DX13)</f>
        <v>1713900.8004527793</v>
      </c>
      <c r="DY29" s="127">
        <f>(DX29/(DX8+DX13))*(DY8+DY13)</f>
        <v>1740530.5743598472</v>
      </c>
      <c r="DZ29" s="127">
        <f>(DY29/(DY8+DY13))*(DZ8+DZ13)</f>
        <v>1766693.6459125041</v>
      </c>
      <c r="EA29" s="126">
        <f t="shared" si="87"/>
        <v>1766693.6459125041</v>
      </c>
      <c r="EB29" s="127">
        <f>(EA29/(EA8+EA13))*(EB8+EB13)</f>
        <v>1792464.7417249449</v>
      </c>
      <c r="EC29" s="127">
        <f>(EB29/(EB8+EB13))*(EC8+EC13)</f>
        <v>1817909.1608275855</v>
      </c>
      <c r="ED29" s="127">
        <f>(EC29/(EC8+EC13))*(ED8+ED13)</f>
        <v>1843084.7629266067</v>
      </c>
      <c r="EE29" s="127">
        <f>(ED29/(ED8+ED13))*(EE8+EE13)</f>
        <v>1868043.2883405497</v>
      </c>
      <c r="EF29" s="126">
        <f t="shared" si="88"/>
        <v>1868043.2883405497</v>
      </c>
    </row>
    <row r="30" spans="1:136" ht="12" customHeight="1" outlineLevel="1">
      <c r="A30" s="125" t="s">
        <v>127</v>
      </c>
      <c r="B30" s="127"/>
      <c r="C30" s="127"/>
      <c r="D30" s="127"/>
      <c r="E30" s="127"/>
      <c r="F30" s="126">
        <f>E30</f>
        <v>0</v>
      </c>
      <c r="G30" s="127"/>
      <c r="H30" s="127"/>
      <c r="I30" s="127"/>
      <c r="J30" s="127"/>
      <c r="K30" s="126">
        <f t="shared" si="63"/>
        <v>0</v>
      </c>
      <c r="L30" s="127"/>
      <c r="M30" s="127"/>
      <c r="N30" s="127"/>
      <c r="O30" s="127"/>
      <c r="P30" s="126">
        <f t="shared" si="64"/>
        <v>0</v>
      </c>
      <c r="Q30" s="127"/>
      <c r="R30" s="127"/>
      <c r="S30" s="127"/>
      <c r="T30" s="127"/>
      <c r="U30" s="126">
        <f t="shared" si="65"/>
        <v>0</v>
      </c>
      <c r="V30" s="127"/>
      <c r="W30" s="127"/>
      <c r="X30" s="127"/>
      <c r="Y30" s="127"/>
      <c r="Z30" s="126">
        <f t="shared" si="66"/>
        <v>0</v>
      </c>
      <c r="AA30" s="127"/>
      <c r="AB30" s="127"/>
      <c r="AC30" s="127"/>
      <c r="AD30" s="127"/>
      <c r="AE30" s="126">
        <f t="shared" si="67"/>
        <v>0</v>
      </c>
      <c r="AF30" s="127"/>
      <c r="AG30" s="127"/>
      <c r="AH30" s="127"/>
      <c r="AI30" s="128"/>
      <c r="AJ30" s="126">
        <f t="shared" si="68"/>
        <v>0</v>
      </c>
      <c r="AK30" s="127"/>
      <c r="AL30" s="127"/>
      <c r="AM30" s="127"/>
      <c r="AN30" s="128"/>
      <c r="AO30" s="126">
        <f t="shared" si="69"/>
        <v>0</v>
      </c>
      <c r="AP30" s="127"/>
      <c r="AQ30" s="127"/>
      <c r="AR30" s="127"/>
      <c r="AS30" s="128"/>
      <c r="AT30" s="126">
        <f t="shared" si="70"/>
        <v>0</v>
      </c>
      <c r="AU30" s="127"/>
      <c r="AV30" s="127"/>
      <c r="AW30" s="127"/>
      <c r="AX30" s="128"/>
      <c r="AY30" s="126">
        <f t="shared" si="71"/>
        <v>0</v>
      </c>
      <c r="AZ30" s="127"/>
      <c r="BA30" s="127"/>
      <c r="BB30" s="127"/>
      <c r="BC30" s="127">
        <v>0</v>
      </c>
      <c r="BD30" s="126">
        <f t="shared" si="72"/>
        <v>0</v>
      </c>
      <c r="BE30" s="127"/>
      <c r="BF30" s="127"/>
      <c r="BG30" s="127"/>
      <c r="BH30" s="127">
        <v>0</v>
      </c>
      <c r="BI30" s="126">
        <f t="shared" si="73"/>
        <v>0</v>
      </c>
      <c r="BJ30" s="127"/>
      <c r="BK30" s="127"/>
      <c r="BL30" s="127"/>
      <c r="BM30" s="127">
        <v>0</v>
      </c>
      <c r="BN30" s="126">
        <f t="shared" si="74"/>
        <v>0</v>
      </c>
      <c r="BO30" s="127"/>
      <c r="BP30" s="127"/>
      <c r="BQ30" s="127"/>
      <c r="BR30" s="291">
        <f>0</f>
        <v>0</v>
      </c>
      <c r="BS30" s="126">
        <f t="shared" si="75"/>
        <v>0</v>
      </c>
      <c r="BT30" s="127"/>
      <c r="BU30" s="127"/>
      <c r="BV30" s="127"/>
      <c r="BW30" s="291">
        <f>0</f>
        <v>0</v>
      </c>
      <c r="BX30" s="126">
        <f t="shared" si="76"/>
        <v>0</v>
      </c>
      <c r="BY30" s="127"/>
      <c r="BZ30" s="127"/>
      <c r="CA30" s="127"/>
      <c r="CB30" s="140">
        <f>0</f>
        <v>0</v>
      </c>
      <c r="CC30" s="126">
        <f t="shared" si="77"/>
        <v>0</v>
      </c>
      <c r="CD30" s="140">
        <v>0</v>
      </c>
      <c r="CE30" s="140">
        <v>0</v>
      </c>
      <c r="CF30" s="140">
        <f>0</f>
        <v>0</v>
      </c>
      <c r="CG30" s="140">
        <f>0</f>
        <v>0</v>
      </c>
      <c r="CH30" s="126">
        <f t="shared" si="78"/>
        <v>0</v>
      </c>
      <c r="CI30" s="140">
        <f>0</f>
        <v>0</v>
      </c>
      <c r="CJ30" s="140">
        <f>0</f>
        <v>0</v>
      </c>
      <c r="CK30" s="140">
        <f>0</f>
        <v>0</v>
      </c>
      <c r="CL30" s="140">
        <f>0</f>
        <v>0</v>
      </c>
      <c r="CM30" s="126">
        <f t="shared" si="79"/>
        <v>0</v>
      </c>
      <c r="CN30" s="140">
        <f>0</f>
        <v>0</v>
      </c>
      <c r="CO30" s="140">
        <f>0</f>
        <v>0</v>
      </c>
      <c r="CP30" s="140">
        <f>0</f>
        <v>0</v>
      </c>
      <c r="CQ30" s="140">
        <f>0</f>
        <v>0</v>
      </c>
      <c r="CR30" s="126">
        <f t="shared" si="80"/>
        <v>0</v>
      </c>
      <c r="CS30" s="140">
        <f>0</f>
        <v>0</v>
      </c>
      <c r="CT30" s="140">
        <f>0</f>
        <v>0</v>
      </c>
      <c r="CU30" s="140">
        <f>0</f>
        <v>0</v>
      </c>
      <c r="CV30" s="140">
        <f>0</f>
        <v>0</v>
      </c>
      <c r="CW30" s="126">
        <f t="shared" si="81"/>
        <v>0</v>
      </c>
      <c r="CX30" s="140">
        <f>0</f>
        <v>0</v>
      </c>
      <c r="CY30" s="140">
        <f>0</f>
        <v>0</v>
      </c>
      <c r="CZ30" s="140">
        <f>0</f>
        <v>0</v>
      </c>
      <c r="DA30" s="140">
        <f>0</f>
        <v>0</v>
      </c>
      <c r="DB30" s="126">
        <f t="shared" si="82"/>
        <v>0</v>
      </c>
      <c r="DC30" s="140">
        <f>0</f>
        <v>0</v>
      </c>
      <c r="DD30" s="140">
        <f>0</f>
        <v>0</v>
      </c>
      <c r="DE30" s="140">
        <f>0</f>
        <v>0</v>
      </c>
      <c r="DF30" s="140">
        <f>0</f>
        <v>0</v>
      </c>
      <c r="DG30" s="126">
        <f t="shared" si="83"/>
        <v>0</v>
      </c>
      <c r="DH30" s="140">
        <f>0</f>
        <v>0</v>
      </c>
      <c r="DI30" s="140">
        <f>0</f>
        <v>0</v>
      </c>
      <c r="DJ30" s="241">
        <f>DI30+'Cash Flow'!DJ22</f>
        <v>0</v>
      </c>
      <c r="DK30" s="241">
        <f>DJ30+'Cash Flow'!DK22</f>
        <v>0</v>
      </c>
      <c r="DL30" s="126">
        <f t="shared" si="84"/>
        <v>0</v>
      </c>
      <c r="DM30" s="241">
        <f>DL30+'Cash Flow'!DM22</f>
        <v>0</v>
      </c>
      <c r="DN30" s="241">
        <f>DM30+'Cash Flow'!DN22</f>
        <v>0</v>
      </c>
      <c r="DO30" s="241">
        <f>DN30+'Cash Flow'!DO22</f>
        <v>0</v>
      </c>
      <c r="DP30" s="241">
        <f>DO30+'Cash Flow'!DP22</f>
        <v>0</v>
      </c>
      <c r="DQ30" s="126">
        <f t="shared" si="85"/>
        <v>0</v>
      </c>
      <c r="DR30" s="241">
        <f>DQ30+'Cash Flow'!DR22</f>
        <v>0</v>
      </c>
      <c r="DS30" s="241">
        <f>DR30+'Cash Flow'!DS22</f>
        <v>0</v>
      </c>
      <c r="DT30" s="241">
        <f>DS30+'Cash Flow'!DT22</f>
        <v>0</v>
      </c>
      <c r="DU30" s="241">
        <f>DT30+'Cash Flow'!DU22</f>
        <v>0</v>
      </c>
      <c r="DV30" s="126">
        <f t="shared" si="86"/>
        <v>0</v>
      </c>
      <c r="DW30" s="241">
        <f>DV30+'Cash Flow'!DW22</f>
        <v>0</v>
      </c>
      <c r="DX30" s="241">
        <f>DW30+'Cash Flow'!DX22</f>
        <v>0</v>
      </c>
      <c r="DY30" s="241">
        <f>DX30+'Cash Flow'!DY22</f>
        <v>0</v>
      </c>
      <c r="DZ30" s="241">
        <f>DY30+'Cash Flow'!DZ22</f>
        <v>0</v>
      </c>
      <c r="EA30" s="126">
        <f t="shared" si="87"/>
        <v>0</v>
      </c>
      <c r="EB30" s="241">
        <f>EA30+'Cash Flow'!EB22</f>
        <v>0</v>
      </c>
      <c r="EC30" s="241">
        <f>EB30+'Cash Flow'!EC22</f>
        <v>0</v>
      </c>
      <c r="ED30" s="241">
        <f>EC30+'Cash Flow'!ED22</f>
        <v>0</v>
      </c>
      <c r="EE30" s="241">
        <f>ED30+'Cash Flow'!EE22</f>
        <v>0</v>
      </c>
      <c r="EF30" s="126">
        <f t="shared" si="88"/>
        <v>0</v>
      </c>
    </row>
    <row r="31" spans="1:136" ht="12" customHeight="1">
      <c r="A31" s="9" t="s">
        <v>29</v>
      </c>
      <c r="B31" s="140"/>
      <c r="C31" s="140"/>
      <c r="D31" s="140"/>
      <c r="E31" s="140"/>
      <c r="F31" s="26">
        <f>E31</f>
        <v>0</v>
      </c>
      <c r="G31" s="140"/>
      <c r="H31" s="140"/>
      <c r="I31" s="140"/>
      <c r="J31" s="140"/>
      <c r="K31" s="26">
        <f t="shared" si="63"/>
        <v>0</v>
      </c>
      <c r="L31" s="140"/>
      <c r="M31" s="140"/>
      <c r="N31" s="140"/>
      <c r="O31" s="140"/>
      <c r="P31" s="26">
        <f t="shared" si="64"/>
        <v>0</v>
      </c>
      <c r="Q31" s="140"/>
      <c r="R31" s="140"/>
      <c r="S31" s="140"/>
      <c r="T31" s="140"/>
      <c r="U31" s="26">
        <f t="shared" si="65"/>
        <v>0</v>
      </c>
      <c r="V31" s="140"/>
      <c r="W31" s="140"/>
      <c r="X31" s="140"/>
      <c r="Y31" s="140"/>
      <c r="Z31" s="26">
        <f t="shared" si="66"/>
        <v>0</v>
      </c>
      <c r="AA31" s="140"/>
      <c r="AB31" s="140"/>
      <c r="AC31" s="140"/>
      <c r="AD31" s="140"/>
      <c r="AE31" s="26">
        <f t="shared" si="67"/>
        <v>0</v>
      </c>
      <c r="AF31" s="140"/>
      <c r="AG31" s="140"/>
      <c r="AH31" s="140"/>
      <c r="AI31" s="140">
        <f>0</f>
        <v>0</v>
      </c>
      <c r="AJ31" s="26">
        <f t="shared" si="68"/>
        <v>0</v>
      </c>
      <c r="AK31" s="140"/>
      <c r="AL31" s="140"/>
      <c r="AM31" s="140"/>
      <c r="AN31" s="140">
        <f>0</f>
        <v>0</v>
      </c>
      <c r="AO31" s="26">
        <f t="shared" si="69"/>
        <v>0</v>
      </c>
      <c r="AP31" s="140"/>
      <c r="AQ31" s="140"/>
      <c r="AR31" s="140"/>
      <c r="AS31" s="140">
        <f>9672.216</f>
        <v>9672.2160000000003</v>
      </c>
      <c r="AT31" s="26">
        <f t="shared" si="70"/>
        <v>9672.2160000000003</v>
      </c>
      <c r="AU31" s="140"/>
      <c r="AV31" s="140"/>
      <c r="AW31" s="140"/>
      <c r="AX31" s="140">
        <f>6535</f>
        <v>6535</v>
      </c>
      <c r="AY31" s="26">
        <f t="shared" si="71"/>
        <v>6535</v>
      </c>
      <c r="AZ31" s="140"/>
      <c r="BA31" s="140"/>
      <c r="BB31" s="140"/>
      <c r="BC31" s="140">
        <f>5583</f>
        <v>5583</v>
      </c>
      <c r="BD31" s="26">
        <f t="shared" si="72"/>
        <v>5583</v>
      </c>
      <c r="BE31" s="140"/>
      <c r="BF31" s="140"/>
      <c r="BG31" s="140"/>
      <c r="BH31" s="140">
        <f>17130</f>
        <v>17130</v>
      </c>
      <c r="BI31" s="26">
        <f t="shared" si="73"/>
        <v>17130</v>
      </c>
      <c r="BJ31" s="140"/>
      <c r="BK31" s="140"/>
      <c r="BL31" s="140"/>
      <c r="BM31" s="140">
        <f>29699+11882</f>
        <v>41581</v>
      </c>
      <c r="BN31" s="26">
        <f>BM31</f>
        <v>41581</v>
      </c>
      <c r="BO31" s="140"/>
      <c r="BP31" s="140"/>
      <c r="BQ31" s="140"/>
      <c r="BR31" s="140">
        <f>33762</f>
        <v>33762</v>
      </c>
      <c r="BS31" s="26">
        <f t="shared" si="75"/>
        <v>33762</v>
      </c>
      <c r="BT31" s="140"/>
      <c r="BU31" s="140"/>
      <c r="BV31" s="140"/>
      <c r="BW31" s="140">
        <f>75895</f>
        <v>75895</v>
      </c>
      <c r="BX31" s="26">
        <f t="shared" si="76"/>
        <v>75895</v>
      </c>
      <c r="BY31" s="140"/>
      <c r="BZ31" s="140"/>
      <c r="CA31" s="140"/>
      <c r="CB31" s="140">
        <f>32277</f>
        <v>32277</v>
      </c>
      <c r="CC31" s="26">
        <f t="shared" si="77"/>
        <v>32277</v>
      </c>
      <c r="CD31" s="140">
        <v>27645</v>
      </c>
      <c r="CE31" s="140">
        <v>20995</v>
      </c>
      <c r="CF31" s="140">
        <f>7662</f>
        <v>7662</v>
      </c>
      <c r="CG31" s="140">
        <v>7521</v>
      </c>
      <c r="CH31" s="26">
        <f t="shared" si="78"/>
        <v>7521</v>
      </c>
      <c r="CI31" s="140">
        <v>742</v>
      </c>
      <c r="CJ31" s="140">
        <v>742</v>
      </c>
      <c r="CK31" s="140">
        <v>752</v>
      </c>
      <c r="CL31" s="140">
        <v>0</v>
      </c>
      <c r="CM31" s="26">
        <f t="shared" si="79"/>
        <v>0</v>
      </c>
      <c r="CN31" s="140">
        <v>0</v>
      </c>
      <c r="CO31" s="140">
        <v>0</v>
      </c>
      <c r="CP31" s="140">
        <v>0</v>
      </c>
      <c r="CQ31" s="140">
        <v>0</v>
      </c>
      <c r="CR31" s="26">
        <f t="shared" si="80"/>
        <v>0</v>
      </c>
      <c r="CS31" s="140">
        <v>0</v>
      </c>
      <c r="CT31" s="140">
        <v>0</v>
      </c>
      <c r="CU31" s="140">
        <v>0</v>
      </c>
      <c r="CV31" s="140">
        <v>0</v>
      </c>
      <c r="CW31" s="26">
        <f t="shared" si="81"/>
        <v>0</v>
      </c>
      <c r="CX31" s="140">
        <v>0</v>
      </c>
      <c r="CY31" s="140">
        <v>0</v>
      </c>
      <c r="CZ31" s="140">
        <v>0</v>
      </c>
      <c r="DA31" s="140">
        <v>0</v>
      </c>
      <c r="DB31" s="26">
        <f t="shared" si="82"/>
        <v>0</v>
      </c>
      <c r="DC31" s="140">
        <v>0</v>
      </c>
      <c r="DD31" s="140">
        <v>0</v>
      </c>
      <c r="DE31" s="140">
        <v>0</v>
      </c>
      <c r="DF31" s="140">
        <v>0</v>
      </c>
      <c r="DG31" s="26">
        <f t="shared" si="83"/>
        <v>0</v>
      </c>
      <c r="DH31" s="140">
        <v>0</v>
      </c>
      <c r="DI31" s="140">
        <v>0</v>
      </c>
      <c r="DJ31" s="140">
        <f>DI31</f>
        <v>0</v>
      </c>
      <c r="DK31" s="140">
        <f>DJ31</f>
        <v>0</v>
      </c>
      <c r="DL31" s="26">
        <f t="shared" si="84"/>
        <v>0</v>
      </c>
      <c r="DM31" s="140">
        <f>DL31</f>
        <v>0</v>
      </c>
      <c r="DN31" s="140">
        <f>DM31</f>
        <v>0</v>
      </c>
      <c r="DO31" s="140">
        <f>DN31</f>
        <v>0</v>
      </c>
      <c r="DP31" s="140">
        <f>DO31</f>
        <v>0</v>
      </c>
      <c r="DQ31" s="26">
        <f t="shared" si="85"/>
        <v>0</v>
      </c>
      <c r="DR31" s="140">
        <f>DQ31</f>
        <v>0</v>
      </c>
      <c r="DS31" s="140">
        <f>DR31</f>
        <v>0</v>
      </c>
      <c r="DT31" s="140">
        <f>DS31</f>
        <v>0</v>
      </c>
      <c r="DU31" s="140">
        <f>DT31</f>
        <v>0</v>
      </c>
      <c r="DV31" s="26">
        <f t="shared" si="86"/>
        <v>0</v>
      </c>
      <c r="DW31" s="140">
        <f>DV31</f>
        <v>0</v>
      </c>
      <c r="DX31" s="140">
        <f>DW31</f>
        <v>0</v>
      </c>
      <c r="DY31" s="140">
        <f>DX31</f>
        <v>0</v>
      </c>
      <c r="DZ31" s="140">
        <f>DY31</f>
        <v>0</v>
      </c>
      <c r="EA31" s="26">
        <f t="shared" si="87"/>
        <v>0</v>
      </c>
      <c r="EB31" s="140">
        <f>EA31</f>
        <v>0</v>
      </c>
      <c r="EC31" s="140">
        <f>EB31</f>
        <v>0</v>
      </c>
      <c r="ED31" s="140">
        <f>EC31</f>
        <v>0</v>
      </c>
      <c r="EE31" s="140">
        <f>ED31</f>
        <v>0</v>
      </c>
      <c r="EF31" s="26">
        <f t="shared" si="88"/>
        <v>0</v>
      </c>
    </row>
    <row r="32" spans="1:136" ht="12" customHeight="1">
      <c r="A32" s="9" t="s">
        <v>204</v>
      </c>
      <c r="B32" s="94"/>
      <c r="C32" s="94"/>
      <c r="D32" s="140"/>
      <c r="E32" s="140"/>
      <c r="F32" s="26">
        <f t="shared" ref="F32:F39" si="89">E32</f>
        <v>0</v>
      </c>
      <c r="G32" s="94"/>
      <c r="H32" s="94"/>
      <c r="I32" s="140"/>
      <c r="J32" s="140"/>
      <c r="K32" s="26">
        <f t="shared" si="63"/>
        <v>0</v>
      </c>
      <c r="L32" s="94"/>
      <c r="M32" s="94"/>
      <c r="N32" s="140"/>
      <c r="O32" s="140"/>
      <c r="P32" s="26">
        <f t="shared" si="64"/>
        <v>0</v>
      </c>
      <c r="Q32" s="94"/>
      <c r="R32" s="94"/>
      <c r="S32" s="140"/>
      <c r="T32" s="140"/>
      <c r="U32" s="26">
        <f t="shared" si="65"/>
        <v>0</v>
      </c>
      <c r="V32" s="94"/>
      <c r="W32" s="94"/>
      <c r="X32" s="140"/>
      <c r="Y32" s="140"/>
      <c r="Z32" s="26">
        <f t="shared" si="66"/>
        <v>0</v>
      </c>
      <c r="AA32" s="94"/>
      <c r="AB32" s="94"/>
      <c r="AC32" s="140"/>
      <c r="AD32" s="140"/>
      <c r="AE32" s="26">
        <f t="shared" si="67"/>
        <v>0</v>
      </c>
      <c r="AF32" s="94"/>
      <c r="AG32" s="94"/>
      <c r="AH32" s="94"/>
      <c r="AI32" s="94">
        <v>15801.855</v>
      </c>
      <c r="AJ32" s="26">
        <f t="shared" si="68"/>
        <v>15801.855</v>
      </c>
      <c r="AK32" s="94"/>
      <c r="AL32" s="94"/>
      <c r="AM32" s="94"/>
      <c r="AN32" s="94">
        <v>15536.921</v>
      </c>
      <c r="AO32" s="26">
        <f t="shared" si="69"/>
        <v>15536.921</v>
      </c>
      <c r="AP32" s="94"/>
      <c r="AQ32" s="94"/>
      <c r="AR32" s="94"/>
      <c r="AS32" s="94">
        <v>22245.078000000001</v>
      </c>
      <c r="AT32" s="26">
        <f t="shared" si="70"/>
        <v>22245.078000000001</v>
      </c>
      <c r="AU32" s="94"/>
      <c r="AV32" s="94"/>
      <c r="AW32" s="94"/>
      <c r="AX32" s="94">
        <v>20992</v>
      </c>
      <c r="AY32" s="26">
        <f t="shared" si="71"/>
        <v>20992</v>
      </c>
      <c r="AZ32" s="94"/>
      <c r="BA32" s="94"/>
      <c r="BB32" s="94"/>
      <c r="BC32" s="94">
        <v>43983</v>
      </c>
      <c r="BD32" s="26">
        <f t="shared" si="72"/>
        <v>43983</v>
      </c>
      <c r="BE32" s="94"/>
      <c r="BF32" s="94"/>
      <c r="BG32" s="94"/>
      <c r="BH32" s="94">
        <f>36169</f>
        <v>36169</v>
      </c>
      <c r="BI32" s="26">
        <f t="shared" si="73"/>
        <v>36169</v>
      </c>
      <c r="BJ32" s="94"/>
      <c r="BK32" s="94"/>
      <c r="BL32" s="94"/>
      <c r="BM32" s="94">
        <v>51938</v>
      </c>
      <c r="BN32" s="26">
        <f t="shared" si="74"/>
        <v>51938</v>
      </c>
      <c r="BO32" s="94"/>
      <c r="BP32" s="94"/>
      <c r="BQ32" s="94"/>
      <c r="BR32" s="94">
        <f>40602</f>
        <v>40602</v>
      </c>
      <c r="BS32" s="26">
        <f t="shared" si="75"/>
        <v>40602</v>
      </c>
      <c r="BT32" s="94"/>
      <c r="BU32" s="94"/>
      <c r="BV32" s="94"/>
      <c r="BW32" s="94">
        <f>49217</f>
        <v>49217</v>
      </c>
      <c r="BX32" s="26">
        <f t="shared" si="76"/>
        <v>49217</v>
      </c>
      <c r="BY32" s="94"/>
      <c r="BZ32" s="94"/>
      <c r="CA32" s="94"/>
      <c r="CB32" s="94">
        <f>38540</f>
        <v>38540</v>
      </c>
      <c r="CC32" s="26">
        <f t="shared" si="77"/>
        <v>38540</v>
      </c>
      <c r="CD32" s="94">
        <v>54281</v>
      </c>
      <c r="CE32" s="94">
        <v>62684</v>
      </c>
      <c r="CF32" s="94">
        <f>92811</f>
        <v>92811</v>
      </c>
      <c r="CG32" s="94">
        <v>43910</v>
      </c>
      <c r="CH32" s="26">
        <f t="shared" si="78"/>
        <v>43910</v>
      </c>
      <c r="CI32" s="94">
        <v>60296</v>
      </c>
      <c r="CJ32" s="94">
        <v>91549</v>
      </c>
      <c r="CK32" s="94">
        <v>90214</v>
      </c>
      <c r="CL32" s="94">
        <v>87488</v>
      </c>
      <c r="CM32" s="26">
        <f t="shared" si="79"/>
        <v>87488</v>
      </c>
      <c r="CN32" s="94">
        <v>83823</v>
      </c>
      <c r="CO32" s="94">
        <v>113748</v>
      </c>
      <c r="CP32" s="94">
        <v>104282</v>
      </c>
      <c r="CQ32" s="94">
        <v>114591</v>
      </c>
      <c r="CR32" s="26">
        <f t="shared" si="80"/>
        <v>114591</v>
      </c>
      <c r="CS32" s="94">
        <v>121055</v>
      </c>
      <c r="CT32" s="94">
        <v>118958</v>
      </c>
      <c r="CU32" s="94">
        <v>144821</v>
      </c>
      <c r="CV32" s="94">
        <v>171904</v>
      </c>
      <c r="CW32" s="26">
        <f t="shared" si="81"/>
        <v>171904</v>
      </c>
      <c r="CX32" s="94">
        <v>172207</v>
      </c>
      <c r="CY32" s="94">
        <v>141397</v>
      </c>
      <c r="CZ32" s="94">
        <v>182227</v>
      </c>
      <c r="DA32" s="94">
        <v>187317</v>
      </c>
      <c r="DB32" s="26">
        <f t="shared" si="82"/>
        <v>187317</v>
      </c>
      <c r="DC32" s="94">
        <v>256301</v>
      </c>
      <c r="DD32" s="94">
        <v>286650</v>
      </c>
      <c r="DE32" s="94">
        <v>283823</v>
      </c>
      <c r="DF32" s="94">
        <v>278476</v>
      </c>
      <c r="DG32" s="26">
        <f t="shared" si="83"/>
        <v>278476</v>
      </c>
      <c r="DH32" s="94">
        <v>339656</v>
      </c>
      <c r="DI32" s="94">
        <v>351510</v>
      </c>
      <c r="DJ32" s="16">
        <f>DJ79</f>
        <v>348048.35058003262</v>
      </c>
      <c r="DK32" s="16">
        <f>DK79</f>
        <v>374964.41686078929</v>
      </c>
      <c r="DL32" s="26">
        <f t="shared" si="84"/>
        <v>374964.41686078929</v>
      </c>
      <c r="DM32" s="16">
        <f>DM79</f>
        <v>387043.4843982177</v>
      </c>
      <c r="DN32" s="16">
        <f>DN79</f>
        <v>400881.71516234591</v>
      </c>
      <c r="DO32" s="16">
        <f>DO79</f>
        <v>414395.3950692928</v>
      </c>
      <c r="DP32" s="16">
        <f>DP79</f>
        <v>425493.78348240763</v>
      </c>
      <c r="DQ32" s="26">
        <f t="shared" si="85"/>
        <v>425493.78348240763</v>
      </c>
      <c r="DR32" s="16">
        <f>DR79</f>
        <v>437675.02283714764</v>
      </c>
      <c r="DS32" s="16">
        <f>DS79</f>
        <v>447763.56228192564</v>
      </c>
      <c r="DT32" s="16">
        <f>DT79</f>
        <v>457434.5578210848</v>
      </c>
      <c r="DU32" s="16">
        <f>DU79</f>
        <v>466759.96036092413</v>
      </c>
      <c r="DV32" s="26">
        <f t="shared" si="86"/>
        <v>466759.96036092413</v>
      </c>
      <c r="DW32" s="16">
        <f>DW79</f>
        <v>475792.83507718984</v>
      </c>
      <c r="DX32" s="16">
        <f>DX79</f>
        <v>484574.60154060111</v>
      </c>
      <c r="DY32" s="16">
        <f>DY79</f>
        <v>493139.15292814316</v>
      </c>
      <c r="DZ32" s="16">
        <f>DZ79</f>
        <v>501515.23700187181</v>
      </c>
      <c r="EA32" s="26">
        <f t="shared" si="87"/>
        <v>501515.23700187181</v>
      </c>
      <c r="EB32" s="16">
        <f>EB79</f>
        <v>509727.8651461642</v>
      </c>
      <c r="EC32" s="16">
        <f>EC79</f>
        <v>517799.17482590297</v>
      </c>
      <c r="ED32" s="16">
        <f>ED79</f>
        <v>525748.98184107326</v>
      </c>
      <c r="EE32" s="16">
        <f>EE79</f>
        <v>533595.15398236294</v>
      </c>
      <c r="EF32" s="26">
        <f t="shared" si="88"/>
        <v>533595.15398236294</v>
      </c>
    </row>
    <row r="33" spans="1:136" ht="12" customHeight="1">
      <c r="A33" s="9" t="s">
        <v>116</v>
      </c>
      <c r="B33" s="94"/>
      <c r="C33" s="94"/>
      <c r="D33" s="94"/>
      <c r="E33" s="140"/>
      <c r="F33" s="20">
        <f t="shared" si="89"/>
        <v>0</v>
      </c>
      <c r="G33" s="94"/>
      <c r="H33" s="94"/>
      <c r="I33" s="94"/>
      <c r="J33" s="140"/>
      <c r="K33" s="20">
        <f t="shared" si="63"/>
        <v>0</v>
      </c>
      <c r="L33" s="94"/>
      <c r="M33" s="94"/>
      <c r="N33" s="94"/>
      <c r="O33" s="140"/>
      <c r="P33" s="20">
        <f t="shared" si="64"/>
        <v>0</v>
      </c>
      <c r="Q33" s="94"/>
      <c r="R33" s="94"/>
      <c r="S33" s="94"/>
      <c r="T33" s="140"/>
      <c r="U33" s="20">
        <f t="shared" si="65"/>
        <v>0</v>
      </c>
      <c r="V33" s="94"/>
      <c r="W33" s="94"/>
      <c r="X33" s="94"/>
      <c r="Y33" s="140"/>
      <c r="Z33" s="20">
        <f t="shared" si="66"/>
        <v>0</v>
      </c>
      <c r="AA33" s="94"/>
      <c r="AB33" s="94"/>
      <c r="AC33" s="94"/>
      <c r="AD33" s="140"/>
      <c r="AE33" s="20">
        <f t="shared" si="67"/>
        <v>0</v>
      </c>
      <c r="AF33" s="140"/>
      <c r="AG33" s="140"/>
      <c r="AH33" s="140"/>
      <c r="AI33" s="140">
        <v>3315.3440000000001</v>
      </c>
      <c r="AJ33" s="20">
        <f t="shared" si="68"/>
        <v>3315.3440000000001</v>
      </c>
      <c r="AK33" s="140"/>
      <c r="AL33" s="140"/>
      <c r="AM33" s="140"/>
      <c r="AN33" s="140">
        <v>9359.8960000000006</v>
      </c>
      <c r="AO33" s="20">
        <f t="shared" si="69"/>
        <v>9359.8960000000006</v>
      </c>
      <c r="AP33" s="140"/>
      <c r="AQ33" s="140"/>
      <c r="AR33" s="140"/>
      <c r="AS33" s="140">
        <v>16817.249</v>
      </c>
      <c r="AT33" s="20">
        <f t="shared" si="70"/>
        <v>16817.249</v>
      </c>
      <c r="AU33" s="140"/>
      <c r="AV33" s="140"/>
      <c r="AW33" s="140"/>
      <c r="AX33" s="140">
        <v>9720</v>
      </c>
      <c r="AY33" s="20">
        <f t="shared" si="71"/>
        <v>9720</v>
      </c>
      <c r="AZ33" s="140"/>
      <c r="BA33" s="140"/>
      <c r="BB33" s="140"/>
      <c r="BC33" s="140">
        <v>13014</v>
      </c>
      <c r="BD33" s="20">
        <f t="shared" si="72"/>
        <v>13014</v>
      </c>
      <c r="BE33" s="140"/>
      <c r="BF33" s="140"/>
      <c r="BG33" s="140"/>
      <c r="BH33" s="140">
        <f>11690</f>
        <v>11690</v>
      </c>
      <c r="BI33" s="20">
        <f t="shared" si="73"/>
        <v>11690</v>
      </c>
      <c r="BJ33" s="140"/>
      <c r="BK33" s="140"/>
      <c r="BL33" s="140"/>
      <c r="BM33" s="140">
        <v>6992</v>
      </c>
      <c r="BN33" s="20">
        <f t="shared" si="74"/>
        <v>6992</v>
      </c>
      <c r="BO33" s="140"/>
      <c r="BP33" s="140"/>
      <c r="BQ33" s="140"/>
      <c r="BR33" s="140">
        <f>8857</f>
        <v>8857</v>
      </c>
      <c r="BS33" s="20">
        <f t="shared" si="75"/>
        <v>8857</v>
      </c>
      <c r="BT33" s="140"/>
      <c r="BU33" s="140"/>
      <c r="BV33" s="140"/>
      <c r="BW33" s="140">
        <f>9196</f>
        <v>9196</v>
      </c>
      <c r="BX33" s="20">
        <f t="shared" si="76"/>
        <v>9196</v>
      </c>
      <c r="BY33" s="140"/>
      <c r="BZ33" s="140"/>
      <c r="CA33" s="140"/>
      <c r="CB33" s="140">
        <f>10705</f>
        <v>10705</v>
      </c>
      <c r="CC33" s="20">
        <f t="shared" si="77"/>
        <v>10705</v>
      </c>
      <c r="CD33" s="140">
        <v>11709</v>
      </c>
      <c r="CE33" s="140">
        <v>14812</v>
      </c>
      <c r="CF33" s="140">
        <f>15530</f>
        <v>15530</v>
      </c>
      <c r="CG33" s="140">
        <v>11444</v>
      </c>
      <c r="CH33" s="20">
        <f t="shared" si="78"/>
        <v>11444</v>
      </c>
      <c r="CI33" s="140">
        <v>13813</v>
      </c>
      <c r="CJ33" s="140">
        <v>18538</v>
      </c>
      <c r="CK33" s="140">
        <v>17006</v>
      </c>
      <c r="CL33" s="140">
        <v>16567</v>
      </c>
      <c r="CM33" s="20">
        <f t="shared" si="79"/>
        <v>16567</v>
      </c>
      <c r="CN33" s="140">
        <v>16264</v>
      </c>
      <c r="CO33" s="140">
        <v>20929</v>
      </c>
      <c r="CP33" s="140">
        <v>23709</v>
      </c>
      <c r="CQ33" s="140">
        <v>18487</v>
      </c>
      <c r="CR33" s="20">
        <f t="shared" si="80"/>
        <v>18487</v>
      </c>
      <c r="CS33" s="140">
        <v>22653</v>
      </c>
      <c r="CT33" s="140">
        <v>26462</v>
      </c>
      <c r="CU33" s="140">
        <v>29799</v>
      </c>
      <c r="CV33" s="140">
        <v>22734</v>
      </c>
      <c r="CW33" s="20">
        <f t="shared" si="81"/>
        <v>22734</v>
      </c>
      <c r="CX33" s="140">
        <v>27739</v>
      </c>
      <c r="CY33" s="140">
        <v>35591</v>
      </c>
      <c r="CZ33" s="140">
        <v>49938</v>
      </c>
      <c r="DA33" s="140">
        <v>32592</v>
      </c>
      <c r="DB33" s="20">
        <f t="shared" si="82"/>
        <v>32592</v>
      </c>
      <c r="DC33" s="140">
        <v>38661</v>
      </c>
      <c r="DD33" s="140">
        <v>49007</v>
      </c>
      <c r="DE33" s="140">
        <v>56389</v>
      </c>
      <c r="DF33" s="140">
        <v>43999</v>
      </c>
      <c r="DG33" s="20">
        <f t="shared" si="83"/>
        <v>43999</v>
      </c>
      <c r="DH33" s="140">
        <v>54666</v>
      </c>
      <c r="DI33" s="140">
        <v>72162</v>
      </c>
      <c r="DJ33" s="94">
        <f>DI33*(1+Macro!DJ$15)^0.25</f>
        <v>72360.794977954603</v>
      </c>
      <c r="DK33" s="94">
        <f>DJ33*(1+Macro!DK$15)^0.25</f>
        <v>72560.137604855467</v>
      </c>
      <c r="DL33" s="20">
        <f t="shared" si="84"/>
        <v>72560.137604855467</v>
      </c>
      <c r="DM33" s="94">
        <f>DL33*(1+Macro!DM$15)^0.25</f>
        <v>72760.029389389427</v>
      </c>
      <c r="DN33" s="94">
        <f>DM33*(1+Macro!DN$15)^0.25</f>
        <v>72960.471844399537</v>
      </c>
      <c r="DO33" s="94">
        <f>DN33*(1+Macro!DO$15)^0.25</f>
        <v>73161.46648689649</v>
      </c>
      <c r="DP33" s="94">
        <f>DO33*(1+Macro!DP$15)^0.25</f>
        <v>73363.014838070085</v>
      </c>
      <c r="DQ33" s="20">
        <f t="shared" si="85"/>
        <v>73363.014838070085</v>
      </c>
      <c r="DR33" s="94">
        <f>DQ33*(1+Macro!DR$15)^0.25</f>
        <v>73565.118423300781</v>
      </c>
      <c r="DS33" s="94">
        <f>DR33*(1+Macro!DS$15)^0.25</f>
        <v>73767.778772171208</v>
      </c>
      <c r="DT33" s="94">
        <f>DS33*(1+Macro!DT$15)^0.25</f>
        <v>73970.997418477767</v>
      </c>
      <c r="DU33" s="94">
        <f>DT33*(1+Macro!DU$15)^0.25</f>
        <v>74174.775900242224</v>
      </c>
      <c r="DV33" s="20">
        <f t="shared" si="86"/>
        <v>74174.775900242224</v>
      </c>
      <c r="DW33" s="94">
        <f>DV33*(1+Macro!DW$15)^0.25</f>
        <v>74379.11575972334</v>
      </c>
      <c r="DX33" s="94">
        <f>DW33*(1+Macro!DX$15)^0.25</f>
        <v>74584.018543428567</v>
      </c>
      <c r="DY33" s="94">
        <f>DX33*(1+Macro!DY$15)^0.25</f>
        <v>74789.485802125753</v>
      </c>
      <c r="DZ33" s="94">
        <f>DY33*(1+Macro!DZ$15)^0.25</f>
        <v>74995.519090854854</v>
      </c>
      <c r="EA33" s="20">
        <f t="shared" si="87"/>
        <v>74995.519090854854</v>
      </c>
      <c r="EB33" s="94">
        <f>EA33*(1+Macro!EB$15)^0.25</f>
        <v>75202.119968939718</v>
      </c>
      <c r="EC33" s="94">
        <f>EB33*(1+Macro!EC$15)^0.25</f>
        <v>75409.289999999892</v>
      </c>
      <c r="ED33" s="94">
        <f>EC33*(1+Macro!ED$15)^0.25</f>
        <v>75617.030751962448</v>
      </c>
      <c r="EE33" s="94">
        <f>ED33*(1+Macro!EE$15)^0.25</f>
        <v>75825.343797073845</v>
      </c>
      <c r="EF33" s="20">
        <f t="shared" si="88"/>
        <v>75825.343797073845</v>
      </c>
    </row>
    <row r="34" spans="1:136" ht="12" customHeight="1">
      <c r="A34" s="9" t="s">
        <v>117</v>
      </c>
      <c r="B34" s="94"/>
      <c r="C34" s="94"/>
      <c r="D34" s="94"/>
      <c r="E34" s="94"/>
      <c r="F34" s="26">
        <f t="shared" si="89"/>
        <v>0</v>
      </c>
      <c r="G34" s="94"/>
      <c r="H34" s="94"/>
      <c r="I34" s="94"/>
      <c r="J34" s="94"/>
      <c r="K34" s="26">
        <f t="shared" si="63"/>
        <v>0</v>
      </c>
      <c r="L34" s="94"/>
      <c r="M34" s="94"/>
      <c r="N34" s="94"/>
      <c r="O34" s="94"/>
      <c r="P34" s="26">
        <f t="shared" si="64"/>
        <v>0</v>
      </c>
      <c r="Q34" s="94"/>
      <c r="R34" s="94"/>
      <c r="S34" s="94"/>
      <c r="T34" s="94"/>
      <c r="U34" s="26">
        <f t="shared" si="65"/>
        <v>0</v>
      </c>
      <c r="V34" s="94"/>
      <c r="W34" s="94"/>
      <c r="X34" s="94"/>
      <c r="Y34" s="94"/>
      <c r="Z34" s="26">
        <f t="shared" si="66"/>
        <v>0</v>
      </c>
      <c r="AA34" s="94"/>
      <c r="AB34" s="94"/>
      <c r="AC34" s="94"/>
      <c r="AD34" s="94"/>
      <c r="AE34" s="26">
        <f t="shared" si="67"/>
        <v>0</v>
      </c>
      <c r="AF34" s="94"/>
      <c r="AG34" s="94"/>
      <c r="AH34" s="94"/>
      <c r="AI34" s="94">
        <f>2290.457+6413.677</f>
        <v>8704.134</v>
      </c>
      <c r="AJ34" s="26">
        <f t="shared" si="68"/>
        <v>8704.134</v>
      </c>
      <c r="AK34" s="94"/>
      <c r="AL34" s="94"/>
      <c r="AM34" s="94"/>
      <c r="AN34" s="94">
        <f>7041.386+15529.916</f>
        <v>22571.302</v>
      </c>
      <c r="AO34" s="26">
        <f t="shared" si="69"/>
        <v>22571.302</v>
      </c>
      <c r="AP34" s="94"/>
      <c r="AQ34" s="94"/>
      <c r="AR34" s="94"/>
      <c r="AS34" s="94">
        <f>29399.474+33733.434</f>
        <v>63132.907999999996</v>
      </c>
      <c r="AT34" s="26">
        <f t="shared" si="70"/>
        <v>63132.907999999996</v>
      </c>
      <c r="AU34" s="94"/>
      <c r="AV34" s="94"/>
      <c r="AW34" s="94"/>
      <c r="AX34" s="94">
        <f>10520+23268</f>
        <v>33788</v>
      </c>
      <c r="AY34" s="26">
        <f t="shared" si="71"/>
        <v>33788</v>
      </c>
      <c r="AZ34" s="94"/>
      <c r="BA34" s="94"/>
      <c r="BB34" s="94"/>
      <c r="BC34" s="94">
        <f>18868+36508</f>
        <v>55376</v>
      </c>
      <c r="BD34" s="26">
        <f t="shared" si="72"/>
        <v>55376</v>
      </c>
      <c r="BE34" s="94"/>
      <c r="BF34" s="94"/>
      <c r="BG34" s="94"/>
      <c r="BH34" s="94">
        <f>96849+17355</f>
        <v>114204</v>
      </c>
      <c r="BI34" s="26">
        <f t="shared" si="73"/>
        <v>114204</v>
      </c>
      <c r="BJ34" s="94"/>
      <c r="BK34" s="94"/>
      <c r="BL34" s="94"/>
      <c r="BM34" s="94">
        <f>154861+13700</f>
        <v>168561</v>
      </c>
      <c r="BN34" s="26">
        <f t="shared" si="74"/>
        <v>168561</v>
      </c>
      <c r="BO34" s="94"/>
      <c r="BP34" s="94"/>
      <c r="BQ34" s="94"/>
      <c r="BR34" s="94">
        <f>278787+1685</f>
        <v>280472</v>
      </c>
      <c r="BS34" s="26">
        <f t="shared" si="75"/>
        <v>280472</v>
      </c>
      <c r="BT34" s="94"/>
      <c r="BU34" s="94"/>
      <c r="BV34" s="94"/>
      <c r="BW34" s="94">
        <f>153205+49</f>
        <v>153254</v>
      </c>
      <c r="BX34" s="26">
        <f t="shared" si="76"/>
        <v>153254</v>
      </c>
      <c r="BY34" s="94"/>
      <c r="BZ34" s="94"/>
      <c r="CA34" s="94"/>
      <c r="CB34" s="94">
        <f>182793</f>
        <v>182793</v>
      </c>
      <c r="CC34" s="26">
        <f t="shared" si="77"/>
        <v>182793</v>
      </c>
      <c r="CD34" s="94">
        <v>113611</v>
      </c>
      <c r="CE34" s="94">
        <v>193921</v>
      </c>
      <c r="CF34" s="94">
        <f>289238</f>
        <v>289238</v>
      </c>
      <c r="CG34" s="94">
        <v>279670</v>
      </c>
      <c r="CH34" s="26">
        <f t="shared" si="78"/>
        <v>279670</v>
      </c>
      <c r="CI34" s="94">
        <v>336426</v>
      </c>
      <c r="CJ34" s="94">
        <v>358402</v>
      </c>
      <c r="CK34" s="94">
        <v>403842</v>
      </c>
      <c r="CL34" s="94">
        <v>515238</v>
      </c>
      <c r="CM34" s="26">
        <f t="shared" si="79"/>
        <v>515238</v>
      </c>
      <c r="CN34" s="94">
        <v>806999</v>
      </c>
      <c r="CO34" s="94">
        <v>668553</v>
      </c>
      <c r="CP34" s="94">
        <v>489825</v>
      </c>
      <c r="CQ34" s="94">
        <v>342626</v>
      </c>
      <c r="CR34" s="26">
        <f t="shared" si="80"/>
        <v>342626</v>
      </c>
      <c r="CS34" s="94">
        <v>96307</v>
      </c>
      <c r="CT34" s="94">
        <v>63829</v>
      </c>
      <c r="CU34" s="94">
        <v>54193</v>
      </c>
      <c r="CV34" s="94">
        <v>97208</v>
      </c>
      <c r="CW34" s="26">
        <f t="shared" si="81"/>
        <v>97208</v>
      </c>
      <c r="CX34" s="94">
        <v>118652</v>
      </c>
      <c r="CY34" s="94">
        <v>150036</v>
      </c>
      <c r="CZ34" s="94">
        <v>122895</v>
      </c>
      <c r="DA34" s="94">
        <v>184216</v>
      </c>
      <c r="DB34" s="26">
        <f t="shared" si="82"/>
        <v>184216</v>
      </c>
      <c r="DC34" s="94">
        <v>238841</v>
      </c>
      <c r="DD34" s="94">
        <v>253521</v>
      </c>
      <c r="DE34" s="94">
        <v>273630</v>
      </c>
      <c r="DF34" s="94">
        <v>333123</v>
      </c>
      <c r="DG34" s="26">
        <f t="shared" si="83"/>
        <v>333123</v>
      </c>
      <c r="DH34" s="94">
        <v>351671</v>
      </c>
      <c r="DI34" s="94">
        <v>347634</v>
      </c>
      <c r="DJ34" s="16">
        <f>DJ83</f>
        <v>361712.75688660244</v>
      </c>
      <c r="DK34" s="16">
        <f>DK83</f>
        <v>394158.25950996071</v>
      </c>
      <c r="DL34" s="26">
        <f t="shared" si="84"/>
        <v>394158.25950996071</v>
      </c>
      <c r="DM34" s="16">
        <f>DM83</f>
        <v>401390.08162053634</v>
      </c>
      <c r="DN34" s="16">
        <f>DN83</f>
        <v>418310.11065216572</v>
      </c>
      <c r="DO34" s="16">
        <f>DO83</f>
        <v>428969.34090257139</v>
      </c>
      <c r="DP34" s="16">
        <f>DP83</f>
        <v>433716.78949578787</v>
      </c>
      <c r="DQ34" s="26">
        <f t="shared" si="85"/>
        <v>433716.78949578787</v>
      </c>
      <c r="DR34" s="16">
        <f>DR83</f>
        <v>442081.67148820183</v>
      </c>
      <c r="DS34" s="16">
        <f>DS83</f>
        <v>449652.89413338271</v>
      </c>
      <c r="DT34" s="16">
        <f>DT83</f>
        <v>457439.06321446109</v>
      </c>
      <c r="DU34" s="16">
        <f>DU83</f>
        <v>464427.98990665853</v>
      </c>
      <c r="DV34" s="26">
        <f t="shared" si="86"/>
        <v>464427.98990665853</v>
      </c>
      <c r="DW34" s="16">
        <f>DW83</f>
        <v>470924.00760899077</v>
      </c>
      <c r="DX34" s="16">
        <f>DX83</f>
        <v>477573.52847079042</v>
      </c>
      <c r="DY34" s="16">
        <f>DY83</f>
        <v>483888.5497821513</v>
      </c>
      <c r="DZ34" s="16">
        <f>DZ83</f>
        <v>490075.78121894674</v>
      </c>
      <c r="EA34" s="26">
        <f t="shared" si="87"/>
        <v>490075.78121894674</v>
      </c>
      <c r="EB34" s="16">
        <f>EB83</f>
        <v>495978.5303723262</v>
      </c>
      <c r="EC34" s="16">
        <f>EC83</f>
        <v>501761.81408734748</v>
      </c>
      <c r="ED34" s="16">
        <f>ED83</f>
        <v>507426.39489578217</v>
      </c>
      <c r="EE34" s="16">
        <f>EE83</f>
        <v>513141.15949308779</v>
      </c>
      <c r="EF34" s="26">
        <f t="shared" si="88"/>
        <v>513141.15949308779</v>
      </c>
    </row>
    <row r="35" spans="1:136" ht="12" customHeight="1">
      <c r="A35" s="9" t="s">
        <v>205</v>
      </c>
      <c r="B35" s="94"/>
      <c r="C35" s="94"/>
      <c r="D35" s="94"/>
      <c r="E35" s="140"/>
      <c r="F35" s="26">
        <f>E35</f>
        <v>0</v>
      </c>
      <c r="G35" s="94"/>
      <c r="H35" s="94"/>
      <c r="I35" s="94"/>
      <c r="J35" s="140"/>
      <c r="K35" s="26">
        <f t="shared" si="63"/>
        <v>0</v>
      </c>
      <c r="L35" s="94"/>
      <c r="M35" s="94"/>
      <c r="N35" s="94"/>
      <c r="O35" s="140"/>
      <c r="P35" s="26">
        <f t="shared" si="64"/>
        <v>0</v>
      </c>
      <c r="Q35" s="94"/>
      <c r="R35" s="94"/>
      <c r="S35" s="94"/>
      <c r="T35" s="140"/>
      <c r="U35" s="26">
        <f t="shared" si="65"/>
        <v>0</v>
      </c>
      <c r="V35" s="94"/>
      <c r="W35" s="94"/>
      <c r="X35" s="94"/>
      <c r="Y35" s="140"/>
      <c r="Z35" s="26">
        <f t="shared" si="66"/>
        <v>0</v>
      </c>
      <c r="AA35" s="94"/>
      <c r="AB35" s="94"/>
      <c r="AC35" s="94"/>
      <c r="AD35" s="140"/>
      <c r="AE35" s="26">
        <f t="shared" si="67"/>
        <v>0</v>
      </c>
      <c r="AF35" s="140"/>
      <c r="AG35" s="140"/>
      <c r="AH35" s="140"/>
      <c r="AI35" s="94">
        <f>11183.561+12948.561</f>
        <v>24132.121999999999</v>
      </c>
      <c r="AJ35" s="26">
        <f t="shared" si="68"/>
        <v>24132.121999999999</v>
      </c>
      <c r="AK35" s="140"/>
      <c r="AL35" s="140"/>
      <c r="AM35" s="140"/>
      <c r="AN35" s="94">
        <f>8050.569+6780.703</f>
        <v>14831.272000000001</v>
      </c>
      <c r="AO35" s="26">
        <f t="shared" si="69"/>
        <v>14831.272000000001</v>
      </c>
      <c r="AP35" s="140"/>
      <c r="AQ35" s="140"/>
      <c r="AR35" s="140"/>
      <c r="AS35" s="94">
        <f>35312.873+21881.96</f>
        <v>57194.832999999999</v>
      </c>
      <c r="AT35" s="26">
        <f t="shared" si="70"/>
        <v>57194.832999999999</v>
      </c>
      <c r="AU35" s="140"/>
      <c r="AV35" s="140"/>
      <c r="AW35" s="140"/>
      <c r="AX35" s="94">
        <f>24113+2078</f>
        <v>26191</v>
      </c>
      <c r="AY35" s="26">
        <f t="shared" si="71"/>
        <v>26191</v>
      </c>
      <c r="AZ35" s="140"/>
      <c r="BA35" s="140"/>
      <c r="BB35" s="140"/>
      <c r="BC35" s="94">
        <f>35260+49251</f>
        <v>84511</v>
      </c>
      <c r="BD35" s="26">
        <f t="shared" si="72"/>
        <v>84511</v>
      </c>
      <c r="BE35" s="140"/>
      <c r="BF35" s="140"/>
      <c r="BG35" s="140"/>
      <c r="BH35" s="94">
        <f>42544+50718</f>
        <v>93262</v>
      </c>
      <c r="BI35" s="26">
        <f t="shared" si="73"/>
        <v>93262</v>
      </c>
      <c r="BJ35" s="140"/>
      <c r="BK35" s="140"/>
      <c r="BL35" s="140"/>
      <c r="BM35" s="140">
        <f>21799+57833</f>
        <v>79632</v>
      </c>
      <c r="BN35" s="26">
        <f t="shared" si="74"/>
        <v>79632</v>
      </c>
      <c r="BO35" s="140"/>
      <c r="BP35" s="140"/>
      <c r="BQ35" s="140"/>
      <c r="BR35" s="140">
        <f>44356+45218</f>
        <v>89574</v>
      </c>
      <c r="BS35" s="26">
        <f t="shared" si="75"/>
        <v>89574</v>
      </c>
      <c r="BT35" s="140"/>
      <c r="BU35" s="140"/>
      <c r="BV35" s="140"/>
      <c r="BW35" s="140">
        <f>52360+13625</f>
        <v>65985</v>
      </c>
      <c r="BX35" s="26">
        <f t="shared" si="76"/>
        <v>65985</v>
      </c>
      <c r="BY35" s="140"/>
      <c r="BZ35" s="140"/>
      <c r="CA35" s="140"/>
      <c r="CB35" s="140">
        <f>76784+57370</f>
        <v>134154</v>
      </c>
      <c r="CC35" s="26">
        <f t="shared" si="77"/>
        <v>134154</v>
      </c>
      <c r="CD35" s="140">
        <f>74798+72269</f>
        <v>147067</v>
      </c>
      <c r="CE35" s="140">
        <f>55922+86565</f>
        <v>142487</v>
      </c>
      <c r="CF35" s="140">
        <f>119689+90466</f>
        <v>210155</v>
      </c>
      <c r="CG35" s="140">
        <f>101121+170772</f>
        <v>271893</v>
      </c>
      <c r="CH35" s="26">
        <f t="shared" si="78"/>
        <v>271893</v>
      </c>
      <c r="CI35" s="140">
        <f>140502+266241</f>
        <v>406743</v>
      </c>
      <c r="CJ35" s="140">
        <f>180089+217357</f>
        <v>397446</v>
      </c>
      <c r="CK35" s="140">
        <f>140604+294980</f>
        <v>435584</v>
      </c>
      <c r="CL35" s="140">
        <f>321259+374570</f>
        <v>695829</v>
      </c>
      <c r="CM35" s="26">
        <f t="shared" si="79"/>
        <v>695829</v>
      </c>
      <c r="CN35" s="140">
        <f>315359+367692</f>
        <v>683051</v>
      </c>
      <c r="CO35" s="140">
        <f>316154+355650</f>
        <v>671804</v>
      </c>
      <c r="CP35" s="140">
        <f>299651+439710</f>
        <v>739361</v>
      </c>
      <c r="CQ35" s="140">
        <f>346258+429912</f>
        <v>776170</v>
      </c>
      <c r="CR35" s="26">
        <f t="shared" si="80"/>
        <v>776170</v>
      </c>
      <c r="CS35" s="140">
        <f>350278+567132</f>
        <v>917410</v>
      </c>
      <c r="CT35" s="140">
        <f>396647+507425</f>
        <v>904072</v>
      </c>
      <c r="CU35" s="140">
        <f>431398+509198</f>
        <v>940596</v>
      </c>
      <c r="CV35" s="140">
        <f>506369+423231</f>
        <v>929600</v>
      </c>
      <c r="CW35" s="26">
        <f t="shared" si="81"/>
        <v>929600</v>
      </c>
      <c r="CX35" s="140">
        <f>562486+497891</f>
        <v>1060377</v>
      </c>
      <c r="CY35" s="140">
        <f>599894+490050</f>
        <v>1089944</v>
      </c>
      <c r="CZ35" s="140">
        <f>642080+447808</f>
        <v>1089888</v>
      </c>
      <c r="DA35" s="140">
        <f>521618+843900</f>
        <v>1365518</v>
      </c>
      <c r="DB35" s="26">
        <f t="shared" si="82"/>
        <v>1365518</v>
      </c>
      <c r="DC35" s="140">
        <f>574539+828495</f>
        <v>1403034</v>
      </c>
      <c r="DD35" s="140">
        <f>627468+841734</f>
        <v>1469202</v>
      </c>
      <c r="DE35" s="140">
        <f>675251+910977</f>
        <v>1586228</v>
      </c>
      <c r="DF35" s="140">
        <f>717439+864061</f>
        <v>1581500</v>
      </c>
      <c r="DG35" s="26">
        <f t="shared" si="83"/>
        <v>1581500</v>
      </c>
      <c r="DH35" s="140">
        <f>764029+993296</f>
        <v>1757325</v>
      </c>
      <c r="DI35" s="140">
        <f>840714+916852</f>
        <v>1757566</v>
      </c>
      <c r="DJ35" s="16">
        <f>DJ87</f>
        <v>1895177.5927619308</v>
      </c>
      <c r="DK35" s="16">
        <f>DK87</f>
        <v>1852503.7550120973</v>
      </c>
      <c r="DL35" s="26">
        <f t="shared" si="84"/>
        <v>1852503.7550120973</v>
      </c>
      <c r="DM35" s="16">
        <f>DM87</f>
        <v>1960551.676518471</v>
      </c>
      <c r="DN35" s="16">
        <f>DN87</f>
        <v>1981897.2607690506</v>
      </c>
      <c r="DO35" s="16">
        <f>DO87</f>
        <v>2000582.3507011202</v>
      </c>
      <c r="DP35" s="16">
        <f>DP87</f>
        <v>2017678.2665408934</v>
      </c>
      <c r="DQ35" s="26">
        <f t="shared" si="85"/>
        <v>2017678.2665408934</v>
      </c>
      <c r="DR35" s="16">
        <f>DR87</f>
        <v>2033823.6442361372</v>
      </c>
      <c r="DS35" s="16">
        <f>DS87</f>
        <v>2049384.976954801</v>
      </c>
      <c r="DT35" s="16">
        <f>DT87</f>
        <v>2064577.6600298374</v>
      </c>
      <c r="DU35" s="16">
        <f>DU87</f>
        <v>2079532.1562642371</v>
      </c>
      <c r="DV35" s="26">
        <f t="shared" si="86"/>
        <v>2079532.1562642371</v>
      </c>
      <c r="DW35" s="16">
        <f>DW87</f>
        <v>2094330.8305559484</v>
      </c>
      <c r="DX35" s="16">
        <f>DX87</f>
        <v>2109028.4724205327</v>
      </c>
      <c r="DY35" s="16">
        <f>DY87</f>
        <v>2123663.7650464866</v>
      </c>
      <c r="DZ35" s="16">
        <f>DZ87</f>
        <v>2138265.725439033</v>
      </c>
      <c r="EA35" s="26">
        <f t="shared" si="87"/>
        <v>2138265.725439033</v>
      </c>
      <c r="EB35" s="16">
        <f>EB87</f>
        <v>2152857.3481680462</v>
      </c>
      <c r="EC35" s="16">
        <f>EC87</f>
        <v>2137929.8861424783</v>
      </c>
      <c r="ED35" s="16">
        <f>ED87</f>
        <v>2093172.9521852736</v>
      </c>
      <c r="EE35" s="16">
        <f>EE87</f>
        <v>2018270.5510709127</v>
      </c>
      <c r="EF35" s="26">
        <f t="shared" si="88"/>
        <v>2018270.5510709127</v>
      </c>
    </row>
    <row r="36" spans="1:136" ht="12" customHeight="1">
      <c r="A36" s="9" t="s">
        <v>26</v>
      </c>
      <c r="B36" s="140"/>
      <c r="C36" s="140"/>
      <c r="D36" s="140"/>
      <c r="E36" s="140"/>
      <c r="F36" s="26">
        <f>E36</f>
        <v>0</v>
      </c>
      <c r="G36" s="140"/>
      <c r="H36" s="140"/>
      <c r="I36" s="140"/>
      <c r="J36" s="140"/>
      <c r="K36" s="26">
        <f t="shared" si="63"/>
        <v>0</v>
      </c>
      <c r="L36" s="140"/>
      <c r="M36" s="140"/>
      <c r="N36" s="140"/>
      <c r="O36" s="140"/>
      <c r="P36" s="26">
        <f t="shared" si="64"/>
        <v>0</v>
      </c>
      <c r="Q36" s="140"/>
      <c r="R36" s="140"/>
      <c r="S36" s="140"/>
      <c r="T36" s="140"/>
      <c r="U36" s="26">
        <f t="shared" si="65"/>
        <v>0</v>
      </c>
      <c r="V36" s="140"/>
      <c r="W36" s="140"/>
      <c r="X36" s="140"/>
      <c r="Y36" s="140"/>
      <c r="Z36" s="26">
        <f t="shared" si="66"/>
        <v>0</v>
      </c>
      <c r="AA36" s="140"/>
      <c r="AB36" s="140"/>
      <c r="AC36" s="140"/>
      <c r="AD36" s="140"/>
      <c r="AE36" s="26">
        <f t="shared" si="67"/>
        <v>0</v>
      </c>
      <c r="AF36" s="140"/>
      <c r="AG36" s="140"/>
      <c r="AH36" s="140"/>
      <c r="AI36" s="140">
        <v>0</v>
      </c>
      <c r="AJ36" s="26">
        <f t="shared" si="68"/>
        <v>0</v>
      </c>
      <c r="AK36" s="140"/>
      <c r="AL36" s="140"/>
      <c r="AM36" s="140"/>
      <c r="AN36" s="140">
        <v>0</v>
      </c>
      <c r="AO36" s="26">
        <f t="shared" si="69"/>
        <v>0</v>
      </c>
      <c r="AP36" s="140"/>
      <c r="AQ36" s="140"/>
      <c r="AR36" s="140"/>
      <c r="AS36" s="140">
        <v>0</v>
      </c>
      <c r="AT36" s="26">
        <f t="shared" si="70"/>
        <v>0</v>
      </c>
      <c r="AU36" s="140"/>
      <c r="AV36" s="140"/>
      <c r="AW36" s="140"/>
      <c r="AX36" s="140">
        <v>15670</v>
      </c>
      <c r="AY36" s="26">
        <f t="shared" si="71"/>
        <v>15670</v>
      </c>
      <c r="AZ36" s="140"/>
      <c r="BA36" s="140"/>
      <c r="BB36" s="140"/>
      <c r="BC36" s="140">
        <v>9007</v>
      </c>
      <c r="BD36" s="26">
        <f t="shared" si="72"/>
        <v>9007</v>
      </c>
      <c r="BE36" s="140"/>
      <c r="BF36" s="140"/>
      <c r="BG36" s="140"/>
      <c r="BH36" s="140">
        <v>6580</v>
      </c>
      <c r="BI36" s="26">
        <f t="shared" si="73"/>
        <v>6580</v>
      </c>
      <c r="BJ36" s="140"/>
      <c r="BK36" s="140"/>
      <c r="BL36" s="140"/>
      <c r="BM36" s="140">
        <v>7859</v>
      </c>
      <c r="BN36" s="26">
        <f t="shared" si="74"/>
        <v>7859</v>
      </c>
      <c r="BO36" s="140"/>
      <c r="BP36" s="140"/>
      <c r="BQ36" s="140"/>
      <c r="BR36" s="140">
        <f>6357</f>
        <v>6357</v>
      </c>
      <c r="BS36" s="26">
        <f t="shared" si="75"/>
        <v>6357</v>
      </c>
      <c r="BT36" s="140"/>
      <c r="BU36" s="140"/>
      <c r="BV36" s="140"/>
      <c r="BW36" s="140">
        <f>7193</f>
        <v>7193</v>
      </c>
      <c r="BX36" s="26">
        <f t="shared" si="76"/>
        <v>7193</v>
      </c>
      <c r="BY36" s="140"/>
      <c r="BZ36" s="140"/>
      <c r="CA36" s="140"/>
      <c r="CB36" s="140">
        <f>8810</f>
        <v>8810</v>
      </c>
      <c r="CC36" s="26">
        <f t="shared" si="77"/>
        <v>8810</v>
      </c>
      <c r="CD36" s="140">
        <v>8131</v>
      </c>
      <c r="CE36" s="140">
        <v>6957</v>
      </c>
      <c r="CF36" s="140">
        <v>9230</v>
      </c>
      <c r="CG36" s="140">
        <v>9201</v>
      </c>
      <c r="CH36" s="26">
        <f t="shared" si="78"/>
        <v>9201</v>
      </c>
      <c r="CI36" s="140">
        <v>9385</v>
      </c>
      <c r="CJ36" s="140">
        <v>8745</v>
      </c>
      <c r="CK36" s="140">
        <v>9271</v>
      </c>
      <c r="CL36" s="140">
        <v>8366</v>
      </c>
      <c r="CM36" s="26">
        <f t="shared" si="79"/>
        <v>8366</v>
      </c>
      <c r="CN36" s="140">
        <v>10182</v>
      </c>
      <c r="CO36" s="140">
        <v>12518</v>
      </c>
      <c r="CP36" s="140">
        <v>12142</v>
      </c>
      <c r="CQ36" s="140">
        <v>14840</v>
      </c>
      <c r="CR36" s="26">
        <f t="shared" si="80"/>
        <v>14840</v>
      </c>
      <c r="CS36" s="140">
        <v>14924</v>
      </c>
      <c r="CT36" s="140">
        <v>14002</v>
      </c>
      <c r="CU36" s="140">
        <v>16903</v>
      </c>
      <c r="CV36" s="140">
        <v>19051</v>
      </c>
      <c r="CW36" s="26">
        <f t="shared" si="81"/>
        <v>19051</v>
      </c>
      <c r="CX36" s="140">
        <v>17695</v>
      </c>
      <c r="CY36" s="140">
        <v>19541</v>
      </c>
      <c r="CZ36" s="140">
        <v>20725</v>
      </c>
      <c r="DA36" s="140">
        <v>27898</v>
      </c>
      <c r="DB36" s="26">
        <f t="shared" si="82"/>
        <v>27898</v>
      </c>
      <c r="DC36" s="140">
        <v>24510</v>
      </c>
      <c r="DD36" s="140">
        <v>30682</v>
      </c>
      <c r="DE36" s="140">
        <v>39048</v>
      </c>
      <c r="DF36" s="140">
        <v>42103</v>
      </c>
      <c r="DG36" s="26">
        <f t="shared" si="83"/>
        <v>42103</v>
      </c>
      <c r="DH36" s="140">
        <v>40189</v>
      </c>
      <c r="DI36" s="140">
        <v>45828</v>
      </c>
      <c r="DJ36" s="83">
        <f>DJ103</f>
        <v>47683.978617164074</v>
      </c>
      <c r="DK36" s="83">
        <f>DK103</f>
        <v>51961.214141374199</v>
      </c>
      <c r="DL36" s="26">
        <f t="shared" si="84"/>
        <v>51961.214141374199</v>
      </c>
      <c r="DM36" s="83">
        <f>DM103</f>
        <v>52914.572971878304</v>
      </c>
      <c r="DN36" s="83">
        <f>DN103</f>
        <v>55145.111671952262</v>
      </c>
      <c r="DO36" s="83">
        <f>DO103</f>
        <v>56550.299898407648</v>
      </c>
      <c r="DP36" s="83">
        <f>DP103</f>
        <v>57176.147986137628</v>
      </c>
      <c r="DQ36" s="26">
        <f t="shared" si="85"/>
        <v>57176.147986137628</v>
      </c>
      <c r="DR36" s="83">
        <f>DR103</f>
        <v>58278.876177132595</v>
      </c>
      <c r="DS36" s="83">
        <f>DS103</f>
        <v>59276.977603872641</v>
      </c>
      <c r="DT36" s="83">
        <f>DT103</f>
        <v>60303.415054316676</v>
      </c>
      <c r="DU36" s="83">
        <f>DU103</f>
        <v>61224.753394208696</v>
      </c>
      <c r="DV36" s="26">
        <f t="shared" si="86"/>
        <v>61224.753394208696</v>
      </c>
      <c r="DW36" s="83">
        <f>DW103</f>
        <v>62081.112378837592</v>
      </c>
      <c r="DX36" s="83">
        <f>DX103</f>
        <v>62957.707424358327</v>
      </c>
      <c r="DY36" s="83">
        <f>DY103</f>
        <v>63790.205962064785</v>
      </c>
      <c r="DZ36" s="83">
        <f>DZ103</f>
        <v>64605.858177571499</v>
      </c>
      <c r="EA36" s="26">
        <f t="shared" si="87"/>
        <v>64605.858177571499</v>
      </c>
      <c r="EB36" s="83">
        <f>EB103</f>
        <v>65384.007576655211</v>
      </c>
      <c r="EC36" s="83">
        <f>EC103</f>
        <v>66146.408049831007</v>
      </c>
      <c r="ED36" s="83">
        <f>ED103</f>
        <v>66893.160120367684</v>
      </c>
      <c r="EE36" s="83">
        <f>EE103</f>
        <v>67646.527834588152</v>
      </c>
      <c r="EF36" s="26">
        <f t="shared" si="88"/>
        <v>67646.527834588152</v>
      </c>
    </row>
    <row r="37" spans="1:136" ht="12" customHeight="1">
      <c r="A37" s="9" t="s">
        <v>114</v>
      </c>
      <c r="B37" s="140"/>
      <c r="C37" s="140"/>
      <c r="D37" s="140"/>
      <c r="E37" s="140"/>
      <c r="F37" s="26">
        <f>E37</f>
        <v>0</v>
      </c>
      <c r="G37" s="140"/>
      <c r="H37" s="140"/>
      <c r="I37" s="140"/>
      <c r="J37" s="140"/>
      <c r="K37" s="26">
        <f t="shared" si="63"/>
        <v>0</v>
      </c>
      <c r="L37" s="140"/>
      <c r="M37" s="140"/>
      <c r="N37" s="140"/>
      <c r="O37" s="140"/>
      <c r="P37" s="26">
        <f t="shared" si="64"/>
        <v>0</v>
      </c>
      <c r="Q37" s="140"/>
      <c r="R37" s="140"/>
      <c r="S37" s="140"/>
      <c r="T37" s="140"/>
      <c r="U37" s="26">
        <f t="shared" si="65"/>
        <v>0</v>
      </c>
      <c r="V37" s="140"/>
      <c r="W37" s="140"/>
      <c r="X37" s="140"/>
      <c r="Y37" s="140"/>
      <c r="Z37" s="26">
        <f t="shared" si="66"/>
        <v>0</v>
      </c>
      <c r="AA37" s="140"/>
      <c r="AB37" s="140"/>
      <c r="AC37" s="140"/>
      <c r="AD37" s="140"/>
      <c r="AE37" s="26">
        <f t="shared" si="67"/>
        <v>0</v>
      </c>
      <c r="AF37" s="140"/>
      <c r="AG37" s="140"/>
      <c r="AH37" s="140"/>
      <c r="AI37" s="140">
        <f>15513.508+128.084</f>
        <v>15641.592000000001</v>
      </c>
      <c r="AJ37" s="26">
        <f t="shared" si="68"/>
        <v>15641.592000000001</v>
      </c>
      <c r="AK37" s="140"/>
      <c r="AL37" s="140"/>
      <c r="AM37" s="140"/>
      <c r="AN37" s="140">
        <f>19848.103+1040.794</f>
        <v>20888.897000000001</v>
      </c>
      <c r="AO37" s="26">
        <f t="shared" si="69"/>
        <v>20888.897000000001</v>
      </c>
      <c r="AP37" s="140"/>
      <c r="AQ37" s="140"/>
      <c r="AR37" s="140"/>
      <c r="AS37" s="140">
        <f>19084.601+3021.913</f>
        <v>22106.513999999999</v>
      </c>
      <c r="AT37" s="26">
        <f t="shared" si="70"/>
        <v>22106.513999999999</v>
      </c>
      <c r="AU37" s="140"/>
      <c r="AV37" s="140"/>
      <c r="AW37" s="140"/>
      <c r="AX37" s="140">
        <f>17864+5784</f>
        <v>23648</v>
      </c>
      <c r="AY37" s="26">
        <f t="shared" si="71"/>
        <v>23648</v>
      </c>
      <c r="AZ37" s="140"/>
      <c r="BA37" s="140"/>
      <c r="BB37" s="140"/>
      <c r="BC37" s="140">
        <f>23557+1170</f>
        <v>24727</v>
      </c>
      <c r="BD37" s="26">
        <f t="shared" si="72"/>
        <v>24727</v>
      </c>
      <c r="BE37" s="140"/>
      <c r="BF37" s="140"/>
      <c r="BG37" s="140"/>
      <c r="BH37" s="140">
        <f>17056+6551</f>
        <v>23607</v>
      </c>
      <c r="BI37" s="26">
        <f t="shared" si="73"/>
        <v>23607</v>
      </c>
      <c r="BJ37" s="140"/>
      <c r="BK37" s="140"/>
      <c r="BL37" s="140"/>
      <c r="BM37" s="140">
        <f>15682+4461</f>
        <v>20143</v>
      </c>
      <c r="BN37" s="26">
        <f t="shared" si="74"/>
        <v>20143</v>
      </c>
      <c r="BO37" s="140"/>
      <c r="BP37" s="140"/>
      <c r="BQ37" s="140"/>
      <c r="BR37" s="140">
        <f>15422+4616</f>
        <v>20038</v>
      </c>
      <c r="BS37" s="26">
        <f t="shared" ref="BS37:BS42" si="90">BR37</f>
        <v>20038</v>
      </c>
      <c r="BT37" s="140"/>
      <c r="BU37" s="140"/>
      <c r="BV37" s="140"/>
      <c r="BW37" s="140">
        <f>16782+3909</f>
        <v>20691</v>
      </c>
      <c r="BX37" s="26">
        <f t="shared" ref="BX37:BX42" si="91">BW37</f>
        <v>20691</v>
      </c>
      <c r="BY37" s="140"/>
      <c r="BZ37" s="140"/>
      <c r="CA37" s="140"/>
      <c r="CB37" s="140">
        <f>9018+12527</f>
        <v>21545</v>
      </c>
      <c r="CC37" s="26">
        <f t="shared" si="77"/>
        <v>21545</v>
      </c>
      <c r="CD37" s="140">
        <f>10985+11900</f>
        <v>22885</v>
      </c>
      <c r="CE37" s="140">
        <f>10814+11715</f>
        <v>22529</v>
      </c>
      <c r="CF37" s="140">
        <f>8586+16026</f>
        <v>24612</v>
      </c>
      <c r="CG37" s="140">
        <f>11824+12809</f>
        <v>24633</v>
      </c>
      <c r="CH37" s="26">
        <f t="shared" si="78"/>
        <v>24633</v>
      </c>
      <c r="CI37" s="140">
        <f>15899+11847</f>
        <v>27746</v>
      </c>
      <c r="CJ37" s="140">
        <f>15476+16766</f>
        <v>32242</v>
      </c>
      <c r="CK37" s="140">
        <f>15962+17294</f>
        <v>33256</v>
      </c>
      <c r="CL37" s="140">
        <f>15691+16999</f>
        <v>32690</v>
      </c>
      <c r="CM37" s="26">
        <f t="shared" si="79"/>
        <v>32690</v>
      </c>
      <c r="CN37" s="140">
        <f>18293+19817</f>
        <v>38110</v>
      </c>
      <c r="CO37" s="140">
        <f>22265+20553</f>
        <v>42818</v>
      </c>
      <c r="CP37" s="140">
        <f>22198+24048</f>
        <v>46246</v>
      </c>
      <c r="CQ37" s="140">
        <f>22126+23969</f>
        <v>46095</v>
      </c>
      <c r="CR37" s="26">
        <f t="shared" si="80"/>
        <v>46095</v>
      </c>
      <c r="CS37" s="140">
        <f>23751+25731</f>
        <v>49482</v>
      </c>
      <c r="CT37" s="140">
        <f>26052+28223</f>
        <v>54275</v>
      </c>
      <c r="CU37" s="140">
        <f>42769+13172</f>
        <v>55941</v>
      </c>
      <c r="CV37" s="140">
        <f>26723+28950</f>
        <v>55673</v>
      </c>
      <c r="CW37" s="26">
        <f t="shared" si="81"/>
        <v>55673</v>
      </c>
      <c r="CX37" s="140">
        <f>16238+45513</f>
        <v>61751</v>
      </c>
      <c r="CY37" s="140">
        <f>29358+31804</f>
        <v>61162</v>
      </c>
      <c r="CZ37" s="140">
        <f>30080+32587</f>
        <v>62667</v>
      </c>
      <c r="DA37" s="140">
        <f>27843+30164</f>
        <v>58007</v>
      </c>
      <c r="DB37" s="26">
        <f t="shared" si="82"/>
        <v>58007</v>
      </c>
      <c r="DC37" s="140">
        <f>36536+39581</f>
        <v>76117</v>
      </c>
      <c r="DD37" s="140">
        <f>39431+42716</f>
        <v>82147</v>
      </c>
      <c r="DE37" s="140">
        <f>39170+42434</f>
        <v>81604</v>
      </c>
      <c r="DF37" s="140">
        <f>39034+42287</f>
        <v>81321</v>
      </c>
      <c r="DG37" s="26">
        <f t="shared" si="83"/>
        <v>81321</v>
      </c>
      <c r="DH37" s="140">
        <f>42984+46565</f>
        <v>89549</v>
      </c>
      <c r="DI37" s="140">
        <f>45995+49827</f>
        <v>95822</v>
      </c>
      <c r="DJ37" s="83">
        <f>DI37-'Income Statement'!DJ42</f>
        <v>96966.892872252894</v>
      </c>
      <c r="DK37" s="83">
        <f>DJ37-'Income Statement'!DK42</f>
        <v>98753.708413738117</v>
      </c>
      <c r="DL37" s="26">
        <f t="shared" si="84"/>
        <v>98753.708413738117</v>
      </c>
      <c r="DM37" s="83">
        <f>DL37-'Income Statement'!DM42</f>
        <v>97220.967323695862</v>
      </c>
      <c r="DN37" s="83">
        <f>DM37-'Income Statement'!DN42</f>
        <v>98276.540212395223</v>
      </c>
      <c r="DO37" s="83">
        <f>DN37-'Income Statement'!DO42</f>
        <v>99031.986099548172</v>
      </c>
      <c r="DP37" s="83">
        <f>DO37-'Income Statement'!DP42</f>
        <v>99647.810169869554</v>
      </c>
      <c r="DQ37" s="26">
        <f t="shared" si="85"/>
        <v>99647.810169869554</v>
      </c>
      <c r="DR37" s="83">
        <f>DQ37-'Income Statement'!DR42</f>
        <v>100156.5755006941</v>
      </c>
      <c r="DS37" s="83">
        <f>DR37-'Income Statement'!DS42</f>
        <v>100580.95101995679</v>
      </c>
      <c r="DT37" s="83">
        <f>DS37-'Income Statement'!DT42</f>
        <v>100935.79421419199</v>
      </c>
      <c r="DU37" s="83">
        <f>DT37-'Income Statement'!DU42</f>
        <v>101231.46971418978</v>
      </c>
      <c r="DV37" s="26">
        <f t="shared" si="86"/>
        <v>101231.46971418978</v>
      </c>
      <c r="DW37" s="83">
        <f>DV37-'Income Statement'!DW42</f>
        <v>101475.63989046306</v>
      </c>
      <c r="DX37" s="83">
        <f>DW37-'Income Statement'!DX42</f>
        <v>101674.28054620087</v>
      </c>
      <c r="DY37" s="83">
        <f>DX37-'Income Statement'!DY42</f>
        <v>101832.26241961389</v>
      </c>
      <c r="DZ37" s="83">
        <f>DY37-'Income Statement'!DZ42</f>
        <v>101953.69021573408</v>
      </c>
      <c r="EA37" s="26">
        <f t="shared" si="87"/>
        <v>101953.69021573408</v>
      </c>
      <c r="EB37" s="83">
        <f>EA37-'Income Statement'!EB42</f>
        <v>102042.10556443132</v>
      </c>
      <c r="EC37" s="83">
        <f>EB37-'Income Statement'!EC42</f>
        <v>102100.61306308617</v>
      </c>
      <c r="ED37" s="83">
        <f>EC37-'Income Statement'!ED42</f>
        <v>102131.96235012542</v>
      </c>
      <c r="EE37" s="83">
        <f>ED37-'Income Statement'!EE42</f>
        <v>102138.60460706052</v>
      </c>
      <c r="EF37" s="26">
        <f t="shared" si="88"/>
        <v>102138.60460706052</v>
      </c>
    </row>
    <row r="38" spans="1:136" ht="12" customHeight="1">
      <c r="A38" s="9" t="s">
        <v>27</v>
      </c>
      <c r="B38" s="140"/>
      <c r="C38" s="140"/>
      <c r="D38" s="140"/>
      <c r="E38" s="140"/>
      <c r="F38" s="26">
        <f t="shared" si="89"/>
        <v>0</v>
      </c>
      <c r="G38" s="140"/>
      <c r="H38" s="140"/>
      <c r="I38" s="140"/>
      <c r="J38" s="140"/>
      <c r="K38" s="26">
        <f t="shared" si="63"/>
        <v>0</v>
      </c>
      <c r="L38" s="140"/>
      <c r="M38" s="140"/>
      <c r="N38" s="140"/>
      <c r="O38" s="140"/>
      <c r="P38" s="26">
        <f t="shared" si="64"/>
        <v>0</v>
      </c>
      <c r="Q38" s="140"/>
      <c r="R38" s="140"/>
      <c r="S38" s="140"/>
      <c r="T38" s="140"/>
      <c r="U38" s="26">
        <f t="shared" si="65"/>
        <v>0</v>
      </c>
      <c r="V38" s="140"/>
      <c r="W38" s="140"/>
      <c r="X38" s="140"/>
      <c r="Y38" s="140"/>
      <c r="Z38" s="26">
        <f t="shared" si="66"/>
        <v>0</v>
      </c>
      <c r="AA38" s="140"/>
      <c r="AB38" s="140"/>
      <c r="AC38" s="140"/>
      <c r="AD38" s="140"/>
      <c r="AE38" s="26">
        <f t="shared" si="67"/>
        <v>0</v>
      </c>
      <c r="AF38" s="140"/>
      <c r="AG38" s="140"/>
      <c r="AH38" s="140"/>
      <c r="AI38" s="140">
        <v>14277.981</v>
      </c>
      <c r="AJ38" s="26">
        <f t="shared" si="68"/>
        <v>14277.981</v>
      </c>
      <c r="AK38" s="140"/>
      <c r="AL38" s="140"/>
      <c r="AM38" s="140"/>
      <c r="AN38" s="140">
        <v>23802.488000000001</v>
      </c>
      <c r="AO38" s="26">
        <f t="shared" si="69"/>
        <v>23802.488000000001</v>
      </c>
      <c r="AP38" s="140"/>
      <c r="AQ38" s="140"/>
      <c r="AR38" s="140"/>
      <c r="AS38" s="140">
        <v>38821.771000000001</v>
      </c>
      <c r="AT38" s="26">
        <f t="shared" si="70"/>
        <v>38821.771000000001</v>
      </c>
      <c r="AU38" s="140"/>
      <c r="AV38" s="140"/>
      <c r="AW38" s="140"/>
      <c r="AX38" s="140">
        <v>24956</v>
      </c>
      <c r="AY38" s="26">
        <f t="shared" si="71"/>
        <v>24956</v>
      </c>
      <c r="AZ38" s="140"/>
      <c r="BA38" s="140"/>
      <c r="BB38" s="140"/>
      <c r="BC38" s="140">
        <v>0</v>
      </c>
      <c r="BD38" s="26">
        <f t="shared" si="72"/>
        <v>0</v>
      </c>
      <c r="BE38" s="140"/>
      <c r="BF38" s="140"/>
      <c r="BG38" s="140"/>
      <c r="BH38" s="140">
        <v>150000</v>
      </c>
      <c r="BI38" s="26">
        <f t="shared" si="73"/>
        <v>150000</v>
      </c>
      <c r="BJ38" s="140"/>
      <c r="BK38" s="140"/>
      <c r="BL38" s="140"/>
      <c r="BM38" s="140">
        <v>237081</v>
      </c>
      <c r="BN38" s="26">
        <f t="shared" si="74"/>
        <v>237081</v>
      </c>
      <c r="BO38" s="140"/>
      <c r="BP38" s="140"/>
      <c r="BQ38" s="140"/>
      <c r="BR38" s="140">
        <f>242057</f>
        <v>242057</v>
      </c>
      <c r="BS38" s="26">
        <f t="shared" si="90"/>
        <v>242057</v>
      </c>
      <c r="BT38" s="140"/>
      <c r="BU38" s="140"/>
      <c r="BV38" s="140"/>
      <c r="BW38" s="140">
        <f>134369</f>
        <v>134369</v>
      </c>
      <c r="BX38" s="26">
        <f t="shared" si="91"/>
        <v>134369</v>
      </c>
      <c r="BY38" s="140"/>
      <c r="BZ38" s="140"/>
      <c r="CA38" s="140"/>
      <c r="CB38" s="140">
        <f>170000</f>
        <v>170000</v>
      </c>
      <c r="CC38" s="26">
        <f t="shared" si="77"/>
        <v>170000</v>
      </c>
      <c r="CD38" s="140">
        <v>170000</v>
      </c>
      <c r="CE38" s="140">
        <v>170000</v>
      </c>
      <c r="CF38" s="140">
        <v>170000</v>
      </c>
      <c r="CG38" s="140">
        <v>38193</v>
      </c>
      <c r="CH38" s="26">
        <f t="shared" si="78"/>
        <v>38193</v>
      </c>
      <c r="CI38" s="140">
        <v>38193</v>
      </c>
      <c r="CJ38" s="140">
        <v>115000</v>
      </c>
      <c r="CK38" s="140">
        <v>0</v>
      </c>
      <c r="CL38" s="140">
        <v>71191</v>
      </c>
      <c r="CM38" s="26">
        <f t="shared" si="79"/>
        <v>71191</v>
      </c>
      <c r="CN38" s="140">
        <v>71191</v>
      </c>
      <c r="CO38" s="140">
        <v>150000</v>
      </c>
      <c r="CP38" s="140">
        <v>0</v>
      </c>
      <c r="CQ38" s="140">
        <v>78348</v>
      </c>
      <c r="CR38" s="26">
        <f t="shared" si="80"/>
        <v>78348</v>
      </c>
      <c r="CS38" s="140">
        <v>18348</v>
      </c>
      <c r="CT38" s="140">
        <v>0</v>
      </c>
      <c r="CU38" s="140">
        <v>150000</v>
      </c>
      <c r="CV38" s="140">
        <v>118537</v>
      </c>
      <c r="CW38" s="26">
        <f t="shared" si="81"/>
        <v>118537</v>
      </c>
      <c r="CX38" s="140">
        <v>118537</v>
      </c>
      <c r="CY38" s="140">
        <v>265000</v>
      </c>
      <c r="CZ38" s="140">
        <v>0</v>
      </c>
      <c r="DA38" s="140">
        <v>54338</v>
      </c>
      <c r="DB38" s="26">
        <f t="shared" si="82"/>
        <v>54338</v>
      </c>
      <c r="DC38" s="140">
        <v>54338</v>
      </c>
      <c r="DD38" s="140">
        <v>0</v>
      </c>
      <c r="DE38" s="140">
        <v>200000</v>
      </c>
      <c r="DF38" s="140">
        <v>0</v>
      </c>
      <c r="DG38" s="26">
        <f t="shared" si="83"/>
        <v>0</v>
      </c>
      <c r="DH38" s="140">
        <v>140000</v>
      </c>
      <c r="DI38" s="140">
        <v>30000</v>
      </c>
      <c r="DJ38" s="140">
        <v>0</v>
      </c>
      <c r="DK38" s="291">
        <v>0</v>
      </c>
      <c r="DL38" s="26">
        <f t="shared" si="84"/>
        <v>0</v>
      </c>
      <c r="DM38" s="140">
        <f>DL38</f>
        <v>0</v>
      </c>
      <c r="DN38" s="140">
        <v>0</v>
      </c>
      <c r="DO38" s="140">
        <v>0</v>
      </c>
      <c r="DP38" s="140">
        <f ca="1">'Income Statement'!DP50</f>
        <v>248737.12347171083</v>
      </c>
      <c r="DQ38" s="26">
        <f t="shared" ca="1" si="85"/>
        <v>248737.12347171083</v>
      </c>
      <c r="DR38" s="140">
        <f ca="1">DQ38</f>
        <v>248737.12347171083</v>
      </c>
      <c r="DS38" s="140">
        <v>0</v>
      </c>
      <c r="DT38" s="140">
        <v>0</v>
      </c>
      <c r="DU38" s="140">
        <f>'Income Statement'!DU50</f>
        <v>0</v>
      </c>
      <c r="DV38" s="26">
        <f t="shared" si="86"/>
        <v>0</v>
      </c>
      <c r="DW38" s="140">
        <f>DV38</f>
        <v>0</v>
      </c>
      <c r="DX38" s="140">
        <v>0</v>
      </c>
      <c r="DY38" s="140">
        <v>0</v>
      </c>
      <c r="DZ38" s="140">
        <f>'Income Statement'!DZ50</f>
        <v>0</v>
      </c>
      <c r="EA38" s="26">
        <f t="shared" si="87"/>
        <v>0</v>
      </c>
      <c r="EB38" s="140">
        <f>EA38</f>
        <v>0</v>
      </c>
      <c r="EC38" s="140">
        <v>0</v>
      </c>
      <c r="ED38" s="140">
        <v>0</v>
      </c>
      <c r="EE38" s="140">
        <f>'Income Statement'!EE50</f>
        <v>0</v>
      </c>
      <c r="EF38" s="26">
        <f t="shared" si="88"/>
        <v>0</v>
      </c>
    </row>
    <row r="39" spans="1:136" ht="12" customHeight="1">
      <c r="A39" s="9" t="s">
        <v>28</v>
      </c>
      <c r="B39" s="94"/>
      <c r="C39" s="94"/>
      <c r="D39" s="94"/>
      <c r="E39" s="94"/>
      <c r="F39" s="26">
        <f t="shared" si="89"/>
        <v>0</v>
      </c>
      <c r="G39" s="94"/>
      <c r="H39" s="94"/>
      <c r="I39" s="94"/>
      <c r="J39" s="94"/>
      <c r="K39" s="26">
        <f t="shared" si="63"/>
        <v>0</v>
      </c>
      <c r="L39" s="94"/>
      <c r="M39" s="94"/>
      <c r="N39" s="94"/>
      <c r="O39" s="94"/>
      <c r="P39" s="26">
        <f t="shared" si="64"/>
        <v>0</v>
      </c>
      <c r="Q39" s="94"/>
      <c r="R39" s="94"/>
      <c r="S39" s="94"/>
      <c r="T39" s="94"/>
      <c r="U39" s="26">
        <f t="shared" si="65"/>
        <v>0</v>
      </c>
      <c r="V39" s="94"/>
      <c r="W39" s="94"/>
      <c r="X39" s="94"/>
      <c r="Y39" s="94"/>
      <c r="Z39" s="26">
        <f t="shared" si="66"/>
        <v>0</v>
      </c>
      <c r="AA39" s="94"/>
      <c r="AB39" s="94"/>
      <c r="AC39" s="94"/>
      <c r="AD39" s="94"/>
      <c r="AE39" s="26">
        <f t="shared" si="67"/>
        <v>0</v>
      </c>
      <c r="AF39" s="94"/>
      <c r="AG39" s="94"/>
      <c r="AH39" s="94"/>
      <c r="AI39" s="94">
        <f>2470.195+366.367</f>
        <v>2836.5620000000004</v>
      </c>
      <c r="AJ39" s="26">
        <f t="shared" si="68"/>
        <v>2836.5620000000004</v>
      </c>
      <c r="AK39" s="94"/>
      <c r="AL39" s="94"/>
      <c r="AM39" s="94"/>
      <c r="AN39" s="94">
        <f>5295.053+2607.156+23.343</f>
        <v>7925.5519999999997</v>
      </c>
      <c r="AO39" s="26">
        <f t="shared" si="69"/>
        <v>7925.5519999999997</v>
      </c>
      <c r="AP39" s="94"/>
      <c r="AQ39" s="94"/>
      <c r="AR39" s="94"/>
      <c r="AS39" s="94">
        <f>2383.099+7825.53</f>
        <v>10208.629000000001</v>
      </c>
      <c r="AT39" s="26">
        <f t="shared" si="70"/>
        <v>10208.629000000001</v>
      </c>
      <c r="AU39" s="94"/>
      <c r="AV39" s="94"/>
      <c r="AW39" s="94"/>
      <c r="AX39" s="94">
        <f>8103+9677</f>
        <v>17780</v>
      </c>
      <c r="AY39" s="26">
        <f t="shared" si="71"/>
        <v>17780</v>
      </c>
      <c r="AZ39" s="94"/>
      <c r="BA39" s="94"/>
      <c r="BB39" s="94"/>
      <c r="BC39" s="94">
        <f>10307+11122</f>
        <v>21429</v>
      </c>
      <c r="BD39" s="26">
        <f t="shared" si="72"/>
        <v>21429</v>
      </c>
      <c r="BE39" s="94"/>
      <c r="BF39" s="94"/>
      <c r="BG39" s="94"/>
      <c r="BH39" s="94">
        <f>16520+9299</f>
        <v>25819</v>
      </c>
      <c r="BI39" s="26">
        <f t="shared" si="73"/>
        <v>25819</v>
      </c>
      <c r="BJ39" s="94"/>
      <c r="BK39" s="94"/>
      <c r="BL39" s="94"/>
      <c r="BM39" s="94">
        <f>22013+7393</f>
        <v>29406</v>
      </c>
      <c r="BN39" s="26">
        <f t="shared" si="74"/>
        <v>29406</v>
      </c>
      <c r="BO39" s="94"/>
      <c r="BP39" s="94"/>
      <c r="BQ39" s="94"/>
      <c r="BR39" s="94">
        <f>13387+3006+9371</f>
        <v>25764</v>
      </c>
      <c r="BS39" s="26">
        <f t="shared" si="90"/>
        <v>25764</v>
      </c>
      <c r="BT39" s="94"/>
      <c r="BU39" s="94"/>
      <c r="BV39" s="94"/>
      <c r="BW39" s="94">
        <f>15023+14452+7261</f>
        <v>36736</v>
      </c>
      <c r="BX39" s="26">
        <f t="shared" si="91"/>
        <v>36736</v>
      </c>
      <c r="BY39" s="94"/>
      <c r="BZ39" s="94"/>
      <c r="CA39" s="94"/>
      <c r="CB39" s="94">
        <f>15490+13321+6759</f>
        <v>35570</v>
      </c>
      <c r="CC39" s="26">
        <f t="shared" si="77"/>
        <v>35570</v>
      </c>
      <c r="CD39" s="94">
        <f>12700+7309+13321+1796</f>
        <v>35126</v>
      </c>
      <c r="CE39" s="94">
        <f>9804+8360+18835+1902</f>
        <v>38901</v>
      </c>
      <c r="CF39" s="94">
        <f>9909+19035+8358</f>
        <v>37302</v>
      </c>
      <c r="CG39" s="94">
        <f>14696+12638+9174+642</f>
        <v>37150</v>
      </c>
      <c r="CH39" s="26">
        <f t="shared" si="78"/>
        <v>37150</v>
      </c>
      <c r="CI39" s="94">
        <f>14496+12466+9475+656</f>
        <v>37093</v>
      </c>
      <c r="CJ39" s="94">
        <f>13229+11086+10377+696</f>
        <v>35388</v>
      </c>
      <c r="CK39" s="94">
        <f>12286+10089+11427+794</f>
        <v>34596</v>
      </c>
      <c r="CL39" s="94">
        <f>11780+9299+13220+755</f>
        <v>35054</v>
      </c>
      <c r="CM39" s="26">
        <f t="shared" si="79"/>
        <v>35054</v>
      </c>
      <c r="CN39" s="94">
        <f>11414+8804+15037+777</f>
        <v>36032</v>
      </c>
      <c r="CO39" s="94">
        <f>11492+8607+16723+807</f>
        <v>37629</v>
      </c>
      <c r="CP39" s="94">
        <f>10266+7656+18755+750</f>
        <v>37427</v>
      </c>
      <c r="CQ39" s="94">
        <f>10189+8679+21389+893</f>
        <v>41150</v>
      </c>
      <c r="CR39" s="26">
        <f t="shared" si="80"/>
        <v>41150</v>
      </c>
      <c r="CS39" s="94">
        <f>10716+9016+23738+929</f>
        <v>44399</v>
      </c>
      <c r="CT39" s="94">
        <f>11097+9904+27158+932</f>
        <v>49091</v>
      </c>
      <c r="CU39" s="94">
        <f>10925+9412+30803+750</f>
        <v>51890</v>
      </c>
      <c r="CV39" s="94">
        <f>11390+12048+38880+766</f>
        <v>63084</v>
      </c>
      <c r="CW39" s="26">
        <f t="shared" si="81"/>
        <v>63084</v>
      </c>
      <c r="CX39" s="94">
        <f>13291+15285+43195+695</f>
        <v>72466</v>
      </c>
      <c r="CY39" s="94">
        <f>12885+14816+48724+730</f>
        <v>77155</v>
      </c>
      <c r="CZ39" s="94">
        <f>12641+14537+54775+755</f>
        <v>82708</v>
      </c>
      <c r="DA39" s="94">
        <f>13493+13769+60743+756</f>
        <v>88761</v>
      </c>
      <c r="DB39" s="26">
        <f t="shared" si="82"/>
        <v>88761</v>
      </c>
      <c r="DC39" s="94">
        <f>13600+16877+67925+769</f>
        <v>99171</v>
      </c>
      <c r="DD39" s="94">
        <f>13623+21401+76096+833</f>
        <v>111953</v>
      </c>
      <c r="DE39" s="94">
        <f>13826+24107+82797+835</f>
        <v>121565</v>
      </c>
      <c r="DF39" s="94">
        <f>12388+28640+91000+896</f>
        <v>132924</v>
      </c>
      <c r="DG39" s="26">
        <f t="shared" si="83"/>
        <v>132924</v>
      </c>
      <c r="DH39" s="94">
        <f>13254+35524+99586+895</f>
        <v>149259</v>
      </c>
      <c r="DI39" s="94">
        <f>12631+41411+105495+886</f>
        <v>160423</v>
      </c>
      <c r="DJ39" s="94">
        <f>DI39*(DJ13+DJ9)/(DI9+DI13)</f>
        <v>166730.40342738165</v>
      </c>
      <c r="DK39" s="94">
        <f>DJ39*(DK13+DK9)/(DJ9+DJ13)</f>
        <v>170649.3424352477</v>
      </c>
      <c r="DL39" s="26">
        <f t="shared" si="84"/>
        <v>170649.3424352477</v>
      </c>
      <c r="DM39" s="94">
        <f>DL39*(DM13+DM9)/(DL9+DL13)</f>
        <v>169768.61609778495</v>
      </c>
      <c r="DN39" s="94">
        <f>DM39*(DN13+DN9)/(DM9+DM13)</f>
        <v>175032.33182633459</v>
      </c>
      <c r="DO39" s="94">
        <f>DN39*(DO13+DO9)/(DN9+DN13)</f>
        <v>179509.69849451911</v>
      </c>
      <c r="DP39" s="94">
        <f>DO39*(DP13+DP9)/(DO9+DO13)</f>
        <v>183630.82568319494</v>
      </c>
      <c r="DQ39" s="26">
        <f t="shared" si="85"/>
        <v>183630.82568319494</v>
      </c>
      <c r="DR39" s="94">
        <f>DQ39*(DR13+DR9)/(DQ9+DQ13)</f>
        <v>187497.30275859873</v>
      </c>
      <c r="DS39" s="94">
        <f>DR39*(DS13+DS9)/(DR9+DR13)</f>
        <v>191176.62332623606</v>
      </c>
      <c r="DT39" s="94">
        <f>DS39*(DT13+DT9)/(DS9+DS13)</f>
        <v>194711.75432098494</v>
      </c>
      <c r="DU39" s="94">
        <f>DT39*(DU13+DU9)/(DT9+DT13)</f>
        <v>198131.6876327059</v>
      </c>
      <c r="DV39" s="26">
        <f t="shared" si="86"/>
        <v>198131.6876327059</v>
      </c>
      <c r="DW39" s="94">
        <f>DV39*(DW13+DW9)/(DV9+DV13)</f>
        <v>201457.16936878645</v>
      </c>
      <c r="DX39" s="94">
        <f>DW39*(DX13+DX9)/(DW9+DW13)</f>
        <v>204703.93075336504</v>
      </c>
      <c r="DY39" s="94">
        <f>DX39*(DY13+DY9)/(DX9+DX13)</f>
        <v>207884.52288122338</v>
      </c>
      <c r="DZ39" s="94">
        <f>DY39*(DZ13+DZ9)/(DY9+DY13)</f>
        <v>211009.37327279538</v>
      </c>
      <c r="EA39" s="26">
        <f t="shared" si="87"/>
        <v>211009.37327279538</v>
      </c>
      <c r="EB39" s="94">
        <f>EA39*(EB13+EB9)/(EA9+EA13)</f>
        <v>214087.40708387393</v>
      </c>
      <c r="EC39" s="94">
        <f>EB39*(EC13+EC9)/(EB9+EB13)</f>
        <v>217126.42346374292</v>
      </c>
      <c r="ED39" s="94">
        <f>EC39*(ED13+ED9)/(EC9+EC13)</f>
        <v>220133.33302781501</v>
      </c>
      <c r="EE39" s="94">
        <f>ED39*(EE13+EE9)/(ED9+ED13)</f>
        <v>223114.31550748489</v>
      </c>
      <c r="EF39" s="26">
        <f t="shared" si="88"/>
        <v>223114.31550748489</v>
      </c>
    </row>
    <row r="40" spans="1:136" ht="12" customHeight="1">
      <c r="A40" s="9" t="s">
        <v>118</v>
      </c>
      <c r="B40" s="94"/>
      <c r="C40" s="94"/>
      <c r="D40" s="140"/>
      <c r="E40" s="140"/>
      <c r="F40" s="20">
        <f>E40</f>
        <v>0</v>
      </c>
      <c r="G40" s="94"/>
      <c r="H40" s="94"/>
      <c r="I40" s="140"/>
      <c r="J40" s="140"/>
      <c r="K40" s="20">
        <f t="shared" si="63"/>
        <v>0</v>
      </c>
      <c r="L40" s="94"/>
      <c r="M40" s="94"/>
      <c r="N40" s="140"/>
      <c r="O40" s="140"/>
      <c r="P40" s="20">
        <f t="shared" si="64"/>
        <v>0</v>
      </c>
      <c r="Q40" s="94"/>
      <c r="R40" s="94"/>
      <c r="S40" s="140"/>
      <c r="T40" s="140"/>
      <c r="U40" s="20">
        <f t="shared" si="65"/>
        <v>0</v>
      </c>
      <c r="V40" s="94"/>
      <c r="W40" s="94"/>
      <c r="X40" s="140"/>
      <c r="Y40" s="140"/>
      <c r="Z40" s="20">
        <f t="shared" si="66"/>
        <v>0</v>
      </c>
      <c r="AA40" s="94"/>
      <c r="AB40" s="94"/>
      <c r="AC40" s="140"/>
      <c r="AD40" s="140"/>
      <c r="AE40" s="20">
        <f t="shared" si="67"/>
        <v>0</v>
      </c>
      <c r="AF40" s="140"/>
      <c r="AG40" s="140"/>
      <c r="AH40" s="140"/>
      <c r="AI40" s="140">
        <f>13176.847+345.628</f>
        <v>13522.475</v>
      </c>
      <c r="AJ40" s="20">
        <f t="shared" si="68"/>
        <v>13522.475</v>
      </c>
      <c r="AK40" s="140"/>
      <c r="AL40" s="140"/>
      <c r="AM40" s="140"/>
      <c r="AN40" s="140">
        <f>17044.061+486.41</f>
        <v>17530.471000000001</v>
      </c>
      <c r="AO40" s="20">
        <f t="shared" si="69"/>
        <v>17530.471000000001</v>
      </c>
      <c r="AP40" s="140"/>
      <c r="AQ40" s="140"/>
      <c r="AR40" s="140"/>
      <c r="AS40" s="140">
        <f>21230.772+11445.055</f>
        <v>32675.827000000001</v>
      </c>
      <c r="AT40" s="20">
        <f t="shared" si="70"/>
        <v>32675.827000000001</v>
      </c>
      <c r="AU40" s="140"/>
      <c r="AV40" s="140"/>
      <c r="AW40" s="140"/>
      <c r="AX40" s="140">
        <f>21470+77</f>
        <v>21547</v>
      </c>
      <c r="AY40" s="20">
        <f t="shared" si="71"/>
        <v>21547</v>
      </c>
      <c r="AZ40" s="140"/>
      <c r="BA40" s="140"/>
      <c r="BB40" s="140"/>
      <c r="BC40" s="140">
        <f>16875+2888</f>
        <v>19763</v>
      </c>
      <c r="BD40" s="20">
        <f t="shared" si="72"/>
        <v>19763</v>
      </c>
      <c r="BE40" s="140"/>
      <c r="BF40" s="140"/>
      <c r="BG40" s="140"/>
      <c r="BH40" s="140">
        <f>18346+1892</f>
        <v>20238</v>
      </c>
      <c r="BI40" s="20">
        <f t="shared" si="73"/>
        <v>20238</v>
      </c>
      <c r="BJ40" s="140"/>
      <c r="BK40" s="140"/>
      <c r="BL40" s="140"/>
      <c r="BM40" s="140">
        <f>6896+1494</f>
        <v>8390</v>
      </c>
      <c r="BN40" s="20">
        <f t="shared" si="74"/>
        <v>8390</v>
      </c>
      <c r="BO40" s="140"/>
      <c r="BP40" s="140"/>
      <c r="BQ40" s="140"/>
      <c r="BR40" s="140">
        <f>3018+933</f>
        <v>3951</v>
      </c>
      <c r="BS40" s="20">
        <f t="shared" si="90"/>
        <v>3951</v>
      </c>
      <c r="BT40" s="140"/>
      <c r="BU40" s="140"/>
      <c r="BV40" s="140"/>
      <c r="BW40" s="140">
        <f>12738</f>
        <v>12738</v>
      </c>
      <c r="BX40" s="20">
        <f t="shared" si="91"/>
        <v>12738</v>
      </c>
      <c r="BY40" s="140"/>
      <c r="BZ40" s="140"/>
      <c r="CA40" s="140"/>
      <c r="CB40" s="140">
        <f>2841</f>
        <v>2841</v>
      </c>
      <c r="CC40" s="20">
        <f t="shared" si="77"/>
        <v>2841</v>
      </c>
      <c r="CD40" s="140">
        <v>2465</v>
      </c>
      <c r="CE40" s="140">
        <v>1314</v>
      </c>
      <c r="CF40" s="140">
        <v>1877</v>
      </c>
      <c r="CG40" s="140">
        <v>2007</v>
      </c>
      <c r="CH40" s="20">
        <f t="shared" si="78"/>
        <v>2007</v>
      </c>
      <c r="CI40" s="140">
        <v>13356</v>
      </c>
      <c r="CJ40" s="140">
        <v>12838</v>
      </c>
      <c r="CK40" s="140">
        <v>5274</v>
      </c>
      <c r="CL40" s="140">
        <v>5943</v>
      </c>
      <c r="CM40" s="20">
        <f t="shared" si="79"/>
        <v>5943</v>
      </c>
      <c r="CN40" s="140">
        <v>5253</v>
      </c>
      <c r="CO40" s="140">
        <v>4414</v>
      </c>
      <c r="CP40" s="140">
        <v>3507</v>
      </c>
      <c r="CQ40" s="140">
        <v>7388</v>
      </c>
      <c r="CR40" s="20">
        <f t="shared" si="80"/>
        <v>7388</v>
      </c>
      <c r="CS40" s="140">
        <v>5088</v>
      </c>
      <c r="CT40" s="140">
        <v>3867</v>
      </c>
      <c r="CU40" s="140">
        <v>4586</v>
      </c>
      <c r="CV40" s="140">
        <v>3900</v>
      </c>
      <c r="CW40" s="20">
        <f t="shared" si="81"/>
        <v>3900</v>
      </c>
      <c r="CX40" s="140">
        <v>2721</v>
      </c>
      <c r="CY40" s="140">
        <v>10137</v>
      </c>
      <c r="CZ40" s="140">
        <v>10399</v>
      </c>
      <c r="DA40" s="140">
        <f>12294+32433</f>
        <v>44727</v>
      </c>
      <c r="DB40" s="20">
        <f t="shared" si="82"/>
        <v>44727</v>
      </c>
      <c r="DC40" s="140">
        <f>1558+34142</f>
        <v>35700</v>
      </c>
      <c r="DD40" s="140">
        <f>2713+16683</f>
        <v>19396</v>
      </c>
      <c r="DE40" s="140">
        <f>4186+20409</f>
        <v>24595</v>
      </c>
      <c r="DF40" s="140">
        <f>6167+17841</f>
        <v>24008</v>
      </c>
      <c r="DG40" s="20">
        <f t="shared" si="83"/>
        <v>24008</v>
      </c>
      <c r="DH40" s="140">
        <f>8515+22271</f>
        <v>30786</v>
      </c>
      <c r="DI40" s="140">
        <f>3611+21957</f>
        <v>25568</v>
      </c>
      <c r="DJ40" s="94">
        <f t="shared" ref="DJ40:DK41" si="92">DI40</f>
        <v>25568</v>
      </c>
      <c r="DK40" s="94">
        <f t="shared" si="92"/>
        <v>25568</v>
      </c>
      <c r="DL40" s="20">
        <f t="shared" si="84"/>
        <v>25568</v>
      </c>
      <c r="DM40" s="94">
        <f t="shared" ref="DM40:DP41" si="93">DL40</f>
        <v>25568</v>
      </c>
      <c r="DN40" s="94">
        <f t="shared" si="93"/>
        <v>25568</v>
      </c>
      <c r="DO40" s="94">
        <f t="shared" si="93"/>
        <v>25568</v>
      </c>
      <c r="DP40" s="94">
        <f t="shared" si="93"/>
        <v>25568</v>
      </c>
      <c r="DQ40" s="20">
        <f t="shared" si="85"/>
        <v>25568</v>
      </c>
      <c r="DR40" s="94">
        <f t="shared" ref="DR40:DU41" si="94">DQ40</f>
        <v>25568</v>
      </c>
      <c r="DS40" s="94">
        <f t="shared" si="94"/>
        <v>25568</v>
      </c>
      <c r="DT40" s="94">
        <f t="shared" si="94"/>
        <v>25568</v>
      </c>
      <c r="DU40" s="94">
        <f t="shared" si="94"/>
        <v>25568</v>
      </c>
      <c r="DV40" s="20">
        <f t="shared" si="86"/>
        <v>25568</v>
      </c>
      <c r="DW40" s="94">
        <f t="shared" ref="DW40:DZ41" si="95">DV40</f>
        <v>25568</v>
      </c>
      <c r="DX40" s="94">
        <f t="shared" si="95"/>
        <v>25568</v>
      </c>
      <c r="DY40" s="94">
        <f t="shared" si="95"/>
        <v>25568</v>
      </c>
      <c r="DZ40" s="94">
        <f t="shared" si="95"/>
        <v>25568</v>
      </c>
      <c r="EA40" s="20">
        <f t="shared" si="87"/>
        <v>25568</v>
      </c>
      <c r="EB40" s="94">
        <f t="shared" ref="EB40:EE41" si="96">EA40</f>
        <v>25568</v>
      </c>
      <c r="EC40" s="94">
        <f t="shared" si="96"/>
        <v>25568</v>
      </c>
      <c r="ED40" s="94">
        <f t="shared" si="96"/>
        <v>25568</v>
      </c>
      <c r="EE40" s="94">
        <f t="shared" si="96"/>
        <v>25568</v>
      </c>
      <c r="EF40" s="20">
        <f t="shared" si="88"/>
        <v>25568</v>
      </c>
    </row>
    <row r="41" spans="1:136" s="92" customFormat="1" ht="12" customHeight="1" outlineLevel="1">
      <c r="A41" s="121" t="s">
        <v>30</v>
      </c>
      <c r="B41" s="141"/>
      <c r="C41" s="141"/>
      <c r="D41" s="141"/>
      <c r="E41" s="141"/>
      <c r="F41" s="123">
        <f>E41</f>
        <v>0</v>
      </c>
      <c r="G41" s="141"/>
      <c r="H41" s="141"/>
      <c r="I41" s="141"/>
      <c r="J41" s="141"/>
      <c r="K41" s="123">
        <f t="shared" si="63"/>
        <v>0</v>
      </c>
      <c r="L41" s="141"/>
      <c r="M41" s="141"/>
      <c r="N41" s="141"/>
      <c r="O41" s="141"/>
      <c r="P41" s="123">
        <f t="shared" si="64"/>
        <v>0</v>
      </c>
      <c r="Q41" s="141"/>
      <c r="R41" s="141"/>
      <c r="S41" s="141"/>
      <c r="T41" s="141"/>
      <c r="U41" s="123">
        <f t="shared" si="65"/>
        <v>0</v>
      </c>
      <c r="V41" s="141"/>
      <c r="W41" s="141"/>
      <c r="X41" s="141"/>
      <c r="Y41" s="141"/>
      <c r="Z41" s="123">
        <f t="shared" si="66"/>
        <v>0</v>
      </c>
      <c r="AA41" s="141"/>
      <c r="AB41" s="141"/>
      <c r="AC41" s="141"/>
      <c r="AD41" s="141"/>
      <c r="AE41" s="123">
        <f t="shared" si="67"/>
        <v>0</v>
      </c>
      <c r="AF41" s="141"/>
      <c r="AG41" s="141"/>
      <c r="AH41" s="141"/>
      <c r="AI41" s="141">
        <v>0</v>
      </c>
      <c r="AJ41" s="123">
        <f t="shared" si="68"/>
        <v>0</v>
      </c>
      <c r="AK41" s="141"/>
      <c r="AL41" s="141"/>
      <c r="AM41" s="141"/>
      <c r="AN41" s="141">
        <v>0</v>
      </c>
      <c r="AO41" s="123">
        <f t="shared" si="69"/>
        <v>0</v>
      </c>
      <c r="AP41" s="141"/>
      <c r="AQ41" s="141"/>
      <c r="AR41" s="141"/>
      <c r="AS41" s="141">
        <v>0</v>
      </c>
      <c r="AT41" s="123">
        <f t="shared" si="70"/>
        <v>0</v>
      </c>
      <c r="AU41" s="141"/>
      <c r="AV41" s="141"/>
      <c r="AW41" s="141"/>
      <c r="AX41" s="141">
        <v>0</v>
      </c>
      <c r="AY41" s="123">
        <f t="shared" si="71"/>
        <v>0</v>
      </c>
      <c r="AZ41" s="141"/>
      <c r="BA41" s="141"/>
      <c r="BB41" s="141"/>
      <c r="BC41" s="141">
        <v>0</v>
      </c>
      <c r="BD41" s="123">
        <f t="shared" si="72"/>
        <v>0</v>
      </c>
      <c r="BE41" s="141"/>
      <c r="BF41" s="141"/>
      <c r="BG41" s="141"/>
      <c r="BH41" s="141">
        <v>0</v>
      </c>
      <c r="BI41" s="123">
        <f t="shared" si="73"/>
        <v>0</v>
      </c>
      <c r="BJ41" s="141"/>
      <c r="BK41" s="141"/>
      <c r="BL41" s="141"/>
      <c r="BM41" s="141">
        <v>0</v>
      </c>
      <c r="BN41" s="123">
        <f t="shared" si="74"/>
        <v>0</v>
      </c>
      <c r="BO41" s="141"/>
      <c r="BP41" s="141"/>
      <c r="BQ41" s="141"/>
      <c r="BR41" s="141">
        <v>0</v>
      </c>
      <c r="BS41" s="123">
        <f t="shared" si="90"/>
        <v>0</v>
      </c>
      <c r="BT41" s="141"/>
      <c r="BU41" s="141"/>
      <c r="BV41" s="141"/>
      <c r="BW41" s="141">
        <v>0</v>
      </c>
      <c r="BX41" s="123">
        <f t="shared" si="91"/>
        <v>0</v>
      </c>
      <c r="BY41" s="141"/>
      <c r="BZ41" s="141"/>
      <c r="CA41" s="141"/>
      <c r="CB41" s="141">
        <v>0</v>
      </c>
      <c r="CC41" s="123">
        <f>CB41</f>
        <v>0</v>
      </c>
      <c r="CD41" s="141">
        <v>0</v>
      </c>
      <c r="CE41" s="141">
        <v>0</v>
      </c>
      <c r="CF41" s="141">
        <v>0</v>
      </c>
      <c r="CG41" s="141">
        <v>0</v>
      </c>
      <c r="CH41" s="123">
        <f>CG41</f>
        <v>0</v>
      </c>
      <c r="CI41" s="141">
        <v>0</v>
      </c>
      <c r="CJ41" s="141">
        <v>0</v>
      </c>
      <c r="CK41" s="141">
        <v>0</v>
      </c>
      <c r="CL41" s="141">
        <v>0</v>
      </c>
      <c r="CM41" s="123">
        <f>CL41</f>
        <v>0</v>
      </c>
      <c r="CN41" s="141">
        <v>0</v>
      </c>
      <c r="CO41" s="141">
        <v>0</v>
      </c>
      <c r="CP41" s="141">
        <v>0</v>
      </c>
      <c r="CQ41" s="141">
        <v>0</v>
      </c>
      <c r="CR41" s="123">
        <f>CQ41</f>
        <v>0</v>
      </c>
      <c r="CS41" s="141">
        <v>0</v>
      </c>
      <c r="CT41" s="141">
        <v>0</v>
      </c>
      <c r="CU41" s="141">
        <v>0</v>
      </c>
      <c r="CV41" s="141">
        <v>0</v>
      </c>
      <c r="CW41" s="123">
        <f>CV41</f>
        <v>0</v>
      </c>
      <c r="CX41" s="141">
        <v>0</v>
      </c>
      <c r="CY41" s="141">
        <v>0</v>
      </c>
      <c r="CZ41" s="141">
        <v>0</v>
      </c>
      <c r="DA41" s="141">
        <v>0</v>
      </c>
      <c r="DB41" s="123">
        <f>DA41</f>
        <v>0</v>
      </c>
      <c r="DC41" s="141">
        <v>0</v>
      </c>
      <c r="DD41" s="141">
        <v>0</v>
      </c>
      <c r="DE41" s="141">
        <v>0</v>
      </c>
      <c r="DF41" s="141">
        <v>0</v>
      </c>
      <c r="DG41" s="123">
        <f>DF41</f>
        <v>0</v>
      </c>
      <c r="DH41" s="141">
        <v>0</v>
      </c>
      <c r="DI41" s="141">
        <v>0</v>
      </c>
      <c r="DJ41" s="141">
        <f t="shared" si="92"/>
        <v>0</v>
      </c>
      <c r="DK41" s="141">
        <f t="shared" si="92"/>
        <v>0</v>
      </c>
      <c r="DL41" s="123">
        <f>DK41</f>
        <v>0</v>
      </c>
      <c r="DM41" s="141">
        <f t="shared" si="93"/>
        <v>0</v>
      </c>
      <c r="DN41" s="141">
        <f t="shared" si="93"/>
        <v>0</v>
      </c>
      <c r="DO41" s="141">
        <f t="shared" si="93"/>
        <v>0</v>
      </c>
      <c r="DP41" s="141">
        <f t="shared" si="93"/>
        <v>0</v>
      </c>
      <c r="DQ41" s="123">
        <f>DP41</f>
        <v>0</v>
      </c>
      <c r="DR41" s="141">
        <f t="shared" si="94"/>
        <v>0</v>
      </c>
      <c r="DS41" s="141">
        <f t="shared" si="94"/>
        <v>0</v>
      </c>
      <c r="DT41" s="141">
        <f t="shared" si="94"/>
        <v>0</v>
      </c>
      <c r="DU41" s="141">
        <f t="shared" si="94"/>
        <v>0</v>
      </c>
      <c r="DV41" s="123">
        <f>DU41</f>
        <v>0</v>
      </c>
      <c r="DW41" s="141">
        <f t="shared" si="95"/>
        <v>0</v>
      </c>
      <c r="DX41" s="141">
        <f t="shared" si="95"/>
        <v>0</v>
      </c>
      <c r="DY41" s="141">
        <f t="shared" si="95"/>
        <v>0</v>
      </c>
      <c r="DZ41" s="141">
        <f t="shared" si="95"/>
        <v>0</v>
      </c>
      <c r="EA41" s="123">
        <f>DZ41</f>
        <v>0</v>
      </c>
      <c r="EB41" s="141">
        <f t="shared" si="96"/>
        <v>0</v>
      </c>
      <c r="EC41" s="141">
        <f t="shared" si="96"/>
        <v>0</v>
      </c>
      <c r="ED41" s="141">
        <f t="shared" si="96"/>
        <v>0</v>
      </c>
      <c r="EE41" s="141">
        <f t="shared" si="96"/>
        <v>0</v>
      </c>
      <c r="EF41" s="123">
        <f>EE41</f>
        <v>0</v>
      </c>
    </row>
    <row r="42" spans="1:136" s="92" customFormat="1" ht="12" customHeight="1">
      <c r="A42" s="121" t="s">
        <v>31</v>
      </c>
      <c r="B42" s="141"/>
      <c r="C42" s="141"/>
      <c r="D42" s="141"/>
      <c r="E42" s="141"/>
      <c r="F42" s="123">
        <f>E42</f>
        <v>0</v>
      </c>
      <c r="G42" s="141"/>
      <c r="H42" s="141"/>
      <c r="I42" s="141"/>
      <c r="J42" s="141"/>
      <c r="K42" s="123">
        <f t="shared" si="63"/>
        <v>0</v>
      </c>
      <c r="L42" s="141"/>
      <c r="M42" s="141"/>
      <c r="N42" s="141"/>
      <c r="O42" s="141"/>
      <c r="P42" s="123">
        <f t="shared" si="64"/>
        <v>0</v>
      </c>
      <c r="Q42" s="141"/>
      <c r="R42" s="141"/>
      <c r="S42" s="141"/>
      <c r="T42" s="141"/>
      <c r="U42" s="123">
        <f t="shared" si="65"/>
        <v>0</v>
      </c>
      <c r="V42" s="141"/>
      <c r="W42" s="141"/>
      <c r="X42" s="141"/>
      <c r="Y42" s="141"/>
      <c r="Z42" s="123">
        <f t="shared" si="66"/>
        <v>0</v>
      </c>
      <c r="AA42" s="141"/>
      <c r="AB42" s="141"/>
      <c r="AC42" s="141"/>
      <c r="AD42" s="141"/>
      <c r="AE42" s="123">
        <f t="shared" si="67"/>
        <v>0</v>
      </c>
      <c r="AF42" s="141"/>
      <c r="AG42" s="141"/>
      <c r="AH42" s="141"/>
      <c r="AI42" s="141">
        <v>0</v>
      </c>
      <c r="AJ42" s="123">
        <f t="shared" si="68"/>
        <v>0</v>
      </c>
      <c r="AK42" s="141"/>
      <c r="AL42" s="141"/>
      <c r="AM42" s="141"/>
      <c r="AN42" s="141">
        <v>0</v>
      </c>
      <c r="AO42" s="123">
        <f t="shared" si="69"/>
        <v>0</v>
      </c>
      <c r="AP42" s="141"/>
      <c r="AQ42" s="141"/>
      <c r="AR42" s="141"/>
      <c r="AS42" s="141">
        <v>80004.898000000001</v>
      </c>
      <c r="AT42" s="123">
        <f t="shared" si="70"/>
        <v>80004.898000000001</v>
      </c>
      <c r="AU42" s="141"/>
      <c r="AV42" s="141"/>
      <c r="AW42" s="141"/>
      <c r="AX42" s="141">
        <v>138854</v>
      </c>
      <c r="AY42" s="123">
        <f t="shared" si="71"/>
        <v>138854</v>
      </c>
      <c r="AZ42" s="141"/>
      <c r="BA42" s="141"/>
      <c r="BB42" s="141"/>
      <c r="BC42" s="141">
        <v>153631</v>
      </c>
      <c r="BD42" s="123">
        <f t="shared" si="72"/>
        <v>153631</v>
      </c>
      <c r="BE42" s="141"/>
      <c r="BF42" s="141"/>
      <c r="BG42" s="141"/>
      <c r="BH42" s="141">
        <v>143889</v>
      </c>
      <c r="BI42" s="123">
        <f t="shared" si="73"/>
        <v>143889</v>
      </c>
      <c r="BJ42" s="141"/>
      <c r="BK42" s="141"/>
      <c r="BL42" s="141"/>
      <c r="BM42" s="141">
        <v>112556</v>
      </c>
      <c r="BN42" s="123">
        <f t="shared" si="74"/>
        <v>112556</v>
      </c>
      <c r="BO42" s="141"/>
      <c r="BP42" s="141"/>
      <c r="BQ42" s="141"/>
      <c r="BR42" s="141">
        <f>124545</f>
        <v>124545</v>
      </c>
      <c r="BS42" s="123">
        <f t="shared" si="90"/>
        <v>124545</v>
      </c>
      <c r="BT42" s="141"/>
      <c r="BU42" s="141"/>
      <c r="BV42" s="141"/>
      <c r="BW42" s="141">
        <f>133764</f>
        <v>133764</v>
      </c>
      <c r="BX42" s="123">
        <f t="shared" si="91"/>
        <v>133764</v>
      </c>
      <c r="BY42" s="141"/>
      <c r="BZ42" s="141"/>
      <c r="CA42" s="141"/>
      <c r="CB42" s="141">
        <v>150182</v>
      </c>
      <c r="CC42" s="123">
        <f>CB42</f>
        <v>150182</v>
      </c>
      <c r="CD42" s="141">
        <v>155510</v>
      </c>
      <c r="CE42" s="141">
        <v>162668</v>
      </c>
      <c r="CF42" s="141">
        <v>170936</v>
      </c>
      <c r="CG42" s="141">
        <v>152923</v>
      </c>
      <c r="CH42" s="123">
        <f>CG42</f>
        <v>152923</v>
      </c>
      <c r="CI42" s="141">
        <v>154258</v>
      </c>
      <c r="CJ42" s="141">
        <v>150132</v>
      </c>
      <c r="CK42" s="141">
        <v>148534</v>
      </c>
      <c r="CL42" s="141">
        <v>147230</v>
      </c>
      <c r="CM42" s="123">
        <f>CL42</f>
        <v>147230</v>
      </c>
      <c r="CN42" s="141">
        <v>144035</v>
      </c>
      <c r="CO42" s="141">
        <v>147818</v>
      </c>
      <c r="CP42" s="141">
        <v>134033</v>
      </c>
      <c r="CQ42" s="141">
        <v>126011</v>
      </c>
      <c r="CR42" s="123">
        <f>CQ42</f>
        <v>126011</v>
      </c>
      <c r="CS42" s="141">
        <v>126067</v>
      </c>
      <c r="CT42" s="141">
        <v>137528</v>
      </c>
      <c r="CU42" s="141">
        <v>132985</v>
      </c>
      <c r="CV42" s="141">
        <v>132015</v>
      </c>
      <c r="CW42" s="123">
        <f>CV42</f>
        <v>132015</v>
      </c>
      <c r="CX42" s="141">
        <v>152236</v>
      </c>
      <c r="CY42" s="141">
        <v>139517</v>
      </c>
      <c r="CZ42" s="141">
        <v>149296</v>
      </c>
      <c r="DA42" s="141">
        <v>214069</v>
      </c>
      <c r="DB42" s="123">
        <f>DA42</f>
        <v>214069</v>
      </c>
      <c r="DC42" s="141">
        <v>227539</v>
      </c>
      <c r="DD42" s="141">
        <v>248326</v>
      </c>
      <c r="DE42" s="141">
        <v>256908</v>
      </c>
      <c r="DF42" s="141">
        <v>280348</v>
      </c>
      <c r="DG42" s="123">
        <f>DF42</f>
        <v>280348</v>
      </c>
      <c r="DH42" s="141">
        <v>347397</v>
      </c>
      <c r="DI42" s="141">
        <v>393817</v>
      </c>
      <c r="DJ42" s="122">
        <f>DI42-'Income Statement'!DJ46/2</f>
        <v>415969.20624999999</v>
      </c>
      <c r="DK42" s="122">
        <f>DJ42-'Income Statement'!DK46/2</f>
        <v>439367.47410156252</v>
      </c>
      <c r="DL42" s="123">
        <f>DK42</f>
        <v>439367.47410156252</v>
      </c>
      <c r="DM42" s="122">
        <f>DL42-'Income Statement'!DM46/2</f>
        <v>458589.80109350587</v>
      </c>
      <c r="DN42" s="122">
        <f>DM42-'Income Statement'!DN46/2</f>
        <v>478653.10489134677</v>
      </c>
      <c r="DO42" s="122">
        <f>DN42-'Income Statement'!DO46/2</f>
        <v>499594.17823034321</v>
      </c>
      <c r="DP42" s="122">
        <f>DO42-'Income Statement'!DP46/2</f>
        <v>521451.42352792074</v>
      </c>
      <c r="DQ42" s="123">
        <f>DP42</f>
        <v>521451.42352792074</v>
      </c>
      <c r="DR42" s="122">
        <f>DQ42-'Income Statement'!DR46/2</f>
        <v>541005.85191021778</v>
      </c>
      <c r="DS42" s="122">
        <f>DR42-'Income Statement'!DS46/2</f>
        <v>561293.57135685091</v>
      </c>
      <c r="DT42" s="122">
        <f>DS42-'Income Statement'!DT46/2</f>
        <v>582342.08028273284</v>
      </c>
      <c r="DU42" s="122">
        <f>DT42-'Income Statement'!DU46/2</f>
        <v>604179.90829333535</v>
      </c>
      <c r="DV42" s="123">
        <f>DU42</f>
        <v>604179.90829333535</v>
      </c>
      <c r="DW42" s="122">
        <f>DV42-'Income Statement'!DW46/2</f>
        <v>626836.65485433547</v>
      </c>
      <c r="DX42" s="122">
        <f>DW42-'Income Statement'!DX46/2</f>
        <v>650343.02941137308</v>
      </c>
      <c r="DY42" s="122">
        <f>DX42-'Income Statement'!DY46/2</f>
        <v>674730.89301429957</v>
      </c>
      <c r="DZ42" s="122">
        <f>DY42-'Income Statement'!DZ46/2</f>
        <v>700033.30150233582</v>
      </c>
      <c r="EA42" s="123">
        <f>DZ42</f>
        <v>700033.30150233582</v>
      </c>
      <c r="EB42" s="122">
        <f>EA42-'Income Statement'!EB46/2</f>
        <v>726284.55030867341</v>
      </c>
      <c r="EC42" s="122">
        <f>EB42-'Income Statement'!EC46/2</f>
        <v>753520.22094524861</v>
      </c>
      <c r="ED42" s="122">
        <f>EC42-'Income Statement'!ED46/2</f>
        <v>781777.2292306954</v>
      </c>
      <c r="EE42" s="122">
        <f>ED42-'Income Statement'!EE46/2</f>
        <v>811093.87532684649</v>
      </c>
      <c r="EF42" s="123">
        <f>EE42</f>
        <v>811093.87532684649</v>
      </c>
    </row>
    <row r="43" spans="1:136" s="92" customFormat="1" ht="12" customHeight="1">
      <c r="A43" s="121" t="s">
        <v>32</v>
      </c>
      <c r="B43" s="122">
        <f t="shared" ref="B43:K43" si="97">SUM(B44:B47)</f>
        <v>0</v>
      </c>
      <c r="C43" s="122">
        <f t="shared" si="97"/>
        <v>0</v>
      </c>
      <c r="D43" s="122">
        <f t="shared" si="97"/>
        <v>0</v>
      </c>
      <c r="E43" s="122">
        <f t="shared" si="97"/>
        <v>0</v>
      </c>
      <c r="F43" s="123">
        <f t="shared" si="97"/>
        <v>0</v>
      </c>
      <c r="G43" s="122">
        <f t="shared" si="97"/>
        <v>0</v>
      </c>
      <c r="H43" s="122">
        <f t="shared" si="97"/>
        <v>0</v>
      </c>
      <c r="I43" s="122">
        <f t="shared" si="97"/>
        <v>0</v>
      </c>
      <c r="J43" s="122">
        <f t="shared" si="97"/>
        <v>0</v>
      </c>
      <c r="K43" s="123">
        <f t="shared" si="97"/>
        <v>0</v>
      </c>
      <c r="L43" s="122">
        <f t="shared" ref="L43:BN43" si="98">SUM(L44:L47)</f>
        <v>0</v>
      </c>
      <c r="M43" s="122">
        <f t="shared" si="98"/>
        <v>0</v>
      </c>
      <c r="N43" s="122">
        <f t="shared" si="98"/>
        <v>0</v>
      </c>
      <c r="O43" s="122">
        <f t="shared" si="98"/>
        <v>0</v>
      </c>
      <c r="P43" s="123">
        <f t="shared" si="98"/>
        <v>0</v>
      </c>
      <c r="Q43" s="122">
        <f t="shared" si="98"/>
        <v>0</v>
      </c>
      <c r="R43" s="122">
        <f t="shared" si="98"/>
        <v>0</v>
      </c>
      <c r="S43" s="122">
        <f t="shared" si="98"/>
        <v>0</v>
      </c>
      <c r="T43" s="122">
        <f t="shared" si="98"/>
        <v>0</v>
      </c>
      <c r="U43" s="123">
        <f t="shared" si="98"/>
        <v>0</v>
      </c>
      <c r="V43" s="122">
        <f t="shared" si="98"/>
        <v>0</v>
      </c>
      <c r="W43" s="122">
        <f t="shared" si="98"/>
        <v>0</v>
      </c>
      <c r="X43" s="122">
        <f t="shared" si="98"/>
        <v>0</v>
      </c>
      <c r="Y43" s="122">
        <f t="shared" si="98"/>
        <v>0</v>
      </c>
      <c r="Z43" s="123">
        <f t="shared" si="98"/>
        <v>0</v>
      </c>
      <c r="AA43" s="122">
        <f t="shared" si="98"/>
        <v>0</v>
      </c>
      <c r="AB43" s="122">
        <f t="shared" si="98"/>
        <v>0</v>
      </c>
      <c r="AC43" s="122">
        <f t="shared" si="98"/>
        <v>0</v>
      </c>
      <c r="AD43" s="122">
        <f t="shared" si="98"/>
        <v>0</v>
      </c>
      <c r="AE43" s="123">
        <f t="shared" si="98"/>
        <v>0</v>
      </c>
      <c r="AF43" s="122">
        <f t="shared" si="98"/>
        <v>0</v>
      </c>
      <c r="AG43" s="122">
        <f t="shared" si="98"/>
        <v>0</v>
      </c>
      <c r="AH43" s="122">
        <f t="shared" si="98"/>
        <v>0</v>
      </c>
      <c r="AI43" s="122">
        <f t="shared" si="98"/>
        <v>120484.13400000001</v>
      </c>
      <c r="AJ43" s="123">
        <f t="shared" si="98"/>
        <v>120484.13400000001</v>
      </c>
      <c r="AK43" s="122">
        <f>SUM(AK44:AK47)</f>
        <v>0</v>
      </c>
      <c r="AL43" s="122">
        <f>SUM(AL44:AL47)</f>
        <v>0</v>
      </c>
      <c r="AM43" s="122">
        <f>SUM(AM44:AM47)</f>
        <v>0</v>
      </c>
      <c r="AN43" s="122">
        <f>SUM(AN44:AN47)</f>
        <v>189163.09599999999</v>
      </c>
      <c r="AO43" s="123">
        <f t="shared" si="98"/>
        <v>189163.09599999999</v>
      </c>
      <c r="AP43" s="122">
        <f t="shared" si="98"/>
        <v>0</v>
      </c>
      <c r="AQ43" s="122">
        <f t="shared" si="98"/>
        <v>0</v>
      </c>
      <c r="AR43" s="122">
        <f t="shared" si="98"/>
        <v>0</v>
      </c>
      <c r="AS43" s="122">
        <f t="shared" si="98"/>
        <v>250225</v>
      </c>
      <c r="AT43" s="123">
        <f t="shared" si="98"/>
        <v>250225</v>
      </c>
      <c r="AU43" s="122">
        <f>SUM(AU44:AU47)</f>
        <v>0</v>
      </c>
      <c r="AV43" s="122">
        <f>SUM(AV44:AV47)</f>
        <v>0</v>
      </c>
      <c r="AW43" s="122">
        <f>SUM(AW44:AW47)</f>
        <v>0</v>
      </c>
      <c r="AX43" s="122">
        <f>SUM(AX44:AX47)</f>
        <v>293155</v>
      </c>
      <c r="AY43" s="123">
        <f>SUM(AY44:AY47)</f>
        <v>293155</v>
      </c>
      <c r="AZ43" s="122">
        <f t="shared" si="98"/>
        <v>0</v>
      </c>
      <c r="BA43" s="122">
        <f t="shared" si="98"/>
        <v>0</v>
      </c>
      <c r="BB43" s="122">
        <f t="shared" si="98"/>
        <v>0</v>
      </c>
      <c r="BC43" s="122">
        <f>SUM(BC44:BC47)</f>
        <v>385518</v>
      </c>
      <c r="BD43" s="123">
        <f t="shared" si="98"/>
        <v>385518</v>
      </c>
      <c r="BE43" s="122">
        <f t="shared" si="98"/>
        <v>0</v>
      </c>
      <c r="BF43" s="122">
        <f t="shared" si="98"/>
        <v>0</v>
      </c>
      <c r="BG43" s="122">
        <f t="shared" si="98"/>
        <v>0</v>
      </c>
      <c r="BH43" s="122">
        <f t="shared" si="98"/>
        <v>286356</v>
      </c>
      <c r="BI43" s="123">
        <f t="shared" si="98"/>
        <v>286356</v>
      </c>
      <c r="BJ43" s="122">
        <f t="shared" si="98"/>
        <v>0</v>
      </c>
      <c r="BK43" s="122">
        <f t="shared" si="98"/>
        <v>0</v>
      </c>
      <c r="BL43" s="122">
        <f t="shared" si="98"/>
        <v>0</v>
      </c>
      <c r="BM43" s="122">
        <f t="shared" si="98"/>
        <v>169320</v>
      </c>
      <c r="BN43" s="123">
        <f t="shared" si="98"/>
        <v>169320</v>
      </c>
      <c r="BO43" s="122">
        <f>SUM(BO44:BO47)</f>
        <v>0</v>
      </c>
      <c r="BP43" s="122">
        <f>SUM(BP44:BP47)</f>
        <v>0</v>
      </c>
      <c r="BQ43" s="122">
        <f>SUM(BQ44:BQ47)</f>
        <v>0</v>
      </c>
      <c r="BR43" s="122">
        <f>SUM(BR44:BR47)</f>
        <v>212154</v>
      </c>
      <c r="BS43" s="123">
        <f t="shared" ref="BS43:CG43" si="99">SUM(BS44:BS47)</f>
        <v>212154</v>
      </c>
      <c r="BT43" s="122">
        <f t="shared" si="99"/>
        <v>0</v>
      </c>
      <c r="BU43" s="122">
        <f>SUM(BU44:BU47)</f>
        <v>0</v>
      </c>
      <c r="BV43" s="122">
        <f t="shared" si="99"/>
        <v>0</v>
      </c>
      <c r="BW43" s="122">
        <f t="shared" si="99"/>
        <v>212883</v>
      </c>
      <c r="BX43" s="123">
        <f t="shared" si="99"/>
        <v>212883</v>
      </c>
      <c r="BY43" s="122">
        <f>SUM(BY44:BY47)</f>
        <v>0</v>
      </c>
      <c r="BZ43" s="122">
        <f>SUM(BZ44:BZ47)</f>
        <v>0</v>
      </c>
      <c r="CA43" s="122">
        <f>SUM(CA44:CA47)</f>
        <v>0</v>
      </c>
      <c r="CB43" s="122">
        <f>SUM(CB44:CB47)</f>
        <v>213615</v>
      </c>
      <c r="CC43" s="123">
        <f t="shared" si="99"/>
        <v>213615</v>
      </c>
      <c r="CD43" s="122">
        <f t="shared" si="99"/>
        <v>220114</v>
      </c>
      <c r="CE43" s="122">
        <f t="shared" si="99"/>
        <v>257103</v>
      </c>
      <c r="CF43" s="122">
        <f t="shared" si="99"/>
        <v>459687</v>
      </c>
      <c r="CG43" s="122">
        <f t="shared" si="99"/>
        <v>489464</v>
      </c>
      <c r="CH43" s="123">
        <f t="shared" ref="CH43:DG43" si="100">SUM(CH44:CH47)</f>
        <v>489464</v>
      </c>
      <c r="CI43" s="122">
        <f t="shared" si="100"/>
        <v>539457</v>
      </c>
      <c r="CJ43" s="122">
        <f t="shared" si="100"/>
        <v>541253</v>
      </c>
      <c r="CK43" s="122">
        <f t="shared" si="100"/>
        <v>608658</v>
      </c>
      <c r="CL43" s="122">
        <f t="shared" si="100"/>
        <v>591098</v>
      </c>
      <c r="CM43" s="123">
        <f t="shared" si="100"/>
        <v>591098</v>
      </c>
      <c r="CN43" s="122">
        <f>SUM(CN44:CN47)</f>
        <v>648107</v>
      </c>
      <c r="CO43" s="122">
        <f>SUM(CO44:CO47)</f>
        <v>648428</v>
      </c>
      <c r="CP43" s="122">
        <f>SUM(CP44:CP47)</f>
        <v>738300</v>
      </c>
      <c r="CQ43" s="122">
        <f>SUM(CQ44:CQ47)</f>
        <v>751737</v>
      </c>
      <c r="CR43" s="123">
        <f t="shared" si="100"/>
        <v>751737</v>
      </c>
      <c r="CS43" s="122">
        <f t="shared" si="100"/>
        <v>843586</v>
      </c>
      <c r="CT43" s="122">
        <f t="shared" si="100"/>
        <v>964959</v>
      </c>
      <c r="CU43" s="122">
        <f>SUM(CU44:CU47)</f>
        <v>923179</v>
      </c>
      <c r="CV43" s="122">
        <f>SUM(CV44:CV47)</f>
        <v>864965</v>
      </c>
      <c r="CW43" s="123">
        <f t="shared" si="100"/>
        <v>864965</v>
      </c>
      <c r="CX43" s="122">
        <f t="shared" si="100"/>
        <v>1006206</v>
      </c>
      <c r="CY43" s="122">
        <f t="shared" si="100"/>
        <v>913453</v>
      </c>
      <c r="CZ43" s="122">
        <f t="shared" si="100"/>
        <v>1084024</v>
      </c>
      <c r="DA43" s="122">
        <f>SUM(DA44:DA47)</f>
        <v>1095470</v>
      </c>
      <c r="DB43" s="123">
        <f t="shared" si="100"/>
        <v>1095470</v>
      </c>
      <c r="DC43" s="122">
        <f>SUM(DC44:DC47)</f>
        <v>1133945</v>
      </c>
      <c r="DD43" s="122">
        <f>SUM(DD44:DD47)</f>
        <v>1329968</v>
      </c>
      <c r="DE43" s="122">
        <f>SUM(DE44:DE47)</f>
        <v>1385221</v>
      </c>
      <c r="DF43" s="122">
        <f>SUM(DF44:DF47)</f>
        <v>1381706</v>
      </c>
      <c r="DG43" s="123">
        <f t="shared" si="100"/>
        <v>1381706</v>
      </c>
      <c r="DH43" s="122">
        <f>SUM(DH44:DH47)</f>
        <v>1544573</v>
      </c>
      <c r="DI43" s="122">
        <f>SUM(DI44:DI47)</f>
        <v>1655024</v>
      </c>
      <c r="DJ43" s="122">
        <f t="shared" ref="DJ43:EF43" ca="1" si="101">SUM(DJ44:DJ47)</f>
        <v>1772467.8513365625</v>
      </c>
      <c r="DK43" s="122">
        <f t="shared" ca="1" si="101"/>
        <v>1917044.8900858269</v>
      </c>
      <c r="DL43" s="123">
        <f t="shared" ca="1" si="101"/>
        <v>1917044.8900858269</v>
      </c>
      <c r="DM43" s="122">
        <f t="shared" ca="1" si="101"/>
        <v>2038563.8014218931</v>
      </c>
      <c r="DN43" s="122">
        <f t="shared" ca="1" si="101"/>
        <v>2171500.2623670246</v>
      </c>
      <c r="DO43" s="122">
        <f t="shared" ca="1" si="101"/>
        <v>2307655.6841580709</v>
      </c>
      <c r="DP43" s="122">
        <f t="shared" ca="1" si="101"/>
        <v>2455257.0047574211</v>
      </c>
      <c r="DQ43" s="123">
        <f t="shared" ca="1" si="101"/>
        <v>2455257.0047574211</v>
      </c>
      <c r="DR43" s="122">
        <f t="shared" ca="1" si="101"/>
        <v>1646132.7747101048</v>
      </c>
      <c r="DS43" s="122">
        <f t="shared" ca="1" si="101"/>
        <v>2060048.6738853455</v>
      </c>
      <c r="DT43" s="122">
        <f t="shared" ca="1" si="101"/>
        <v>2487887.9102606829</v>
      </c>
      <c r="DU43" s="122">
        <f t="shared" ca="1" si="101"/>
        <v>2933293.1398579022</v>
      </c>
      <c r="DV43" s="123">
        <f t="shared" ca="1" si="101"/>
        <v>2933293.1398579022</v>
      </c>
      <c r="DW43" s="122">
        <f t="shared" ca="1" si="101"/>
        <v>1839525.2905664532</v>
      </c>
      <c r="DX43" s="122">
        <f t="shared" ca="1" si="101"/>
        <v>2274342.080102426</v>
      </c>
      <c r="DY43" s="122">
        <f t="shared" ca="1" si="101"/>
        <v>2725994.6725936783</v>
      </c>
      <c r="DZ43" s="122">
        <f t="shared" ca="1" si="101"/>
        <v>3194797.1055599991</v>
      </c>
      <c r="EA43" s="123">
        <f t="shared" ca="1" si="101"/>
        <v>3194797.1055599991</v>
      </c>
      <c r="EB43" s="122">
        <f t="shared" ca="1" si="101"/>
        <v>2041069.280600237</v>
      </c>
      <c r="EC43" s="122">
        <f t="shared" ca="1" si="101"/>
        <v>2496520.1893005096</v>
      </c>
      <c r="ED43" s="122">
        <f t="shared" ca="1" si="101"/>
        <v>2968628.6266161148</v>
      </c>
      <c r="EE43" s="122">
        <f t="shared" ca="1" si="101"/>
        <v>3457654.3849809244</v>
      </c>
      <c r="EF43" s="123">
        <f t="shared" ca="1" si="101"/>
        <v>3457654.3849809244</v>
      </c>
    </row>
    <row r="44" spans="1:136" ht="12" customHeight="1" outlineLevel="1">
      <c r="A44" s="9" t="s">
        <v>79</v>
      </c>
      <c r="B44" s="94"/>
      <c r="C44" s="94"/>
      <c r="D44" s="94"/>
      <c r="E44" s="94"/>
      <c r="F44" s="26">
        <f>E44</f>
        <v>0</v>
      </c>
      <c r="G44" s="94"/>
      <c r="H44" s="94"/>
      <c r="I44" s="94"/>
      <c r="J44" s="94"/>
      <c r="K44" s="26">
        <f>J44</f>
        <v>0</v>
      </c>
      <c r="L44" s="94"/>
      <c r="M44" s="94"/>
      <c r="N44" s="94"/>
      <c r="O44" s="94"/>
      <c r="P44" s="26">
        <f>O44</f>
        <v>0</v>
      </c>
      <c r="Q44" s="94"/>
      <c r="R44" s="94"/>
      <c r="S44" s="94"/>
      <c r="T44" s="94"/>
      <c r="U44" s="26">
        <f>T44</f>
        <v>0</v>
      </c>
      <c r="V44" s="94"/>
      <c r="W44" s="94"/>
      <c r="X44" s="94"/>
      <c r="Y44" s="94"/>
      <c r="Z44" s="26">
        <f>Y44</f>
        <v>0</v>
      </c>
      <c r="AA44" s="94"/>
      <c r="AB44" s="94"/>
      <c r="AC44" s="94"/>
      <c r="AD44" s="94"/>
      <c r="AE44" s="26">
        <f>AD44</f>
        <v>0</v>
      </c>
      <c r="AF44" s="94"/>
      <c r="AG44" s="94"/>
      <c r="AH44" s="94"/>
      <c r="AI44" s="94">
        <f>1619.752+41157.896+10682.333+67024.153</f>
        <v>120484.13400000001</v>
      </c>
      <c r="AJ44" s="26">
        <f>AI44</f>
        <v>120484.13400000001</v>
      </c>
      <c r="AK44" s="94"/>
      <c r="AL44" s="94"/>
      <c r="AM44" s="94"/>
      <c r="AN44" s="94">
        <f>68643.905+109785.087+10734.104</f>
        <v>189163.09599999999</v>
      </c>
      <c r="AO44" s="26">
        <f>AN44</f>
        <v>189163.09599999999</v>
      </c>
      <c r="AP44" s="94"/>
      <c r="AQ44" s="94"/>
      <c r="AR44" s="94"/>
      <c r="AS44" s="94">
        <f>68643.905+8828.153+10734.104</f>
        <v>88206.162000000011</v>
      </c>
      <c r="AT44" s="26">
        <f>AS44</f>
        <v>88206.162000000011</v>
      </c>
      <c r="AU44" s="94"/>
      <c r="AV44" s="94"/>
      <c r="AW44" s="94"/>
      <c r="AX44" s="94">
        <f>68644+14082+10734</f>
        <v>93460</v>
      </c>
      <c r="AY44" s="26">
        <f>AX44</f>
        <v>93460</v>
      </c>
      <c r="AZ44" s="94"/>
      <c r="BA44" s="94"/>
      <c r="BB44" s="94"/>
      <c r="BC44" s="94">
        <f>68644+20809+10734</f>
        <v>100187</v>
      </c>
      <c r="BD44" s="26">
        <f>BC44</f>
        <v>100187</v>
      </c>
      <c r="BE44" s="94"/>
      <c r="BF44" s="94"/>
      <c r="BG44" s="94"/>
      <c r="BH44" s="94">
        <f>68644+27364+10734</f>
        <v>106742</v>
      </c>
      <c r="BI44" s="26">
        <f>BH44</f>
        <v>106742</v>
      </c>
      <c r="BJ44" s="94"/>
      <c r="BK44" s="94"/>
      <c r="BL44" s="94"/>
      <c r="BM44" s="94">
        <f>68644+13729+10734</f>
        <v>93107</v>
      </c>
      <c r="BN44" s="26">
        <f>BM44</f>
        <v>93107</v>
      </c>
      <c r="BO44" s="94"/>
      <c r="BP44" s="94"/>
      <c r="BQ44" s="94"/>
      <c r="BR44" s="94">
        <f>68644+13729+10734</f>
        <v>93107</v>
      </c>
      <c r="BS44" s="26">
        <f>BR44</f>
        <v>93107</v>
      </c>
      <c r="BT44" s="94"/>
      <c r="BU44" s="94"/>
      <c r="BV44" s="94"/>
      <c r="BW44" s="94">
        <f>68644+13729+10734</f>
        <v>93107</v>
      </c>
      <c r="BX44" s="26">
        <f>BW44</f>
        <v>93107</v>
      </c>
      <c r="BY44" s="94"/>
      <c r="BZ44" s="94"/>
      <c r="CA44" s="94"/>
      <c r="CB44" s="94">
        <f>71134+14227+18847</f>
        <v>104208</v>
      </c>
      <c r="CC44" s="26">
        <f>CB44</f>
        <v>104208</v>
      </c>
      <c r="CD44" s="94">
        <f>106847+17597+14227</f>
        <v>138671</v>
      </c>
      <c r="CE44" s="94">
        <f>136847+17597+14227</f>
        <v>168671</v>
      </c>
      <c r="CF44" s="94">
        <f>291054+14227+17597</f>
        <v>322878</v>
      </c>
      <c r="CG44" s="94">
        <f>291054+22268+17598</f>
        <v>330920</v>
      </c>
      <c r="CH44" s="26">
        <f>CG44</f>
        <v>330920</v>
      </c>
      <c r="CI44" s="94">
        <f>291054+22268+17598</f>
        <v>330920</v>
      </c>
      <c r="CJ44" s="94">
        <f>291054+22268+17598</f>
        <v>330920</v>
      </c>
      <c r="CK44" s="94">
        <f>291054+22268+17598</f>
        <v>330920</v>
      </c>
      <c r="CL44" s="94">
        <f>291054+37256+17477</f>
        <v>345787</v>
      </c>
      <c r="CM44" s="26">
        <f>CL44</f>
        <v>345787</v>
      </c>
      <c r="CN44" s="94">
        <f>291054+37256+12583</f>
        <v>340893</v>
      </c>
      <c r="CO44" s="94">
        <f>291054+37256+5388</f>
        <v>333698</v>
      </c>
      <c r="CP44" s="94">
        <f>291054+37256+5388</f>
        <v>333698</v>
      </c>
      <c r="CQ44" s="94">
        <f>291054+53750+5388</f>
        <v>350192</v>
      </c>
      <c r="CR44" s="26">
        <f>CQ44</f>
        <v>350192</v>
      </c>
      <c r="CS44" s="94">
        <f>291054+53750+5388</f>
        <v>350192</v>
      </c>
      <c r="CT44" s="94">
        <f>291054+53750+5388</f>
        <v>350192</v>
      </c>
      <c r="CU44" s="94">
        <f>291054+53750+5388</f>
        <v>350192</v>
      </c>
      <c r="CV44" s="94">
        <f>291054+61368+5388</f>
        <v>357810</v>
      </c>
      <c r="CW44" s="26">
        <f>CV44</f>
        <v>357810</v>
      </c>
      <c r="CX44" s="94">
        <f>291054+61368+17598-12210</f>
        <v>357810</v>
      </c>
      <c r="CY44" s="94">
        <f>291054+61368+5388</f>
        <v>357810</v>
      </c>
      <c r="CZ44" s="94">
        <f>291054+5388</f>
        <v>296442</v>
      </c>
      <c r="DA44" s="94">
        <f>491054+93860+5388</f>
        <v>590302</v>
      </c>
      <c r="DB44" s="26">
        <f>DA44</f>
        <v>590302</v>
      </c>
      <c r="DC44" s="94">
        <f>491054+93860+5388</f>
        <v>590302</v>
      </c>
      <c r="DD44" s="94">
        <f>491054+93860+64680</f>
        <v>649594</v>
      </c>
      <c r="DE44" s="94">
        <f>491054+93860+64680</f>
        <v>649594</v>
      </c>
      <c r="DF44" s="224">
        <f>642267+93860+462875</f>
        <v>1199002</v>
      </c>
      <c r="DG44" s="26">
        <f t="shared" ref="DG44:EF44" si="102">DF44</f>
        <v>1199002</v>
      </c>
      <c r="DH44" s="94">
        <f>642267+93860+462875</f>
        <v>1199002</v>
      </c>
      <c r="DI44" s="94">
        <f>642267+93860+462875</f>
        <v>1199002</v>
      </c>
      <c r="DJ44" s="94">
        <f t="shared" si="102"/>
        <v>1199002</v>
      </c>
      <c r="DK44" s="94">
        <f t="shared" si="102"/>
        <v>1199002</v>
      </c>
      <c r="DL44" s="26">
        <f t="shared" si="102"/>
        <v>1199002</v>
      </c>
      <c r="DM44" s="94">
        <f t="shared" si="102"/>
        <v>1199002</v>
      </c>
      <c r="DN44" s="94">
        <f t="shared" si="102"/>
        <v>1199002</v>
      </c>
      <c r="DO44" s="94">
        <f t="shared" si="102"/>
        <v>1199002</v>
      </c>
      <c r="DP44" s="94">
        <f t="shared" si="102"/>
        <v>1199002</v>
      </c>
      <c r="DQ44" s="26">
        <f t="shared" si="102"/>
        <v>1199002</v>
      </c>
      <c r="DR44" s="94">
        <f t="shared" si="102"/>
        <v>1199002</v>
      </c>
      <c r="DS44" s="94">
        <f t="shared" si="102"/>
        <v>1199002</v>
      </c>
      <c r="DT44" s="94">
        <f t="shared" si="102"/>
        <v>1199002</v>
      </c>
      <c r="DU44" s="94">
        <f t="shared" si="102"/>
        <v>1199002</v>
      </c>
      <c r="DV44" s="26">
        <f t="shared" si="102"/>
        <v>1199002</v>
      </c>
      <c r="DW44" s="94">
        <f t="shared" si="102"/>
        <v>1199002</v>
      </c>
      <c r="DX44" s="94">
        <f t="shared" si="102"/>
        <v>1199002</v>
      </c>
      <c r="DY44" s="94">
        <f t="shared" si="102"/>
        <v>1199002</v>
      </c>
      <c r="DZ44" s="94">
        <f t="shared" si="102"/>
        <v>1199002</v>
      </c>
      <c r="EA44" s="26">
        <f t="shared" si="102"/>
        <v>1199002</v>
      </c>
      <c r="EB44" s="94">
        <f t="shared" si="102"/>
        <v>1199002</v>
      </c>
      <c r="EC44" s="94">
        <f t="shared" si="102"/>
        <v>1199002</v>
      </c>
      <c r="ED44" s="94">
        <f t="shared" si="102"/>
        <v>1199002</v>
      </c>
      <c r="EE44" s="94">
        <f t="shared" si="102"/>
        <v>1199002</v>
      </c>
      <c r="EF44" s="26">
        <f t="shared" si="102"/>
        <v>1199002</v>
      </c>
    </row>
    <row r="45" spans="1:136" ht="12" customHeight="1" outlineLevel="1">
      <c r="A45" s="9" t="s">
        <v>80</v>
      </c>
      <c r="B45" s="94"/>
      <c r="C45" s="94"/>
      <c r="D45" s="94"/>
      <c r="E45" s="94"/>
      <c r="F45" s="26">
        <f>E45</f>
        <v>0</v>
      </c>
      <c r="G45" s="94"/>
      <c r="H45" s="94"/>
      <c r="I45" s="94"/>
      <c r="J45" s="94"/>
      <c r="K45" s="26">
        <f>J45</f>
        <v>0</v>
      </c>
      <c r="L45" s="94"/>
      <c r="M45" s="94"/>
      <c r="N45" s="94"/>
      <c r="O45" s="94"/>
      <c r="P45" s="26">
        <f>O45</f>
        <v>0</v>
      </c>
      <c r="Q45" s="94"/>
      <c r="R45" s="94"/>
      <c r="S45" s="94"/>
      <c r="T45" s="94"/>
      <c r="U45" s="26">
        <f>T45</f>
        <v>0</v>
      </c>
      <c r="V45" s="94"/>
      <c r="W45" s="94"/>
      <c r="X45" s="94"/>
      <c r="Y45" s="94"/>
      <c r="Z45" s="26">
        <f>Y45</f>
        <v>0</v>
      </c>
      <c r="AA45" s="94"/>
      <c r="AB45" s="94"/>
      <c r="AC45" s="94"/>
      <c r="AD45" s="94"/>
      <c r="AE45" s="26">
        <f>AD45</f>
        <v>0</v>
      </c>
      <c r="AF45" s="94"/>
      <c r="AG45" s="94"/>
      <c r="AH45" s="94"/>
      <c r="AI45" s="94">
        <v>0</v>
      </c>
      <c r="AJ45" s="26">
        <f>AI45</f>
        <v>0</v>
      </c>
      <c r="AK45" s="94"/>
      <c r="AL45" s="94"/>
      <c r="AM45" s="94"/>
      <c r="AN45" s="94">
        <v>0</v>
      </c>
      <c r="AO45" s="26">
        <f>AN45</f>
        <v>0</v>
      </c>
      <c r="AP45" s="94"/>
      <c r="AQ45" s="94"/>
      <c r="AR45" s="94"/>
      <c r="AS45" s="94">
        <v>0</v>
      </c>
      <c r="AT45" s="26">
        <f>AS45</f>
        <v>0</v>
      </c>
      <c r="AU45" s="94"/>
      <c r="AV45" s="94"/>
      <c r="AW45" s="94"/>
      <c r="AX45" s="94">
        <v>0</v>
      </c>
      <c r="AY45" s="26">
        <f>AX45</f>
        <v>0</v>
      </c>
      <c r="AZ45" s="94"/>
      <c r="BA45" s="94"/>
      <c r="BB45" s="94"/>
      <c r="BC45" s="94">
        <v>0</v>
      </c>
      <c r="BD45" s="26">
        <f>BC45</f>
        <v>0</v>
      </c>
      <c r="BE45" s="94"/>
      <c r="BF45" s="94"/>
      <c r="BG45" s="94"/>
      <c r="BH45" s="94">
        <v>0</v>
      </c>
      <c r="BI45" s="26">
        <f>BH45</f>
        <v>0</v>
      </c>
      <c r="BJ45" s="94"/>
      <c r="BK45" s="94"/>
      <c r="BL45" s="94"/>
      <c r="BM45" s="94">
        <v>0</v>
      </c>
      <c r="BN45" s="26">
        <f>BM45</f>
        <v>0</v>
      </c>
      <c r="BO45" s="94"/>
      <c r="BP45" s="94"/>
      <c r="BQ45" s="94"/>
      <c r="BR45" s="94">
        <v>0</v>
      </c>
      <c r="BS45" s="26">
        <f>BR45</f>
        <v>0</v>
      </c>
      <c r="BT45" s="94"/>
      <c r="BU45" s="94"/>
      <c r="BV45" s="94"/>
      <c r="BW45" s="94">
        <v>0</v>
      </c>
      <c r="BX45" s="26">
        <f>BW45</f>
        <v>0</v>
      </c>
      <c r="BY45" s="94"/>
      <c r="BZ45" s="94"/>
      <c r="CA45" s="94"/>
      <c r="CB45" s="94">
        <v>0</v>
      </c>
      <c r="CC45" s="26">
        <f>CB45</f>
        <v>0</v>
      </c>
      <c r="CD45" s="94">
        <v>0</v>
      </c>
      <c r="CE45" s="94">
        <v>0</v>
      </c>
      <c r="CF45" s="94">
        <v>0</v>
      </c>
      <c r="CG45" s="94">
        <v>0</v>
      </c>
      <c r="CH45" s="26">
        <f>CG45</f>
        <v>0</v>
      </c>
      <c r="CI45" s="94">
        <v>0</v>
      </c>
      <c r="CJ45" s="94">
        <v>0</v>
      </c>
      <c r="CK45" s="94">
        <v>0</v>
      </c>
      <c r="CL45" s="94">
        <v>0</v>
      </c>
      <c r="CM45" s="26">
        <f>CL45</f>
        <v>0</v>
      </c>
      <c r="CN45" s="94">
        <v>0</v>
      </c>
      <c r="CO45" s="94">
        <v>0</v>
      </c>
      <c r="CP45" s="94">
        <v>0</v>
      </c>
      <c r="CQ45" s="94">
        <v>0</v>
      </c>
      <c r="CR45" s="26">
        <f>CQ45</f>
        <v>0</v>
      </c>
      <c r="CS45" s="94">
        <v>0</v>
      </c>
      <c r="CT45" s="94">
        <v>0</v>
      </c>
      <c r="CU45" s="94">
        <v>0</v>
      </c>
      <c r="CV45" s="94">
        <v>0</v>
      </c>
      <c r="CW45" s="26">
        <f>CV45</f>
        <v>0</v>
      </c>
      <c r="CX45" s="94">
        <v>0</v>
      </c>
      <c r="CY45" s="94">
        <v>0</v>
      </c>
      <c r="CZ45" s="94">
        <v>0</v>
      </c>
      <c r="DA45" s="94">
        <v>0</v>
      </c>
      <c r="DB45" s="26">
        <f>DA45</f>
        <v>0</v>
      </c>
      <c r="DC45" s="94">
        <v>0</v>
      </c>
      <c r="DD45" s="94">
        <v>0</v>
      </c>
      <c r="DE45" s="94">
        <v>0</v>
      </c>
      <c r="DF45" s="94">
        <v>0</v>
      </c>
      <c r="DG45" s="26">
        <f t="shared" ref="DG45:EF45" si="103">DF45</f>
        <v>0</v>
      </c>
      <c r="DH45" s="94">
        <v>0</v>
      </c>
      <c r="DI45" s="94">
        <v>0</v>
      </c>
      <c r="DJ45" s="94">
        <f t="shared" si="103"/>
        <v>0</v>
      </c>
      <c r="DK45" s="94">
        <f t="shared" si="103"/>
        <v>0</v>
      </c>
      <c r="DL45" s="26">
        <f t="shared" si="103"/>
        <v>0</v>
      </c>
      <c r="DM45" s="94">
        <f t="shared" si="103"/>
        <v>0</v>
      </c>
      <c r="DN45" s="94">
        <f t="shared" si="103"/>
        <v>0</v>
      </c>
      <c r="DO45" s="94">
        <f t="shared" si="103"/>
        <v>0</v>
      </c>
      <c r="DP45" s="94">
        <f t="shared" si="103"/>
        <v>0</v>
      </c>
      <c r="DQ45" s="26">
        <f t="shared" si="103"/>
        <v>0</v>
      </c>
      <c r="DR45" s="94">
        <f t="shared" si="103"/>
        <v>0</v>
      </c>
      <c r="DS45" s="94">
        <f t="shared" si="103"/>
        <v>0</v>
      </c>
      <c r="DT45" s="94">
        <f t="shared" si="103"/>
        <v>0</v>
      </c>
      <c r="DU45" s="94">
        <f t="shared" si="103"/>
        <v>0</v>
      </c>
      <c r="DV45" s="26">
        <f t="shared" si="103"/>
        <v>0</v>
      </c>
      <c r="DW45" s="94">
        <f t="shared" si="103"/>
        <v>0</v>
      </c>
      <c r="DX45" s="94">
        <f t="shared" si="103"/>
        <v>0</v>
      </c>
      <c r="DY45" s="94">
        <f t="shared" si="103"/>
        <v>0</v>
      </c>
      <c r="DZ45" s="94">
        <f t="shared" si="103"/>
        <v>0</v>
      </c>
      <c r="EA45" s="26">
        <f t="shared" si="103"/>
        <v>0</v>
      </c>
      <c r="EB45" s="94">
        <f t="shared" si="103"/>
        <v>0</v>
      </c>
      <c r="EC45" s="94">
        <f t="shared" si="103"/>
        <v>0</v>
      </c>
      <c r="ED45" s="94">
        <f t="shared" si="103"/>
        <v>0</v>
      </c>
      <c r="EE45" s="94">
        <f t="shared" si="103"/>
        <v>0</v>
      </c>
      <c r="EF45" s="26">
        <f t="shared" si="103"/>
        <v>0</v>
      </c>
    </row>
    <row r="46" spans="1:136" ht="12" customHeight="1" outlineLevel="1">
      <c r="A46" s="9" t="s">
        <v>162</v>
      </c>
      <c r="B46" s="94"/>
      <c r="C46" s="94"/>
      <c r="D46" s="94"/>
      <c r="E46" s="94"/>
      <c r="F46" s="26">
        <f>E46</f>
        <v>0</v>
      </c>
      <c r="G46" s="94"/>
      <c r="H46" s="94"/>
      <c r="I46" s="94"/>
      <c r="J46" s="94"/>
      <c r="K46" s="26">
        <f>J46</f>
        <v>0</v>
      </c>
      <c r="L46" s="94"/>
      <c r="M46" s="94"/>
      <c r="N46" s="94"/>
      <c r="O46" s="94"/>
      <c r="P46" s="26">
        <f>O46</f>
        <v>0</v>
      </c>
      <c r="Q46" s="94"/>
      <c r="R46" s="94"/>
      <c r="S46" s="94"/>
      <c r="T46" s="94"/>
      <c r="U46" s="26">
        <f>T46</f>
        <v>0</v>
      </c>
      <c r="V46" s="94"/>
      <c r="W46" s="94"/>
      <c r="X46" s="94"/>
      <c r="Y46" s="94"/>
      <c r="Z46" s="26">
        <f>Y46</f>
        <v>0</v>
      </c>
      <c r="AA46" s="94"/>
      <c r="AB46" s="94"/>
      <c r="AC46" s="94"/>
      <c r="AD46" s="94"/>
      <c r="AE46" s="26">
        <f>AD46</f>
        <v>0</v>
      </c>
      <c r="AF46" s="94"/>
      <c r="AG46" s="94"/>
      <c r="AH46" s="94"/>
      <c r="AI46" s="94">
        <v>0</v>
      </c>
      <c r="AJ46" s="26">
        <f>AI46</f>
        <v>0</v>
      </c>
      <c r="AK46" s="94"/>
      <c r="AL46" s="94"/>
      <c r="AM46" s="94"/>
      <c r="AN46" s="94">
        <v>0</v>
      </c>
      <c r="AO46" s="26">
        <f>AN46</f>
        <v>0</v>
      </c>
      <c r="AP46" s="94"/>
      <c r="AQ46" s="94"/>
      <c r="AR46" s="94"/>
      <c r="AS46" s="94">
        <v>0</v>
      </c>
      <c r="AT46" s="26">
        <f>AS46</f>
        <v>0</v>
      </c>
      <c r="AU46" s="94"/>
      <c r="AV46" s="94"/>
      <c r="AW46" s="94"/>
      <c r="AX46" s="94">
        <v>0</v>
      </c>
      <c r="AY46" s="26">
        <f>AX46</f>
        <v>0</v>
      </c>
      <c r="AZ46" s="94"/>
      <c r="BA46" s="94"/>
      <c r="BB46" s="94"/>
      <c r="BC46" s="94">
        <v>0</v>
      </c>
      <c r="BD46" s="26">
        <f>BC46</f>
        <v>0</v>
      </c>
      <c r="BE46" s="94"/>
      <c r="BF46" s="94"/>
      <c r="BG46" s="94"/>
      <c r="BH46" s="94">
        <v>0</v>
      </c>
      <c r="BI46" s="26">
        <f>BH46</f>
        <v>0</v>
      </c>
      <c r="BJ46" s="94"/>
      <c r="BK46" s="94"/>
      <c r="BL46" s="94"/>
      <c r="BM46" s="94">
        <v>0</v>
      </c>
      <c r="BN46" s="26">
        <f>BM46</f>
        <v>0</v>
      </c>
      <c r="BO46" s="94"/>
      <c r="BP46" s="94"/>
      <c r="BQ46" s="94"/>
      <c r="BR46" s="94">
        <v>0</v>
      </c>
      <c r="BS46" s="26">
        <f>BR46</f>
        <v>0</v>
      </c>
      <c r="BT46" s="94"/>
      <c r="BU46" s="94"/>
      <c r="BV46" s="94"/>
      <c r="BW46" s="94">
        <v>0</v>
      </c>
      <c r="BX46" s="26">
        <f>BW46</f>
        <v>0</v>
      </c>
      <c r="BY46" s="94"/>
      <c r="BZ46" s="94"/>
      <c r="CA46" s="94"/>
      <c r="CB46" s="94">
        <v>0</v>
      </c>
      <c r="CC46" s="26">
        <f>CB46</f>
        <v>0</v>
      </c>
      <c r="CD46" s="94">
        <v>0</v>
      </c>
      <c r="CE46" s="94">
        <v>0</v>
      </c>
      <c r="CF46" s="94">
        <v>0</v>
      </c>
      <c r="CG46" s="94">
        <v>0</v>
      </c>
      <c r="CH46" s="26">
        <f>CG46</f>
        <v>0</v>
      </c>
      <c r="CI46" s="94">
        <v>0</v>
      </c>
      <c r="CJ46" s="94">
        <v>0</v>
      </c>
      <c r="CK46" s="94">
        <v>0</v>
      </c>
      <c r="CL46" s="94">
        <v>0</v>
      </c>
      <c r="CM46" s="26">
        <f>CL46</f>
        <v>0</v>
      </c>
      <c r="CN46" s="94">
        <v>0</v>
      </c>
      <c r="CO46" s="94">
        <v>0</v>
      </c>
      <c r="CP46" s="94">
        <v>0</v>
      </c>
      <c r="CQ46" s="94">
        <v>0</v>
      </c>
      <c r="CR46" s="26">
        <f>CQ46</f>
        <v>0</v>
      </c>
      <c r="CS46" s="94">
        <v>0</v>
      </c>
      <c r="CT46" s="94">
        <v>0</v>
      </c>
      <c r="CU46" s="94">
        <v>0</v>
      </c>
      <c r="CV46" s="94">
        <v>0</v>
      </c>
      <c r="CW46" s="26">
        <f>CV46</f>
        <v>0</v>
      </c>
      <c r="CX46" s="94">
        <v>0</v>
      </c>
      <c r="CY46" s="94">
        <v>0</v>
      </c>
      <c r="CZ46" s="94">
        <v>0</v>
      </c>
      <c r="DA46" s="94">
        <v>0</v>
      </c>
      <c r="DB46" s="26">
        <f>DA46</f>
        <v>0</v>
      </c>
      <c r="DC46" s="94">
        <v>0</v>
      </c>
      <c r="DD46" s="94">
        <v>0</v>
      </c>
      <c r="DE46" s="94">
        <v>0</v>
      </c>
      <c r="DF46" s="94">
        <v>0</v>
      </c>
      <c r="DG46" s="26">
        <f>DF46</f>
        <v>0</v>
      </c>
      <c r="DH46" s="94">
        <v>0</v>
      </c>
      <c r="DI46" s="94">
        <v>0</v>
      </c>
      <c r="DJ46" s="94">
        <f>DI46+DI46-DH46</f>
        <v>0</v>
      </c>
      <c r="DK46" s="94">
        <f>DJ46+DJ46-DI46</f>
        <v>0</v>
      </c>
      <c r="DL46" s="26">
        <f>DK46</f>
        <v>0</v>
      </c>
      <c r="DM46" s="94">
        <f>DL46+DK46-DJ46</f>
        <v>0</v>
      </c>
      <c r="DN46" s="94">
        <f>DM46+DM46-DL46</f>
        <v>0</v>
      </c>
      <c r="DO46" s="94">
        <f>DN46+DN46-DM46</f>
        <v>0</v>
      </c>
      <c r="DP46" s="94">
        <f>DO46+DO46-DN46</f>
        <v>0</v>
      </c>
      <c r="DQ46" s="26">
        <f>DP46</f>
        <v>0</v>
      </c>
      <c r="DR46" s="94">
        <f>DQ46+DP46-DO46</f>
        <v>0</v>
      </c>
      <c r="DS46" s="94">
        <f>DR46+DR46-DQ46</f>
        <v>0</v>
      </c>
      <c r="DT46" s="94">
        <f>DS46+DS46-DR46</f>
        <v>0</v>
      </c>
      <c r="DU46" s="94">
        <f>DT46+DT46-DS46</f>
        <v>0</v>
      </c>
      <c r="DV46" s="26">
        <f>DU46</f>
        <v>0</v>
      </c>
      <c r="DW46" s="94">
        <f>DV46+DU46-DT46</f>
        <v>0</v>
      </c>
      <c r="DX46" s="94">
        <f>DW46+DW46-DV46</f>
        <v>0</v>
      </c>
      <c r="DY46" s="94">
        <f>DX46+DX46-DW46</f>
        <v>0</v>
      </c>
      <c r="DZ46" s="94">
        <f>DY46+DY46-DX46</f>
        <v>0</v>
      </c>
      <c r="EA46" s="26">
        <f>DZ46</f>
        <v>0</v>
      </c>
      <c r="EB46" s="94">
        <f>EA46+DZ46-DY46</f>
        <v>0</v>
      </c>
      <c r="EC46" s="94">
        <f>EB46+EB46-EA46</f>
        <v>0</v>
      </c>
      <c r="ED46" s="94">
        <f>EC46+EC46-EB46</f>
        <v>0</v>
      </c>
      <c r="EE46" s="94">
        <f>ED46+ED46-EC46</f>
        <v>0</v>
      </c>
      <c r="EF46" s="26">
        <f>EE46</f>
        <v>0</v>
      </c>
    </row>
    <row r="47" spans="1:136" s="92" customFormat="1" ht="12" customHeight="1" outlineLevel="1">
      <c r="A47" s="134" t="s">
        <v>206</v>
      </c>
      <c r="B47" s="136"/>
      <c r="C47" s="136"/>
      <c r="D47" s="136"/>
      <c r="E47" s="136"/>
      <c r="F47" s="138">
        <f>E47</f>
        <v>0</v>
      </c>
      <c r="G47" s="136"/>
      <c r="H47" s="136"/>
      <c r="I47" s="136"/>
      <c r="J47" s="136"/>
      <c r="K47" s="138">
        <f>J47</f>
        <v>0</v>
      </c>
      <c r="L47" s="136"/>
      <c r="M47" s="136"/>
      <c r="N47" s="136"/>
      <c r="O47" s="136"/>
      <c r="P47" s="138">
        <f>O47</f>
        <v>0</v>
      </c>
      <c r="Q47" s="136"/>
      <c r="R47" s="136"/>
      <c r="S47" s="136"/>
      <c r="T47" s="136"/>
      <c r="U47" s="138">
        <f>T47</f>
        <v>0</v>
      </c>
      <c r="V47" s="136"/>
      <c r="W47" s="136"/>
      <c r="X47" s="136"/>
      <c r="Y47" s="136"/>
      <c r="Z47" s="138">
        <f>Y47</f>
        <v>0</v>
      </c>
      <c r="AA47" s="136"/>
      <c r="AB47" s="136"/>
      <c r="AC47" s="136"/>
      <c r="AD47" s="136"/>
      <c r="AE47" s="138">
        <f>AD47</f>
        <v>0</v>
      </c>
      <c r="AF47" s="136"/>
      <c r="AG47" s="136"/>
      <c r="AH47" s="136"/>
      <c r="AI47" s="136">
        <v>0</v>
      </c>
      <c r="AJ47" s="138">
        <f>AI47</f>
        <v>0</v>
      </c>
      <c r="AK47" s="136"/>
      <c r="AL47" s="136"/>
      <c r="AM47" s="136"/>
      <c r="AN47" s="136">
        <v>0</v>
      </c>
      <c r="AO47" s="138">
        <f>AN47</f>
        <v>0</v>
      </c>
      <c r="AP47" s="136"/>
      <c r="AQ47" s="136"/>
      <c r="AR47" s="136"/>
      <c r="AS47" s="136">
        <v>162018.83799999999</v>
      </c>
      <c r="AT47" s="138">
        <f>AS47</f>
        <v>162018.83799999999</v>
      </c>
      <c r="AU47" s="136"/>
      <c r="AV47" s="136"/>
      <c r="AW47" s="136"/>
      <c r="AX47" s="136">
        <v>199695</v>
      </c>
      <c r="AY47" s="138">
        <f>AX47</f>
        <v>199695</v>
      </c>
      <c r="AZ47" s="136"/>
      <c r="BA47" s="136"/>
      <c r="BB47" s="136"/>
      <c r="BC47" s="136">
        <v>285331</v>
      </c>
      <c r="BD47" s="138">
        <f>BC47</f>
        <v>285331</v>
      </c>
      <c r="BE47" s="136"/>
      <c r="BF47" s="136"/>
      <c r="BG47" s="136"/>
      <c r="BH47" s="136">
        <v>179614</v>
      </c>
      <c r="BI47" s="138">
        <f>BH47</f>
        <v>179614</v>
      </c>
      <c r="BJ47" s="136"/>
      <c r="BK47" s="136"/>
      <c r="BL47" s="136"/>
      <c r="BM47" s="136">
        <v>76213</v>
      </c>
      <c r="BN47" s="138">
        <f>BM47</f>
        <v>76213</v>
      </c>
      <c r="BO47" s="136"/>
      <c r="BP47" s="136"/>
      <c r="BQ47" s="136"/>
      <c r="BR47" s="136">
        <f>119047</f>
        <v>119047</v>
      </c>
      <c r="BS47" s="138">
        <f>BR47</f>
        <v>119047</v>
      </c>
      <c r="BT47" s="136"/>
      <c r="BU47" s="136"/>
      <c r="BV47" s="136"/>
      <c r="BW47" s="136">
        <f>119776</f>
        <v>119776</v>
      </c>
      <c r="BX47" s="138">
        <f>BW47</f>
        <v>119776</v>
      </c>
      <c r="BY47" s="136"/>
      <c r="BZ47" s="136"/>
      <c r="CA47" s="136"/>
      <c r="CB47" s="136">
        <v>109407</v>
      </c>
      <c r="CC47" s="138">
        <f>CB47</f>
        <v>109407</v>
      </c>
      <c r="CD47" s="136">
        <f>74943+6500</f>
        <v>81443</v>
      </c>
      <c r="CE47" s="136">
        <f>44943+43489</f>
        <v>88432</v>
      </c>
      <c r="CF47" s="136">
        <v>136809</v>
      </c>
      <c r="CG47" s="136">
        <v>158544</v>
      </c>
      <c r="CH47" s="138">
        <f>CG47</f>
        <v>158544</v>
      </c>
      <c r="CI47" s="136">
        <v>208537</v>
      </c>
      <c r="CJ47" s="136">
        <v>210333</v>
      </c>
      <c r="CK47" s="136">
        <v>277738</v>
      </c>
      <c r="CL47" s="136">
        <v>245311</v>
      </c>
      <c r="CM47" s="138">
        <f>CL47</f>
        <v>245311</v>
      </c>
      <c r="CN47" s="136">
        <v>307214</v>
      </c>
      <c r="CO47" s="136">
        <v>314730</v>
      </c>
      <c r="CP47" s="136">
        <v>404602</v>
      </c>
      <c r="CQ47" s="136">
        <v>401545</v>
      </c>
      <c r="CR47" s="138">
        <f>CQ47</f>
        <v>401545</v>
      </c>
      <c r="CS47" s="136">
        <v>493394</v>
      </c>
      <c r="CT47" s="136">
        <v>614767</v>
      </c>
      <c r="CU47" s="136">
        <v>572987</v>
      </c>
      <c r="CV47" s="136">
        <v>507155</v>
      </c>
      <c r="CW47" s="138">
        <f>CV47</f>
        <v>507155</v>
      </c>
      <c r="CX47" s="136">
        <v>648396</v>
      </c>
      <c r="CY47" s="136">
        <v>555643</v>
      </c>
      <c r="CZ47" s="136">
        <f>787582</f>
        <v>787582</v>
      </c>
      <c r="DA47" s="136">
        <v>505168</v>
      </c>
      <c r="DB47" s="138">
        <f>DA47</f>
        <v>505168</v>
      </c>
      <c r="DC47" s="136">
        <v>543643</v>
      </c>
      <c r="DD47" s="136">
        <v>680374</v>
      </c>
      <c r="DE47" s="136">
        <v>735627</v>
      </c>
      <c r="DF47" s="136">
        <v>182704</v>
      </c>
      <c r="DG47" s="138">
        <f>DF47</f>
        <v>182704</v>
      </c>
      <c r="DH47" s="136">
        <v>345571</v>
      </c>
      <c r="DI47" s="136">
        <v>456022</v>
      </c>
      <c r="DJ47" s="142">
        <f ca="1">DI47+'Income Statement'!DJ48-'Income Statement'!DJ50</f>
        <v>573465.85133656254</v>
      </c>
      <c r="DK47" s="142">
        <f ca="1">DJ47+'Income Statement'!DK48-'Income Statement'!DK50</f>
        <v>718042.89008582686</v>
      </c>
      <c r="DL47" s="138">
        <f ca="1">DK47</f>
        <v>718042.89008582686</v>
      </c>
      <c r="DM47" s="142">
        <f ca="1">DL47+'Income Statement'!DM48-'Income Statement'!DM50</f>
        <v>839561.80142189306</v>
      </c>
      <c r="DN47" s="142">
        <f ca="1">DM47+'Income Statement'!DN48-'Income Statement'!DN50</f>
        <v>972498.26236702455</v>
      </c>
      <c r="DO47" s="142">
        <f ca="1">DN47+'Income Statement'!DO48-'Income Statement'!DO50</f>
        <v>1108653.6841580709</v>
      </c>
      <c r="DP47" s="142">
        <f ca="1">DO47+'Income Statement'!DP48-'Income Statement'!DP50</f>
        <v>1256255.0047574213</v>
      </c>
      <c r="DQ47" s="138">
        <f ca="1">DP47</f>
        <v>1256255.0047574213</v>
      </c>
      <c r="DR47" s="142">
        <f ca="1">DQ47+'Income Statement'!DR48-'Income Statement'!DR50</f>
        <v>447130.7747101048</v>
      </c>
      <c r="DS47" s="142">
        <f ca="1">DR47+'Income Statement'!DS48-'Income Statement'!DS50</f>
        <v>861046.67388534546</v>
      </c>
      <c r="DT47" s="142">
        <f ca="1">DS47+'Income Statement'!DT48-'Income Statement'!DT50</f>
        <v>1288885.9102606827</v>
      </c>
      <c r="DU47" s="142">
        <f ca="1">DT47+'Income Statement'!DU48-'Income Statement'!DU50</f>
        <v>1734291.1398579024</v>
      </c>
      <c r="DV47" s="138">
        <f ca="1">DU47</f>
        <v>1734291.1398579024</v>
      </c>
      <c r="DW47" s="142">
        <f ca="1">DV47+'Income Statement'!DW48-'Income Statement'!DW50</f>
        <v>640523.29056645324</v>
      </c>
      <c r="DX47" s="142">
        <f ca="1">DW47+'Income Statement'!DX48-'Income Statement'!DX50</f>
        <v>1075340.0801024262</v>
      </c>
      <c r="DY47" s="142">
        <f ca="1">DX47+'Income Statement'!DY48-'Income Statement'!DY50</f>
        <v>1526992.6725936783</v>
      </c>
      <c r="DZ47" s="142">
        <f ca="1">DY47+'Income Statement'!DZ48-'Income Statement'!DZ50</f>
        <v>1995795.1055599977</v>
      </c>
      <c r="EA47" s="138">
        <f ca="1">DZ47</f>
        <v>1995795.1055599977</v>
      </c>
      <c r="EB47" s="142">
        <f ca="1">EA47+'Income Statement'!EB48-'Income Statement'!EB50</f>
        <v>842067.28060023277</v>
      </c>
      <c r="EC47" s="142">
        <f ca="1">EB47+'Income Statement'!EC48-'Income Statement'!EC50</f>
        <v>1297518.1893005001</v>
      </c>
      <c r="ED47" s="142">
        <f ca="1">EC47+'Income Statement'!ED48-'Income Statement'!ED50</f>
        <v>1769626.626616108</v>
      </c>
      <c r="EE47" s="142">
        <f ca="1">ED47+'Income Statement'!EE48-'Income Statement'!EE50</f>
        <v>2258652.3849808779</v>
      </c>
      <c r="EF47" s="138">
        <f ca="1">EE47</f>
        <v>2258652.3849808779</v>
      </c>
    </row>
    <row r="48" spans="1:136" s="143" customFormat="1" ht="12" customHeight="1">
      <c r="A48" s="143" t="s">
        <v>43</v>
      </c>
      <c r="B48" s="144">
        <f t="shared" ref="B48:K48" si="104">B26-B4</f>
        <v>0</v>
      </c>
      <c r="C48" s="144">
        <f t="shared" si="104"/>
        <v>0</v>
      </c>
      <c r="D48" s="144">
        <f t="shared" si="104"/>
        <v>0</v>
      </c>
      <c r="E48" s="144">
        <f t="shared" si="104"/>
        <v>0</v>
      </c>
      <c r="F48" s="145">
        <f t="shared" si="104"/>
        <v>0</v>
      </c>
      <c r="G48" s="144">
        <f t="shared" si="104"/>
        <v>0</v>
      </c>
      <c r="H48" s="144">
        <f t="shared" si="104"/>
        <v>0</v>
      </c>
      <c r="I48" s="144">
        <f t="shared" si="104"/>
        <v>0</v>
      </c>
      <c r="J48" s="144">
        <f t="shared" si="104"/>
        <v>0</v>
      </c>
      <c r="K48" s="145">
        <f t="shared" si="104"/>
        <v>0</v>
      </c>
      <c r="L48" s="144">
        <f t="shared" ref="L48:BN48" si="105">L26-L4</f>
        <v>0</v>
      </c>
      <c r="M48" s="144">
        <f t="shared" si="105"/>
        <v>0</v>
      </c>
      <c r="N48" s="144">
        <f t="shared" si="105"/>
        <v>0</v>
      </c>
      <c r="O48" s="144">
        <f t="shared" si="105"/>
        <v>0</v>
      </c>
      <c r="P48" s="145">
        <f t="shared" si="105"/>
        <v>0</v>
      </c>
      <c r="Q48" s="144">
        <f t="shared" si="105"/>
        <v>0</v>
      </c>
      <c r="R48" s="144">
        <f t="shared" si="105"/>
        <v>0</v>
      </c>
      <c r="S48" s="144">
        <f t="shared" si="105"/>
        <v>0</v>
      </c>
      <c r="T48" s="144">
        <f t="shared" si="105"/>
        <v>0</v>
      </c>
      <c r="U48" s="145">
        <f t="shared" si="105"/>
        <v>0</v>
      </c>
      <c r="V48" s="144">
        <f t="shared" si="105"/>
        <v>0</v>
      </c>
      <c r="W48" s="144">
        <f t="shared" si="105"/>
        <v>0</v>
      </c>
      <c r="X48" s="144">
        <f t="shared" si="105"/>
        <v>0</v>
      </c>
      <c r="Y48" s="144">
        <f t="shared" si="105"/>
        <v>0</v>
      </c>
      <c r="Z48" s="145">
        <f t="shared" si="105"/>
        <v>0</v>
      </c>
      <c r="AA48" s="144">
        <f t="shared" si="105"/>
        <v>0</v>
      </c>
      <c r="AB48" s="144">
        <f t="shared" si="105"/>
        <v>0</v>
      </c>
      <c r="AC48" s="144">
        <f t="shared" si="105"/>
        <v>0</v>
      </c>
      <c r="AD48" s="144">
        <f t="shared" si="105"/>
        <v>0</v>
      </c>
      <c r="AE48" s="145">
        <f t="shared" si="105"/>
        <v>0</v>
      </c>
      <c r="AF48" s="144">
        <f t="shared" si="105"/>
        <v>0</v>
      </c>
      <c r="AG48" s="144">
        <f t="shared" si="105"/>
        <v>0</v>
      </c>
      <c r="AH48" s="144">
        <f t="shared" si="105"/>
        <v>0</v>
      </c>
      <c r="AI48" s="144">
        <f t="shared" si="105"/>
        <v>0</v>
      </c>
      <c r="AJ48" s="145">
        <f t="shared" si="105"/>
        <v>0</v>
      </c>
      <c r="AK48" s="144">
        <f t="shared" si="105"/>
        <v>0</v>
      </c>
      <c r="AL48" s="144">
        <f t="shared" si="105"/>
        <v>0</v>
      </c>
      <c r="AM48" s="144">
        <f t="shared" si="105"/>
        <v>0</v>
      </c>
      <c r="AN48" s="144">
        <f t="shared" si="105"/>
        <v>0</v>
      </c>
      <c r="AO48" s="145">
        <f t="shared" si="105"/>
        <v>0</v>
      </c>
      <c r="AP48" s="144">
        <f t="shared" si="105"/>
        <v>0</v>
      </c>
      <c r="AQ48" s="144">
        <f t="shared" si="105"/>
        <v>0</v>
      </c>
      <c r="AR48" s="144">
        <f t="shared" si="105"/>
        <v>0</v>
      </c>
      <c r="AS48" s="144">
        <f t="shared" si="105"/>
        <v>0</v>
      </c>
      <c r="AT48" s="145">
        <f t="shared" si="105"/>
        <v>0</v>
      </c>
      <c r="AU48" s="144">
        <f t="shared" si="105"/>
        <v>0</v>
      </c>
      <c r="AV48" s="144">
        <f t="shared" si="105"/>
        <v>0</v>
      </c>
      <c r="AW48" s="144">
        <f t="shared" si="105"/>
        <v>0</v>
      </c>
      <c r="AX48" s="144">
        <f t="shared" si="105"/>
        <v>0</v>
      </c>
      <c r="AY48" s="145">
        <f t="shared" si="105"/>
        <v>0</v>
      </c>
      <c r="AZ48" s="144">
        <f t="shared" si="105"/>
        <v>0</v>
      </c>
      <c r="BA48" s="144">
        <f t="shared" si="105"/>
        <v>0</v>
      </c>
      <c r="BB48" s="144">
        <f t="shared" si="105"/>
        <v>0</v>
      </c>
      <c r="BC48" s="144">
        <f t="shared" si="105"/>
        <v>0</v>
      </c>
      <c r="BD48" s="145">
        <f t="shared" si="105"/>
        <v>0</v>
      </c>
      <c r="BE48" s="144">
        <f t="shared" si="105"/>
        <v>0</v>
      </c>
      <c r="BF48" s="144">
        <f t="shared" si="105"/>
        <v>0</v>
      </c>
      <c r="BG48" s="144">
        <f t="shared" si="105"/>
        <v>0</v>
      </c>
      <c r="BH48" s="144">
        <f t="shared" si="105"/>
        <v>0</v>
      </c>
      <c r="BI48" s="145">
        <f t="shared" si="105"/>
        <v>0</v>
      </c>
      <c r="BJ48" s="144">
        <f t="shared" si="105"/>
        <v>0</v>
      </c>
      <c r="BK48" s="144">
        <f t="shared" si="105"/>
        <v>0</v>
      </c>
      <c r="BL48" s="144">
        <f t="shared" si="105"/>
        <v>0</v>
      </c>
      <c r="BM48" s="144">
        <f t="shared" si="105"/>
        <v>0</v>
      </c>
      <c r="BN48" s="145">
        <f t="shared" si="105"/>
        <v>0</v>
      </c>
      <c r="BO48" s="144">
        <f t="shared" ref="BO48:CC48" si="106">BO26-BO4</f>
        <v>0</v>
      </c>
      <c r="BP48" s="144">
        <f t="shared" si="106"/>
        <v>0</v>
      </c>
      <c r="BQ48" s="144">
        <f t="shared" si="106"/>
        <v>0</v>
      </c>
      <c r="BR48" s="144">
        <f>BR26-BR4</f>
        <v>0</v>
      </c>
      <c r="BS48" s="145">
        <f t="shared" si="106"/>
        <v>0</v>
      </c>
      <c r="BT48" s="144">
        <f t="shared" si="106"/>
        <v>0</v>
      </c>
      <c r="BU48" s="144">
        <f t="shared" si="106"/>
        <v>0</v>
      </c>
      <c r="BV48" s="144">
        <f t="shared" si="106"/>
        <v>0</v>
      </c>
      <c r="BW48" s="144">
        <f>BW26-BW4</f>
        <v>0</v>
      </c>
      <c r="BX48" s="145">
        <f t="shared" si="106"/>
        <v>0</v>
      </c>
      <c r="BY48" s="144">
        <f t="shared" si="106"/>
        <v>0</v>
      </c>
      <c r="BZ48" s="144">
        <f t="shared" si="106"/>
        <v>0</v>
      </c>
      <c r="CA48" s="144">
        <f t="shared" si="106"/>
        <v>0</v>
      </c>
      <c r="CB48" s="144">
        <f t="shared" si="106"/>
        <v>0</v>
      </c>
      <c r="CC48" s="145">
        <f t="shared" si="106"/>
        <v>0</v>
      </c>
      <c r="CD48" s="144">
        <f>CD26-CD4</f>
        <v>0</v>
      </c>
      <c r="CE48" s="144">
        <f>CE26-CE4</f>
        <v>0</v>
      </c>
      <c r="CF48" s="144">
        <f>CF26-CF4</f>
        <v>0</v>
      </c>
      <c r="CG48" s="144">
        <f>CG26-CG4</f>
        <v>0</v>
      </c>
      <c r="CH48" s="145">
        <f t="shared" ref="CH48:DG48" si="107">CH26-CH4</f>
        <v>0</v>
      </c>
      <c r="CI48" s="144">
        <f t="shared" si="107"/>
        <v>0</v>
      </c>
      <c r="CJ48" s="144">
        <f t="shared" si="107"/>
        <v>0</v>
      </c>
      <c r="CK48" s="144">
        <f t="shared" si="107"/>
        <v>0</v>
      </c>
      <c r="CL48" s="144">
        <f t="shared" si="107"/>
        <v>0</v>
      </c>
      <c r="CM48" s="145">
        <f t="shared" si="107"/>
        <v>0</v>
      </c>
      <c r="CN48" s="144">
        <f t="shared" si="107"/>
        <v>0</v>
      </c>
      <c r="CO48" s="144">
        <f t="shared" si="107"/>
        <v>0</v>
      </c>
      <c r="CP48" s="144">
        <f t="shared" si="107"/>
        <v>0</v>
      </c>
      <c r="CQ48" s="144">
        <f t="shared" si="107"/>
        <v>0</v>
      </c>
      <c r="CR48" s="145">
        <f t="shared" si="107"/>
        <v>0</v>
      </c>
      <c r="CS48" s="144">
        <f t="shared" si="107"/>
        <v>0</v>
      </c>
      <c r="CT48" s="144">
        <f t="shared" si="107"/>
        <v>0</v>
      </c>
      <c r="CU48" s="144">
        <f>CU26-CU4</f>
        <v>0</v>
      </c>
      <c r="CV48" s="144">
        <f>CV26-CV4</f>
        <v>0</v>
      </c>
      <c r="CW48" s="145">
        <f t="shared" si="107"/>
        <v>0</v>
      </c>
      <c r="CX48" s="144">
        <f t="shared" si="107"/>
        <v>0</v>
      </c>
      <c r="CY48" s="144">
        <f>CY26-CY4</f>
        <v>0</v>
      </c>
      <c r="CZ48" s="144">
        <f t="shared" si="107"/>
        <v>0</v>
      </c>
      <c r="DA48" s="144">
        <f t="shared" si="107"/>
        <v>0</v>
      </c>
      <c r="DB48" s="145">
        <f t="shared" si="107"/>
        <v>0</v>
      </c>
      <c r="DC48" s="144">
        <f t="shared" si="107"/>
        <v>0</v>
      </c>
      <c r="DD48" s="144">
        <f t="shared" si="107"/>
        <v>0</v>
      </c>
      <c r="DE48" s="144">
        <f t="shared" si="107"/>
        <v>0</v>
      </c>
      <c r="DF48" s="144">
        <f t="shared" si="107"/>
        <v>0</v>
      </c>
      <c r="DG48" s="145">
        <f t="shared" si="107"/>
        <v>0</v>
      </c>
      <c r="DH48" s="144">
        <f t="shared" ref="DH48:EF48" si="108">DH26-DH4</f>
        <v>0</v>
      </c>
      <c r="DI48" s="144">
        <f t="shared" si="108"/>
        <v>0</v>
      </c>
      <c r="DJ48" s="144">
        <f t="shared" ca="1" si="108"/>
        <v>0</v>
      </c>
      <c r="DK48" s="144">
        <f t="shared" ca="1" si="108"/>
        <v>0</v>
      </c>
      <c r="DL48" s="145">
        <f t="shared" ca="1" si="108"/>
        <v>0</v>
      </c>
      <c r="DM48" s="144">
        <f t="shared" ca="1" si="108"/>
        <v>0</v>
      </c>
      <c r="DN48" s="144">
        <f t="shared" ca="1" si="108"/>
        <v>0</v>
      </c>
      <c r="DO48" s="144">
        <f t="shared" ca="1" si="108"/>
        <v>0</v>
      </c>
      <c r="DP48" s="144">
        <f t="shared" ca="1" si="108"/>
        <v>0</v>
      </c>
      <c r="DQ48" s="145">
        <f t="shared" ca="1" si="108"/>
        <v>0</v>
      </c>
      <c r="DR48" s="144">
        <f t="shared" ca="1" si="108"/>
        <v>0</v>
      </c>
      <c r="DS48" s="144">
        <f t="shared" ca="1" si="108"/>
        <v>0</v>
      </c>
      <c r="DT48" s="144">
        <f t="shared" ca="1" si="108"/>
        <v>0</v>
      </c>
      <c r="DU48" s="144">
        <f t="shared" ca="1" si="108"/>
        <v>0</v>
      </c>
      <c r="DV48" s="145">
        <f t="shared" ca="1" si="108"/>
        <v>0</v>
      </c>
      <c r="DW48" s="144">
        <f t="shared" ca="1" si="108"/>
        <v>0</v>
      </c>
      <c r="DX48" s="144">
        <f t="shared" ca="1" si="108"/>
        <v>0</v>
      </c>
      <c r="DY48" s="144">
        <f t="shared" ca="1" si="108"/>
        <v>0</v>
      </c>
      <c r="DZ48" s="144">
        <f t="shared" ca="1" si="108"/>
        <v>0</v>
      </c>
      <c r="EA48" s="145">
        <f t="shared" ca="1" si="108"/>
        <v>0</v>
      </c>
      <c r="EB48" s="145">
        <f t="shared" ca="1" si="108"/>
        <v>-3.4458935260772705E-8</v>
      </c>
      <c r="EC48" s="145">
        <f t="shared" ca="1" si="108"/>
        <v>-3.0733644962310791E-7</v>
      </c>
      <c r="ED48" s="145">
        <f t="shared" ca="1" si="108"/>
        <v>-1.1902302503585815E-6</v>
      </c>
      <c r="EE48" s="145">
        <f t="shared" ca="1" si="108"/>
        <v>-2.4084001779556274E-6</v>
      </c>
      <c r="EF48" s="145">
        <f t="shared" ca="1" si="108"/>
        <v>-2.4084001779556274E-6</v>
      </c>
    </row>
    <row r="49" spans="1:138" ht="12" customHeight="1">
      <c r="B49" s="16"/>
      <c r="C49" s="16"/>
      <c r="D49" s="16"/>
      <c r="E49" s="133"/>
      <c r="G49" s="16">
        <f t="shared" ref="G49:AE49" si="109">G43+G53</f>
        <v>0</v>
      </c>
      <c r="H49" s="16">
        <f t="shared" si="109"/>
        <v>0</v>
      </c>
      <c r="I49" s="16">
        <f t="shared" si="109"/>
        <v>0</v>
      </c>
      <c r="J49" s="133">
        <f t="shared" si="109"/>
        <v>0</v>
      </c>
      <c r="K49" s="2">
        <f t="shared" si="109"/>
        <v>0</v>
      </c>
      <c r="L49" s="16">
        <f t="shared" si="109"/>
        <v>0</v>
      </c>
      <c r="M49" s="16">
        <f t="shared" si="109"/>
        <v>0</v>
      </c>
      <c r="N49" s="16">
        <f t="shared" si="109"/>
        <v>0</v>
      </c>
      <c r="O49" s="133">
        <f t="shared" si="109"/>
        <v>0</v>
      </c>
      <c r="P49" s="2">
        <f t="shared" si="109"/>
        <v>0</v>
      </c>
      <c r="Q49" s="16">
        <f t="shared" si="109"/>
        <v>0</v>
      </c>
      <c r="R49" s="16">
        <f t="shared" si="109"/>
        <v>0</v>
      </c>
      <c r="S49" s="16">
        <f t="shared" si="109"/>
        <v>0</v>
      </c>
      <c r="T49" s="133">
        <f t="shared" si="109"/>
        <v>0</v>
      </c>
      <c r="U49" s="2">
        <f t="shared" si="109"/>
        <v>0</v>
      </c>
      <c r="V49" s="16">
        <f t="shared" si="109"/>
        <v>0</v>
      </c>
      <c r="W49" s="16">
        <f t="shared" si="109"/>
        <v>0</v>
      </c>
      <c r="X49" s="16">
        <f t="shared" si="109"/>
        <v>0</v>
      </c>
      <c r="Y49" s="133">
        <f t="shared" si="109"/>
        <v>0</v>
      </c>
      <c r="Z49" s="2">
        <f t="shared" si="109"/>
        <v>0</v>
      </c>
      <c r="AA49" s="16">
        <f t="shared" si="109"/>
        <v>0</v>
      </c>
      <c r="AB49" s="16">
        <f t="shared" si="109"/>
        <v>0</v>
      </c>
      <c r="AC49" s="16">
        <f t="shared" si="109"/>
        <v>0</v>
      </c>
      <c r="AD49" s="133">
        <f t="shared" si="109"/>
        <v>0</v>
      </c>
      <c r="AE49" s="2">
        <f t="shared" si="109"/>
        <v>0</v>
      </c>
      <c r="AF49" s="302"/>
      <c r="AG49" s="302"/>
      <c r="AH49" s="302"/>
      <c r="AI49" s="302">
        <f>AI53-AE53-(AI38-AE38)</f>
        <v>59710.14499999999</v>
      </c>
      <c r="AJ49" s="67">
        <f>AJ53-AE53-('Income Statement'!AJ50-('Balance Sheet'!AJ38-'Balance Sheet'!AE38))+(AJ45-AE45)</f>
        <v>88266.106999999989</v>
      </c>
      <c r="AK49" s="302"/>
      <c r="AL49" s="302"/>
      <c r="AM49" s="302"/>
      <c r="AN49" s="302">
        <f>AN53-AJ53-(AN38-AJ38)</f>
        <v>19029.20300000002</v>
      </c>
      <c r="AO49" s="67">
        <f>AO53-AJ53-('Income Statement'!AO50-('Balance Sheet'!AO38-'Balance Sheet'!AJ38))+(AO45-AJ45)</f>
        <v>38078.217000000019</v>
      </c>
      <c r="AP49" s="302"/>
      <c r="AQ49" s="302"/>
      <c r="AR49" s="302"/>
      <c r="AS49" s="302">
        <f>AS53-AO53-(AS38-AO38)</f>
        <v>-92236.305999999997</v>
      </c>
      <c r="AT49" s="67">
        <f>AT53-AO53-('Income Statement'!AT50-('Balance Sheet'!AT38-'Balance Sheet'!AO38))+(AT45-AO45)</f>
        <v>-62197.740000000005</v>
      </c>
      <c r="AU49" s="302"/>
      <c r="AV49" s="302"/>
      <c r="AW49" s="302"/>
      <c r="AX49" s="302"/>
      <c r="AY49" s="67">
        <f>AY53-AT53-('Income Statement'!AY50-('Balance Sheet'!AY38-'Balance Sheet'!AT38))+(AY45-AT45)</f>
        <v>-18843.58400000001</v>
      </c>
      <c r="AZ49" s="302"/>
      <c r="BA49" s="302"/>
      <c r="BB49" s="302"/>
      <c r="BC49" s="302"/>
      <c r="BD49" s="67">
        <f>BD53-AY53-('Income Statement'!BD50-('Balance Sheet'!BD38-'Balance Sheet'!AY38))+(BD45-AY45)</f>
        <v>-35814</v>
      </c>
      <c r="BE49" s="302"/>
      <c r="BF49" s="302"/>
      <c r="BG49" s="302"/>
      <c r="BH49" s="302"/>
      <c r="BI49" s="67">
        <f>BI53-BD53-('Income Statement'!BI50-('Balance Sheet'!BI38-'Balance Sheet'!BD38))+(BI45-BD45)</f>
        <v>93776</v>
      </c>
      <c r="BJ49" s="302"/>
      <c r="BK49" s="302"/>
      <c r="BL49" s="302"/>
      <c r="BM49" s="302"/>
      <c r="BN49" s="67">
        <f>BN53-BI53-('Income Statement'!BN50-('Balance Sheet'!BN38-'Balance Sheet'!BI38))+(BN45-BI45)</f>
        <v>38894</v>
      </c>
      <c r="BO49" s="302"/>
      <c r="BP49" s="302"/>
      <c r="BQ49" s="302"/>
      <c r="BR49" s="302"/>
      <c r="BS49" s="67">
        <f>BS53-BN53-('Income Statement'!BS50-('Balance Sheet'!BS38-'Balance Sheet'!BN38))+(BS45-BN45)</f>
        <v>-95283</v>
      </c>
      <c r="BT49" s="302"/>
      <c r="BU49" s="302"/>
      <c r="BV49" s="302"/>
      <c r="BW49" s="302"/>
      <c r="BX49" s="67">
        <f>BX53-BS53-('Income Statement'!BX50-('Balance Sheet'!BX38-'Balance Sheet'!BS38))+(BX45-BS45)</f>
        <v>-228977</v>
      </c>
      <c r="BY49" s="302"/>
      <c r="BZ49" s="302"/>
      <c r="CA49" s="302"/>
      <c r="CB49" s="302"/>
      <c r="CC49" s="67">
        <f>CC53-BX53-('Income Statement'!CC50-('Balance Sheet'!CC38-'Balance Sheet'!BX38))+(CC45-BX45)</f>
        <v>-135999</v>
      </c>
      <c r="CD49" s="469">
        <f>CD53-CC53-'Income Statement'!CD50</f>
        <v>-7452</v>
      </c>
      <c r="CE49" s="469">
        <f>CE53-CD53-'Income Statement'!CE50</f>
        <v>-66504</v>
      </c>
      <c r="CF49" s="469">
        <f>CF53-CE53-'Income Statement'!CF50+CF44-CE44</f>
        <v>-72732</v>
      </c>
      <c r="CG49" s="469">
        <f>CG53-CF53-'Income Statement'!CG50+CG44-CF44</f>
        <v>119170</v>
      </c>
      <c r="CH49" s="67">
        <f>SUM(CD49:CG49)</f>
        <v>-27518</v>
      </c>
      <c r="CI49" s="469">
        <f>CI53-CH53-'Income Statement'!CI50</f>
        <v>-8439</v>
      </c>
      <c r="CJ49" s="469">
        <f>CJ53-CI53-'Income Statement'!CJ50</f>
        <v>-180837</v>
      </c>
      <c r="CK49" s="469">
        <f>CK53-CJ53-'Income Statement'!CK50</f>
        <v>56999</v>
      </c>
      <c r="CL49" s="469">
        <f>CL53-CK53-'Income Statement'!CL50</f>
        <v>-89308</v>
      </c>
      <c r="CM49" s="67">
        <f>SUM(CI49:CL49)</f>
        <v>-221585</v>
      </c>
      <c r="CN49" s="469">
        <f>CN53-CM53-'Income Statement'!CN50</f>
        <v>-8447</v>
      </c>
      <c r="CO49" s="469">
        <f>CO53-CN53</f>
        <v>-69299</v>
      </c>
      <c r="CP49" s="469">
        <f>CP53-CO53-'Income Statement'!CO50</f>
        <v>-47882</v>
      </c>
      <c r="CQ49" s="469">
        <f>CQ53-CP53</f>
        <v>-129551</v>
      </c>
      <c r="CR49" s="67">
        <f>SUM(CN49:CQ49)</f>
        <v>-255179</v>
      </c>
      <c r="CS49" s="469">
        <f>CS53-CR53-'Income Statement'!CS50</f>
        <v>-6868</v>
      </c>
      <c r="CT49" s="469">
        <f>CT53-CS53-'Income Statement'!CT50</f>
        <v>-98777</v>
      </c>
      <c r="CU49" s="469">
        <f>CU53-CT53</f>
        <v>-127573</v>
      </c>
      <c r="CV49" s="469">
        <f>CV53-CU53-CV38-CU38</f>
        <v>-184098</v>
      </c>
      <c r="CW49" s="67">
        <f>CW53-CR53-('Income Statement'!CW50-('Balance Sheet'!CW38-'Balance Sheet'!CR38))+(CW45-CR45)</f>
        <v>-358590</v>
      </c>
      <c r="CX49" s="469">
        <f>CX53-CW53-'Income Statement'!CX50</f>
        <v>-30861</v>
      </c>
      <c r="CY49" s="469">
        <f>CY53-CX53-'Income Statement'!CY50</f>
        <v>-186004</v>
      </c>
      <c r="CZ49" s="469">
        <f>CZ53-CY53-'Income Statement'!CZ50</f>
        <v>-110408</v>
      </c>
      <c r="DA49" s="469">
        <f>DA53-CZ53-'Income Statement'!DA50</f>
        <v>-207164</v>
      </c>
      <c r="DB49" s="67">
        <f>SUM(CX49:DA49)</f>
        <v>-534437</v>
      </c>
      <c r="DC49" s="469">
        <f>DC53-DB53-'Income Statement'!DC50</f>
        <v>-6141</v>
      </c>
      <c r="DD49" s="469">
        <f>DD53-DC53-'Income Statement'!DD50</f>
        <v>-121105.61611999999</v>
      </c>
      <c r="DE49" s="469">
        <f>DE53-DD53-'Income Statement'!DE50</f>
        <v>-222454</v>
      </c>
      <c r="DF49" s="469">
        <f>DF53-DE53-'Income Statement'!DF50+574123.963</f>
        <v>-314709.03700000001</v>
      </c>
      <c r="DG49" s="67">
        <f>DG53-DB53-SUM('Income Statement'!DC50:DF50)+DF38-DC38</f>
        <v>-1292871.6161199999</v>
      </c>
      <c r="DH49" s="469">
        <f>DH53-DG53</f>
        <v>-90844</v>
      </c>
      <c r="DI49" s="469">
        <f>DI53-DH53-270000</f>
        <v>-153657</v>
      </c>
      <c r="DJ49" s="496">
        <f ca="1">DJ53-DI53-'Income Statement'!DJ50</f>
        <v>-195212.33560104063</v>
      </c>
      <c r="DK49" s="496">
        <f ca="1">DK53-DJ53-'Income Statement'!DK50</f>
        <v>-285826.4530847373</v>
      </c>
      <c r="DL49" s="67">
        <f ca="1">DL53-DG53-('Income Statement'!DL50-('Balance Sheet'!DL38-'Balance Sheet'!DG38))+(DL45-DG45)</f>
        <v>-755539.78868577792</v>
      </c>
      <c r="DM49" s="16"/>
      <c r="DN49" s="16"/>
      <c r="DO49" s="146"/>
      <c r="DP49" s="9"/>
      <c r="DQ49" s="67">
        <f ca="1">DQ53-DL53-('Income Statement'!DQ50-('Balance Sheet'!DQ38-'Balance Sheet'!DL38))+(DQ45-DL45)</f>
        <v>-1497781.5356213034</v>
      </c>
      <c r="DR49" s="16"/>
      <c r="DS49" s="16"/>
      <c r="DT49" s="146"/>
      <c r="DU49" s="9"/>
      <c r="DV49" s="67">
        <f ca="1">DV53-DQ53-('Income Statement'!DV50-('Balance Sheet'!DV38-'Balance Sheet'!DQ38))+(DV45-DQ45)</f>
        <v>-1528659.9062367068</v>
      </c>
      <c r="DW49" s="16"/>
      <c r="DX49" s="16"/>
      <c r="DY49" s="146"/>
      <c r="DZ49" s="9"/>
      <c r="EA49" s="67">
        <f ca="1">EA53-DV53-('Income Statement'!EA50-('Balance Sheet'!EA38-'Balance Sheet'!DV38))+(EA45-DV45)</f>
        <v>-1657105.068617855</v>
      </c>
      <c r="EB49" s="16"/>
      <c r="EC49" s="16"/>
      <c r="ED49" s="146"/>
      <c r="EE49" s="9"/>
      <c r="EF49" s="67">
        <f ca="1">EF53-EA53-('Income Statement'!EF50-('Balance Sheet'!EF38-'Balance Sheet'!EA38))+(EF45-EA45)</f>
        <v>-1743228.6961088676</v>
      </c>
    </row>
    <row r="50" spans="1:138" ht="12" customHeight="1">
      <c r="A50" s="1" t="s">
        <v>207</v>
      </c>
      <c r="B50" s="83">
        <f>B28</f>
        <v>0</v>
      </c>
      <c r="C50" s="83">
        <f>C28</f>
        <v>0</v>
      </c>
      <c r="D50" s="83">
        <f>D28</f>
        <v>0</v>
      </c>
      <c r="E50" s="83">
        <f>E28</f>
        <v>0</v>
      </c>
      <c r="F50" s="26">
        <f>F28</f>
        <v>0</v>
      </c>
      <c r="G50" s="83">
        <f t="shared" ref="G50:O50" si="110">G28+G31</f>
        <v>0</v>
      </c>
      <c r="H50" s="83">
        <f t="shared" si="110"/>
        <v>0</v>
      </c>
      <c r="I50" s="83">
        <f t="shared" si="110"/>
        <v>0</v>
      </c>
      <c r="J50" s="83">
        <f t="shared" si="110"/>
        <v>0</v>
      </c>
      <c r="K50" s="26">
        <f t="shared" si="110"/>
        <v>0</v>
      </c>
      <c r="L50" s="83">
        <f t="shared" si="110"/>
        <v>0</v>
      </c>
      <c r="M50" s="83">
        <f t="shared" si="110"/>
        <v>0</v>
      </c>
      <c r="N50" s="83">
        <f t="shared" si="110"/>
        <v>0</v>
      </c>
      <c r="O50" s="83">
        <f t="shared" si="110"/>
        <v>0</v>
      </c>
      <c r="P50" s="26">
        <f t="shared" ref="P50:BN50" si="111">P28+P31</f>
        <v>0</v>
      </c>
      <c r="Q50" s="83">
        <f t="shared" si="111"/>
        <v>0</v>
      </c>
      <c r="R50" s="83">
        <f t="shared" si="111"/>
        <v>0</v>
      </c>
      <c r="S50" s="83">
        <f t="shared" si="111"/>
        <v>0</v>
      </c>
      <c r="T50" s="83">
        <f t="shared" si="111"/>
        <v>0</v>
      </c>
      <c r="U50" s="26">
        <f t="shared" si="111"/>
        <v>0</v>
      </c>
      <c r="V50" s="83">
        <f t="shared" si="111"/>
        <v>0</v>
      </c>
      <c r="W50" s="83">
        <f t="shared" si="111"/>
        <v>0</v>
      </c>
      <c r="X50" s="83">
        <f t="shared" si="111"/>
        <v>0</v>
      </c>
      <c r="Y50" s="83">
        <f t="shared" si="111"/>
        <v>0</v>
      </c>
      <c r="Z50" s="26">
        <f t="shared" si="111"/>
        <v>0</v>
      </c>
      <c r="AA50" s="83">
        <f t="shared" si="111"/>
        <v>0</v>
      </c>
      <c r="AB50" s="83">
        <f t="shared" si="111"/>
        <v>0</v>
      </c>
      <c r="AC50" s="83">
        <f t="shared" si="111"/>
        <v>0</v>
      </c>
      <c r="AD50" s="83">
        <f t="shared" si="111"/>
        <v>0</v>
      </c>
      <c r="AE50" s="26">
        <f t="shared" si="111"/>
        <v>0</v>
      </c>
      <c r="AF50" s="83">
        <f t="shared" si="111"/>
        <v>0</v>
      </c>
      <c r="AG50" s="83">
        <f t="shared" si="111"/>
        <v>0</v>
      </c>
      <c r="AH50" s="83">
        <f t="shared" si="111"/>
        <v>0</v>
      </c>
      <c r="AI50" s="83">
        <f t="shared" si="111"/>
        <v>96143.043999999994</v>
      </c>
      <c r="AJ50" s="26">
        <f t="shared" si="111"/>
        <v>96143.043999999994</v>
      </c>
      <c r="AK50" s="83">
        <f t="shared" si="111"/>
        <v>0</v>
      </c>
      <c r="AL50" s="83">
        <f t="shared" si="111"/>
        <v>0</v>
      </c>
      <c r="AM50" s="83">
        <f t="shared" si="111"/>
        <v>0</v>
      </c>
      <c r="AN50" s="83">
        <f t="shared" si="111"/>
        <v>152838.53400000001</v>
      </c>
      <c r="AO50" s="26">
        <f t="shared" si="111"/>
        <v>152838.53400000001</v>
      </c>
      <c r="AP50" s="83">
        <f t="shared" si="111"/>
        <v>0</v>
      </c>
      <c r="AQ50" s="83">
        <f t="shared" si="111"/>
        <v>0</v>
      </c>
      <c r="AR50" s="83">
        <f t="shared" si="111"/>
        <v>0</v>
      </c>
      <c r="AS50" s="83">
        <f t="shared" si="111"/>
        <v>106708.39200000001</v>
      </c>
      <c r="AT50" s="26">
        <f t="shared" si="111"/>
        <v>106708.39200000001</v>
      </c>
      <c r="AU50" s="83">
        <f t="shared" si="111"/>
        <v>0</v>
      </c>
      <c r="AV50" s="83">
        <f t="shared" si="111"/>
        <v>0</v>
      </c>
      <c r="AW50" s="83">
        <f t="shared" si="111"/>
        <v>0</v>
      </c>
      <c r="AX50" s="83">
        <f t="shared" si="111"/>
        <v>106209</v>
      </c>
      <c r="AY50" s="26">
        <f t="shared" si="111"/>
        <v>106209</v>
      </c>
      <c r="AZ50" s="83">
        <f t="shared" si="111"/>
        <v>0</v>
      </c>
      <c r="BA50" s="83">
        <f t="shared" si="111"/>
        <v>0</v>
      </c>
      <c r="BB50" s="83">
        <f t="shared" si="111"/>
        <v>0</v>
      </c>
      <c r="BC50" s="83">
        <f t="shared" si="111"/>
        <v>151628</v>
      </c>
      <c r="BD50" s="26">
        <f t="shared" si="111"/>
        <v>151628</v>
      </c>
      <c r="BE50" s="83">
        <f t="shared" si="111"/>
        <v>0</v>
      </c>
      <c r="BF50" s="83">
        <f t="shared" si="111"/>
        <v>0</v>
      </c>
      <c r="BG50" s="83">
        <f t="shared" si="111"/>
        <v>0</v>
      </c>
      <c r="BH50" s="83">
        <f t="shared" si="111"/>
        <v>185787</v>
      </c>
      <c r="BI50" s="26">
        <f t="shared" si="111"/>
        <v>185787</v>
      </c>
      <c r="BJ50" s="83">
        <f t="shared" si="111"/>
        <v>0</v>
      </c>
      <c r="BK50" s="83">
        <f t="shared" si="111"/>
        <v>0</v>
      </c>
      <c r="BL50" s="83">
        <f t="shared" si="111"/>
        <v>0</v>
      </c>
      <c r="BM50" s="83">
        <f t="shared" si="111"/>
        <v>215817</v>
      </c>
      <c r="BN50" s="26">
        <f t="shared" si="111"/>
        <v>215817</v>
      </c>
      <c r="BO50" s="83">
        <f t="shared" ref="BO50:BW50" si="112">BO28+BO31</f>
        <v>0</v>
      </c>
      <c r="BP50" s="83">
        <f t="shared" si="112"/>
        <v>0</v>
      </c>
      <c r="BQ50" s="83">
        <f t="shared" si="112"/>
        <v>0</v>
      </c>
      <c r="BR50" s="83">
        <f t="shared" si="112"/>
        <v>221325</v>
      </c>
      <c r="BS50" s="26">
        <f t="shared" si="112"/>
        <v>221325</v>
      </c>
      <c r="BT50" s="83">
        <f t="shared" si="112"/>
        <v>0</v>
      </c>
      <c r="BU50" s="83">
        <f>BU28+BU31</f>
        <v>0</v>
      </c>
      <c r="BV50" s="83">
        <f t="shared" si="112"/>
        <v>0</v>
      </c>
      <c r="BW50" s="83">
        <f t="shared" si="112"/>
        <v>293491</v>
      </c>
      <c r="BX50" s="26">
        <f t="shared" ref="BX50:CC50" si="113">BX28+BX31</f>
        <v>293491</v>
      </c>
      <c r="BY50" s="83">
        <f t="shared" si="113"/>
        <v>0</v>
      </c>
      <c r="BZ50" s="83">
        <f t="shared" si="113"/>
        <v>0</v>
      </c>
      <c r="CA50" s="83">
        <f t="shared" si="113"/>
        <v>0</v>
      </c>
      <c r="CB50" s="83">
        <f t="shared" si="113"/>
        <v>319243</v>
      </c>
      <c r="CC50" s="26">
        <f t="shared" si="113"/>
        <v>319243</v>
      </c>
      <c r="CD50" s="83">
        <f>CD28+CD31</f>
        <v>322976</v>
      </c>
      <c r="CE50" s="83">
        <f>CE28+CE31</f>
        <v>356791</v>
      </c>
      <c r="CF50" s="83">
        <f t="shared" ref="CF50:DG50" si="114">CF28+CF31</f>
        <v>313854</v>
      </c>
      <c r="CG50" s="83">
        <f t="shared" si="114"/>
        <v>284224</v>
      </c>
      <c r="CH50" s="26">
        <f t="shared" si="114"/>
        <v>284224</v>
      </c>
      <c r="CI50" s="83">
        <f t="shared" si="114"/>
        <v>281531</v>
      </c>
      <c r="CJ50" s="83">
        <f t="shared" si="114"/>
        <v>271037</v>
      </c>
      <c r="CK50" s="83">
        <f t="shared" si="114"/>
        <v>390976</v>
      </c>
      <c r="CL50" s="83">
        <f>CL28+CL31</f>
        <v>391228</v>
      </c>
      <c r="CM50" s="26">
        <f t="shared" si="114"/>
        <v>391228</v>
      </c>
      <c r="CN50" s="83">
        <f>CN28+CN31</f>
        <v>390862</v>
      </c>
      <c r="CO50" s="83">
        <f>CO28+CO31</f>
        <v>398972</v>
      </c>
      <c r="CP50" s="83">
        <f>CP28+CP31</f>
        <v>456021</v>
      </c>
      <c r="CQ50" s="83">
        <f>CQ28+CQ31</f>
        <v>480988</v>
      </c>
      <c r="CR50" s="26">
        <f t="shared" si="114"/>
        <v>480988</v>
      </c>
      <c r="CS50" s="83">
        <f t="shared" si="114"/>
        <v>474517</v>
      </c>
      <c r="CT50" s="83">
        <f t="shared" si="114"/>
        <v>499607</v>
      </c>
      <c r="CU50" s="83">
        <f t="shared" si="114"/>
        <v>645719</v>
      </c>
      <c r="CV50" s="83">
        <f t="shared" si="114"/>
        <v>613352</v>
      </c>
      <c r="CW50" s="26">
        <f t="shared" si="114"/>
        <v>613352</v>
      </c>
      <c r="CX50" s="83">
        <f t="shared" si="114"/>
        <v>601890</v>
      </c>
      <c r="CY50" s="83">
        <f>CY28+CY31</f>
        <v>1080738</v>
      </c>
      <c r="CZ50" s="83">
        <f t="shared" si="114"/>
        <v>1102525</v>
      </c>
      <c r="DA50" s="83">
        <f>DA28+DA31</f>
        <v>986382</v>
      </c>
      <c r="DB50" s="26">
        <f t="shared" si="114"/>
        <v>986382</v>
      </c>
      <c r="DC50" s="83">
        <f t="shared" si="114"/>
        <v>1282811</v>
      </c>
      <c r="DD50" s="83">
        <f t="shared" si="114"/>
        <v>1303112</v>
      </c>
      <c r="DE50" s="83">
        <f t="shared" si="114"/>
        <v>1322986</v>
      </c>
      <c r="DF50" s="83">
        <f t="shared" si="114"/>
        <v>1474887</v>
      </c>
      <c r="DG50" s="26">
        <f t="shared" si="114"/>
        <v>1474887</v>
      </c>
      <c r="DH50" s="83">
        <f t="shared" ref="DH50" si="115">DH28+DH31</f>
        <v>1350416</v>
      </c>
      <c r="DI50" s="83">
        <f t="shared" ref="DI50:EF50" si="116">DI28+DI31</f>
        <v>1343155</v>
      </c>
      <c r="DJ50" s="83">
        <f t="shared" si="116"/>
        <v>1395964.2633257378</v>
      </c>
      <c r="DK50" s="83">
        <f t="shared" si="116"/>
        <v>1428775.9083087535</v>
      </c>
      <c r="DL50" s="26">
        <f t="shared" si="116"/>
        <v>1428775.9083087535</v>
      </c>
      <c r="DM50" s="83">
        <f t="shared" si="116"/>
        <v>1421401.9533035813</v>
      </c>
      <c r="DN50" s="83">
        <f t="shared" si="116"/>
        <v>1465472.8539810409</v>
      </c>
      <c r="DO50" s="83">
        <f t="shared" si="116"/>
        <v>1502959.9813082034</v>
      </c>
      <c r="DP50" s="83">
        <f t="shared" si="116"/>
        <v>1537464.4637646212</v>
      </c>
      <c r="DQ50" s="26">
        <f t="shared" si="116"/>
        <v>1537464.4637646212</v>
      </c>
      <c r="DR50" s="83">
        <f t="shared" si="116"/>
        <v>1569836.8668253669</v>
      </c>
      <c r="DS50" s="83">
        <f t="shared" si="116"/>
        <v>1600642.286353894</v>
      </c>
      <c r="DT50" s="83">
        <f t="shared" si="116"/>
        <v>1630240.466610166</v>
      </c>
      <c r="DU50" s="83">
        <f t="shared" si="116"/>
        <v>1658874.1446195822</v>
      </c>
      <c r="DV50" s="26">
        <f t="shared" si="116"/>
        <v>1658874.1446195822</v>
      </c>
      <c r="DW50" s="83">
        <f t="shared" si="116"/>
        <v>1686717.0189033526</v>
      </c>
      <c r="DX50" s="83">
        <f t="shared" si="116"/>
        <v>1713900.8004527793</v>
      </c>
      <c r="DY50" s="83">
        <f t="shared" si="116"/>
        <v>1740530.5743598472</v>
      </c>
      <c r="DZ50" s="83">
        <f t="shared" si="116"/>
        <v>1766693.6459125041</v>
      </c>
      <c r="EA50" s="26">
        <f t="shared" si="116"/>
        <v>1766693.6459125041</v>
      </c>
      <c r="EB50" s="83">
        <f t="shared" si="116"/>
        <v>1792464.7417249449</v>
      </c>
      <c r="EC50" s="83">
        <f t="shared" si="116"/>
        <v>1817909.1608275855</v>
      </c>
      <c r="ED50" s="83">
        <f t="shared" si="116"/>
        <v>1843084.7629266067</v>
      </c>
      <c r="EE50" s="83">
        <f t="shared" si="116"/>
        <v>1868043.2883405497</v>
      </c>
      <c r="EF50" s="26">
        <f t="shared" si="116"/>
        <v>1868043.2883405497</v>
      </c>
    </row>
    <row r="51" spans="1:138" ht="12" customHeight="1">
      <c r="A51" s="1" t="s">
        <v>14</v>
      </c>
      <c r="B51" s="83">
        <f t="shared" ref="B51:K51" si="117">B6</f>
        <v>0</v>
      </c>
      <c r="C51" s="83">
        <f t="shared" si="117"/>
        <v>0</v>
      </c>
      <c r="D51" s="83">
        <f t="shared" si="117"/>
        <v>0</v>
      </c>
      <c r="E51" s="83">
        <f t="shared" si="117"/>
        <v>0</v>
      </c>
      <c r="F51" s="26">
        <f t="shared" si="117"/>
        <v>0</v>
      </c>
      <c r="G51" s="83">
        <f t="shared" si="117"/>
        <v>0</v>
      </c>
      <c r="H51" s="83">
        <f t="shared" si="117"/>
        <v>0</v>
      </c>
      <c r="I51" s="83">
        <f t="shared" si="117"/>
        <v>0</v>
      </c>
      <c r="J51" s="83">
        <f t="shared" si="117"/>
        <v>0</v>
      </c>
      <c r="K51" s="26">
        <f t="shared" si="117"/>
        <v>0</v>
      </c>
      <c r="L51" s="83">
        <f t="shared" ref="L51:BN51" si="118">L6</f>
        <v>0</v>
      </c>
      <c r="M51" s="83">
        <f t="shared" si="118"/>
        <v>0</v>
      </c>
      <c r="N51" s="83">
        <f t="shared" si="118"/>
        <v>0</v>
      </c>
      <c r="O51" s="83">
        <f t="shared" si="118"/>
        <v>0</v>
      </c>
      <c r="P51" s="26">
        <f t="shared" si="118"/>
        <v>0</v>
      </c>
      <c r="Q51" s="83">
        <f t="shared" si="118"/>
        <v>0</v>
      </c>
      <c r="R51" s="83">
        <f t="shared" si="118"/>
        <v>0</v>
      </c>
      <c r="S51" s="83">
        <f t="shared" si="118"/>
        <v>0</v>
      </c>
      <c r="T51" s="83">
        <f t="shared" si="118"/>
        <v>0</v>
      </c>
      <c r="U51" s="26">
        <f t="shared" si="118"/>
        <v>0</v>
      </c>
      <c r="V51" s="83">
        <f t="shared" si="118"/>
        <v>0</v>
      </c>
      <c r="W51" s="83">
        <f t="shared" si="118"/>
        <v>0</v>
      </c>
      <c r="X51" s="83">
        <f t="shared" si="118"/>
        <v>0</v>
      </c>
      <c r="Y51" s="83">
        <f t="shared" si="118"/>
        <v>0</v>
      </c>
      <c r="Z51" s="26">
        <f t="shared" si="118"/>
        <v>0</v>
      </c>
      <c r="AA51" s="83">
        <f t="shared" si="118"/>
        <v>0</v>
      </c>
      <c r="AB51" s="83">
        <f t="shared" si="118"/>
        <v>0</v>
      </c>
      <c r="AC51" s="83">
        <f t="shared" si="118"/>
        <v>0</v>
      </c>
      <c r="AD51" s="83">
        <f t="shared" si="118"/>
        <v>0</v>
      </c>
      <c r="AE51" s="26">
        <f t="shared" si="118"/>
        <v>0</v>
      </c>
      <c r="AF51" s="83">
        <f t="shared" si="118"/>
        <v>0</v>
      </c>
      <c r="AG51" s="83">
        <f t="shared" si="118"/>
        <v>0</v>
      </c>
      <c r="AH51" s="83">
        <f t="shared" si="118"/>
        <v>0</v>
      </c>
      <c r="AI51" s="83">
        <f t="shared" si="118"/>
        <v>22154.918000000001</v>
      </c>
      <c r="AJ51" s="26">
        <f t="shared" si="118"/>
        <v>22154.918000000001</v>
      </c>
      <c r="AK51" s="83">
        <f t="shared" si="118"/>
        <v>0</v>
      </c>
      <c r="AL51" s="83">
        <f t="shared" si="118"/>
        <v>0</v>
      </c>
      <c r="AM51" s="83">
        <f t="shared" si="118"/>
        <v>0</v>
      </c>
      <c r="AN51" s="83">
        <f t="shared" si="118"/>
        <v>50296.697999999997</v>
      </c>
      <c r="AO51" s="26">
        <f t="shared" si="118"/>
        <v>50296.697999999997</v>
      </c>
      <c r="AP51" s="83">
        <f t="shared" si="118"/>
        <v>0</v>
      </c>
      <c r="AQ51" s="83">
        <f t="shared" si="118"/>
        <v>0</v>
      </c>
      <c r="AR51" s="83">
        <f t="shared" si="118"/>
        <v>0</v>
      </c>
      <c r="AS51" s="83">
        <f t="shared" si="118"/>
        <v>81383.578999999998</v>
      </c>
      <c r="AT51" s="26">
        <f t="shared" si="118"/>
        <v>81383.578999999998</v>
      </c>
      <c r="AU51" s="83">
        <f t="shared" si="118"/>
        <v>0</v>
      </c>
      <c r="AV51" s="83">
        <f t="shared" si="118"/>
        <v>0</v>
      </c>
      <c r="AW51" s="83">
        <f t="shared" si="118"/>
        <v>0</v>
      </c>
      <c r="AX51" s="83">
        <f t="shared" si="118"/>
        <v>85862</v>
      </c>
      <c r="AY51" s="26">
        <f t="shared" si="118"/>
        <v>85862</v>
      </c>
      <c r="AZ51" s="83">
        <f t="shared" si="118"/>
        <v>0</v>
      </c>
      <c r="BA51" s="83">
        <f t="shared" si="118"/>
        <v>0</v>
      </c>
      <c r="BB51" s="83">
        <f t="shared" si="118"/>
        <v>0</v>
      </c>
      <c r="BC51" s="83">
        <f t="shared" si="118"/>
        <v>142139</v>
      </c>
      <c r="BD51" s="26">
        <f t="shared" si="118"/>
        <v>142139</v>
      </c>
      <c r="BE51" s="83">
        <f t="shared" si="118"/>
        <v>0</v>
      </c>
      <c r="BF51" s="83">
        <f t="shared" si="118"/>
        <v>0</v>
      </c>
      <c r="BG51" s="83">
        <f t="shared" si="118"/>
        <v>0</v>
      </c>
      <c r="BH51" s="83">
        <f t="shared" si="118"/>
        <v>152522</v>
      </c>
      <c r="BI51" s="26">
        <f t="shared" si="118"/>
        <v>152522</v>
      </c>
      <c r="BJ51" s="83">
        <f t="shared" si="118"/>
        <v>0</v>
      </c>
      <c r="BK51" s="83">
        <f t="shared" si="118"/>
        <v>0</v>
      </c>
      <c r="BL51" s="83">
        <f t="shared" si="118"/>
        <v>0</v>
      </c>
      <c r="BM51" s="83">
        <f t="shared" si="118"/>
        <v>161739</v>
      </c>
      <c r="BN51" s="26">
        <f t="shared" si="118"/>
        <v>161739</v>
      </c>
      <c r="BO51" s="83">
        <f t="shared" ref="BO51:CC51" si="119">BO6</f>
        <v>0</v>
      </c>
      <c r="BP51" s="83">
        <f t="shared" si="119"/>
        <v>0</v>
      </c>
      <c r="BQ51" s="83">
        <f t="shared" si="119"/>
        <v>0</v>
      </c>
      <c r="BR51" s="83">
        <f>BR6</f>
        <v>198506</v>
      </c>
      <c r="BS51" s="26">
        <f t="shared" si="119"/>
        <v>198506</v>
      </c>
      <c r="BT51" s="83">
        <f t="shared" si="119"/>
        <v>0</v>
      </c>
      <c r="BU51" s="83">
        <f>BU6</f>
        <v>0</v>
      </c>
      <c r="BV51" s="83">
        <f t="shared" si="119"/>
        <v>0</v>
      </c>
      <c r="BW51" s="83">
        <f>BW6</f>
        <v>250961</v>
      </c>
      <c r="BX51" s="26">
        <f t="shared" si="119"/>
        <v>250961</v>
      </c>
      <c r="BY51" s="83">
        <f t="shared" si="119"/>
        <v>0</v>
      </c>
      <c r="BZ51" s="83">
        <f t="shared" si="119"/>
        <v>0</v>
      </c>
      <c r="CA51" s="83">
        <f>CA6</f>
        <v>0</v>
      </c>
      <c r="CB51" s="83">
        <f t="shared" si="119"/>
        <v>314343</v>
      </c>
      <c r="CC51" s="26">
        <f t="shared" si="119"/>
        <v>314343</v>
      </c>
      <c r="CD51" s="83">
        <f>CD6</f>
        <v>325528</v>
      </c>
      <c r="CE51" s="83">
        <f>CE6</f>
        <v>425847</v>
      </c>
      <c r="CF51" s="83">
        <f t="shared" ref="CF51:DG51" si="120">CF6</f>
        <v>609849</v>
      </c>
      <c r="CG51" s="83">
        <f t="shared" si="120"/>
        <v>430898</v>
      </c>
      <c r="CH51" s="26">
        <f t="shared" si="120"/>
        <v>430898</v>
      </c>
      <c r="CI51" s="83">
        <f t="shared" si="120"/>
        <v>436644</v>
      </c>
      <c r="CJ51" s="83">
        <f t="shared" si="120"/>
        <v>491987</v>
      </c>
      <c r="CK51" s="83">
        <f t="shared" si="120"/>
        <v>554927</v>
      </c>
      <c r="CL51" s="83">
        <f>CL6</f>
        <v>594487</v>
      </c>
      <c r="CM51" s="26">
        <f t="shared" si="120"/>
        <v>594487</v>
      </c>
      <c r="CN51" s="83">
        <f>CN6</f>
        <v>602568</v>
      </c>
      <c r="CO51" s="83">
        <f>CO6</f>
        <v>679977</v>
      </c>
      <c r="CP51" s="83">
        <f>CP6</f>
        <v>634908</v>
      </c>
      <c r="CQ51" s="83">
        <f>CQ6</f>
        <v>789426</v>
      </c>
      <c r="CR51" s="26">
        <f t="shared" si="120"/>
        <v>789426</v>
      </c>
      <c r="CS51" s="83">
        <f>CS6</f>
        <v>729823</v>
      </c>
      <c r="CT51" s="83">
        <f>CT6</f>
        <v>835390</v>
      </c>
      <c r="CU51" s="83">
        <f t="shared" si="120"/>
        <v>1109075</v>
      </c>
      <c r="CV51" s="83">
        <f t="shared" si="120"/>
        <v>992269</v>
      </c>
      <c r="CW51" s="26">
        <f t="shared" si="120"/>
        <v>992269</v>
      </c>
      <c r="CX51" s="83">
        <f t="shared" si="120"/>
        <v>1011668</v>
      </c>
      <c r="CY51" s="83">
        <f>CY6</f>
        <v>1558020</v>
      </c>
      <c r="CZ51" s="83">
        <f t="shared" si="120"/>
        <v>1425215</v>
      </c>
      <c r="DA51" s="83">
        <f>DA6</f>
        <v>1416236</v>
      </c>
      <c r="DB51" s="26">
        <f t="shared" si="120"/>
        <v>1416236</v>
      </c>
      <c r="DC51" s="83">
        <f t="shared" si="120"/>
        <v>1543806</v>
      </c>
      <c r="DD51" s="83">
        <f t="shared" si="120"/>
        <v>1530875</v>
      </c>
      <c r="DE51" s="83">
        <f t="shared" si="120"/>
        <v>1773203</v>
      </c>
      <c r="DF51" s="83">
        <f t="shared" si="120"/>
        <v>1790937</v>
      </c>
      <c r="DG51" s="26">
        <f t="shared" si="120"/>
        <v>1790937</v>
      </c>
      <c r="DH51" s="83">
        <f t="shared" ref="DH51" si="121">DH6</f>
        <v>1757310</v>
      </c>
      <c r="DI51" s="83">
        <f t="shared" ref="DI51:EF51" si="122">DI6</f>
        <v>1633706</v>
      </c>
      <c r="DJ51" s="83">
        <f t="shared" ca="1" si="122"/>
        <v>1691727.5989267784</v>
      </c>
      <c r="DK51" s="83">
        <f t="shared" ca="1" si="122"/>
        <v>1791988.9697218041</v>
      </c>
      <c r="DL51" s="26">
        <f t="shared" ca="1" si="122"/>
        <v>1791988.9697218041</v>
      </c>
      <c r="DM51" s="83">
        <f t="shared" ca="1" si="122"/>
        <v>2038905.4849619931</v>
      </c>
      <c r="DN51" s="83">
        <f t="shared" ca="1" si="122"/>
        <v>2153963.4872123585</v>
      </c>
      <c r="DO51" s="83">
        <f t="shared" ca="1" si="122"/>
        <v>2274940.9808937958</v>
      </c>
      <c r="DP51" s="83">
        <f t="shared" ca="1" si="122"/>
        <v>2652247.6903838427</v>
      </c>
      <c r="DQ51" s="26">
        <f t="shared" ca="1" si="122"/>
        <v>2652247.6903838427</v>
      </c>
      <c r="DR51" s="83">
        <f t="shared" ca="1" si="122"/>
        <v>1828617.9699997469</v>
      </c>
      <c r="DS51" s="83">
        <f t="shared" ca="1" si="122"/>
        <v>1977213.1490133</v>
      </c>
      <c r="DT51" s="83">
        <f t="shared" ca="1" si="122"/>
        <v>2392684.5791084031</v>
      </c>
      <c r="DU51" s="83">
        <f t="shared" ca="1" si="122"/>
        <v>2827051.6671570493</v>
      </c>
      <c r="DV51" s="26">
        <f t="shared" ca="1" si="122"/>
        <v>2827051.6671570493</v>
      </c>
      <c r="DW51" s="83">
        <f t="shared" ca="1" si="122"/>
        <v>1723768.01818244</v>
      </c>
      <c r="DX51" s="83">
        <f t="shared" ca="1" si="122"/>
        <v>2149816.1739923279</v>
      </c>
      <c r="DY51" s="83">
        <f t="shared" ca="1" si="122"/>
        <v>2594364.9941424616</v>
      </c>
      <c r="DZ51" s="83">
        <f t="shared" ca="1" si="122"/>
        <v>3057868.0773153142</v>
      </c>
      <c r="EA51" s="26">
        <f t="shared" ca="1" si="122"/>
        <v>3057868.0773153142</v>
      </c>
      <c r="EB51" s="83">
        <f t="shared" ca="1" si="122"/>
        <v>1900429.8634106587</v>
      </c>
      <c r="EC51" s="83">
        <f t="shared" ca="1" si="122"/>
        <v>2348955.6248460161</v>
      </c>
      <c r="ED51" s="83">
        <f t="shared" ca="1" si="122"/>
        <v>2810830.2001529974</v>
      </c>
      <c r="EE51" s="83">
        <f t="shared" ca="1" si="122"/>
        <v>3286395.5029418501</v>
      </c>
      <c r="EF51" s="26">
        <f t="shared" ca="1" si="122"/>
        <v>3286395.5029418501</v>
      </c>
    </row>
    <row r="52" spans="1:138" ht="12" customHeight="1" collapsed="1">
      <c r="A52" s="1" t="s">
        <v>297</v>
      </c>
      <c r="B52" s="83">
        <f t="shared" ref="B52:K52" si="123">B43+B42</f>
        <v>0</v>
      </c>
      <c r="C52" s="83">
        <f t="shared" si="123"/>
        <v>0</v>
      </c>
      <c r="D52" s="83">
        <f t="shared" si="123"/>
        <v>0</v>
      </c>
      <c r="E52" s="83">
        <f t="shared" si="123"/>
        <v>0</v>
      </c>
      <c r="F52" s="26">
        <f t="shared" si="123"/>
        <v>0</v>
      </c>
      <c r="G52" s="83">
        <f t="shared" si="123"/>
        <v>0</v>
      </c>
      <c r="H52" s="83">
        <f t="shared" si="123"/>
        <v>0</v>
      </c>
      <c r="I52" s="83">
        <f t="shared" si="123"/>
        <v>0</v>
      </c>
      <c r="J52" s="83">
        <f t="shared" si="123"/>
        <v>0</v>
      </c>
      <c r="K52" s="26">
        <f t="shared" si="123"/>
        <v>0</v>
      </c>
      <c r="L52" s="83">
        <f t="shared" ref="L52:BN52" si="124">L43+L42</f>
        <v>0</v>
      </c>
      <c r="M52" s="83">
        <f t="shared" si="124"/>
        <v>0</v>
      </c>
      <c r="N52" s="83">
        <f t="shared" si="124"/>
        <v>0</v>
      </c>
      <c r="O52" s="83">
        <f t="shared" si="124"/>
        <v>0</v>
      </c>
      <c r="P52" s="26">
        <f t="shared" si="124"/>
        <v>0</v>
      </c>
      <c r="Q52" s="83">
        <f t="shared" si="124"/>
        <v>0</v>
      </c>
      <c r="R52" s="83">
        <f t="shared" si="124"/>
        <v>0</v>
      </c>
      <c r="S52" s="83">
        <f t="shared" si="124"/>
        <v>0</v>
      </c>
      <c r="T52" s="83">
        <f t="shared" si="124"/>
        <v>0</v>
      </c>
      <c r="U52" s="26">
        <f t="shared" si="124"/>
        <v>0</v>
      </c>
      <c r="V52" s="83">
        <f t="shared" si="124"/>
        <v>0</v>
      </c>
      <c r="W52" s="83">
        <f t="shared" si="124"/>
        <v>0</v>
      </c>
      <c r="X52" s="83">
        <f t="shared" si="124"/>
        <v>0</v>
      </c>
      <c r="Y52" s="83">
        <f t="shared" si="124"/>
        <v>0</v>
      </c>
      <c r="Z52" s="26">
        <f t="shared" si="124"/>
        <v>0</v>
      </c>
      <c r="AA52" s="83">
        <f t="shared" si="124"/>
        <v>0</v>
      </c>
      <c r="AB52" s="83">
        <f t="shared" si="124"/>
        <v>0</v>
      </c>
      <c r="AC52" s="83">
        <f t="shared" si="124"/>
        <v>0</v>
      </c>
      <c r="AD52" s="83">
        <f t="shared" si="124"/>
        <v>0</v>
      </c>
      <c r="AE52" s="26">
        <f t="shared" si="124"/>
        <v>0</v>
      </c>
      <c r="AF52" s="83">
        <f t="shared" si="124"/>
        <v>0</v>
      </c>
      <c r="AG52" s="83">
        <f t="shared" si="124"/>
        <v>0</v>
      </c>
      <c r="AH52" s="83">
        <f t="shared" si="124"/>
        <v>0</v>
      </c>
      <c r="AI52" s="83">
        <f t="shared" si="124"/>
        <v>120484.13400000001</v>
      </c>
      <c r="AJ52" s="26">
        <f t="shared" si="124"/>
        <v>120484.13400000001</v>
      </c>
      <c r="AK52" s="83">
        <f t="shared" si="124"/>
        <v>0</v>
      </c>
      <c r="AL52" s="83">
        <f t="shared" si="124"/>
        <v>0</v>
      </c>
      <c r="AM52" s="83">
        <f t="shared" si="124"/>
        <v>0</v>
      </c>
      <c r="AN52" s="83">
        <f t="shared" si="124"/>
        <v>189163.09599999999</v>
      </c>
      <c r="AO52" s="26">
        <f t="shared" si="124"/>
        <v>189163.09599999999</v>
      </c>
      <c r="AP52" s="83">
        <f t="shared" si="124"/>
        <v>0</v>
      </c>
      <c r="AQ52" s="83">
        <f t="shared" si="124"/>
        <v>0</v>
      </c>
      <c r="AR52" s="83">
        <f t="shared" si="124"/>
        <v>0</v>
      </c>
      <c r="AS52" s="83">
        <f t="shared" si="124"/>
        <v>330229.89799999999</v>
      </c>
      <c r="AT52" s="26">
        <f t="shared" si="124"/>
        <v>330229.89799999999</v>
      </c>
      <c r="AU52" s="83">
        <f t="shared" si="124"/>
        <v>0</v>
      </c>
      <c r="AV52" s="83">
        <f t="shared" si="124"/>
        <v>0</v>
      </c>
      <c r="AW52" s="83">
        <f t="shared" si="124"/>
        <v>0</v>
      </c>
      <c r="AX52" s="83">
        <f t="shared" si="124"/>
        <v>432009</v>
      </c>
      <c r="AY52" s="26">
        <f t="shared" si="124"/>
        <v>432009</v>
      </c>
      <c r="AZ52" s="83">
        <f t="shared" si="124"/>
        <v>0</v>
      </c>
      <c r="BA52" s="83">
        <f t="shared" si="124"/>
        <v>0</v>
      </c>
      <c r="BB52" s="83">
        <f t="shared" si="124"/>
        <v>0</v>
      </c>
      <c r="BC52" s="83">
        <f t="shared" si="124"/>
        <v>539149</v>
      </c>
      <c r="BD52" s="26">
        <f t="shared" si="124"/>
        <v>539149</v>
      </c>
      <c r="BE52" s="83">
        <f t="shared" si="124"/>
        <v>0</v>
      </c>
      <c r="BF52" s="83">
        <f t="shared" si="124"/>
        <v>0</v>
      </c>
      <c r="BG52" s="83">
        <f t="shared" si="124"/>
        <v>0</v>
      </c>
      <c r="BH52" s="83">
        <f t="shared" si="124"/>
        <v>430245</v>
      </c>
      <c r="BI52" s="26">
        <f t="shared" si="124"/>
        <v>430245</v>
      </c>
      <c r="BJ52" s="83">
        <f t="shared" si="124"/>
        <v>0</v>
      </c>
      <c r="BK52" s="83">
        <f t="shared" si="124"/>
        <v>0</v>
      </c>
      <c r="BL52" s="83">
        <f t="shared" si="124"/>
        <v>0</v>
      </c>
      <c r="BM52" s="83">
        <f t="shared" si="124"/>
        <v>281876</v>
      </c>
      <c r="BN52" s="26">
        <f t="shared" si="124"/>
        <v>281876</v>
      </c>
      <c r="BO52" s="83">
        <f t="shared" ref="BO52:CC52" si="125">BO43+BO42</f>
        <v>0</v>
      </c>
      <c r="BP52" s="83">
        <f t="shared" si="125"/>
        <v>0</v>
      </c>
      <c r="BQ52" s="83">
        <f t="shared" si="125"/>
        <v>0</v>
      </c>
      <c r="BR52" s="83">
        <f>BR43+BR42</f>
        <v>336699</v>
      </c>
      <c r="BS52" s="26">
        <f t="shared" si="125"/>
        <v>336699</v>
      </c>
      <c r="BT52" s="83">
        <f t="shared" si="125"/>
        <v>0</v>
      </c>
      <c r="BU52" s="83">
        <f>BU43+BU42</f>
        <v>0</v>
      </c>
      <c r="BV52" s="83">
        <f t="shared" si="125"/>
        <v>0</v>
      </c>
      <c r="BW52" s="83">
        <f>BW43+BW42</f>
        <v>346647</v>
      </c>
      <c r="BX52" s="26">
        <f t="shared" si="125"/>
        <v>346647</v>
      </c>
      <c r="BY52" s="83">
        <f t="shared" si="125"/>
        <v>0</v>
      </c>
      <c r="BZ52" s="83">
        <f t="shared" si="125"/>
        <v>0</v>
      </c>
      <c r="CA52" s="83">
        <f>CA43+CA42</f>
        <v>0</v>
      </c>
      <c r="CB52" s="83">
        <f t="shared" si="125"/>
        <v>363797</v>
      </c>
      <c r="CC52" s="26">
        <f t="shared" si="125"/>
        <v>363797</v>
      </c>
      <c r="CD52" s="83">
        <f>CD43+CD42</f>
        <v>375624</v>
      </c>
      <c r="CE52" s="83">
        <f>CE43+CE42</f>
        <v>419771</v>
      </c>
      <c r="CF52" s="83">
        <f t="shared" ref="CF52:DG52" si="126">CF43+CF42</f>
        <v>630623</v>
      </c>
      <c r="CG52" s="83">
        <f t="shared" si="126"/>
        <v>642387</v>
      </c>
      <c r="CH52" s="26">
        <f t="shared" si="126"/>
        <v>642387</v>
      </c>
      <c r="CI52" s="83">
        <f t="shared" si="126"/>
        <v>693715</v>
      </c>
      <c r="CJ52" s="83">
        <f t="shared" si="126"/>
        <v>691385</v>
      </c>
      <c r="CK52" s="83">
        <f t="shared" si="126"/>
        <v>757192</v>
      </c>
      <c r="CL52" s="83">
        <f>CL43+CL42</f>
        <v>738328</v>
      </c>
      <c r="CM52" s="26">
        <f t="shared" si="126"/>
        <v>738328</v>
      </c>
      <c r="CN52" s="83">
        <f>CN43+CN42</f>
        <v>792142</v>
      </c>
      <c r="CO52" s="83">
        <f>CO43+CO42</f>
        <v>796246</v>
      </c>
      <c r="CP52" s="83">
        <f>CP43+CP42</f>
        <v>872333</v>
      </c>
      <c r="CQ52" s="83">
        <f>CQ43+CQ42</f>
        <v>877748</v>
      </c>
      <c r="CR52" s="26">
        <f t="shared" si="126"/>
        <v>877748</v>
      </c>
      <c r="CS52" s="83">
        <f t="shared" si="126"/>
        <v>969653</v>
      </c>
      <c r="CT52" s="83">
        <f t="shared" si="126"/>
        <v>1102487</v>
      </c>
      <c r="CU52" s="83">
        <f t="shared" si="126"/>
        <v>1056164</v>
      </c>
      <c r="CV52" s="83">
        <f t="shared" si="126"/>
        <v>996980</v>
      </c>
      <c r="CW52" s="26">
        <f t="shared" si="126"/>
        <v>996980</v>
      </c>
      <c r="CX52" s="83">
        <f t="shared" si="126"/>
        <v>1158442</v>
      </c>
      <c r="CY52" s="83">
        <f>CY43+CY42</f>
        <v>1052970</v>
      </c>
      <c r="CZ52" s="83">
        <f t="shared" si="126"/>
        <v>1233320</v>
      </c>
      <c r="DA52" s="83">
        <f>DA43+DA42</f>
        <v>1309539</v>
      </c>
      <c r="DB52" s="26">
        <f t="shared" si="126"/>
        <v>1309539</v>
      </c>
      <c r="DC52" s="83">
        <f t="shared" si="126"/>
        <v>1361484</v>
      </c>
      <c r="DD52" s="83">
        <f t="shared" si="126"/>
        <v>1578294</v>
      </c>
      <c r="DE52" s="83">
        <f t="shared" si="126"/>
        <v>1642129</v>
      </c>
      <c r="DF52" s="83">
        <f t="shared" si="126"/>
        <v>1662054</v>
      </c>
      <c r="DG52" s="26">
        <f t="shared" si="126"/>
        <v>1662054</v>
      </c>
      <c r="DH52" s="83">
        <f t="shared" ref="DH52" si="127">DH43+DH42</f>
        <v>1891970</v>
      </c>
      <c r="DI52" s="83">
        <f t="shared" ref="DI52:EF52" si="128">DI43+DI42</f>
        <v>2048841</v>
      </c>
      <c r="DJ52" s="83">
        <f t="shared" ca="1" si="128"/>
        <v>2188437.0575865624</v>
      </c>
      <c r="DK52" s="83">
        <f t="shared" ca="1" si="128"/>
        <v>2356412.3641873896</v>
      </c>
      <c r="DL52" s="26">
        <f t="shared" ca="1" si="128"/>
        <v>2356412.3641873896</v>
      </c>
      <c r="DM52" s="83">
        <f t="shared" ca="1" si="128"/>
        <v>2497153.602515399</v>
      </c>
      <c r="DN52" s="83">
        <f t="shared" ca="1" si="128"/>
        <v>2650153.3672583713</v>
      </c>
      <c r="DO52" s="83">
        <f t="shared" ca="1" si="128"/>
        <v>2807249.8623884143</v>
      </c>
      <c r="DP52" s="83">
        <f t="shared" ca="1" si="128"/>
        <v>2976708.4282853417</v>
      </c>
      <c r="DQ52" s="26">
        <f t="shared" ca="1" si="128"/>
        <v>2976708.4282853417</v>
      </c>
      <c r="DR52" s="83">
        <f t="shared" ca="1" si="128"/>
        <v>2187138.6266203225</v>
      </c>
      <c r="DS52" s="83">
        <f t="shared" ca="1" si="128"/>
        <v>2621342.2452421961</v>
      </c>
      <c r="DT52" s="83">
        <f t="shared" ca="1" si="128"/>
        <v>3070229.9905434158</v>
      </c>
      <c r="DU52" s="83">
        <f t="shared" ca="1" si="128"/>
        <v>3537473.0481512374</v>
      </c>
      <c r="DV52" s="26">
        <f t="shared" ca="1" si="128"/>
        <v>3537473.0481512374</v>
      </c>
      <c r="DW52" s="83">
        <f t="shared" ca="1" si="128"/>
        <v>2466361.9454207886</v>
      </c>
      <c r="DX52" s="83">
        <f t="shared" ca="1" si="128"/>
        <v>2924685.1095137992</v>
      </c>
      <c r="DY52" s="83">
        <f t="shared" ca="1" si="128"/>
        <v>3400725.565607978</v>
      </c>
      <c r="DZ52" s="83">
        <f t="shared" ca="1" si="128"/>
        <v>3894830.4070623349</v>
      </c>
      <c r="EA52" s="26">
        <f t="shared" ca="1" si="128"/>
        <v>3894830.4070623349</v>
      </c>
      <c r="EB52" s="83">
        <f t="shared" ca="1" si="128"/>
        <v>2767353.8309089104</v>
      </c>
      <c r="EC52" s="83">
        <f t="shared" ca="1" si="128"/>
        <v>3250040.4102457585</v>
      </c>
      <c r="ED52" s="83">
        <f t="shared" ca="1" si="128"/>
        <v>3750405.8558468102</v>
      </c>
      <c r="EE52" s="83">
        <f t="shared" ca="1" si="128"/>
        <v>4268748.2603077712</v>
      </c>
      <c r="EF52" s="26">
        <f t="shared" ca="1" si="128"/>
        <v>4268748.2603077712</v>
      </c>
    </row>
    <row r="53" spans="1:138" ht="12" customHeight="1">
      <c r="A53" s="1" t="s">
        <v>208</v>
      </c>
      <c r="B53" s="83">
        <f t="shared" ref="B53:K53" si="129">B50-B51</f>
        <v>0</v>
      </c>
      <c r="C53" s="83">
        <f t="shared" si="129"/>
        <v>0</v>
      </c>
      <c r="D53" s="83">
        <f t="shared" si="129"/>
        <v>0</v>
      </c>
      <c r="E53" s="83">
        <f t="shared" si="129"/>
        <v>0</v>
      </c>
      <c r="F53" s="26">
        <f t="shared" si="129"/>
        <v>0</v>
      </c>
      <c r="G53" s="83">
        <f t="shared" si="129"/>
        <v>0</v>
      </c>
      <c r="H53" s="83">
        <f t="shared" si="129"/>
        <v>0</v>
      </c>
      <c r="I53" s="83">
        <f t="shared" si="129"/>
        <v>0</v>
      </c>
      <c r="J53" s="83">
        <f t="shared" si="129"/>
        <v>0</v>
      </c>
      <c r="K53" s="26">
        <f t="shared" si="129"/>
        <v>0</v>
      </c>
      <c r="L53" s="83">
        <f t="shared" ref="L53:BN53" si="130">L50-L51</f>
        <v>0</v>
      </c>
      <c r="M53" s="83">
        <f t="shared" si="130"/>
        <v>0</v>
      </c>
      <c r="N53" s="83">
        <f t="shared" si="130"/>
        <v>0</v>
      </c>
      <c r="O53" s="83">
        <f t="shared" si="130"/>
        <v>0</v>
      </c>
      <c r="P53" s="26">
        <f t="shared" si="130"/>
        <v>0</v>
      </c>
      <c r="Q53" s="83">
        <f t="shared" si="130"/>
        <v>0</v>
      </c>
      <c r="R53" s="83">
        <f t="shared" si="130"/>
        <v>0</v>
      </c>
      <c r="S53" s="83">
        <f t="shared" si="130"/>
        <v>0</v>
      </c>
      <c r="T53" s="83">
        <f t="shared" si="130"/>
        <v>0</v>
      </c>
      <c r="U53" s="26">
        <f t="shared" si="130"/>
        <v>0</v>
      </c>
      <c r="V53" s="83">
        <f t="shared" si="130"/>
        <v>0</v>
      </c>
      <c r="W53" s="83">
        <f t="shared" si="130"/>
        <v>0</v>
      </c>
      <c r="X53" s="83">
        <f t="shared" si="130"/>
        <v>0</v>
      </c>
      <c r="Y53" s="83">
        <f t="shared" si="130"/>
        <v>0</v>
      </c>
      <c r="Z53" s="26">
        <f t="shared" si="130"/>
        <v>0</v>
      </c>
      <c r="AA53" s="83">
        <f t="shared" si="130"/>
        <v>0</v>
      </c>
      <c r="AB53" s="83">
        <f t="shared" si="130"/>
        <v>0</v>
      </c>
      <c r="AC53" s="83">
        <f t="shared" si="130"/>
        <v>0</v>
      </c>
      <c r="AD53" s="83">
        <f t="shared" si="130"/>
        <v>0</v>
      </c>
      <c r="AE53" s="26">
        <f t="shared" si="130"/>
        <v>0</v>
      </c>
      <c r="AF53" s="83">
        <f t="shared" si="130"/>
        <v>0</v>
      </c>
      <c r="AG53" s="83">
        <f t="shared" si="130"/>
        <v>0</v>
      </c>
      <c r="AH53" s="83">
        <f t="shared" si="130"/>
        <v>0</v>
      </c>
      <c r="AI53" s="83">
        <f t="shared" si="130"/>
        <v>73988.125999999989</v>
      </c>
      <c r="AJ53" s="26">
        <f t="shared" si="130"/>
        <v>73988.125999999989</v>
      </c>
      <c r="AK53" s="83">
        <f t="shared" si="130"/>
        <v>0</v>
      </c>
      <c r="AL53" s="83">
        <f t="shared" si="130"/>
        <v>0</v>
      </c>
      <c r="AM53" s="83">
        <f t="shared" si="130"/>
        <v>0</v>
      </c>
      <c r="AN53" s="83">
        <f t="shared" si="130"/>
        <v>102541.83600000001</v>
      </c>
      <c r="AO53" s="26">
        <f t="shared" si="130"/>
        <v>102541.83600000001</v>
      </c>
      <c r="AP53" s="83">
        <f t="shared" si="130"/>
        <v>0</v>
      </c>
      <c r="AQ53" s="83">
        <f t="shared" si="130"/>
        <v>0</v>
      </c>
      <c r="AR53" s="83">
        <f t="shared" si="130"/>
        <v>0</v>
      </c>
      <c r="AS53" s="83">
        <f t="shared" si="130"/>
        <v>25324.813000000009</v>
      </c>
      <c r="AT53" s="26">
        <f t="shared" si="130"/>
        <v>25324.813000000009</v>
      </c>
      <c r="AU53" s="83">
        <f t="shared" si="130"/>
        <v>0</v>
      </c>
      <c r="AV53" s="83">
        <f t="shared" si="130"/>
        <v>0</v>
      </c>
      <c r="AW53" s="83">
        <f t="shared" si="130"/>
        <v>0</v>
      </c>
      <c r="AX53" s="83">
        <f t="shared" si="130"/>
        <v>20347</v>
      </c>
      <c r="AY53" s="26">
        <f t="shared" si="130"/>
        <v>20347</v>
      </c>
      <c r="AZ53" s="83">
        <f t="shared" si="130"/>
        <v>0</v>
      </c>
      <c r="BA53" s="83">
        <f t="shared" si="130"/>
        <v>0</v>
      </c>
      <c r="BB53" s="83">
        <f t="shared" si="130"/>
        <v>0</v>
      </c>
      <c r="BC53" s="83">
        <f t="shared" si="130"/>
        <v>9489</v>
      </c>
      <c r="BD53" s="26">
        <f t="shared" si="130"/>
        <v>9489</v>
      </c>
      <c r="BE53" s="83">
        <f t="shared" si="130"/>
        <v>0</v>
      </c>
      <c r="BF53" s="83">
        <f t="shared" si="130"/>
        <v>0</v>
      </c>
      <c r="BG53" s="83">
        <f t="shared" si="130"/>
        <v>0</v>
      </c>
      <c r="BH53" s="83">
        <f t="shared" si="130"/>
        <v>33265</v>
      </c>
      <c r="BI53" s="26">
        <f t="shared" si="130"/>
        <v>33265</v>
      </c>
      <c r="BJ53" s="83">
        <f t="shared" si="130"/>
        <v>0</v>
      </c>
      <c r="BK53" s="83">
        <f t="shared" si="130"/>
        <v>0</v>
      </c>
      <c r="BL53" s="83">
        <f t="shared" si="130"/>
        <v>0</v>
      </c>
      <c r="BM53" s="83">
        <f t="shared" si="130"/>
        <v>54078</v>
      </c>
      <c r="BN53" s="26">
        <f t="shared" si="130"/>
        <v>54078</v>
      </c>
      <c r="BO53" s="83">
        <f t="shared" ref="BO53:CC53" si="131">BO50-BO51</f>
        <v>0</v>
      </c>
      <c r="BP53" s="83">
        <f t="shared" si="131"/>
        <v>0</v>
      </c>
      <c r="BQ53" s="83">
        <f t="shared" si="131"/>
        <v>0</v>
      </c>
      <c r="BR53" s="83">
        <f>BR50-BR51</f>
        <v>22819</v>
      </c>
      <c r="BS53" s="26">
        <f t="shared" si="131"/>
        <v>22819</v>
      </c>
      <c r="BT53" s="83">
        <f t="shared" si="131"/>
        <v>0</v>
      </c>
      <c r="BU53" s="83">
        <f>BU50-BU51</f>
        <v>0</v>
      </c>
      <c r="BV53" s="83">
        <f t="shared" si="131"/>
        <v>0</v>
      </c>
      <c r="BW53" s="83">
        <f>BW50-BW51</f>
        <v>42530</v>
      </c>
      <c r="BX53" s="26">
        <f t="shared" si="131"/>
        <v>42530</v>
      </c>
      <c r="BY53" s="83">
        <f t="shared" si="131"/>
        <v>0</v>
      </c>
      <c r="BZ53" s="83">
        <f t="shared" si="131"/>
        <v>0</v>
      </c>
      <c r="CA53" s="83">
        <f>CA50-CA51</f>
        <v>0</v>
      </c>
      <c r="CB53" s="83">
        <f t="shared" si="131"/>
        <v>4900</v>
      </c>
      <c r="CC53" s="26">
        <f t="shared" si="131"/>
        <v>4900</v>
      </c>
      <c r="CD53" s="83">
        <f>CD50-CD51</f>
        <v>-2552</v>
      </c>
      <c r="CE53" s="83">
        <f>CE50-CE51</f>
        <v>-69056</v>
      </c>
      <c r="CF53" s="83">
        <f t="shared" ref="CF53:DG53" si="132">CF50-CF51</f>
        <v>-295995</v>
      </c>
      <c r="CG53" s="83">
        <f t="shared" si="132"/>
        <v>-146674</v>
      </c>
      <c r="CH53" s="26">
        <f t="shared" si="132"/>
        <v>-146674</v>
      </c>
      <c r="CI53" s="83">
        <f t="shared" si="132"/>
        <v>-155113</v>
      </c>
      <c r="CJ53" s="83">
        <f t="shared" si="132"/>
        <v>-220950</v>
      </c>
      <c r="CK53" s="83">
        <f t="shared" si="132"/>
        <v>-163951</v>
      </c>
      <c r="CL53" s="83">
        <f>CL50-CL51</f>
        <v>-203259</v>
      </c>
      <c r="CM53" s="26">
        <f t="shared" si="132"/>
        <v>-203259</v>
      </c>
      <c r="CN53" s="83">
        <f>CN50-CN51</f>
        <v>-211706</v>
      </c>
      <c r="CO53" s="83">
        <f>CO50-CO51</f>
        <v>-281005</v>
      </c>
      <c r="CP53" s="83">
        <f>CP50-CP51</f>
        <v>-178887</v>
      </c>
      <c r="CQ53" s="83">
        <f>CQ50-CQ51</f>
        <v>-308438</v>
      </c>
      <c r="CR53" s="26">
        <f t="shared" si="132"/>
        <v>-308438</v>
      </c>
      <c r="CS53" s="83">
        <f t="shared" si="132"/>
        <v>-255306</v>
      </c>
      <c r="CT53" s="83">
        <f t="shared" si="132"/>
        <v>-335783</v>
      </c>
      <c r="CU53" s="83">
        <f>CU50-CU51</f>
        <v>-463356</v>
      </c>
      <c r="CV53" s="83">
        <f>CV50-CV51</f>
        <v>-378917</v>
      </c>
      <c r="CW53" s="26">
        <f t="shared" si="132"/>
        <v>-378917</v>
      </c>
      <c r="CX53" s="83">
        <f t="shared" si="132"/>
        <v>-409778</v>
      </c>
      <c r="CY53" s="83">
        <f>CY50-CY51</f>
        <v>-477282</v>
      </c>
      <c r="CZ53" s="83">
        <f>CZ50-CZ51</f>
        <v>-322690</v>
      </c>
      <c r="DA53" s="83">
        <f>DA50-DA51</f>
        <v>-429854</v>
      </c>
      <c r="DB53" s="26">
        <f t="shared" si="132"/>
        <v>-429854</v>
      </c>
      <c r="DC53" s="83">
        <f t="shared" si="132"/>
        <v>-260995</v>
      </c>
      <c r="DD53" s="83">
        <f t="shared" si="132"/>
        <v>-227763</v>
      </c>
      <c r="DE53" s="83">
        <f t="shared" si="132"/>
        <v>-450217</v>
      </c>
      <c r="DF53" s="83">
        <f t="shared" si="132"/>
        <v>-316050</v>
      </c>
      <c r="DG53" s="26">
        <f t="shared" si="132"/>
        <v>-316050</v>
      </c>
      <c r="DH53" s="83">
        <f t="shared" ref="DH53" si="133">DH50-DH51</f>
        <v>-406894</v>
      </c>
      <c r="DI53" s="83">
        <f t="shared" ref="DI53:EF53" si="134">DI50-DI51</f>
        <v>-290551</v>
      </c>
      <c r="DJ53" s="83">
        <f t="shared" ca="1" si="134"/>
        <v>-295763.33560104063</v>
      </c>
      <c r="DK53" s="83">
        <f t="shared" ca="1" si="134"/>
        <v>-363213.06141305063</v>
      </c>
      <c r="DL53" s="26">
        <f t="shared" ca="1" si="134"/>
        <v>-363213.06141305063</v>
      </c>
      <c r="DM53" s="83">
        <f t="shared" ca="1" si="134"/>
        <v>-617503.53165841172</v>
      </c>
      <c r="DN53" s="83">
        <f t="shared" ca="1" si="134"/>
        <v>-688490.63323131762</v>
      </c>
      <c r="DO53" s="83">
        <f t="shared" ca="1" si="134"/>
        <v>-771980.99958559242</v>
      </c>
      <c r="DP53" s="83">
        <f t="shared" ca="1" si="134"/>
        <v>-1114783.2266192215</v>
      </c>
      <c r="DQ53" s="26">
        <f t="shared" ca="1" si="134"/>
        <v>-1114783.2266192215</v>
      </c>
      <c r="DR53" s="83">
        <f t="shared" ca="1" si="134"/>
        <v>-258781.10317438003</v>
      </c>
      <c r="DS53" s="83">
        <f t="shared" ca="1" si="134"/>
        <v>-376570.86265940592</v>
      </c>
      <c r="DT53" s="83">
        <f t="shared" ca="1" si="134"/>
        <v>-762444.11249823705</v>
      </c>
      <c r="DU53" s="83">
        <f t="shared" ca="1" si="134"/>
        <v>-1168177.5225374671</v>
      </c>
      <c r="DV53" s="26">
        <f t="shared" ca="1" si="134"/>
        <v>-1168177.5225374671</v>
      </c>
      <c r="DW53" s="83">
        <f t="shared" ca="1" si="134"/>
        <v>-37050.999279087409</v>
      </c>
      <c r="DX53" s="83">
        <f t="shared" ca="1" si="134"/>
        <v>-435915.3735395486</v>
      </c>
      <c r="DY53" s="83">
        <f t="shared" ca="1" si="134"/>
        <v>-853834.41978261434</v>
      </c>
      <c r="DZ53" s="83">
        <f t="shared" ca="1" si="134"/>
        <v>-1291174.4314028102</v>
      </c>
      <c r="EA53" s="26">
        <f t="shared" ca="1" si="134"/>
        <v>-1291174.4314028102</v>
      </c>
      <c r="EB53" s="83">
        <f t="shared" ca="1" si="134"/>
        <v>-107965.12168571376</v>
      </c>
      <c r="EC53" s="83">
        <f t="shared" ca="1" si="134"/>
        <v>-531046.46401843056</v>
      </c>
      <c r="ED53" s="83">
        <f t="shared" ca="1" si="134"/>
        <v>-967745.4372263907</v>
      </c>
      <c r="EE53" s="83">
        <f t="shared" ca="1" si="134"/>
        <v>-1418352.2146013004</v>
      </c>
      <c r="EF53" s="26">
        <f t="shared" ca="1" si="134"/>
        <v>-1418352.2146013004</v>
      </c>
    </row>
    <row r="54" spans="1:138" ht="12" customHeight="1">
      <c r="A54" s="1" t="s">
        <v>93</v>
      </c>
      <c r="B54" s="147" t="e">
        <f t="shared" ref="B54:K54" si="135">B53/(B52+B53)</f>
        <v>#DIV/0!</v>
      </c>
      <c r="C54" s="147" t="e">
        <f t="shared" si="135"/>
        <v>#DIV/0!</v>
      </c>
      <c r="D54" s="147" t="e">
        <f t="shared" si="135"/>
        <v>#DIV/0!</v>
      </c>
      <c r="E54" s="147" t="e">
        <f t="shared" si="135"/>
        <v>#DIV/0!</v>
      </c>
      <c r="F54" s="28" t="e">
        <f t="shared" si="135"/>
        <v>#DIV/0!</v>
      </c>
      <c r="G54" s="147" t="e">
        <f t="shared" si="135"/>
        <v>#DIV/0!</v>
      </c>
      <c r="H54" s="147" t="e">
        <f t="shared" si="135"/>
        <v>#DIV/0!</v>
      </c>
      <c r="I54" s="147" t="e">
        <f t="shared" si="135"/>
        <v>#DIV/0!</v>
      </c>
      <c r="J54" s="147" t="e">
        <f t="shared" si="135"/>
        <v>#DIV/0!</v>
      </c>
      <c r="K54" s="28" t="e">
        <f t="shared" si="135"/>
        <v>#DIV/0!</v>
      </c>
      <c r="L54" s="147" t="e">
        <f t="shared" ref="L54:BN54" si="136">L53/(L52+L53)</f>
        <v>#DIV/0!</v>
      </c>
      <c r="M54" s="147" t="e">
        <f t="shared" si="136"/>
        <v>#DIV/0!</v>
      </c>
      <c r="N54" s="147" t="e">
        <f t="shared" si="136"/>
        <v>#DIV/0!</v>
      </c>
      <c r="O54" s="147" t="e">
        <f t="shared" si="136"/>
        <v>#DIV/0!</v>
      </c>
      <c r="P54" s="28" t="e">
        <f t="shared" si="136"/>
        <v>#DIV/0!</v>
      </c>
      <c r="Q54" s="147" t="e">
        <f t="shared" si="136"/>
        <v>#DIV/0!</v>
      </c>
      <c r="R54" s="147" t="e">
        <f t="shared" si="136"/>
        <v>#DIV/0!</v>
      </c>
      <c r="S54" s="147" t="e">
        <f t="shared" si="136"/>
        <v>#DIV/0!</v>
      </c>
      <c r="T54" s="147" t="e">
        <f t="shared" si="136"/>
        <v>#DIV/0!</v>
      </c>
      <c r="U54" s="28" t="e">
        <f t="shared" si="136"/>
        <v>#DIV/0!</v>
      </c>
      <c r="V54" s="147" t="e">
        <f t="shared" si="136"/>
        <v>#DIV/0!</v>
      </c>
      <c r="W54" s="147" t="e">
        <f t="shared" si="136"/>
        <v>#DIV/0!</v>
      </c>
      <c r="X54" s="147" t="e">
        <f t="shared" si="136"/>
        <v>#DIV/0!</v>
      </c>
      <c r="Y54" s="147" t="e">
        <f t="shared" si="136"/>
        <v>#DIV/0!</v>
      </c>
      <c r="Z54" s="28" t="e">
        <f t="shared" si="136"/>
        <v>#DIV/0!</v>
      </c>
      <c r="AA54" s="147" t="e">
        <f t="shared" si="136"/>
        <v>#DIV/0!</v>
      </c>
      <c r="AB54" s="147" t="e">
        <f t="shared" si="136"/>
        <v>#DIV/0!</v>
      </c>
      <c r="AC54" s="147" t="e">
        <f t="shared" si="136"/>
        <v>#DIV/0!</v>
      </c>
      <c r="AD54" s="147" t="e">
        <f t="shared" si="136"/>
        <v>#DIV/0!</v>
      </c>
      <c r="AE54" s="28" t="e">
        <f t="shared" si="136"/>
        <v>#DIV/0!</v>
      </c>
      <c r="AF54" s="147" t="e">
        <f t="shared" si="136"/>
        <v>#DIV/0!</v>
      </c>
      <c r="AG54" s="147" t="e">
        <f t="shared" si="136"/>
        <v>#DIV/0!</v>
      </c>
      <c r="AH54" s="147" t="e">
        <f t="shared" si="136"/>
        <v>#DIV/0!</v>
      </c>
      <c r="AI54" s="147">
        <f t="shared" si="136"/>
        <v>0.38045593752034346</v>
      </c>
      <c r="AJ54" s="28">
        <f t="shared" si="136"/>
        <v>0.38045593752034346</v>
      </c>
      <c r="AK54" s="147" t="e">
        <f t="shared" si="136"/>
        <v>#DIV/0!</v>
      </c>
      <c r="AL54" s="147" t="e">
        <f t="shared" si="136"/>
        <v>#DIV/0!</v>
      </c>
      <c r="AM54" s="147" t="e">
        <f t="shared" si="136"/>
        <v>#DIV/0!</v>
      </c>
      <c r="AN54" s="147">
        <f t="shared" si="136"/>
        <v>0.3515258905529921</v>
      </c>
      <c r="AO54" s="28">
        <f t="shared" si="136"/>
        <v>0.3515258905529921</v>
      </c>
      <c r="AP54" s="147" t="e">
        <f t="shared" si="136"/>
        <v>#DIV/0!</v>
      </c>
      <c r="AQ54" s="147" t="e">
        <f t="shared" si="136"/>
        <v>#DIV/0!</v>
      </c>
      <c r="AR54" s="147" t="e">
        <f t="shared" si="136"/>
        <v>#DIV/0!</v>
      </c>
      <c r="AS54" s="147">
        <f t="shared" si="136"/>
        <v>7.1226205746996868E-2</v>
      </c>
      <c r="AT54" s="28">
        <f t="shared" si="136"/>
        <v>7.1226205746996868E-2</v>
      </c>
      <c r="AU54" s="147" t="e">
        <f t="shared" si="136"/>
        <v>#DIV/0!</v>
      </c>
      <c r="AV54" s="147" t="e">
        <f t="shared" si="136"/>
        <v>#DIV/0!</v>
      </c>
      <c r="AW54" s="147" t="e">
        <f t="shared" si="136"/>
        <v>#DIV/0!</v>
      </c>
      <c r="AX54" s="147">
        <f t="shared" si="136"/>
        <v>4.4980059952780552E-2</v>
      </c>
      <c r="AY54" s="28">
        <f t="shared" si="136"/>
        <v>4.4980059952780552E-2</v>
      </c>
      <c r="AZ54" s="147" t="e">
        <f t="shared" si="136"/>
        <v>#DIV/0!</v>
      </c>
      <c r="BA54" s="147" t="e">
        <f t="shared" si="136"/>
        <v>#DIV/0!</v>
      </c>
      <c r="BB54" s="147" t="e">
        <f t="shared" si="136"/>
        <v>#DIV/0!</v>
      </c>
      <c r="BC54" s="147">
        <f t="shared" si="136"/>
        <v>1.7295557362049293E-2</v>
      </c>
      <c r="BD54" s="28">
        <f t="shared" si="136"/>
        <v>1.7295557362049293E-2</v>
      </c>
      <c r="BE54" s="147" t="e">
        <f t="shared" si="136"/>
        <v>#DIV/0!</v>
      </c>
      <c r="BF54" s="147" t="e">
        <f t="shared" si="136"/>
        <v>#DIV/0!</v>
      </c>
      <c r="BG54" s="147" t="e">
        <f t="shared" si="136"/>
        <v>#DIV/0!</v>
      </c>
      <c r="BH54" s="147">
        <f t="shared" si="136"/>
        <v>7.1767599404543594E-2</v>
      </c>
      <c r="BI54" s="28">
        <f t="shared" si="136"/>
        <v>7.1767599404543594E-2</v>
      </c>
      <c r="BJ54" s="147" t="e">
        <f t="shared" si="136"/>
        <v>#DIV/0!</v>
      </c>
      <c r="BK54" s="147" t="e">
        <f t="shared" si="136"/>
        <v>#DIV/0!</v>
      </c>
      <c r="BL54" s="147" t="e">
        <f t="shared" si="136"/>
        <v>#DIV/0!</v>
      </c>
      <c r="BM54" s="147">
        <f t="shared" si="136"/>
        <v>0.16096846592092964</v>
      </c>
      <c r="BN54" s="28">
        <f t="shared" si="136"/>
        <v>0.16096846592092964</v>
      </c>
      <c r="BO54" s="147" t="e">
        <f t="shared" ref="BO54:CC54" si="137">BO53/(BO52+BO53)</f>
        <v>#DIV/0!</v>
      </c>
      <c r="BP54" s="147" t="e">
        <f t="shared" si="137"/>
        <v>#DIV/0!</v>
      </c>
      <c r="BQ54" s="147" t="e">
        <f t="shared" si="137"/>
        <v>#DIV/0!</v>
      </c>
      <c r="BR54" s="147">
        <f>BR53/(BR52+BR53)</f>
        <v>6.3471091850755737E-2</v>
      </c>
      <c r="BS54" s="28">
        <f t="shared" si="137"/>
        <v>6.3471091850755737E-2</v>
      </c>
      <c r="BT54" s="147" t="e">
        <f t="shared" si="137"/>
        <v>#DIV/0!</v>
      </c>
      <c r="BU54" s="147" t="e">
        <f>BU53/(BU52+BU53)</f>
        <v>#DIV/0!</v>
      </c>
      <c r="BV54" s="147" t="e">
        <f t="shared" si="137"/>
        <v>#DIV/0!</v>
      </c>
      <c r="BW54" s="147">
        <f>BW53/(BW52+BW53)</f>
        <v>0.10928189487045741</v>
      </c>
      <c r="BX54" s="28">
        <f t="shared" si="137"/>
        <v>0.10928189487045741</v>
      </c>
      <c r="BY54" s="147" t="e">
        <f t="shared" si="137"/>
        <v>#DIV/0!</v>
      </c>
      <c r="BZ54" s="147" t="e">
        <f t="shared" si="137"/>
        <v>#DIV/0!</v>
      </c>
      <c r="CA54" s="147" t="e">
        <f>CA53/(CA52+CA53)</f>
        <v>#DIV/0!</v>
      </c>
      <c r="CB54" s="147">
        <f t="shared" si="137"/>
        <v>1.3290045755728959E-2</v>
      </c>
      <c r="CC54" s="28">
        <f t="shared" si="137"/>
        <v>1.3290045755728959E-2</v>
      </c>
      <c r="CD54" s="147">
        <f>CD53/(CD52+CD53)</f>
        <v>-6.8405026375605782E-3</v>
      </c>
      <c r="CE54" s="147">
        <f>CE53/(CE52+CE53)</f>
        <v>-0.19690061731035172</v>
      </c>
      <c r="CF54" s="147">
        <f t="shared" ref="CF54:DG54" si="138">CF53/(CF52+CF53)</f>
        <v>-0.8845494100912058</v>
      </c>
      <c r="CG54" s="147">
        <f t="shared" si="138"/>
        <v>-0.29588491728076527</v>
      </c>
      <c r="CH54" s="28">
        <f t="shared" si="138"/>
        <v>-0.29588491728076527</v>
      </c>
      <c r="CI54" s="147">
        <f t="shared" si="138"/>
        <v>-0.28799187526225301</v>
      </c>
      <c r="CJ54" s="147">
        <f t="shared" si="138"/>
        <v>-0.46967168684302824</v>
      </c>
      <c r="CK54" s="147">
        <f t="shared" si="138"/>
        <v>-0.27636491746187469</v>
      </c>
      <c r="CL54" s="147">
        <f>CL53/(CL52+CL53)</f>
        <v>-0.37987437134276142</v>
      </c>
      <c r="CM54" s="28">
        <f t="shared" si="138"/>
        <v>-0.37987437134276142</v>
      </c>
      <c r="CN54" s="147">
        <f>CN53/(CN52+CN53)</f>
        <v>-0.36473616384924434</v>
      </c>
      <c r="CO54" s="147">
        <f>CO53/(CO52+CO53)</f>
        <v>-0.54538555743816974</v>
      </c>
      <c r="CP54" s="147">
        <f>CP53/(CP52+CP53)</f>
        <v>-0.25796817632519331</v>
      </c>
      <c r="CQ54" s="147">
        <f>CQ53/(CQ52+CQ53)</f>
        <v>-0.54177513129929211</v>
      </c>
      <c r="CR54" s="28">
        <f t="shared" si="138"/>
        <v>-0.54177513129929211</v>
      </c>
      <c r="CS54" s="147">
        <f t="shared" si="138"/>
        <v>-0.35739773527431346</v>
      </c>
      <c r="CT54" s="147">
        <f t="shared" si="138"/>
        <v>-0.43795649950958909</v>
      </c>
      <c r="CU54" s="147">
        <f t="shared" si="138"/>
        <v>-0.7816291278120403</v>
      </c>
      <c r="CV54" s="147">
        <f t="shared" si="138"/>
        <v>-0.61307180659576777</v>
      </c>
      <c r="CW54" s="28">
        <f t="shared" si="138"/>
        <v>-0.61307180659576777</v>
      </c>
      <c r="CX54" s="147">
        <f t="shared" si="138"/>
        <v>-0.54734567175662241</v>
      </c>
      <c r="CY54" s="147">
        <f>CY53/(CY52+CY53)</f>
        <v>-0.82906365948221949</v>
      </c>
      <c r="CZ54" s="147">
        <f t="shared" si="138"/>
        <v>-0.35435907009433032</v>
      </c>
      <c r="DA54" s="147">
        <f>DA53/(DA52+DA53)</f>
        <v>-0.48864536737582204</v>
      </c>
      <c r="DB54" s="28">
        <f t="shared" si="138"/>
        <v>-0.48864536737582204</v>
      </c>
      <c r="DC54" s="147">
        <f t="shared" si="138"/>
        <v>-0.23716275219470617</v>
      </c>
      <c r="DD54" s="147">
        <f t="shared" si="138"/>
        <v>-0.16864699884712014</v>
      </c>
      <c r="DE54" s="147">
        <f t="shared" si="138"/>
        <v>-0.37772671136795333</v>
      </c>
      <c r="DF54" s="147">
        <f t="shared" si="138"/>
        <v>-0.23480613727745236</v>
      </c>
      <c r="DG54" s="28">
        <f t="shared" si="138"/>
        <v>-0.23480613727745236</v>
      </c>
      <c r="DH54" s="147">
        <f t="shared" ref="DH54" si="139">DH53/(DH52+DH53)</f>
        <v>-0.27398867128685672</v>
      </c>
      <c r="DI54" s="147">
        <f t="shared" ref="DI54:EF54" si="140">DI53/(DI52+DI53)</f>
        <v>-0.16524634730334586</v>
      </c>
      <c r="DJ54" s="147">
        <f t="shared" ca="1" si="140"/>
        <v>-0.15626747080884504</v>
      </c>
      <c r="DK54" s="147">
        <f t="shared" ca="1" si="140"/>
        <v>-0.18222616318774218</v>
      </c>
      <c r="DL54" s="28">
        <f t="shared" ca="1" si="140"/>
        <v>-0.18222616318774218</v>
      </c>
      <c r="DM54" s="147">
        <f t="shared" ca="1" si="140"/>
        <v>-0.32852047369480525</v>
      </c>
      <c r="DN54" s="147">
        <f t="shared" ca="1" si="140"/>
        <v>-0.35097298903055091</v>
      </c>
      <c r="DO54" s="147">
        <f t="shared" ca="1" si="140"/>
        <v>-0.37930172946412455</v>
      </c>
      <c r="DP54" s="147">
        <f t="shared" ca="1" si="140"/>
        <v>-0.59872610651688474</v>
      </c>
      <c r="DQ54" s="28">
        <f t="shared" ca="1" si="140"/>
        <v>-0.59872610651688474</v>
      </c>
      <c r="DR54" s="147">
        <f t="shared" ca="1" si="140"/>
        <v>-0.1341976786088622</v>
      </c>
      <c r="DS54" s="147">
        <f t="shared" ca="1" si="140"/>
        <v>-0.16775466115668797</v>
      </c>
      <c r="DT54" s="147">
        <f t="shared" ca="1" si="140"/>
        <v>-0.33037905281926283</v>
      </c>
      <c r="DU54" s="147">
        <f t="shared" ca="1" si="140"/>
        <v>-0.49304846521197415</v>
      </c>
      <c r="DV54" s="28">
        <f t="shared" ca="1" si="140"/>
        <v>-0.49304846521197415</v>
      </c>
      <c r="DW54" s="147">
        <f t="shared" ca="1" si="140"/>
        <v>-1.5251649583159714E-2</v>
      </c>
      <c r="DX54" s="147">
        <f t="shared" ca="1" si="140"/>
        <v>-0.17515295498757974</v>
      </c>
      <c r="DY54" s="147">
        <f t="shared" ca="1" si="140"/>
        <v>-0.33524574506536858</v>
      </c>
      <c r="DZ54" s="147">
        <f t="shared" ca="1" si="140"/>
        <v>-0.4959082319144511</v>
      </c>
      <c r="EA54" s="28">
        <f t="shared" ca="1" si="140"/>
        <v>-0.4959082319144511</v>
      </c>
      <c r="EB54" s="147">
        <f t="shared" ca="1" si="140"/>
        <v>-4.0597721315155239E-2</v>
      </c>
      <c r="EC54" s="147">
        <f t="shared" ca="1" si="140"/>
        <v>-0.19530991040096679</v>
      </c>
      <c r="ED54" s="147">
        <f t="shared" ca="1" si="140"/>
        <v>-0.34777705204366155</v>
      </c>
      <c r="EE54" s="147">
        <f t="shared" ca="1" si="140"/>
        <v>-0.49759829576586501</v>
      </c>
      <c r="EF54" s="28">
        <f t="shared" ca="1" si="140"/>
        <v>-0.49759829576586501</v>
      </c>
    </row>
    <row r="55" spans="1:138" ht="12" customHeight="1">
      <c r="A55" s="1" t="s">
        <v>92</v>
      </c>
      <c r="B55" s="147" t="e">
        <f t="shared" ref="B55:K55" si="141">B53/B52</f>
        <v>#DIV/0!</v>
      </c>
      <c r="C55" s="147" t="e">
        <f t="shared" si="141"/>
        <v>#DIV/0!</v>
      </c>
      <c r="D55" s="147" t="e">
        <f t="shared" si="141"/>
        <v>#DIV/0!</v>
      </c>
      <c r="E55" s="147" t="e">
        <f t="shared" si="141"/>
        <v>#DIV/0!</v>
      </c>
      <c r="F55" s="28" t="e">
        <f t="shared" si="141"/>
        <v>#DIV/0!</v>
      </c>
      <c r="G55" s="147" t="e">
        <f t="shared" si="141"/>
        <v>#DIV/0!</v>
      </c>
      <c r="H55" s="147" t="e">
        <f t="shared" si="141"/>
        <v>#DIV/0!</v>
      </c>
      <c r="I55" s="147" t="e">
        <f t="shared" si="141"/>
        <v>#DIV/0!</v>
      </c>
      <c r="J55" s="147" t="e">
        <f t="shared" si="141"/>
        <v>#DIV/0!</v>
      </c>
      <c r="K55" s="28" t="e">
        <f t="shared" si="141"/>
        <v>#DIV/0!</v>
      </c>
      <c r="L55" s="147" t="e">
        <f t="shared" ref="L55:BN55" si="142">L53/L52</f>
        <v>#DIV/0!</v>
      </c>
      <c r="M55" s="147" t="e">
        <f t="shared" si="142"/>
        <v>#DIV/0!</v>
      </c>
      <c r="N55" s="147" t="e">
        <f t="shared" si="142"/>
        <v>#DIV/0!</v>
      </c>
      <c r="O55" s="147" t="e">
        <f t="shared" si="142"/>
        <v>#DIV/0!</v>
      </c>
      <c r="P55" s="28" t="e">
        <f t="shared" si="142"/>
        <v>#DIV/0!</v>
      </c>
      <c r="Q55" s="147" t="e">
        <f t="shared" si="142"/>
        <v>#DIV/0!</v>
      </c>
      <c r="R55" s="147" t="e">
        <f t="shared" si="142"/>
        <v>#DIV/0!</v>
      </c>
      <c r="S55" s="147" t="e">
        <f t="shared" si="142"/>
        <v>#DIV/0!</v>
      </c>
      <c r="T55" s="147" t="e">
        <f t="shared" si="142"/>
        <v>#DIV/0!</v>
      </c>
      <c r="U55" s="28" t="e">
        <f t="shared" si="142"/>
        <v>#DIV/0!</v>
      </c>
      <c r="V55" s="147" t="e">
        <f t="shared" si="142"/>
        <v>#DIV/0!</v>
      </c>
      <c r="W55" s="147" t="e">
        <f t="shared" si="142"/>
        <v>#DIV/0!</v>
      </c>
      <c r="X55" s="147" t="e">
        <f t="shared" si="142"/>
        <v>#DIV/0!</v>
      </c>
      <c r="Y55" s="147" t="e">
        <f t="shared" si="142"/>
        <v>#DIV/0!</v>
      </c>
      <c r="Z55" s="28" t="e">
        <f t="shared" si="142"/>
        <v>#DIV/0!</v>
      </c>
      <c r="AA55" s="147" t="e">
        <f t="shared" si="142"/>
        <v>#DIV/0!</v>
      </c>
      <c r="AB55" s="147" t="e">
        <f t="shared" si="142"/>
        <v>#DIV/0!</v>
      </c>
      <c r="AC55" s="147" t="e">
        <f t="shared" si="142"/>
        <v>#DIV/0!</v>
      </c>
      <c r="AD55" s="147" t="e">
        <f t="shared" si="142"/>
        <v>#DIV/0!</v>
      </c>
      <c r="AE55" s="28" t="e">
        <f t="shared" si="142"/>
        <v>#DIV/0!</v>
      </c>
      <c r="AF55" s="147" t="e">
        <f t="shared" si="142"/>
        <v>#DIV/0!</v>
      </c>
      <c r="AG55" s="147" t="e">
        <f t="shared" si="142"/>
        <v>#DIV/0!</v>
      </c>
      <c r="AH55" s="147" t="e">
        <f t="shared" si="142"/>
        <v>#DIV/0!</v>
      </c>
      <c r="AI55" s="147">
        <f t="shared" si="142"/>
        <v>0.61409020045743101</v>
      </c>
      <c r="AJ55" s="28">
        <f t="shared" si="142"/>
        <v>0.61409020045743101</v>
      </c>
      <c r="AK55" s="147" t="e">
        <f t="shared" si="142"/>
        <v>#DIV/0!</v>
      </c>
      <c r="AL55" s="147" t="e">
        <f t="shared" si="142"/>
        <v>#DIV/0!</v>
      </c>
      <c r="AM55" s="147" t="e">
        <f t="shared" si="142"/>
        <v>#DIV/0!</v>
      </c>
      <c r="AN55" s="147">
        <f t="shared" si="142"/>
        <v>0.54208161194401272</v>
      </c>
      <c r="AO55" s="28">
        <f t="shared" si="142"/>
        <v>0.54208161194401272</v>
      </c>
      <c r="AP55" s="147" t="e">
        <f t="shared" si="142"/>
        <v>#DIV/0!</v>
      </c>
      <c r="AQ55" s="147" t="e">
        <f t="shared" si="142"/>
        <v>#DIV/0!</v>
      </c>
      <c r="AR55" s="147" t="e">
        <f t="shared" si="142"/>
        <v>#DIV/0!</v>
      </c>
      <c r="AS55" s="147">
        <f t="shared" si="142"/>
        <v>7.6688431766405385E-2</v>
      </c>
      <c r="AT55" s="28">
        <f t="shared" si="142"/>
        <v>7.6688431766405385E-2</v>
      </c>
      <c r="AU55" s="147" t="e">
        <f t="shared" si="142"/>
        <v>#DIV/0!</v>
      </c>
      <c r="AV55" s="147" t="e">
        <f t="shared" si="142"/>
        <v>#DIV/0!</v>
      </c>
      <c r="AW55" s="147" t="e">
        <f t="shared" si="142"/>
        <v>#DIV/0!</v>
      </c>
      <c r="AX55" s="147">
        <f t="shared" si="142"/>
        <v>4.7098555817124181E-2</v>
      </c>
      <c r="AY55" s="28">
        <f t="shared" si="142"/>
        <v>4.7098555817124181E-2</v>
      </c>
      <c r="AZ55" s="147" t="e">
        <f t="shared" si="142"/>
        <v>#DIV/0!</v>
      </c>
      <c r="BA55" s="147" t="e">
        <f t="shared" si="142"/>
        <v>#DIV/0!</v>
      </c>
      <c r="BB55" s="147" t="e">
        <f t="shared" si="142"/>
        <v>#DIV/0!</v>
      </c>
      <c r="BC55" s="147">
        <f t="shared" si="142"/>
        <v>1.7599958453043591E-2</v>
      </c>
      <c r="BD55" s="28">
        <f t="shared" si="142"/>
        <v>1.7599958453043591E-2</v>
      </c>
      <c r="BE55" s="147" t="e">
        <f t="shared" si="142"/>
        <v>#DIV/0!</v>
      </c>
      <c r="BF55" s="147" t="e">
        <f t="shared" si="142"/>
        <v>#DIV/0!</v>
      </c>
      <c r="BG55" s="147" t="e">
        <f t="shared" si="142"/>
        <v>#DIV/0!</v>
      </c>
      <c r="BH55" s="147">
        <f t="shared" si="142"/>
        <v>7.7316412741577467E-2</v>
      </c>
      <c r="BI55" s="28">
        <f t="shared" si="142"/>
        <v>7.7316412741577467E-2</v>
      </c>
      <c r="BJ55" s="147" t="e">
        <f t="shared" si="142"/>
        <v>#DIV/0!</v>
      </c>
      <c r="BK55" s="147" t="e">
        <f t="shared" si="142"/>
        <v>#DIV/0!</v>
      </c>
      <c r="BL55" s="147" t="e">
        <f t="shared" si="142"/>
        <v>#DIV/0!</v>
      </c>
      <c r="BM55" s="147">
        <f t="shared" si="142"/>
        <v>0.19185031716073733</v>
      </c>
      <c r="BN55" s="28">
        <f t="shared" si="142"/>
        <v>0.19185031716073733</v>
      </c>
      <c r="BO55" s="147" t="e">
        <f>BO53/BO52</f>
        <v>#DIV/0!</v>
      </c>
      <c r="BP55" s="147" t="e">
        <f>BP53/BP52</f>
        <v>#DIV/0!</v>
      </c>
      <c r="BQ55" s="147" t="e">
        <f>BQ53/BQ52</f>
        <v>#DIV/0!</v>
      </c>
      <c r="BR55" s="147">
        <f>BR53/BR52</f>
        <v>6.7772699057615265E-2</v>
      </c>
      <c r="BS55" s="28">
        <f t="shared" ref="BS55:CC55" si="143">BS53/BS52</f>
        <v>6.7772699057615265E-2</v>
      </c>
      <c r="BT55" s="147" t="e">
        <f t="shared" si="143"/>
        <v>#DIV/0!</v>
      </c>
      <c r="BU55" s="147" t="e">
        <f t="shared" si="143"/>
        <v>#DIV/0!</v>
      </c>
      <c r="BV55" s="147" t="e">
        <f t="shared" si="143"/>
        <v>#DIV/0!</v>
      </c>
      <c r="BW55" s="147">
        <f>BW53/BW52</f>
        <v>0.12268965258606017</v>
      </c>
      <c r="BX55" s="28">
        <f t="shared" si="143"/>
        <v>0.12268965258606017</v>
      </c>
      <c r="BY55" s="147" t="e">
        <f t="shared" si="143"/>
        <v>#DIV/0!</v>
      </c>
      <c r="BZ55" s="147" t="e">
        <f t="shared" si="143"/>
        <v>#DIV/0!</v>
      </c>
      <c r="CA55" s="147" t="e">
        <f>CA53/CA52</f>
        <v>#DIV/0!</v>
      </c>
      <c r="CB55" s="147">
        <f t="shared" si="143"/>
        <v>1.3469050047141676E-2</v>
      </c>
      <c r="CC55" s="28">
        <f t="shared" si="143"/>
        <v>1.3469050047141676E-2</v>
      </c>
      <c r="CD55" s="147">
        <f>CD53/CD52</f>
        <v>-6.7940280706238155E-3</v>
      </c>
      <c r="CE55" s="147">
        <f>CE53/CE52</f>
        <v>-0.16450874405330526</v>
      </c>
      <c r="CF55" s="147">
        <f t="shared" ref="CF55:DG55" si="144">CF53/CF52</f>
        <v>-0.46936917936707034</v>
      </c>
      <c r="CG55" s="147">
        <f t="shared" si="144"/>
        <v>-0.22832653836394573</v>
      </c>
      <c r="CH55" s="28">
        <f t="shared" si="144"/>
        <v>-0.22832653836394573</v>
      </c>
      <c r="CI55" s="147">
        <f t="shared" si="144"/>
        <v>-0.22359758690528531</v>
      </c>
      <c r="CJ55" s="147">
        <f t="shared" si="144"/>
        <v>-0.31957592368940607</v>
      </c>
      <c r="CK55" s="147">
        <f t="shared" si="144"/>
        <v>-0.2165250029054718</v>
      </c>
      <c r="CL55" s="147">
        <f>CL53/CL52</f>
        <v>-0.27529634525576707</v>
      </c>
      <c r="CM55" s="28">
        <f t="shared" si="144"/>
        <v>-0.27529634525576707</v>
      </c>
      <c r="CN55" s="147">
        <f>CN53/CN52</f>
        <v>-0.26725763815073561</v>
      </c>
      <c r="CO55" s="147">
        <f>CO53/CO52</f>
        <v>-0.35291229092516635</v>
      </c>
      <c r="CP55" s="147">
        <f>CP53/CP52</f>
        <v>-0.20506733093898774</v>
      </c>
      <c r="CQ55" s="147">
        <f>CQ53/CQ52</f>
        <v>-0.35139698410022013</v>
      </c>
      <c r="CR55" s="28">
        <f t="shared" si="144"/>
        <v>-0.35139698410022013</v>
      </c>
      <c r="CS55" s="147">
        <f t="shared" si="144"/>
        <v>-0.26329625133939666</v>
      </c>
      <c r="CT55" s="147">
        <f t="shared" si="144"/>
        <v>-0.3045686706509918</v>
      </c>
      <c r="CU55" s="147">
        <f t="shared" si="144"/>
        <v>-0.43871595699152782</v>
      </c>
      <c r="CV55" s="147">
        <f t="shared" si="144"/>
        <v>-0.38006479568296253</v>
      </c>
      <c r="CW55" s="28">
        <f t="shared" si="144"/>
        <v>-0.38006479568296253</v>
      </c>
      <c r="CX55" s="147">
        <f t="shared" si="144"/>
        <v>-0.35373199521426191</v>
      </c>
      <c r="CY55" s="147">
        <f>CY53/CY52</f>
        <v>-0.45327217299638167</v>
      </c>
      <c r="CZ55" s="147">
        <f t="shared" si="144"/>
        <v>-0.26164336911750397</v>
      </c>
      <c r="DA55" s="147">
        <f>DA53/DA52</f>
        <v>-0.32824833777382728</v>
      </c>
      <c r="DB55" s="28">
        <f t="shared" si="144"/>
        <v>-0.32824833777382728</v>
      </c>
      <c r="DC55" s="147">
        <f t="shared" si="144"/>
        <v>-0.19169891089428887</v>
      </c>
      <c r="DD55" s="147">
        <f t="shared" si="144"/>
        <v>-0.14430961531881892</v>
      </c>
      <c r="DE55" s="147">
        <f t="shared" si="144"/>
        <v>-0.27416664586034351</v>
      </c>
      <c r="DF55" s="147">
        <f t="shared" si="144"/>
        <v>-0.1901562765108715</v>
      </c>
      <c r="DG55" s="28">
        <f t="shared" si="144"/>
        <v>-0.1901562765108715</v>
      </c>
      <c r="DH55" s="147">
        <f t="shared" ref="DH55" si="145">DH53/DH52</f>
        <v>-0.21506366380016598</v>
      </c>
      <c r="DI55" s="147">
        <f t="shared" ref="DI55:EF55" si="146">DI53/DI52</f>
        <v>-0.14181237099413765</v>
      </c>
      <c r="DJ55" s="147">
        <f t="shared" ca="1" si="146"/>
        <v>-0.13514820294955723</v>
      </c>
      <c r="DK55" s="147">
        <f t="shared" ca="1" si="146"/>
        <v>-0.15413815804616393</v>
      </c>
      <c r="DL55" s="28">
        <f t="shared" ca="1" si="146"/>
        <v>-0.15413815804616393</v>
      </c>
      <c r="DM55" s="147">
        <f t="shared" ca="1" si="146"/>
        <v>-0.24728295890024404</v>
      </c>
      <c r="DN55" s="147">
        <f t="shared" ca="1" si="146"/>
        <v>-0.25979275076580677</v>
      </c>
      <c r="DO55" s="147">
        <f t="shared" ca="1" si="146"/>
        <v>-0.274995471521295</v>
      </c>
      <c r="DP55" s="147">
        <f t="shared" ca="1" si="146"/>
        <v>-0.37450198884993396</v>
      </c>
      <c r="DQ55" s="28">
        <f t="shared" ca="1" si="146"/>
        <v>-0.37450198884993396</v>
      </c>
      <c r="DR55" s="147">
        <f t="shared" ca="1" si="146"/>
        <v>-0.11831947917003401</v>
      </c>
      <c r="DS55" s="147">
        <f t="shared" ca="1" si="146"/>
        <v>-0.14365574100172984</v>
      </c>
      <c r="DT55" s="147">
        <f t="shared" ca="1" si="146"/>
        <v>-0.24833452700502354</v>
      </c>
      <c r="DU55" s="147">
        <f t="shared" ca="1" si="146"/>
        <v>-0.33022937747836206</v>
      </c>
      <c r="DV55" s="28">
        <f t="shared" ca="1" si="146"/>
        <v>-0.33022937747836206</v>
      </c>
      <c r="DW55" s="147">
        <f t="shared" ca="1" si="146"/>
        <v>-1.5022531201423521E-2</v>
      </c>
      <c r="DX55" s="147">
        <f t="shared" ca="1" si="146"/>
        <v>-0.14904694256538795</v>
      </c>
      <c r="DY55" s="147">
        <f t="shared" ca="1" si="146"/>
        <v>-0.25107419087784189</v>
      </c>
      <c r="DZ55" s="147">
        <f t="shared" ca="1" si="146"/>
        <v>-0.33150979541023839</v>
      </c>
      <c r="EA55" s="28">
        <f t="shared" ca="1" si="146"/>
        <v>-0.33150979541023839</v>
      </c>
      <c r="EB55" s="147">
        <f t="shared" ca="1" si="146"/>
        <v>-3.9013847987141449E-2</v>
      </c>
      <c r="EC55" s="147">
        <f t="shared" ca="1" si="146"/>
        <v>-0.16339688034164301</v>
      </c>
      <c r="ED55" s="147">
        <f t="shared" ca="1" si="146"/>
        <v>-0.258037522983731</v>
      </c>
      <c r="EE55" s="147">
        <f t="shared" ca="1" si="146"/>
        <v>-0.33226419739707003</v>
      </c>
      <c r="EF55" s="28">
        <f t="shared" ca="1" si="146"/>
        <v>-0.33226419739707003</v>
      </c>
    </row>
    <row r="56" spans="1:138" ht="12" customHeight="1">
      <c r="A56" s="1" t="s">
        <v>91</v>
      </c>
      <c r="B56" s="149" t="e">
        <f>B53/'Income Statement'!B58</f>
        <v>#DIV/0!</v>
      </c>
      <c r="C56" s="149" t="e">
        <f>C53/'Income Statement'!C58</f>
        <v>#DIV/0!</v>
      </c>
      <c r="D56" s="149" t="e">
        <f>D53/'Income Statement'!D58</f>
        <v>#DIV/0!</v>
      </c>
      <c r="E56" s="149" t="e">
        <f>E53/'Income Statement'!E58</f>
        <v>#DIV/0!</v>
      </c>
      <c r="F56" s="148" t="e">
        <f>F53/'Income Statement'!F58</f>
        <v>#DIV/0!</v>
      </c>
      <c r="G56" s="149" t="e">
        <f>G53/'Income Statement'!G58</f>
        <v>#DIV/0!</v>
      </c>
      <c r="H56" s="149" t="e">
        <f>H53/'Income Statement'!H58</f>
        <v>#DIV/0!</v>
      </c>
      <c r="I56" s="149" t="e">
        <f>I53/'Income Statement'!I58</f>
        <v>#DIV/0!</v>
      </c>
      <c r="J56" s="149" t="e">
        <f>J53/'Income Statement'!J58</f>
        <v>#DIV/0!</v>
      </c>
      <c r="K56" s="148" t="e">
        <f>K53/'Income Statement'!K58</f>
        <v>#DIV/0!</v>
      </c>
      <c r="L56" s="149" t="e">
        <f>L53/'Income Statement'!L58</f>
        <v>#DIV/0!</v>
      </c>
      <c r="M56" s="149" t="e">
        <f>M53/'Income Statement'!M58</f>
        <v>#DIV/0!</v>
      </c>
      <c r="N56" s="149" t="e">
        <f>N53/'Income Statement'!N58</f>
        <v>#DIV/0!</v>
      </c>
      <c r="O56" s="149" t="e">
        <f>O53/'Income Statement'!O58</f>
        <v>#DIV/0!</v>
      </c>
      <c r="P56" s="148" t="e">
        <f>P53/'Income Statement'!P58</f>
        <v>#DIV/0!</v>
      </c>
      <c r="Q56" s="149" t="e">
        <f>Q53/'Income Statement'!Q58</f>
        <v>#DIV/0!</v>
      </c>
      <c r="R56" s="149" t="e">
        <f>R53/'Income Statement'!R58</f>
        <v>#DIV/0!</v>
      </c>
      <c r="S56" s="149" t="e">
        <f>S53/'Income Statement'!S58</f>
        <v>#DIV/0!</v>
      </c>
      <c r="T56" s="149" t="e">
        <f>T53/'Income Statement'!T58</f>
        <v>#DIV/0!</v>
      </c>
      <c r="U56" s="148" t="e">
        <f>U53/'Income Statement'!U58</f>
        <v>#DIV/0!</v>
      </c>
      <c r="V56" s="149" t="e">
        <f>V53/'Income Statement'!V58</f>
        <v>#DIV/0!</v>
      </c>
      <c r="W56" s="149" t="e">
        <f>W53/'Income Statement'!W58</f>
        <v>#DIV/0!</v>
      </c>
      <c r="X56" s="149" t="e">
        <f>X53/'Income Statement'!X58</f>
        <v>#DIV/0!</v>
      </c>
      <c r="Y56" s="149" t="e">
        <f>Y53/'Income Statement'!Y58</f>
        <v>#DIV/0!</v>
      </c>
      <c r="Z56" s="148" t="e">
        <f>Z53/'Income Statement'!Z58</f>
        <v>#DIV/0!</v>
      </c>
      <c r="AA56" s="149" t="e">
        <f>AA53/'Income Statement'!AA58</f>
        <v>#DIV/0!</v>
      </c>
      <c r="AB56" s="149" t="e">
        <f>AB53/'Income Statement'!AB58</f>
        <v>#DIV/0!</v>
      </c>
      <c r="AC56" s="149" t="e">
        <f>AC53/'Income Statement'!AC58</f>
        <v>#DIV/0!</v>
      </c>
      <c r="AD56" s="149" t="e">
        <f>AD53/'Income Statement'!AD58</f>
        <v>#DIV/0!</v>
      </c>
      <c r="AE56" s="148" t="e">
        <f>AE53/'Income Statement'!AE58</f>
        <v>#DIV/0!</v>
      </c>
      <c r="AF56" s="149" t="e">
        <f>AF53/'Income Statement'!AF58</f>
        <v>#DIV/0!</v>
      </c>
      <c r="AG56" s="149" t="e">
        <f>AG53/'Income Statement'!AG58</f>
        <v>#DIV/0!</v>
      </c>
      <c r="AH56" s="149" t="e">
        <f>AH53/'Income Statement'!AH58</f>
        <v>#DIV/0!</v>
      </c>
      <c r="AI56" s="149">
        <f>AI53/'Income Statement'!AI58</f>
        <v>1.337249150086965</v>
      </c>
      <c r="AJ56" s="148">
        <f>AJ53/'Income Statement'!AJ58</f>
        <v>1.337249150086965</v>
      </c>
      <c r="AK56" s="149" t="e">
        <f>AK53/'Income Statement'!AK58</f>
        <v>#DIV/0!</v>
      </c>
      <c r="AL56" s="149" t="e">
        <f>AL53/'Income Statement'!AL58</f>
        <v>#DIV/0!</v>
      </c>
      <c r="AM56" s="149" t="e">
        <f>AM53/'Income Statement'!AM58</f>
        <v>#DIV/0!</v>
      </c>
      <c r="AN56" s="149">
        <f>AN53/'Income Statement'!AN58</f>
        <v>1.1072300014696936</v>
      </c>
      <c r="AO56" s="148">
        <f>AO53/'Income Statement'!AO58</f>
        <v>1.1072300014696936</v>
      </c>
      <c r="AP56" s="149" t="e">
        <f>AP53/'Income Statement'!AP58</f>
        <v>#DIV/0!</v>
      </c>
      <c r="AQ56" s="149" t="e">
        <f>AQ53/'Income Statement'!AQ58</f>
        <v>#DIV/0!</v>
      </c>
      <c r="AR56" s="149" t="e">
        <f>AR53/'Income Statement'!AR58</f>
        <v>#DIV/0!</v>
      </c>
      <c r="AS56" s="149">
        <f>AS53/'Income Statement'!AS58</f>
        <v>0.22526012688949956</v>
      </c>
      <c r="AT56" s="148">
        <f>AT53/'Income Statement'!AT58</f>
        <v>0.22526012688949956</v>
      </c>
      <c r="AU56" s="149" t="e">
        <f>AU53/'Income Statement'!AU58</f>
        <v>#DIV/0!</v>
      </c>
      <c r="AV56" s="149" t="e">
        <f>AV53/'Income Statement'!AV58</f>
        <v>#DIV/0!</v>
      </c>
      <c r="AW56" s="149" t="e">
        <f>AW53/'Income Statement'!AW58</f>
        <v>#DIV/0!</v>
      </c>
      <c r="AX56" s="149">
        <f>AX53/'Income Statement'!AX58</f>
        <v>0.11315663150721193</v>
      </c>
      <c r="AY56" s="148">
        <f>AY53/'Income Statement'!AY58</f>
        <v>0.11315663150721193</v>
      </c>
      <c r="AZ56" s="149" t="e">
        <f>AZ53/'Income Statement'!AZ58</f>
        <v>#DIV/0!</v>
      </c>
      <c r="BA56" s="149" t="e">
        <f>BA53/'Income Statement'!BA58</f>
        <v>#DIV/0!</v>
      </c>
      <c r="BB56" s="149" t="e">
        <f>BB53/'Income Statement'!BB58</f>
        <v>#DIV/0!</v>
      </c>
      <c r="BC56" s="149">
        <f>BC53/'Income Statement'!BC58</f>
        <v>5.117708923226276E-2</v>
      </c>
      <c r="BD56" s="148">
        <f>BD53/'Income Statement'!BD58</f>
        <v>5.117708923226276E-2</v>
      </c>
      <c r="BE56" s="149" t="e">
        <f>BE53/'Income Statement'!BE58</f>
        <v>#DIV/0!</v>
      </c>
      <c r="BF56" s="149" t="e">
        <f>BF53/'Income Statement'!BF58</f>
        <v>#DIV/0!</v>
      </c>
      <c r="BG56" s="149" t="e">
        <f>BG53/'Income Statement'!BG58</f>
        <v>#DIV/0!</v>
      </c>
      <c r="BH56" s="149">
        <f>BH53/'Income Statement'!BH58</f>
        <v>0.19403402959653288</v>
      </c>
      <c r="BI56" s="148">
        <f>BI53/'Income Statement'!BI58</f>
        <v>0.19403402959653288</v>
      </c>
      <c r="BJ56" s="149" t="e">
        <f>BJ53/'Income Statement'!BJ58</f>
        <v>#DIV/0!</v>
      </c>
      <c r="BK56" s="149" t="e">
        <f>BK53/'Income Statement'!BK58</f>
        <v>#DIV/0!</v>
      </c>
      <c r="BL56" s="149" t="e">
        <f>BL53/'Income Statement'!BL58</f>
        <v>#DIV/0!</v>
      </c>
      <c r="BM56" s="149">
        <f>BM53/'Income Statement'!BM58</f>
        <v>0.40265068314656938</v>
      </c>
      <c r="BN56" s="148">
        <f>BN53/'Income Statement'!BN58</f>
        <v>0.40265068314656938</v>
      </c>
      <c r="BO56" s="149" t="e">
        <f>BO53/'Income Statement'!BO58</f>
        <v>#DIV/0!</v>
      </c>
      <c r="BP56" s="149" t="e">
        <f>BP53/'Income Statement'!BP58</f>
        <v>#DIV/0!</v>
      </c>
      <c r="BQ56" s="149" t="e">
        <f>BQ53/'Income Statement'!BQ58</f>
        <v>#DIV/0!</v>
      </c>
      <c r="BR56" s="149">
        <f>BR53/'Income Statement'!BR58</f>
        <v>0.15041791910562674</v>
      </c>
      <c r="BS56" s="148">
        <f>BS53/'Income Statement'!BS58</f>
        <v>0.15041791910562674</v>
      </c>
      <c r="BT56" s="149" t="e">
        <f>BT53/'Income Statement'!BT58</f>
        <v>#DIV/0!</v>
      </c>
      <c r="BU56" s="149" t="e">
        <f>BU53/'Income Statement'!BU58</f>
        <v>#DIV/0!</v>
      </c>
      <c r="BV56" s="149" t="e">
        <f>BV53/'Income Statement'!BV58</f>
        <v>#DIV/0!</v>
      </c>
      <c r="BW56" s="149">
        <f>BW53/'Income Statement'!BW58</f>
        <v>0.20287739584227749</v>
      </c>
      <c r="BX56" s="148">
        <f>BX53/'Income Statement'!BX58</f>
        <v>0.20287739584227749</v>
      </c>
      <c r="BY56" s="149">
        <f>BY53/'Income Statement'!BY58</f>
        <v>0</v>
      </c>
      <c r="BZ56" s="149">
        <f>BZ53/'Income Statement'!BZ58</f>
        <v>0</v>
      </c>
      <c r="CA56" s="149">
        <f>CA53/'Income Statement'!CA58</f>
        <v>0</v>
      </c>
      <c r="CB56" s="149">
        <f>CB53/'Income Statement'!CB58</f>
        <v>6.2262544632079191E-2</v>
      </c>
      <c r="CC56" s="148">
        <f>CC53/'Income Statement'!CC58</f>
        <v>2.0122872724883369E-2</v>
      </c>
      <c r="CD56" s="149">
        <f>CD53/'Income Statement'!CD58</f>
        <v>-8.8521974400776998E-2</v>
      </c>
      <c r="CE56" s="149">
        <f>CE53/'Income Statement'!CE58</f>
        <v>-1.3654446949025192</v>
      </c>
      <c r="CF56" s="149">
        <f>CF53/'Income Statement'!CF58</f>
        <v>-4.3678339014564607</v>
      </c>
      <c r="CG56" s="149">
        <f>CG53/'Income Statement'!CG58</f>
        <v>-1.8048630423547363</v>
      </c>
      <c r="CH56" s="148">
        <f>CH53/'Income Statement'!CH58</f>
        <v>-0.64207918191528479</v>
      </c>
      <c r="CI56" s="149">
        <f>CI53/'Income Statement'!CI58</f>
        <v>-2.4504423380726696</v>
      </c>
      <c r="CJ56" s="149">
        <f>CJ53/'Income Statement'!CJ58</f>
        <v>-2.4683841272678522</v>
      </c>
      <c r="CK56" s="149">
        <f>CK53/'Income Statement'!CK58</f>
        <v>-1.8695166311276326</v>
      </c>
      <c r="CL56" s="149">
        <f>CL53/'Income Statement'!CL58</f>
        <v>-1.4760573403822692</v>
      </c>
      <c r="CM56" s="148">
        <f>CM53/'Income Statement'!CM58</f>
        <v>-0.53741939066081812</v>
      </c>
      <c r="CN56" s="149">
        <f>CN53/'Income Statement'!CN58</f>
        <v>-2.6316862452607372</v>
      </c>
      <c r="CO56" s="149">
        <f>CO53/'Income Statement'!CO58</f>
        <v>-2.4832537999293036</v>
      </c>
      <c r="CP56" s="149">
        <f>CP53/'Income Statement'!CP58</f>
        <v>-1.5554038779236588</v>
      </c>
      <c r="CQ56" s="149">
        <f>CQ53/'Income Statement'!CQ58</f>
        <v>-2.4560489875221965</v>
      </c>
      <c r="CR56" s="148">
        <f>CR53/'Income Statement'!CR58</f>
        <v>-0.7103625534894219</v>
      </c>
      <c r="CS56" s="149">
        <f>CS53/'Income Statement'!CS58</f>
        <v>-2.1817109749532135</v>
      </c>
      <c r="CT56" s="149">
        <f>CT53/'Income Statement'!CT58</f>
        <v>-2.2489585147281423</v>
      </c>
      <c r="CU56" s="149">
        <f>CU53/'Income Statement'!CU58</f>
        <v>-3.3565576442464415</v>
      </c>
      <c r="CV56" s="149">
        <f>CV53/'Income Statement'!CV58</f>
        <v>-2.0497511630423024</v>
      </c>
      <c r="CW56" s="148">
        <f>CW53/'Income Statement'!CW58</f>
        <v>-0.64306928340619651</v>
      </c>
      <c r="CX56" s="149">
        <f>CX53/'Income Statement'!CX58</f>
        <v>-2.2732734565264425</v>
      </c>
      <c r="CY56" s="149">
        <f>CY53/'Income Statement'!CY58</f>
        <v>-2.3629225498544466</v>
      </c>
      <c r="CZ56" s="149">
        <f>CZ53/'Income Statement'!CZ58</f>
        <v>-1.5323940183968963</v>
      </c>
      <c r="DA56" s="149">
        <f>DA53/'Income Statement'!DA58</f>
        <v>-1.8742353356674761</v>
      </c>
      <c r="DB56" s="148">
        <f>DB53/'Income Statement'!DB58</f>
        <v>-0.52282543254173386</v>
      </c>
      <c r="DC56" s="149">
        <f>DC53/'Income Statement'!DC58</f>
        <v>-0.93054971227279537</v>
      </c>
      <c r="DD56" s="149">
        <f>DD53/'Income Statement'!DD58</f>
        <v>-0.71891255492146866</v>
      </c>
      <c r="DE56" s="149">
        <f>DE53/'Income Statement'!DE58</f>
        <v>-1.3664761604137516</v>
      </c>
      <c r="DF56" s="149">
        <f>DF53/'Income Statement'!DF58</f>
        <v>-0.90994679380873411</v>
      </c>
      <c r="DG56" s="148">
        <f>DG53/'Income Statement'!DG58</f>
        <v>-0.24805920456231148</v>
      </c>
      <c r="DH56" s="149">
        <f>DH53/'Income Statement'!DH58</f>
        <v>-1.0038883049852214</v>
      </c>
      <c r="DI56" s="149">
        <f>DI53/'Income Statement'!DI58</f>
        <v>-0.75884863300634131</v>
      </c>
      <c r="DJ56" s="149">
        <f ca="1">DJ53/'Income Statement'!DJ58</f>
        <v>-0.74577915295928887</v>
      </c>
      <c r="DK56" s="149">
        <f ca="1">DK53/'Income Statement'!DK58</f>
        <v>-0.78795824540575876</v>
      </c>
      <c r="DL56" s="148">
        <f ca="1">DL53/'Income Statement'!DL58</f>
        <v>-0.22069897174134942</v>
      </c>
      <c r="DM56" s="149">
        <f ca="1">DM53/'Income Statement'!DM58</f>
        <v>-1.3638908218390611</v>
      </c>
      <c r="DN56" s="149">
        <f ca="1">DN53/'Income Statement'!DN58</f>
        <v>-1.4711359577068481</v>
      </c>
      <c r="DO56" s="149">
        <f ca="1">DO53/'Income Statement'!DO58</f>
        <v>-1.6225985409359303</v>
      </c>
      <c r="DP56" s="149">
        <f ca="1">DP53/'Income Statement'!DP58</f>
        <v>-2.2896145383577768</v>
      </c>
      <c r="DQ56" s="148">
        <f ca="1">DQ53/'Income Statement'!DQ58</f>
        <v>-0.59189747512297286</v>
      </c>
      <c r="DR56" s="149">
        <f ca="1">DR53/'Income Statement'!DR58</f>
        <v>-0.52581938281224105</v>
      </c>
      <c r="DS56" s="149">
        <f ca="1">DS53/'Income Statement'!DS58</f>
        <v>-0.75108440056352543</v>
      </c>
      <c r="DT56" s="149">
        <f ca="1">DT53/'Income Statement'!DT58</f>
        <v>-1.4946108503449578</v>
      </c>
      <c r="DU56" s="149">
        <f ca="1">DU53/'Income Statement'!DU58</f>
        <v>-2.2529397344742472</v>
      </c>
      <c r="DV56" s="148">
        <f ca="1">DV53/'Income Statement'!DV58</f>
        <v>-0.57768819461210108</v>
      </c>
      <c r="DW56" s="149">
        <f ca="1">DW53/'Income Statement'!DW58</f>
        <v>-7.0360758426807737E-2</v>
      </c>
      <c r="DX56" s="149">
        <f ca="1">DX53/'Income Statement'!DX58</f>
        <v>-0.81570760665240372</v>
      </c>
      <c r="DY56" s="149">
        <f ca="1">DY53/'Income Statement'!DY58</f>
        <v>-1.575336175868933</v>
      </c>
      <c r="DZ56" s="149">
        <f ca="1">DZ53/'Income Statement'!DZ58</f>
        <v>-2.3500598552400769</v>
      </c>
      <c r="EA56" s="148">
        <f ca="1">EA53/'Income Statement'!EA58</f>
        <v>-0.59987355957256649</v>
      </c>
      <c r="EB56" s="149">
        <f ca="1">EB53/'Income Statement'!EB58</f>
        <v>-0.19393972588089287</v>
      </c>
      <c r="EC56" s="149">
        <f ca="1">EC53/'Income Statement'!EC58</f>
        <v>-0.94182997258419943</v>
      </c>
      <c r="ED56" s="149">
        <f ca="1">ED53/'Income Statement'!ED58</f>
        <v>-1.6951245953569041</v>
      </c>
      <c r="EE56" s="149">
        <f ca="1">EE53/'Income Statement'!EE58</f>
        <v>-2.4544183076781145</v>
      </c>
      <c r="EF56" s="148">
        <f ca="1">EF53/'Income Statement'!EF58</f>
        <v>-0.62501309447226416</v>
      </c>
      <c r="EG56" s="83"/>
    </row>
    <row r="57" spans="1:138" ht="12" customHeight="1">
      <c r="A57" s="1" t="s">
        <v>108</v>
      </c>
      <c r="B57" s="150" t="e">
        <f>B43/'Income Statement'!B78</f>
        <v>#DIV/0!</v>
      </c>
      <c r="C57" s="150" t="e">
        <f>C43/'Income Statement'!C78</f>
        <v>#DIV/0!</v>
      </c>
      <c r="D57" s="150" t="e">
        <f>D43/'Income Statement'!D78</f>
        <v>#DIV/0!</v>
      </c>
      <c r="E57" s="150" t="e">
        <f>E43/'Income Statement'!E78</f>
        <v>#DIV/0!</v>
      </c>
      <c r="F57" s="51" t="e">
        <f>F43/'Income Statement'!F78</f>
        <v>#DIV/0!</v>
      </c>
      <c r="G57" s="150" t="e">
        <f>G43/'Income Statement'!G78</f>
        <v>#DIV/0!</v>
      </c>
      <c r="H57" s="150" t="e">
        <f>H43/'Income Statement'!H78</f>
        <v>#DIV/0!</v>
      </c>
      <c r="I57" s="150" t="e">
        <f>I43/'Income Statement'!I78</f>
        <v>#DIV/0!</v>
      </c>
      <c r="J57" s="150" t="e">
        <f>J43/'Income Statement'!J78</f>
        <v>#DIV/0!</v>
      </c>
      <c r="K57" s="51" t="e">
        <f>K43/'Income Statement'!K78</f>
        <v>#DIV/0!</v>
      </c>
      <c r="L57" s="150" t="e">
        <f>L43/'Income Statement'!L78</f>
        <v>#DIV/0!</v>
      </c>
      <c r="M57" s="150" t="e">
        <f>M43/'Income Statement'!M78</f>
        <v>#DIV/0!</v>
      </c>
      <c r="N57" s="150" t="e">
        <f>N43/'Income Statement'!N78</f>
        <v>#DIV/0!</v>
      </c>
      <c r="O57" s="150" t="e">
        <f>O43/'Income Statement'!O78</f>
        <v>#DIV/0!</v>
      </c>
      <c r="P57" s="51" t="e">
        <f>P43/'Income Statement'!P78</f>
        <v>#DIV/0!</v>
      </c>
      <c r="Q57" s="150" t="e">
        <f>Q43/'Income Statement'!Q78</f>
        <v>#DIV/0!</v>
      </c>
      <c r="R57" s="150" t="e">
        <f>R43/'Income Statement'!R78</f>
        <v>#DIV/0!</v>
      </c>
      <c r="S57" s="150" t="e">
        <f>S43/'Income Statement'!S78</f>
        <v>#DIV/0!</v>
      </c>
      <c r="T57" s="150" t="e">
        <f>T43/'Income Statement'!T78</f>
        <v>#DIV/0!</v>
      </c>
      <c r="U57" s="51" t="e">
        <f>U43/'Income Statement'!U78</f>
        <v>#DIV/0!</v>
      </c>
      <c r="V57" s="150" t="e">
        <f>V43/'Income Statement'!V78</f>
        <v>#DIV/0!</v>
      </c>
      <c r="W57" s="150" t="e">
        <f>W43/'Income Statement'!W78</f>
        <v>#DIV/0!</v>
      </c>
      <c r="X57" s="150" t="e">
        <f>X43/'Income Statement'!X78</f>
        <v>#DIV/0!</v>
      </c>
      <c r="Y57" s="150" t="e">
        <f>Y43/'Income Statement'!Y78</f>
        <v>#DIV/0!</v>
      </c>
      <c r="Z57" s="51" t="e">
        <f>Z43/'Income Statement'!Z78</f>
        <v>#DIV/0!</v>
      </c>
      <c r="AA57" s="150" t="e">
        <f>AA43/'Income Statement'!AA78</f>
        <v>#DIV/0!</v>
      </c>
      <c r="AB57" s="150" t="e">
        <f>AB43/'Income Statement'!AB78</f>
        <v>#DIV/0!</v>
      </c>
      <c r="AC57" s="150" t="e">
        <f>AC43/'Income Statement'!AC78</f>
        <v>#DIV/0!</v>
      </c>
      <c r="AD57" s="150" t="e">
        <f>AD43/'Income Statement'!AD78</f>
        <v>#DIV/0!</v>
      </c>
      <c r="AE57" s="51" t="e">
        <f>AE43/'Income Statement'!AE78</f>
        <v>#DIV/0!</v>
      </c>
      <c r="AF57" s="150">
        <f>AF43/'Income Statement'!AF78</f>
        <v>0</v>
      </c>
      <c r="AG57" s="150">
        <f>AG43/'Income Statement'!AG78</f>
        <v>0</v>
      </c>
      <c r="AH57" s="150">
        <f>AH43/'Income Statement'!AH78</f>
        <v>0</v>
      </c>
      <c r="AI57" s="150">
        <f>AI43/'Income Statement'!AI78</f>
        <v>0.44021591762194223</v>
      </c>
      <c r="AJ57" s="51">
        <f>AJ43/'Income Statement'!AJ78</f>
        <v>0.44021591762194223</v>
      </c>
      <c r="AK57" s="150">
        <f>AK43/'Income Statement'!AK78</f>
        <v>0</v>
      </c>
      <c r="AL57" s="150">
        <f>AL43/'Income Statement'!AL78</f>
        <v>0</v>
      </c>
      <c r="AM57" s="150">
        <f>AM43/'Income Statement'!AM78</f>
        <v>0</v>
      </c>
      <c r="AN57" s="150">
        <f>AN43/'Income Statement'!AN78</f>
        <v>0.6911499723760105</v>
      </c>
      <c r="AO57" s="51">
        <f>AO43/'Income Statement'!AO78</f>
        <v>0.6911499723760105</v>
      </c>
      <c r="AP57" s="150">
        <f>AP43/'Income Statement'!AP78</f>
        <v>0</v>
      </c>
      <c r="AQ57" s="150">
        <f>AQ43/'Income Statement'!AQ78</f>
        <v>0</v>
      </c>
      <c r="AR57" s="150">
        <f>AR43/'Income Statement'!AR78</f>
        <v>0</v>
      </c>
      <c r="AS57" s="150">
        <f>AS43/'Income Statement'!AS78</f>
        <v>0.91425339030075525</v>
      </c>
      <c r="AT57" s="51">
        <f>AT43/'Income Statement'!AT78</f>
        <v>0.91425339030075525</v>
      </c>
      <c r="AU57" s="150">
        <f>AU43/'Income Statement'!AU78</f>
        <v>0</v>
      </c>
      <c r="AV57" s="150">
        <f>AV43/'Income Statement'!AV78</f>
        <v>0</v>
      </c>
      <c r="AW57" s="150">
        <f>AW43/'Income Statement'!AW78</f>
        <v>0</v>
      </c>
      <c r="AX57" s="150">
        <f>AX43/'Income Statement'!AX78</f>
        <v>1.0711078135023195</v>
      </c>
      <c r="AY57" s="51">
        <f>AY43/'Income Statement'!AY78</f>
        <v>1.0711078135023195</v>
      </c>
      <c r="AZ57" s="150">
        <f>AZ43/'Income Statement'!AZ78</f>
        <v>0</v>
      </c>
      <c r="BA57" s="150">
        <f>BA43/'Income Statement'!BA78</f>
        <v>0</v>
      </c>
      <c r="BB57" s="150">
        <f>BB43/'Income Statement'!BB78</f>
        <v>0</v>
      </c>
      <c r="BC57" s="150">
        <f>BC43/'Income Statement'!BC78</f>
        <v>1.4085768349364234</v>
      </c>
      <c r="BD57" s="51">
        <f>BD43/'Income Statement'!BD78</f>
        <v>1.4085768349364234</v>
      </c>
      <c r="BE57" s="150">
        <f>BE43/'Income Statement'!BE78</f>
        <v>0</v>
      </c>
      <c r="BF57" s="150">
        <f>BF43/'Income Statement'!BF78</f>
        <v>0</v>
      </c>
      <c r="BG57" s="150">
        <f>BG43/'Income Statement'!BG78</f>
        <v>0</v>
      </c>
      <c r="BH57" s="150">
        <f>BH43/'Income Statement'!BH78</f>
        <v>1.0462661358096237</v>
      </c>
      <c r="BI57" s="51">
        <f>BI43/'Income Statement'!BI78</f>
        <v>1.0462661358096237</v>
      </c>
      <c r="BJ57" s="150">
        <f>BJ43/'Income Statement'!BJ78</f>
        <v>0</v>
      </c>
      <c r="BK57" s="150">
        <f>BK43/'Income Statement'!BK78</f>
        <v>0</v>
      </c>
      <c r="BL57" s="150">
        <f>BL43/'Income Statement'!BL78</f>
        <v>0</v>
      </c>
      <c r="BM57" s="150">
        <f>BM43/'Income Statement'!BM78</f>
        <v>0.61864875230582028</v>
      </c>
      <c r="BN57" s="51">
        <f>BN43/'Income Statement'!BN78</f>
        <v>0.61864875230582028</v>
      </c>
      <c r="BO57" s="150">
        <f>BO43/'Income Statement'!BO78</f>
        <v>0</v>
      </c>
      <c r="BP57" s="150">
        <f>BP43/'Income Statement'!BP78</f>
        <v>0</v>
      </c>
      <c r="BQ57" s="150">
        <f>BQ43/'Income Statement'!BQ78</f>
        <v>0</v>
      </c>
      <c r="BR57" s="150">
        <f>BR43/'Income Statement'!BR78</f>
        <v>0.77515241788736711</v>
      </c>
      <c r="BS57" s="51">
        <f>BS43/'Income Statement'!BS78</f>
        <v>0.77515241788736711</v>
      </c>
      <c r="BT57" s="150">
        <f>BT43/'Income Statement'!BT78</f>
        <v>0</v>
      </c>
      <c r="BU57" s="150">
        <f>BU43/'Income Statement'!BU78</f>
        <v>0</v>
      </c>
      <c r="BV57" s="150">
        <f>BV43/'Income Statement'!BV78</f>
        <v>0</v>
      </c>
      <c r="BW57" s="150">
        <f>BW43/'Income Statement'!BW78</f>
        <v>0.77781598356437476</v>
      </c>
      <c r="BX57" s="51">
        <f>BX43/'Income Statement'!BX78</f>
        <v>0.77781598356437476</v>
      </c>
      <c r="BY57" s="150">
        <f>BY43/'Income Statement'!BY78</f>
        <v>0</v>
      </c>
      <c r="BZ57" s="150">
        <f>BZ43/'Income Statement'!BZ78</f>
        <v>0</v>
      </c>
      <c r="CA57" s="150">
        <f>CA43/'Income Statement'!CA78</f>
        <v>0</v>
      </c>
      <c r="CB57" s="150">
        <f>CB43/'Income Statement'!CB78</f>
        <v>0.78049051041700801</v>
      </c>
      <c r="CC57" s="51">
        <f>CC43/'Income Statement'!CC78</f>
        <v>0.78049051041700801</v>
      </c>
      <c r="CD57" s="150">
        <f>CD43/'Income Statement'!CD78</f>
        <v>0.8042360705471493</v>
      </c>
      <c r="CE57" s="150">
        <f>CE43/'Income Statement'!CE78</f>
        <v>0.9393837122849239</v>
      </c>
      <c r="CF57" s="150">
        <f>CF43/'Income Statement'!CF78</f>
        <v>1.5749442789033095</v>
      </c>
      <c r="CG57" s="150">
        <f>CG43/'Income Statement'!CG78</f>
        <v>1.6769639483586212</v>
      </c>
      <c r="CH57" s="51">
        <f>CH43/'Income Statement'!CH78</f>
        <v>1.6769639483586212</v>
      </c>
      <c r="CI57" s="150">
        <f>CI43/'Income Statement'!CI78</f>
        <v>1.8482461236979568</v>
      </c>
      <c r="CJ57" s="150">
        <f>CJ43/'Income Statement'!CJ78</f>
        <v>1.854399440900554</v>
      </c>
      <c r="CK57" s="150">
        <f>CK43/'Income Statement'!CK78</f>
        <v>2.0853372727719743</v>
      </c>
      <c r="CL57" s="150">
        <f>CL43/'Income Statement'!CL78</f>
        <v>2.0259283513053767</v>
      </c>
      <c r="CM57" s="51">
        <f>CM43/'Income Statement'!CM78</f>
        <v>2.0259283513053767</v>
      </c>
      <c r="CN57" s="150">
        <f>CN43/'Income Statement'!CN78</f>
        <v>2.2204944054697808</v>
      </c>
      <c r="CO57" s="150">
        <f>CO43/'Income Statement'!CO78</f>
        <v>2.2368511397209634</v>
      </c>
      <c r="CP57" s="150">
        <f>CP43/'Income Statement'!CP78</f>
        <v>2.5468782909682917</v>
      </c>
      <c r="CQ57" s="150">
        <f>CQ43/'Income Statement'!CQ78</f>
        <v>2.5932312688847765</v>
      </c>
      <c r="CR57" s="51">
        <f>CR43/'Income Statement'!CR78</f>
        <v>2.5932312688847765</v>
      </c>
      <c r="CS57" s="150">
        <f>CS43/'Income Statement'!CS78</f>
        <v>2.910078382723523</v>
      </c>
      <c r="CT57" s="150">
        <f>CT43/'Income Statement'!CT78</f>
        <v>3.3287730309826244</v>
      </c>
      <c r="CU57" s="150">
        <f>CU43/'Income Statement'!CU78</f>
        <v>3.1846465580086907</v>
      </c>
      <c r="CV57" s="150">
        <f>CV43/'Income Statement'!CV78</f>
        <v>2.9838284991837845</v>
      </c>
      <c r="CW57" s="51">
        <f>CW43/'Income Statement'!CW78</f>
        <v>2.9838284991837845</v>
      </c>
      <c r="CX57" s="150">
        <f>CX43/'Income Statement'!CX78</f>
        <v>3.4710608392821896</v>
      </c>
      <c r="CY57" s="150">
        <f>CY43/'Income Statement'!CY78</f>
        <v>3.1510952397668412</v>
      </c>
      <c r="CZ57" s="150">
        <f>CZ43/'Income Statement'!CZ78</f>
        <v>3.7395058817399582</v>
      </c>
      <c r="DA57" s="150">
        <f>DA43/'Income Statement'!DA78</f>
        <v>3.7789906019328652</v>
      </c>
      <c r="DB57" s="51">
        <f>DB43/'Income Statement'!DB78</f>
        <v>3.7789906019328652</v>
      </c>
      <c r="DC57" s="150">
        <f>DC43/'Income Statement'!DC78</f>
        <v>3.9117159740647964</v>
      </c>
      <c r="DD57" s="150">
        <f>DD43/'Income Statement'!DD78</f>
        <v>4.55663417221822</v>
      </c>
      <c r="DE57" s="150">
        <f>DE43/'Income Statement'!DE78</f>
        <v>4.7459377554003517</v>
      </c>
      <c r="DF57" s="150">
        <f>DF43/'Income Statement'!DF78</f>
        <v>4.4853653361110171</v>
      </c>
      <c r="DG57" s="51">
        <f>DG43/'Income Statement'!DG78</f>
        <v>4.4853653361110171</v>
      </c>
      <c r="DH57" s="150">
        <f>DH43/'Income Statement'!DH78</f>
        <v>5.0140725981453373</v>
      </c>
      <c r="DI57" s="150">
        <f>DI43/'Income Statement'!DI78</f>
        <v>5.3726243354460355</v>
      </c>
      <c r="DJ57" s="150">
        <f ca="1">DJ43/'Income Statement'!DJ78</f>
        <v>5.7538766277024145</v>
      </c>
      <c r="DK57" s="150">
        <f ca="1">DK43/'Income Statement'!DK78</f>
        <v>6.2232100734597102</v>
      </c>
      <c r="DL57" s="51">
        <f ca="1">DL43/'Income Statement'!DL78</f>
        <v>6.2232100734597102</v>
      </c>
      <c r="DM57" s="150">
        <f ca="1">DM43/'Income Statement'!DM78</f>
        <v>6.6176910358270584</v>
      </c>
      <c r="DN57" s="150">
        <f ca="1">DN43/'Income Statement'!DN78</f>
        <v>7.0492362370699917</v>
      </c>
      <c r="DO57" s="150">
        <f ca="1">DO43/'Income Statement'!DO78</f>
        <v>7.4912309951626215</v>
      </c>
      <c r="DP57" s="150">
        <f ca="1">DP43/'Income Statement'!DP78</f>
        <v>7.9703820207646912</v>
      </c>
      <c r="DQ57" s="51">
        <f ca="1">DQ43/'Income Statement'!DQ78</f>
        <v>7.9703820207646912</v>
      </c>
      <c r="DR57" s="150">
        <f ca="1">DR43/'Income Statement'!DR78</f>
        <v>5.3437611809755117</v>
      </c>
      <c r="DS57" s="150">
        <f ca="1">DS43/'Income Statement'!DS78</f>
        <v>6.6874363377931321</v>
      </c>
      <c r="DT57" s="150">
        <f ca="1">DT43/'Income Statement'!DT78</f>
        <v>8.0763101505044812</v>
      </c>
      <c r="DU57" s="150">
        <f ca="1">DU43/'Income Statement'!DU78</f>
        <v>9.5222075971088493</v>
      </c>
      <c r="DV57" s="51">
        <f ca="1">DV43/'Income Statement'!DV78</f>
        <v>9.5222075971088493</v>
      </c>
      <c r="DW57" s="150">
        <f ca="1">DW43/'Income Statement'!DW78</f>
        <v>5.9715619482048394</v>
      </c>
      <c r="DX57" s="150">
        <f ca="1">DX43/'Income Statement'!DX78</f>
        <v>7.3830866541435354</v>
      </c>
      <c r="DY57" s="150">
        <f ca="1">DY43/'Income Statement'!DY78</f>
        <v>8.8492646126418979</v>
      </c>
      <c r="DZ57" s="150">
        <f ca="1">DZ43/'Income Statement'!DZ78</f>
        <v>10.371115268506202</v>
      </c>
      <c r="EA57" s="51">
        <f ca="1">EA43/'Income Statement'!EA78</f>
        <v>10.371115268506202</v>
      </c>
      <c r="EB57" s="150">
        <f ca="1">EB43/'Income Statement'!EB78</f>
        <v>6.6258244516600158</v>
      </c>
      <c r="EC57" s="150">
        <f ca="1">EC43/'Income Statement'!EC78</f>
        <v>8.1043327002921171</v>
      </c>
      <c r="ED57" s="150">
        <f ca="1">ED43/'Income Statement'!ED78</f>
        <v>9.63691547811964</v>
      </c>
      <c r="EE57" s="150">
        <f ca="1">EE43/'Income Statement'!EE78</f>
        <v>11.224416136751014</v>
      </c>
      <c r="EF57" s="51">
        <f ca="1">EF43/'Income Statement'!EF78</f>
        <v>11.224416136751014</v>
      </c>
      <c r="EG57" s="83"/>
      <c r="EH57" s="1">
        <f>EG57*7%</f>
        <v>0</v>
      </c>
    </row>
    <row r="58" spans="1:138" ht="12" customHeight="1">
      <c r="F58" s="67"/>
      <c r="K58" s="67"/>
      <c r="P58" s="67"/>
      <c r="U58" s="67"/>
      <c r="Z58" s="67"/>
      <c r="AE58" s="67"/>
      <c r="AF58" s="243"/>
      <c r="AH58" s="243"/>
      <c r="AI58" s="147"/>
      <c r="AJ58" s="48"/>
      <c r="AK58" s="243"/>
      <c r="AM58" s="243"/>
      <c r="AN58" s="147"/>
      <c r="AO58" s="48"/>
      <c r="AP58" s="243"/>
      <c r="AR58" s="243"/>
      <c r="AS58" s="147"/>
      <c r="AT58" s="48"/>
      <c r="AU58" s="243"/>
      <c r="AW58" s="243"/>
      <c r="AX58" s="147"/>
      <c r="AY58" s="48"/>
      <c r="AZ58" s="243"/>
      <c r="BB58" s="243"/>
      <c r="BC58" s="147"/>
      <c r="BD58" s="48"/>
      <c r="BE58" s="243"/>
      <c r="BG58" s="243"/>
      <c r="BH58" s="147"/>
      <c r="BI58" s="48"/>
      <c r="BJ58" s="243"/>
      <c r="BL58" s="243"/>
      <c r="BM58" s="147"/>
      <c r="BN58" s="48"/>
      <c r="BO58" s="243"/>
      <c r="BQ58" s="243"/>
      <c r="BR58" s="147"/>
      <c r="BS58" s="48"/>
      <c r="BT58" s="243"/>
      <c r="BV58" s="243"/>
      <c r="BW58" s="243"/>
      <c r="BX58" s="48"/>
      <c r="BY58" s="243"/>
      <c r="CA58" s="243"/>
      <c r="CB58" s="243"/>
      <c r="CC58" s="48"/>
      <c r="CD58" s="243"/>
      <c r="CF58" s="52"/>
      <c r="CG58" s="243">
        <f>(CG53-8400)/CG52</f>
        <v>-0.24140276811330241</v>
      </c>
      <c r="CH58" s="48"/>
      <c r="CI58" s="243"/>
      <c r="CJ58" s="309"/>
      <c r="CK58" s="83"/>
      <c r="CM58" s="48"/>
      <c r="CN58" s="243"/>
      <c r="CO58" s="27"/>
      <c r="CP58" s="147"/>
      <c r="CR58" s="48"/>
      <c r="CS58" s="307"/>
      <c r="CT58" s="474"/>
      <c r="CU58" s="83"/>
      <c r="CW58" s="48"/>
      <c r="CX58" s="243">
        <f>CY58/DA52</f>
        <v>-0.2142387511941225</v>
      </c>
      <c r="CY58" s="402">
        <f>DA53-25700+'Income Statement'!DC50</f>
        <v>-280554</v>
      </c>
      <c r="CZ58" s="307">
        <v>309643</v>
      </c>
      <c r="DA58" s="307">
        <f>329824</f>
        <v>329824</v>
      </c>
      <c r="DB58" s="489">
        <f>DA58-CZ58</f>
        <v>20181</v>
      </c>
      <c r="DE58" s="52"/>
      <c r="DG58" s="48"/>
      <c r="DJ58" s="52"/>
      <c r="DL58" s="48"/>
      <c r="DO58" s="52"/>
      <c r="DQ58" s="48"/>
      <c r="DT58" s="52"/>
      <c r="DV58" s="48"/>
      <c r="DY58" s="52"/>
      <c r="EA58" s="48"/>
      <c r="ED58" s="52"/>
      <c r="EF58" s="48"/>
      <c r="EG58" s="27"/>
      <c r="EH58" s="1">
        <f>EH57+EG55</f>
        <v>0</v>
      </c>
    </row>
    <row r="59" spans="1:138" s="8" customFormat="1" ht="12" customHeight="1" thickBot="1">
      <c r="A59" s="4" t="s">
        <v>47</v>
      </c>
      <c r="B59" s="30" t="str">
        <f>Macro!B$9</f>
        <v>1Q04</v>
      </c>
      <c r="C59" s="30" t="str">
        <f>Macro!C$9</f>
        <v>2Q04</v>
      </c>
      <c r="D59" s="30" t="str">
        <f>Macro!D$9</f>
        <v>3Q04</v>
      </c>
      <c r="E59" s="31" t="str">
        <f>Macro!E$9</f>
        <v>4Q04</v>
      </c>
      <c r="F59" s="29" t="str">
        <f>Macro!F$9</f>
        <v>2004</v>
      </c>
      <c r="G59" s="30" t="str">
        <f>Macro!G$9</f>
        <v>1Q05</v>
      </c>
      <c r="H59" s="30" t="str">
        <f>Macro!H$9</f>
        <v>2Q05</v>
      </c>
      <c r="I59" s="30" t="str">
        <f>Macro!I$9</f>
        <v>3Q05</v>
      </c>
      <c r="J59" s="31" t="str">
        <f>Macro!J$9</f>
        <v>4Q05</v>
      </c>
      <c r="K59" s="29" t="str">
        <f>Macro!K$9</f>
        <v>2005</v>
      </c>
      <c r="L59" s="30" t="str">
        <f>Macro!L$9</f>
        <v>1Q06</v>
      </c>
      <c r="M59" s="30" t="str">
        <f>Macro!M$9</f>
        <v>2Q06</v>
      </c>
      <c r="N59" s="30" t="str">
        <f>Macro!N$9</f>
        <v>3Q06</v>
      </c>
      <c r="O59" s="31" t="str">
        <f>Macro!O$9</f>
        <v>4Q06</v>
      </c>
      <c r="P59" s="29" t="str">
        <f>Macro!P$9</f>
        <v>2006</v>
      </c>
      <c r="Q59" s="30" t="str">
        <f>Macro!Q$9</f>
        <v>1Q07</v>
      </c>
      <c r="R59" s="30" t="str">
        <f>Macro!R$9</f>
        <v>2Q07</v>
      </c>
      <c r="S59" s="30" t="str">
        <f>Macro!S$9</f>
        <v>3Q07</v>
      </c>
      <c r="T59" s="31" t="str">
        <f>Macro!T$9</f>
        <v>4Q07</v>
      </c>
      <c r="U59" s="29" t="str">
        <f>Macro!U$9</f>
        <v>2007</v>
      </c>
      <c r="V59" s="30" t="str">
        <f>Macro!V$9</f>
        <v>1Q08</v>
      </c>
      <c r="W59" s="30" t="str">
        <f>Macro!W$9</f>
        <v>2Q08</v>
      </c>
      <c r="X59" s="30" t="str">
        <f>Macro!X$9</f>
        <v>3Q08</v>
      </c>
      <c r="Y59" s="31" t="str">
        <f>Macro!Y$9</f>
        <v>4Q08</v>
      </c>
      <c r="Z59" s="29" t="str">
        <f>Macro!Z$9</f>
        <v>2008</v>
      </c>
      <c r="AA59" s="30" t="str">
        <f>Macro!AA$9</f>
        <v>1Q09</v>
      </c>
      <c r="AB59" s="30" t="str">
        <f>Macro!AB$9</f>
        <v>2Q09</v>
      </c>
      <c r="AC59" s="30" t="str">
        <f>Macro!AC$9</f>
        <v>3Q09</v>
      </c>
      <c r="AD59" s="31" t="str">
        <f>Macro!AD$9</f>
        <v>4Q09</v>
      </c>
      <c r="AE59" s="29" t="str">
        <f>Macro!AE$9</f>
        <v>2009</v>
      </c>
      <c r="AF59" s="30" t="str">
        <f>Macro!AF$9</f>
        <v>1Q10</v>
      </c>
      <c r="AG59" s="30" t="str">
        <f>Macro!AG$9</f>
        <v>2Q10</v>
      </c>
      <c r="AH59" s="30" t="str">
        <f>Macro!AH$9</f>
        <v>3Q10</v>
      </c>
      <c r="AI59" s="31" t="str">
        <f>Macro!AI$9</f>
        <v>4Q10</v>
      </c>
      <c r="AJ59" s="29" t="str">
        <f>Macro!AJ$9</f>
        <v>2010</v>
      </c>
      <c r="AK59" s="30" t="str">
        <f>Macro!AK$9</f>
        <v>1Q11</v>
      </c>
      <c r="AL59" s="30" t="str">
        <f>Macro!AL$9</f>
        <v>2Q11</v>
      </c>
      <c r="AM59" s="30" t="str">
        <f>Macro!AM$9</f>
        <v>3Q11</v>
      </c>
      <c r="AN59" s="31" t="str">
        <f>Macro!AN$9</f>
        <v>4Q11</v>
      </c>
      <c r="AO59" s="29" t="str">
        <f>Macro!AO$9</f>
        <v>2011</v>
      </c>
      <c r="AP59" s="30" t="str">
        <f>Macro!AP$9</f>
        <v>1Q12</v>
      </c>
      <c r="AQ59" s="30" t="str">
        <f>Macro!AQ$9</f>
        <v>2Q12</v>
      </c>
      <c r="AR59" s="30" t="str">
        <f>Macro!AR$9</f>
        <v>3Q12</v>
      </c>
      <c r="AS59" s="31" t="str">
        <f>Macro!AS$9</f>
        <v>4Q12</v>
      </c>
      <c r="AT59" s="29" t="str">
        <f>Macro!AT$9</f>
        <v>2012</v>
      </c>
      <c r="AU59" s="30" t="str">
        <f>Macro!AU$9</f>
        <v>1Q13</v>
      </c>
      <c r="AV59" s="30" t="str">
        <f>Macro!AV$9</f>
        <v>2Q13</v>
      </c>
      <c r="AW59" s="30" t="str">
        <f>Macro!AW$9</f>
        <v>3Q13</v>
      </c>
      <c r="AX59" s="31" t="str">
        <f>Macro!AX$9</f>
        <v>4Q13</v>
      </c>
      <c r="AY59" s="29" t="str">
        <f>Macro!AY$9</f>
        <v>2013</v>
      </c>
      <c r="AZ59" s="30" t="str">
        <f>Macro!AZ$9</f>
        <v>1Q14</v>
      </c>
      <c r="BA59" s="30" t="str">
        <f>Macro!BA$9</f>
        <v>2Q14</v>
      </c>
      <c r="BB59" s="30" t="str">
        <f>Macro!BB$9</f>
        <v>3Q14</v>
      </c>
      <c r="BC59" s="31" t="str">
        <f>Macro!BC$9</f>
        <v>4Q14</v>
      </c>
      <c r="BD59" s="29" t="str">
        <f>Macro!BD$9</f>
        <v>2014</v>
      </c>
      <c r="BE59" s="30" t="str">
        <f>Macro!BE$9</f>
        <v>1Q15</v>
      </c>
      <c r="BF59" s="30" t="str">
        <f>Macro!BF$9</f>
        <v>2Q15</v>
      </c>
      <c r="BG59" s="30" t="str">
        <f>Macro!BG$9</f>
        <v>3Q15</v>
      </c>
      <c r="BH59" s="31" t="str">
        <f>Macro!BH$9</f>
        <v>4Q15</v>
      </c>
      <c r="BI59" s="29" t="str">
        <f>Macro!BI$9</f>
        <v>2015</v>
      </c>
      <c r="BJ59" s="30" t="str">
        <f>Macro!BJ$9</f>
        <v>1Q16</v>
      </c>
      <c r="BK59" s="30" t="str">
        <f>Macro!BK$9</f>
        <v>2Q16</v>
      </c>
      <c r="BL59" s="30" t="str">
        <f>Macro!BL$9</f>
        <v>3Q16</v>
      </c>
      <c r="BM59" s="31" t="str">
        <f>Macro!BM$9</f>
        <v>4Q16</v>
      </c>
      <c r="BN59" s="29" t="str">
        <f>Macro!BN$9</f>
        <v>2016</v>
      </c>
      <c r="BO59" s="30" t="str">
        <f>Macro!BO$9</f>
        <v>1Q17</v>
      </c>
      <c r="BP59" s="30" t="str">
        <f>Macro!BP$9</f>
        <v>2Q17</v>
      </c>
      <c r="BQ59" s="30" t="str">
        <f>Macro!BQ$9</f>
        <v>3Q17</v>
      </c>
      <c r="BR59" s="31" t="str">
        <f>Macro!BR$9</f>
        <v>4Q17</v>
      </c>
      <c r="BS59" s="29" t="str">
        <f>Macro!BS$9</f>
        <v>2017</v>
      </c>
      <c r="BT59" s="30" t="str">
        <f>Macro!BT$9</f>
        <v>1Q18</v>
      </c>
      <c r="BU59" s="30" t="str">
        <f>Macro!BU$9</f>
        <v>2Q18</v>
      </c>
      <c r="BV59" s="30" t="str">
        <f>Macro!BV$9</f>
        <v>3Q18</v>
      </c>
      <c r="BW59" s="31" t="str">
        <f>Macro!BW$9</f>
        <v>4Q18</v>
      </c>
      <c r="BX59" s="29" t="str">
        <f>Macro!BX$9</f>
        <v>2018</v>
      </c>
      <c r="BY59" s="30" t="str">
        <f>Macro!BY$9</f>
        <v>1Q19</v>
      </c>
      <c r="BZ59" s="30" t="str">
        <f>Macro!BZ$9</f>
        <v>2Q19</v>
      </c>
      <c r="CA59" s="30" t="str">
        <f>Macro!CA$9</f>
        <v>3Q19</v>
      </c>
      <c r="CB59" s="31" t="str">
        <f>Macro!CB$9</f>
        <v>4Q19</v>
      </c>
      <c r="CC59" s="29" t="str">
        <f>Macro!CC$9</f>
        <v>2019</v>
      </c>
      <c r="CD59" s="30" t="str">
        <f>Macro!CD$9</f>
        <v>1Q20</v>
      </c>
      <c r="CE59" s="30" t="str">
        <f>Macro!CE$9</f>
        <v>2Q20</v>
      </c>
      <c r="CF59" s="30" t="str">
        <f>Macro!CF$9</f>
        <v>3Q20</v>
      </c>
      <c r="CG59" s="31" t="str">
        <f>Macro!CG$9</f>
        <v>4Q20</v>
      </c>
      <c r="CH59" s="29" t="str">
        <f>Macro!CH$9</f>
        <v>2020</v>
      </c>
      <c r="CI59" s="30" t="str">
        <f>Macro!CI$9</f>
        <v>1Q21</v>
      </c>
      <c r="CJ59" s="30" t="str">
        <f>Macro!CJ$9</f>
        <v>2Q21</v>
      </c>
      <c r="CK59" s="30" t="str">
        <f>Macro!CK$9</f>
        <v>3Q21</v>
      </c>
      <c r="CL59" s="31" t="str">
        <f>Macro!CL$9</f>
        <v>4Q21</v>
      </c>
      <c r="CM59" s="29" t="str">
        <f>Macro!CM$9</f>
        <v>2021</v>
      </c>
      <c r="CN59" s="30" t="str">
        <f>Macro!CN$9</f>
        <v>1Q22</v>
      </c>
      <c r="CO59" s="30" t="str">
        <f>Macro!CO$9</f>
        <v>2Q22</v>
      </c>
      <c r="CP59" s="30" t="str">
        <f>Macro!CP$9</f>
        <v>3Q22</v>
      </c>
      <c r="CQ59" s="31" t="str">
        <f>Macro!CQ$9</f>
        <v>4Q22</v>
      </c>
      <c r="CR59" s="29" t="str">
        <f>Macro!CR$9</f>
        <v>2022</v>
      </c>
      <c r="CS59" s="30" t="str">
        <f>Macro!CS$9</f>
        <v>1Q23</v>
      </c>
      <c r="CT59" s="30" t="str">
        <f>Macro!CT$9</f>
        <v>2Q23</v>
      </c>
      <c r="CU59" s="30" t="str">
        <f>Macro!CU$9</f>
        <v>3Q23</v>
      </c>
      <c r="CV59" s="31" t="str">
        <f>Macro!CV$9</f>
        <v>4Q23</v>
      </c>
      <c r="CW59" s="29" t="str">
        <f>Macro!CW$9</f>
        <v>2023</v>
      </c>
      <c r="CX59" s="30" t="str">
        <f>Macro!CX$9</f>
        <v>1Q24</v>
      </c>
      <c r="CY59" s="30" t="str">
        <f>Macro!CY$9</f>
        <v>2Q24</v>
      </c>
      <c r="CZ59" s="30" t="str">
        <f>Macro!CZ$9</f>
        <v>3Q24</v>
      </c>
      <c r="DA59" s="31" t="str">
        <f>Macro!DA$9</f>
        <v>4Q24</v>
      </c>
      <c r="DB59" s="29" t="str">
        <f>Macro!DB$9</f>
        <v>2024</v>
      </c>
      <c r="DC59" s="30" t="str">
        <f>Macro!DC$9</f>
        <v>1Q25</v>
      </c>
      <c r="DD59" s="30" t="str">
        <f>Macro!DD$9</f>
        <v>2Q25</v>
      </c>
      <c r="DE59" s="30" t="str">
        <f>Macro!DE$9</f>
        <v>3Q25</v>
      </c>
      <c r="DF59" s="31" t="str">
        <f>Macro!DF$9</f>
        <v>4Q25</v>
      </c>
      <c r="DG59" s="29" t="str">
        <f>Macro!DG$9</f>
        <v>2025</v>
      </c>
      <c r="DH59" s="30" t="str">
        <f>Macro!DH$9</f>
        <v>1Q26</v>
      </c>
      <c r="DI59" s="30" t="str">
        <f>Macro!DI$9</f>
        <v>2Q26</v>
      </c>
      <c r="DJ59" s="30" t="str">
        <f>Macro!DJ$9</f>
        <v>3Q26E</v>
      </c>
      <c r="DK59" s="31" t="str">
        <f>Macro!DK$9</f>
        <v>4Q26E</v>
      </c>
      <c r="DL59" s="29" t="str">
        <f>Macro!DL$9</f>
        <v>2026E</v>
      </c>
      <c r="DM59" s="30" t="str">
        <f>Macro!DM$9</f>
        <v>1Q27E</v>
      </c>
      <c r="DN59" s="30" t="str">
        <f>Macro!DN$9</f>
        <v>2Q27E</v>
      </c>
      <c r="DO59" s="30" t="str">
        <f>Macro!DO$9</f>
        <v>3Q27E</v>
      </c>
      <c r="DP59" s="31" t="str">
        <f>Macro!DP$9</f>
        <v>4Q27E</v>
      </c>
      <c r="DQ59" s="29" t="str">
        <f>Macro!DQ$9</f>
        <v>2027E</v>
      </c>
      <c r="DR59" s="30" t="str">
        <f>Macro!DR$9</f>
        <v>1Q28E</v>
      </c>
      <c r="DS59" s="30" t="str">
        <f>Macro!DS$9</f>
        <v>2Q28E</v>
      </c>
      <c r="DT59" s="30" t="str">
        <f>Macro!DT$9</f>
        <v>3Q28E</v>
      </c>
      <c r="DU59" s="31" t="str">
        <f>Macro!DU$9</f>
        <v>4Q28E</v>
      </c>
      <c r="DV59" s="29" t="str">
        <f>Macro!DV$9</f>
        <v>2028E</v>
      </c>
      <c r="DW59" s="30" t="str">
        <f>Macro!DW$9</f>
        <v>1Q29E</v>
      </c>
      <c r="DX59" s="30" t="str">
        <f>Macro!DX$9</f>
        <v>2Q29E</v>
      </c>
      <c r="DY59" s="30" t="str">
        <f>Macro!DY$9</f>
        <v>3Q29E</v>
      </c>
      <c r="DZ59" s="31" t="str">
        <f>Macro!DZ$9</f>
        <v>4Q29E</v>
      </c>
      <c r="EA59" s="29" t="str">
        <f>Macro!EA$9</f>
        <v>2029E</v>
      </c>
      <c r="EB59" s="30" t="str">
        <f>Macro!EB$9</f>
        <v>1Q30E</v>
      </c>
      <c r="EC59" s="30" t="str">
        <f>Macro!EC$9</f>
        <v>2Q30E</v>
      </c>
      <c r="ED59" s="30" t="str">
        <f>Macro!ED$9</f>
        <v>3Q30E</v>
      </c>
      <c r="EE59" s="31" t="str">
        <f>Macro!EE$9</f>
        <v>4Q30E</v>
      </c>
      <c r="EF59" s="29" t="str">
        <f>Macro!EF$9</f>
        <v>2030E</v>
      </c>
    </row>
    <row r="60" spans="1:138" ht="12" customHeight="1" outlineLevel="1">
      <c r="A60" s="3" t="s">
        <v>48</v>
      </c>
      <c r="B60" s="151">
        <f t="shared" ref="B60:K60" si="147">B9</f>
        <v>0</v>
      </c>
      <c r="C60" s="151">
        <f t="shared" si="147"/>
        <v>0</v>
      </c>
      <c r="D60" s="151">
        <f t="shared" si="147"/>
        <v>0</v>
      </c>
      <c r="E60" s="151">
        <f t="shared" si="147"/>
        <v>0</v>
      </c>
      <c r="F60" s="152">
        <f t="shared" si="147"/>
        <v>0</v>
      </c>
      <c r="G60" s="151">
        <f t="shared" si="147"/>
        <v>0</v>
      </c>
      <c r="H60" s="151">
        <f t="shared" si="147"/>
        <v>0</v>
      </c>
      <c r="I60" s="151">
        <f t="shared" si="147"/>
        <v>0</v>
      </c>
      <c r="J60" s="151">
        <f t="shared" si="147"/>
        <v>0</v>
      </c>
      <c r="K60" s="152">
        <f t="shared" si="147"/>
        <v>0</v>
      </c>
      <c r="L60" s="151">
        <f t="shared" ref="L60:AE60" si="148">L9</f>
        <v>0</v>
      </c>
      <c r="M60" s="151">
        <f t="shared" si="148"/>
        <v>0</v>
      </c>
      <c r="N60" s="151">
        <f t="shared" si="148"/>
        <v>0</v>
      </c>
      <c r="O60" s="151">
        <f t="shared" si="148"/>
        <v>0</v>
      </c>
      <c r="P60" s="152">
        <f t="shared" si="148"/>
        <v>0</v>
      </c>
      <c r="Q60" s="151">
        <f t="shared" si="148"/>
        <v>0</v>
      </c>
      <c r="R60" s="151">
        <f t="shared" si="148"/>
        <v>0</v>
      </c>
      <c r="S60" s="151">
        <f t="shared" si="148"/>
        <v>0</v>
      </c>
      <c r="T60" s="151">
        <f t="shared" si="148"/>
        <v>0</v>
      </c>
      <c r="U60" s="152">
        <f t="shared" si="148"/>
        <v>0</v>
      </c>
      <c r="V60" s="151">
        <f t="shared" si="148"/>
        <v>0</v>
      </c>
      <c r="W60" s="151">
        <f t="shared" si="148"/>
        <v>0</v>
      </c>
      <c r="X60" s="151">
        <f t="shared" si="148"/>
        <v>0</v>
      </c>
      <c r="Y60" s="151">
        <f t="shared" si="148"/>
        <v>0</v>
      </c>
      <c r="Z60" s="152">
        <f t="shared" si="148"/>
        <v>0</v>
      </c>
      <c r="AA60" s="151">
        <f t="shared" si="148"/>
        <v>0</v>
      </c>
      <c r="AB60" s="151">
        <f t="shared" si="148"/>
        <v>0</v>
      </c>
      <c r="AC60" s="151">
        <f t="shared" si="148"/>
        <v>0</v>
      </c>
      <c r="AD60" s="151">
        <f t="shared" si="148"/>
        <v>0</v>
      </c>
      <c r="AE60" s="152">
        <f t="shared" si="148"/>
        <v>0</v>
      </c>
      <c r="AF60" s="151">
        <f t="shared" ref="AF60:BN60" si="149">AF8</f>
        <v>0</v>
      </c>
      <c r="AG60" s="151">
        <f t="shared" si="149"/>
        <v>0</v>
      </c>
      <c r="AH60" s="151">
        <f t="shared" si="149"/>
        <v>0</v>
      </c>
      <c r="AI60" s="151">
        <f t="shared" si="149"/>
        <v>234127.86300000001</v>
      </c>
      <c r="AJ60" s="152">
        <f t="shared" si="149"/>
        <v>234127.86300000001</v>
      </c>
      <c r="AK60" s="151">
        <f t="shared" si="149"/>
        <v>0</v>
      </c>
      <c r="AL60" s="151">
        <f t="shared" si="149"/>
        <v>0</v>
      </c>
      <c r="AM60" s="151">
        <f t="shared" si="149"/>
        <v>0</v>
      </c>
      <c r="AN60" s="151">
        <f t="shared" si="149"/>
        <v>314764.64900000003</v>
      </c>
      <c r="AO60" s="152">
        <f t="shared" si="149"/>
        <v>314764.64900000003</v>
      </c>
      <c r="AP60" s="151">
        <f t="shared" si="149"/>
        <v>0</v>
      </c>
      <c r="AQ60" s="151">
        <f t="shared" si="149"/>
        <v>0</v>
      </c>
      <c r="AR60" s="151">
        <f t="shared" si="149"/>
        <v>0</v>
      </c>
      <c r="AS60" s="151">
        <f t="shared" si="149"/>
        <v>369786.71299999999</v>
      </c>
      <c r="AT60" s="152">
        <f t="shared" si="149"/>
        <v>369786.71299999999</v>
      </c>
      <c r="AU60" s="151">
        <f t="shared" si="149"/>
        <v>0</v>
      </c>
      <c r="AV60" s="151">
        <f t="shared" si="149"/>
        <v>0</v>
      </c>
      <c r="AW60" s="151">
        <f t="shared" si="149"/>
        <v>0</v>
      </c>
      <c r="AX60" s="151">
        <f t="shared" si="149"/>
        <v>448262</v>
      </c>
      <c r="AY60" s="152">
        <f t="shared" si="149"/>
        <v>448262</v>
      </c>
      <c r="AZ60" s="151">
        <f t="shared" si="149"/>
        <v>0</v>
      </c>
      <c r="BA60" s="151">
        <f t="shared" si="149"/>
        <v>0</v>
      </c>
      <c r="BB60" s="151">
        <f t="shared" si="149"/>
        <v>0</v>
      </c>
      <c r="BC60" s="151">
        <f t="shared" si="149"/>
        <v>520928</v>
      </c>
      <c r="BD60" s="152">
        <f t="shared" si="149"/>
        <v>520928</v>
      </c>
      <c r="BE60" s="151">
        <f t="shared" si="149"/>
        <v>0</v>
      </c>
      <c r="BF60" s="151">
        <f t="shared" si="149"/>
        <v>0</v>
      </c>
      <c r="BG60" s="151">
        <f t="shared" si="149"/>
        <v>0</v>
      </c>
      <c r="BH60" s="151">
        <f t="shared" si="149"/>
        <v>611522</v>
      </c>
      <c r="BI60" s="152">
        <f t="shared" si="149"/>
        <v>611522</v>
      </c>
      <c r="BJ60" s="151">
        <f t="shared" si="149"/>
        <v>0</v>
      </c>
      <c r="BK60" s="151">
        <f t="shared" si="149"/>
        <v>0</v>
      </c>
      <c r="BL60" s="151">
        <f t="shared" si="149"/>
        <v>0</v>
      </c>
      <c r="BM60" s="151">
        <f t="shared" si="149"/>
        <v>649226</v>
      </c>
      <c r="BN60" s="152">
        <f t="shared" si="149"/>
        <v>649226</v>
      </c>
      <c r="BO60" s="151">
        <f t="shared" ref="BO60:CC60" si="150">BO8</f>
        <v>0</v>
      </c>
      <c r="BP60" s="151">
        <f t="shared" si="150"/>
        <v>0</v>
      </c>
      <c r="BQ60" s="151">
        <f t="shared" si="150"/>
        <v>0</v>
      </c>
      <c r="BR60" s="151">
        <f t="shared" si="150"/>
        <v>765298</v>
      </c>
      <c r="BS60" s="152">
        <f t="shared" si="150"/>
        <v>765298</v>
      </c>
      <c r="BT60" s="151">
        <f>BT8</f>
        <v>0</v>
      </c>
      <c r="BU60" s="151">
        <f>BU8</f>
        <v>0</v>
      </c>
      <c r="BV60" s="151">
        <f>BV8</f>
        <v>0</v>
      </c>
      <c r="BW60" s="151">
        <f>BW8</f>
        <v>557065</v>
      </c>
      <c r="BX60" s="152">
        <f t="shared" si="150"/>
        <v>557065</v>
      </c>
      <c r="BY60" s="151">
        <f t="shared" si="150"/>
        <v>0</v>
      </c>
      <c r="BZ60" s="151">
        <f t="shared" si="150"/>
        <v>0</v>
      </c>
      <c r="CA60" s="151">
        <f t="shared" si="150"/>
        <v>0</v>
      </c>
      <c r="CB60" s="151">
        <f t="shared" si="150"/>
        <v>659335</v>
      </c>
      <c r="CC60" s="152">
        <f t="shared" si="150"/>
        <v>659335</v>
      </c>
      <c r="CD60" s="151">
        <f>CD8</f>
        <v>605454</v>
      </c>
      <c r="CE60" s="151">
        <f>CE8</f>
        <v>685673</v>
      </c>
      <c r="CF60" s="151">
        <f>CF8</f>
        <v>831054</v>
      </c>
      <c r="CG60" s="151">
        <f>CG8</f>
        <v>799322</v>
      </c>
      <c r="CH60" s="152">
        <f t="shared" ref="CH60:DG60" si="151">CH8</f>
        <v>799322</v>
      </c>
      <c r="CI60" s="151">
        <f t="shared" si="151"/>
        <v>938013</v>
      </c>
      <c r="CJ60" s="151">
        <f t="shared" si="151"/>
        <v>1049124</v>
      </c>
      <c r="CK60" s="151">
        <f t="shared" si="151"/>
        <v>1106282</v>
      </c>
      <c r="CL60" s="151">
        <f t="shared" si="151"/>
        <v>1277665</v>
      </c>
      <c r="CM60" s="152">
        <f t="shared" si="151"/>
        <v>1277665</v>
      </c>
      <c r="CN60" s="151">
        <f>CN8</f>
        <v>1630579</v>
      </c>
      <c r="CO60" s="151">
        <f>CO8</f>
        <v>1556792</v>
      </c>
      <c r="CP60" s="151">
        <f>CP8</f>
        <v>1399701</v>
      </c>
      <c r="CQ60" s="151">
        <f>CQ8</f>
        <v>1179262</v>
      </c>
      <c r="CR60" s="152">
        <f t="shared" si="151"/>
        <v>1179262</v>
      </c>
      <c r="CS60" s="151">
        <f t="shared" si="151"/>
        <v>1050636</v>
      </c>
      <c r="CT60" s="151">
        <f t="shared" si="151"/>
        <v>1085689</v>
      </c>
      <c r="CU60" s="151">
        <f>CU8</f>
        <v>1080391</v>
      </c>
      <c r="CV60" s="151">
        <f>CV8</f>
        <v>1090801</v>
      </c>
      <c r="CW60" s="152">
        <f t="shared" si="151"/>
        <v>1090801</v>
      </c>
      <c r="CX60" s="151">
        <f>CX8</f>
        <v>1285208</v>
      </c>
      <c r="CY60" s="151">
        <f>CY8</f>
        <v>1379252</v>
      </c>
      <c r="CZ60" s="151">
        <f>CZ8</f>
        <v>1454230</v>
      </c>
      <c r="DA60" s="151">
        <f>DA8</f>
        <v>1437237</v>
      </c>
      <c r="DB60" s="152">
        <f t="shared" si="151"/>
        <v>1437237</v>
      </c>
      <c r="DC60" s="151">
        <f t="shared" si="151"/>
        <v>1896708</v>
      </c>
      <c r="DD60" s="151">
        <f t="shared" si="151"/>
        <v>2133707</v>
      </c>
      <c r="DE60" s="151">
        <f>DE8</f>
        <v>2198778</v>
      </c>
      <c r="DF60" s="151">
        <f>DF8</f>
        <v>2157943</v>
      </c>
      <c r="DG60" s="152">
        <f t="shared" si="151"/>
        <v>2157943</v>
      </c>
      <c r="DH60" s="151">
        <f t="shared" ref="DH60:DI60" si="152">DH8</f>
        <v>2549380</v>
      </c>
      <c r="DI60" s="151">
        <f t="shared" si="152"/>
        <v>2722340</v>
      </c>
      <c r="DJ60" s="151">
        <f t="shared" ref="DJ60:EF60" si="153">DJ8</f>
        <v>2817694.3696391871</v>
      </c>
      <c r="DK60" s="151">
        <f t="shared" si="153"/>
        <v>2949442.073139322</v>
      </c>
      <c r="DL60" s="152">
        <f t="shared" si="153"/>
        <v>2949442.073139322</v>
      </c>
      <c r="DM60" s="151">
        <f t="shared" si="153"/>
        <v>2909130.1804664577</v>
      </c>
      <c r="DN60" s="151">
        <f t="shared" si="153"/>
        <v>3004927.6449103588</v>
      </c>
      <c r="DO60" s="151">
        <f t="shared" si="153"/>
        <v>3086197.4850974437</v>
      </c>
      <c r="DP60" s="151">
        <f t="shared" si="153"/>
        <v>3161214.4047849858</v>
      </c>
      <c r="DQ60" s="152">
        <f t="shared" si="153"/>
        <v>3161214.4047849858</v>
      </c>
      <c r="DR60" s="151">
        <f t="shared" si="153"/>
        <v>3231611.6426382125</v>
      </c>
      <c r="DS60" s="151">
        <f t="shared" si="153"/>
        <v>3298522.5122645828</v>
      </c>
      <c r="DT60" s="151">
        <f t="shared" si="153"/>
        <v>3362683.485792038</v>
      </c>
      <c r="DU60" s="151">
        <f t="shared" si="153"/>
        <v>3424603.9521148964</v>
      </c>
      <c r="DV60" s="152">
        <f t="shared" si="153"/>
        <v>3424603.9521148964</v>
      </c>
      <c r="DW60" s="151">
        <f t="shared" si="153"/>
        <v>3484657.6341529507</v>
      </c>
      <c r="DX60" s="151">
        <f t="shared" si="153"/>
        <v>3543134.3497378239</v>
      </c>
      <c r="DY60" s="151">
        <f t="shared" si="153"/>
        <v>3600269.5597952786</v>
      </c>
      <c r="DZ60" s="151">
        <f t="shared" si="153"/>
        <v>3656261.5208573993</v>
      </c>
      <c r="EA60" s="152">
        <f t="shared" si="153"/>
        <v>3656261.5208573993</v>
      </c>
      <c r="EB60" s="151">
        <f t="shared" si="153"/>
        <v>3711281.4890116402</v>
      </c>
      <c r="EC60" s="151">
        <f t="shared" si="153"/>
        <v>3765480.0031962851</v>
      </c>
      <c r="ED60" s="151">
        <f t="shared" si="153"/>
        <v>3818990.9334288505</v>
      </c>
      <c r="EE60" s="151">
        <f t="shared" si="153"/>
        <v>3871934.2345938412</v>
      </c>
      <c r="EF60" s="152">
        <f t="shared" si="153"/>
        <v>3871934.2345938412</v>
      </c>
    </row>
    <row r="61" spans="1:138" ht="12" customHeight="1" outlineLevel="1">
      <c r="A61" s="1" t="s">
        <v>209</v>
      </c>
      <c r="B61" s="44" t="e">
        <f>'Income Statement'!#REF!+'Income Statement'!B5+'Income Statement'!C5+'Income Statement'!D5</f>
        <v>#REF!</v>
      </c>
      <c r="C61" s="44" t="e">
        <f>'Income Statement'!C5+'Income Statement'!B5+'Income Statement'!#REF!+'Income Statement'!#REF!</f>
        <v>#REF!</v>
      </c>
      <c r="D61" s="44" t="e">
        <f>'Income Statement'!#REF!+'Income Statement'!B5+'Income Statement'!C5+'Income Statement'!D5</f>
        <v>#REF!</v>
      </c>
      <c r="E61" s="44">
        <f>'Income Statement'!B5+'Income Statement'!C5+'Income Statement'!D5+'Income Statement'!E5</f>
        <v>0</v>
      </c>
      <c r="F61" s="43">
        <f>'Income Statement'!F5</f>
        <v>0</v>
      </c>
      <c r="G61" s="44">
        <f>'Income Statement'!E5+'Income Statement'!G5+'Income Statement'!H5+'Income Statement'!I5</f>
        <v>0</v>
      </c>
      <c r="H61" s="44">
        <f>'Income Statement'!H5+'Income Statement'!G5+'Income Statement'!E5+'Income Statement'!D5</f>
        <v>0</v>
      </c>
      <c r="I61" s="44">
        <f>'Income Statement'!E5+'Income Statement'!G5+'Income Statement'!H5+'Income Statement'!I5</f>
        <v>0</v>
      </c>
      <c r="J61" s="44">
        <f>'Income Statement'!G5+'Income Statement'!H5+'Income Statement'!I5+'Income Statement'!J5</f>
        <v>0</v>
      </c>
      <c r="K61" s="43">
        <f>'Income Statement'!K5</f>
        <v>0</v>
      </c>
      <c r="L61" s="44">
        <f>'Income Statement'!J5+'Income Statement'!L5+'Income Statement'!M5+'Income Statement'!N5</f>
        <v>0</v>
      </c>
      <c r="M61" s="44">
        <f>'Income Statement'!M5+'Income Statement'!L5+'Income Statement'!J5+'Income Statement'!I5</f>
        <v>0</v>
      </c>
      <c r="N61" s="44">
        <f>'Income Statement'!J5+'Income Statement'!L5+'Income Statement'!M5+'Income Statement'!N5</f>
        <v>0</v>
      </c>
      <c r="O61" s="44">
        <f>'Income Statement'!L5+'Income Statement'!M5+'Income Statement'!N5+'Income Statement'!O5</f>
        <v>0</v>
      </c>
      <c r="P61" s="43">
        <f>'Income Statement'!P5</f>
        <v>0</v>
      </c>
      <c r="Q61" s="44">
        <f>'Income Statement'!O5+'Income Statement'!Q5+'Income Statement'!R5+'Income Statement'!S5</f>
        <v>0</v>
      </c>
      <c r="R61" s="44">
        <f>'Income Statement'!R5+'Income Statement'!Q5+'Income Statement'!O5+'Income Statement'!N5</f>
        <v>0</v>
      </c>
      <c r="S61" s="44">
        <f>'Income Statement'!O5+'Income Statement'!Q5+'Income Statement'!R5+'Income Statement'!S5</f>
        <v>0</v>
      </c>
      <c r="T61" s="44">
        <f>'Income Statement'!Q5+'Income Statement'!R5+'Income Statement'!S5+'Income Statement'!T5</f>
        <v>0</v>
      </c>
      <c r="U61" s="43">
        <f>'Income Statement'!U5</f>
        <v>0</v>
      </c>
      <c r="V61" s="44">
        <f>'Income Statement'!T5+'Income Statement'!V5+'Income Statement'!W5+'Income Statement'!X5</f>
        <v>0</v>
      </c>
      <c r="W61" s="44">
        <f>'Income Statement'!W5+'Income Statement'!V5+'Income Statement'!T5+'Income Statement'!S5</f>
        <v>0</v>
      </c>
      <c r="X61" s="44">
        <f>'Income Statement'!T5+'Income Statement'!V5+'Income Statement'!W5+'Income Statement'!X5</f>
        <v>0</v>
      </c>
      <c r="Y61" s="44">
        <f>'Income Statement'!V5+'Income Statement'!W5+'Income Statement'!X5+'Income Statement'!Y5</f>
        <v>0</v>
      </c>
      <c r="Z61" s="43">
        <f>'Income Statement'!Z5</f>
        <v>0</v>
      </c>
      <c r="AA61" s="44">
        <f>'Income Statement'!Y5+'Income Statement'!AA5+'Income Statement'!AB5+'Income Statement'!AC5</f>
        <v>0</v>
      </c>
      <c r="AB61" s="44">
        <f>'Income Statement'!AB5+'Income Statement'!AA5+'Income Statement'!Y5+'Income Statement'!X5</f>
        <v>0</v>
      </c>
      <c r="AC61" s="44">
        <f>'Income Statement'!Y5+'Income Statement'!AA5+'Income Statement'!AB5+'Income Statement'!AC5</f>
        <v>0</v>
      </c>
      <c r="AD61" s="44">
        <f>'Income Statement'!AA5+'Income Statement'!AB5+'Income Statement'!AC5+'Income Statement'!AD5</f>
        <v>0</v>
      </c>
      <c r="AE61" s="43">
        <f>'Income Statement'!AE5</f>
        <v>0</v>
      </c>
      <c r="AF61" s="258">
        <f>'Income Statement'!AF5*4</f>
        <v>0</v>
      </c>
      <c r="AG61" s="258">
        <f>'Income Statement'!AG5*4</f>
        <v>0</v>
      </c>
      <c r="AH61" s="258">
        <f>'Income Statement'!AH5*4</f>
        <v>0</v>
      </c>
      <c r="AI61" s="258">
        <f>'Income Statement'!AI5*4</f>
        <v>978584.83251633996</v>
      </c>
      <c r="AJ61" s="43">
        <f>'Income Statement'!AJ5</f>
        <v>244646.20812908499</v>
      </c>
      <c r="AK61" s="44">
        <f>'Income Statement'!AK5*4</f>
        <v>0</v>
      </c>
      <c r="AL61" s="44">
        <f>'Income Statement'!AL5*4</f>
        <v>0</v>
      </c>
      <c r="AM61" s="44">
        <f>'Income Statement'!AM5*4</f>
        <v>0</v>
      </c>
      <c r="AN61" s="44">
        <f>'Income Statement'!AN5*4</f>
        <v>1733543.2557189544</v>
      </c>
      <c r="AO61" s="43">
        <f>'Income Statement'!AO5</f>
        <v>433385.81392973859</v>
      </c>
      <c r="AP61" s="44">
        <f>'Income Statement'!AP5*4</f>
        <v>0</v>
      </c>
      <c r="AQ61" s="44">
        <f>'Income Statement'!AQ5*4</f>
        <v>0</v>
      </c>
      <c r="AR61" s="44">
        <f>'Income Statement'!AR5*4</f>
        <v>0</v>
      </c>
      <c r="AS61" s="44">
        <f>'Income Statement'!AS5*4</f>
        <v>1976999.0073529414</v>
      </c>
      <c r="AT61" s="43">
        <f>'Income Statement'!AT5</f>
        <v>494249.75183823536</v>
      </c>
      <c r="AU61" s="44">
        <f>'Income Statement'!AU5*4</f>
        <v>0</v>
      </c>
      <c r="AV61" s="44">
        <f>'Income Statement'!AV5*4</f>
        <v>0</v>
      </c>
      <c r="AW61" s="44">
        <f>'Income Statement'!AW5*4</f>
        <v>0</v>
      </c>
      <c r="AX61" s="44">
        <f>'Income Statement'!AX5*4</f>
        <v>3012341.4133986929</v>
      </c>
      <c r="AY61" s="43">
        <f>'Income Statement'!AY5</f>
        <v>753085.35334967321</v>
      </c>
      <c r="AZ61" s="44">
        <f>'Income Statement'!AZ5*4</f>
        <v>0</v>
      </c>
      <c r="BA61" s="44">
        <f>'Income Statement'!BA5*4</f>
        <v>0</v>
      </c>
      <c r="BB61" s="44">
        <f>'Income Statement'!BB5*4</f>
        <v>0</v>
      </c>
      <c r="BC61" s="258">
        <f>'Income Statement'!BC5</f>
        <v>469124</v>
      </c>
      <c r="BD61" s="43">
        <f>'Income Statement'!BD5</f>
        <v>469124</v>
      </c>
      <c r="BE61" s="44">
        <f>'Income Statement'!BE5*4</f>
        <v>0</v>
      </c>
      <c r="BF61" s="44">
        <f>'Income Statement'!BF5*4</f>
        <v>0</v>
      </c>
      <c r="BG61" s="44">
        <f>'Income Statement'!BG5*4</f>
        <v>0</v>
      </c>
      <c r="BH61" s="258">
        <f>'Income Statement'!BH5</f>
        <v>452833</v>
      </c>
      <c r="BI61" s="43">
        <f>'Income Statement'!BI5</f>
        <v>452833</v>
      </c>
      <c r="BJ61" s="44">
        <f>'Income Statement'!BJ5*4</f>
        <v>0</v>
      </c>
      <c r="BK61" s="44">
        <f>'Income Statement'!BK5*4</f>
        <v>0</v>
      </c>
      <c r="BL61" s="44">
        <f>'Income Statement'!BL5*4</f>
        <v>0</v>
      </c>
      <c r="BM61" s="258">
        <f>'Income Statement'!BM5</f>
        <v>556908</v>
      </c>
      <c r="BN61" s="43">
        <f>'Income Statement'!BN5</f>
        <v>556908</v>
      </c>
      <c r="BO61" s="44">
        <f>'Income Statement'!BO5*4</f>
        <v>0</v>
      </c>
      <c r="BP61" s="44">
        <f>'Income Statement'!BP5*4</f>
        <v>0</v>
      </c>
      <c r="BQ61" s="44">
        <f>'Income Statement'!BQ5*4</f>
        <v>0</v>
      </c>
      <c r="BR61" s="258">
        <f>'Income Statement'!BR5</f>
        <v>729363</v>
      </c>
      <c r="BS61" s="43">
        <f>'Income Statement'!BS5</f>
        <v>729363</v>
      </c>
      <c r="BT61" s="44">
        <f>'Income Statement'!BT5*4</f>
        <v>0</v>
      </c>
      <c r="BU61" s="44">
        <f>'Income Statement'!BU5*4</f>
        <v>0</v>
      </c>
      <c r="BV61" s="44">
        <f>'Income Statement'!BV5*4</f>
        <v>0</v>
      </c>
      <c r="BW61" s="258">
        <f>'Income Statement'!BW5</f>
        <v>920094</v>
      </c>
      <c r="BX61" s="43">
        <f>'Income Statement'!BX5</f>
        <v>920094</v>
      </c>
      <c r="BY61" s="44">
        <f>'Income Statement'!BY5*4</f>
        <v>766624</v>
      </c>
      <c r="BZ61" s="44">
        <f>'Income Statement'!BZ5*4</f>
        <v>980344</v>
      </c>
      <c r="CA61" s="44">
        <f>'Income Statement'!CA5*4</f>
        <v>1067736</v>
      </c>
      <c r="CB61" s="258">
        <f>'Income Statement'!CB5</f>
        <v>327006</v>
      </c>
      <c r="CC61" s="43">
        <f>'Income Statement'!CC5</f>
        <v>1030682</v>
      </c>
      <c r="CD61" s="44">
        <f>'Income Statement'!CD5*4</f>
        <v>929028</v>
      </c>
      <c r="CE61" s="44">
        <f>'Income Statement'!CE5*4</f>
        <v>1007100</v>
      </c>
      <c r="CF61" s="44">
        <f>'Income Statement'!CF5*4</f>
        <v>1333624</v>
      </c>
      <c r="CG61" s="44">
        <f>'Income Statement'!CG5*4</f>
        <v>1381460</v>
      </c>
      <c r="CH61" s="43">
        <f>'Income Statement'!CH5</f>
        <v>1162803</v>
      </c>
      <c r="CI61" s="44">
        <f>'Income Statement'!CI5*4</f>
        <v>1383448</v>
      </c>
      <c r="CJ61" s="44">
        <f>'Income Statement'!CJ5*4</f>
        <v>1842840</v>
      </c>
      <c r="CK61" s="44">
        <f>'Income Statement'!CK5*4</f>
        <v>1862496</v>
      </c>
      <c r="CL61" s="44">
        <f>'Income Statement'!CL5*4</f>
        <v>2006896</v>
      </c>
      <c r="CM61" s="43">
        <f>'Income Statement'!CM5</f>
        <v>1773920</v>
      </c>
      <c r="CN61" s="44">
        <f>'Income Statement'!CN5*4</f>
        <v>1828420</v>
      </c>
      <c r="CO61" s="44">
        <f>'Income Statement'!CO5*4</f>
        <v>2458604</v>
      </c>
      <c r="CP61" s="44">
        <f>'Income Statement'!CP5*4</f>
        <v>2556244</v>
      </c>
      <c r="CQ61" s="44">
        <f>'Income Statement'!CQ5*4</f>
        <v>2368980</v>
      </c>
      <c r="CR61" s="43">
        <f>'Income Statement'!CR5</f>
        <v>2303062</v>
      </c>
      <c r="CS61" s="44">
        <f>'Income Statement'!CS5*4</f>
        <v>2423388</v>
      </c>
      <c r="CT61" s="44">
        <f>'Income Statement'!CT5*4</f>
        <v>2968716</v>
      </c>
      <c r="CU61" s="44">
        <f>'Income Statement'!CU5*4</f>
        <v>3066072</v>
      </c>
      <c r="CV61" s="44">
        <f>'Income Statement'!CV5*4</f>
        <v>3312432</v>
      </c>
      <c r="CW61" s="43">
        <f>'Income Statement'!CW5</f>
        <v>2942652</v>
      </c>
      <c r="CX61" s="44">
        <f>'Income Statement'!CX5*4</f>
        <v>3412656</v>
      </c>
      <c r="CY61" s="44">
        <f>'Income Statement'!CY5*4</f>
        <v>4067756</v>
      </c>
      <c r="CZ61" s="44">
        <f>'Income Statement'!CZ5*4</f>
        <v>4313384</v>
      </c>
      <c r="DA61" s="44">
        <f>'Income Statement'!DA5*4</f>
        <v>4225840</v>
      </c>
      <c r="DB61" s="43">
        <f>'Income Statement'!DB5</f>
        <v>4004909</v>
      </c>
      <c r="DC61" s="44">
        <f>'Income Statement'!DC5*4</f>
        <v>4951972</v>
      </c>
      <c r="DD61" s="44">
        <f>'Income Statement'!DD5*4</f>
        <v>5500424</v>
      </c>
      <c r="DE61" s="44">
        <f>'Income Statement'!DE5*4</f>
        <v>5788388</v>
      </c>
      <c r="DF61" s="44">
        <f>'Income Statement'!DF5*4</f>
        <v>5808416</v>
      </c>
      <c r="DG61" s="43">
        <f>'Income Statement'!DG5</f>
        <v>5512300</v>
      </c>
      <c r="DH61" s="44">
        <f>'Income Statement'!DH5*4</f>
        <v>6572140</v>
      </c>
      <c r="DI61" s="44">
        <f>'Income Statement'!DI5*4</f>
        <v>6900796</v>
      </c>
      <c r="DJ61" s="44">
        <f>'Income Statement'!DJ5*4</f>
        <v>6856389.6327886879</v>
      </c>
      <c r="DK61" s="44">
        <f>'Income Statement'!DK5*4</f>
        <v>7424457.6323851906</v>
      </c>
      <c r="DL61" s="43">
        <f>'Income Statement'!DL5</f>
        <v>6938445.8162934696</v>
      </c>
      <c r="DM61" s="44">
        <f>'Income Statement'!DM5*4</f>
        <v>7584517.9705018355</v>
      </c>
      <c r="DN61" s="44">
        <f>'Income Statement'!DN5*4</f>
        <v>7834275.6456591496</v>
      </c>
      <c r="DO61" s="44">
        <f>'Income Statement'!DO5*4</f>
        <v>8046157.7290040487</v>
      </c>
      <c r="DP61" s="44">
        <f>'Income Statement'!DP5*4</f>
        <v>8241737.5553322835</v>
      </c>
      <c r="DQ61" s="43">
        <f>'Income Statement'!DQ5</f>
        <v>7926672.2251243293</v>
      </c>
      <c r="DR61" s="44">
        <f>'Income Statement'!DR5*4</f>
        <v>8425273.2111639101</v>
      </c>
      <c r="DS61" s="44">
        <f>'Income Statement'!DS5*4</f>
        <v>8599719.4069755189</v>
      </c>
      <c r="DT61" s="44">
        <f>'Income Statement'!DT5*4</f>
        <v>8766996.2308149561</v>
      </c>
      <c r="DU61" s="44">
        <f>'Income Statement'!DU5*4</f>
        <v>8928431.7322995514</v>
      </c>
      <c r="DV61" s="43">
        <f>'Income Statement'!DV5</f>
        <v>8680105.1453134846</v>
      </c>
      <c r="DW61" s="44">
        <f>'Income Statement'!DW5*4</f>
        <v>9085000.2604701929</v>
      </c>
      <c r="DX61" s="44">
        <f>'Income Statement'!DX5*4</f>
        <v>9237457.4118164685</v>
      </c>
      <c r="DY61" s="44">
        <f>'Income Statement'!DY5*4</f>
        <v>9386417.0666091181</v>
      </c>
      <c r="DZ61" s="44">
        <f>'Income Statement'!DZ5*4</f>
        <v>9532396.1079496481</v>
      </c>
      <c r="EA61" s="43">
        <f>'Income Statement'!EA5</f>
        <v>9310317.7117113564</v>
      </c>
      <c r="EB61" s="44">
        <f>'Income Statement'!EB5*4</f>
        <v>9675841.0249232054</v>
      </c>
      <c r="EC61" s="44">
        <f>'Income Statement'!EC5*4</f>
        <v>9817144.2940474581</v>
      </c>
      <c r="ED61" s="44">
        <f>'Income Statement'!ED5*4</f>
        <v>9956654.9335823599</v>
      </c>
      <c r="EE61" s="44">
        <f>'Income Statement'!EE5*4</f>
        <v>10094685.68304823</v>
      </c>
      <c r="EF61" s="43">
        <f>'Income Statement'!EF5</f>
        <v>9886081.4839003123</v>
      </c>
    </row>
    <row r="62" spans="1:138" ht="12" customHeight="1" outlineLevel="1">
      <c r="A62" s="1" t="s">
        <v>164</v>
      </c>
      <c r="B62" s="44" t="e">
        <f t="shared" ref="B62:K62" si="154">365/(B61/B60)</f>
        <v>#REF!</v>
      </c>
      <c r="C62" s="44" t="e">
        <f t="shared" si="154"/>
        <v>#REF!</v>
      </c>
      <c r="D62" s="44" t="e">
        <f t="shared" si="154"/>
        <v>#REF!</v>
      </c>
      <c r="E62" s="44" t="e">
        <f t="shared" si="154"/>
        <v>#DIV/0!</v>
      </c>
      <c r="F62" s="43" t="e">
        <f t="shared" si="154"/>
        <v>#DIV/0!</v>
      </c>
      <c r="G62" s="44" t="e">
        <f t="shared" si="154"/>
        <v>#DIV/0!</v>
      </c>
      <c r="H62" s="44" t="e">
        <f t="shared" si="154"/>
        <v>#DIV/0!</v>
      </c>
      <c r="I62" s="44" t="e">
        <f t="shared" si="154"/>
        <v>#DIV/0!</v>
      </c>
      <c r="J62" s="44" t="e">
        <f t="shared" si="154"/>
        <v>#DIV/0!</v>
      </c>
      <c r="K62" s="43" t="e">
        <f t="shared" si="154"/>
        <v>#DIV/0!</v>
      </c>
      <c r="L62" s="44" t="e">
        <f t="shared" ref="L62:BN62" si="155">365/(L61/L60)</f>
        <v>#DIV/0!</v>
      </c>
      <c r="M62" s="44" t="e">
        <f t="shared" si="155"/>
        <v>#DIV/0!</v>
      </c>
      <c r="N62" s="44" t="e">
        <f t="shared" si="155"/>
        <v>#DIV/0!</v>
      </c>
      <c r="O62" s="44" t="e">
        <f t="shared" si="155"/>
        <v>#DIV/0!</v>
      </c>
      <c r="P62" s="43" t="e">
        <f t="shared" si="155"/>
        <v>#DIV/0!</v>
      </c>
      <c r="Q62" s="44" t="e">
        <f t="shared" si="155"/>
        <v>#DIV/0!</v>
      </c>
      <c r="R62" s="44" t="e">
        <f t="shared" si="155"/>
        <v>#DIV/0!</v>
      </c>
      <c r="S62" s="44" t="e">
        <f t="shared" si="155"/>
        <v>#DIV/0!</v>
      </c>
      <c r="T62" s="44" t="e">
        <f t="shared" si="155"/>
        <v>#DIV/0!</v>
      </c>
      <c r="U62" s="43" t="e">
        <f t="shared" si="155"/>
        <v>#DIV/0!</v>
      </c>
      <c r="V62" s="44" t="e">
        <f t="shared" si="155"/>
        <v>#DIV/0!</v>
      </c>
      <c r="W62" s="44" t="e">
        <f t="shared" si="155"/>
        <v>#DIV/0!</v>
      </c>
      <c r="X62" s="44" t="e">
        <f t="shared" si="155"/>
        <v>#DIV/0!</v>
      </c>
      <c r="Y62" s="44" t="e">
        <f t="shared" si="155"/>
        <v>#DIV/0!</v>
      </c>
      <c r="Z62" s="43" t="e">
        <f t="shared" si="155"/>
        <v>#DIV/0!</v>
      </c>
      <c r="AA62" s="44" t="e">
        <f t="shared" si="155"/>
        <v>#DIV/0!</v>
      </c>
      <c r="AB62" s="44" t="e">
        <f t="shared" si="155"/>
        <v>#DIV/0!</v>
      </c>
      <c r="AC62" s="44" t="e">
        <f t="shared" si="155"/>
        <v>#DIV/0!</v>
      </c>
      <c r="AD62" s="44" t="e">
        <f t="shared" si="155"/>
        <v>#DIV/0!</v>
      </c>
      <c r="AE62" s="43" t="e">
        <f t="shared" si="155"/>
        <v>#DIV/0!</v>
      </c>
      <c r="AF62" s="44" t="e">
        <f t="shared" si="155"/>
        <v>#DIV/0!</v>
      </c>
      <c r="AG62" s="44" t="e">
        <f t="shared" si="155"/>
        <v>#DIV/0!</v>
      </c>
      <c r="AH62" s="44" t="e">
        <f t="shared" si="155"/>
        <v>#DIV/0!</v>
      </c>
      <c r="AI62" s="44">
        <f t="shared" si="155"/>
        <v>87.326787781143224</v>
      </c>
      <c r="AJ62" s="43">
        <f t="shared" si="155"/>
        <v>349.3071511245729</v>
      </c>
      <c r="AK62" s="44" t="e">
        <f t="shared" si="155"/>
        <v>#DIV/0!</v>
      </c>
      <c r="AL62" s="44" t="e">
        <f t="shared" si="155"/>
        <v>#DIV/0!</v>
      </c>
      <c r="AM62" s="44" t="e">
        <f t="shared" si="155"/>
        <v>#DIV/0!</v>
      </c>
      <c r="AN62" s="44">
        <f t="shared" si="155"/>
        <v>66.274144879847213</v>
      </c>
      <c r="AO62" s="43">
        <f t="shared" si="155"/>
        <v>265.09657951938885</v>
      </c>
      <c r="AP62" s="44" t="e">
        <f t="shared" si="155"/>
        <v>#DIV/0!</v>
      </c>
      <c r="AQ62" s="44" t="e">
        <f t="shared" si="155"/>
        <v>#DIV/0!</v>
      </c>
      <c r="AR62" s="44" t="e">
        <f t="shared" si="155"/>
        <v>#DIV/0!</v>
      </c>
      <c r="AS62" s="44">
        <f t="shared" si="155"/>
        <v>68.271228130619008</v>
      </c>
      <c r="AT62" s="43">
        <f t="shared" si="155"/>
        <v>273.08491252247603</v>
      </c>
      <c r="AU62" s="44" t="e">
        <f t="shared" si="155"/>
        <v>#DIV/0!</v>
      </c>
      <c r="AV62" s="44" t="e">
        <f t="shared" si="155"/>
        <v>#DIV/0!</v>
      </c>
      <c r="AW62" s="44" t="e">
        <f t="shared" si="155"/>
        <v>#DIV/0!</v>
      </c>
      <c r="AX62" s="44">
        <f t="shared" si="155"/>
        <v>54.31510162568182</v>
      </c>
      <c r="AY62" s="43">
        <f t="shared" si="155"/>
        <v>217.26040650272728</v>
      </c>
      <c r="AZ62" s="44" t="e">
        <f t="shared" si="155"/>
        <v>#DIV/0!</v>
      </c>
      <c r="BA62" s="44" t="e">
        <f t="shared" si="155"/>
        <v>#DIV/0!</v>
      </c>
      <c r="BB62" s="44" t="e">
        <f t="shared" si="155"/>
        <v>#DIV/0!</v>
      </c>
      <c r="BC62" s="44">
        <f t="shared" si="155"/>
        <v>405.30588927447752</v>
      </c>
      <c r="BD62" s="43">
        <f t="shared" si="155"/>
        <v>405.30588927447752</v>
      </c>
      <c r="BE62" s="44" t="e">
        <f t="shared" si="155"/>
        <v>#DIV/0!</v>
      </c>
      <c r="BF62" s="44" t="e">
        <f t="shared" si="155"/>
        <v>#DIV/0!</v>
      </c>
      <c r="BG62" s="44" t="e">
        <f t="shared" si="155"/>
        <v>#DIV/0!</v>
      </c>
      <c r="BH62" s="44">
        <f t="shared" si="155"/>
        <v>492.90915193901509</v>
      </c>
      <c r="BI62" s="43">
        <f t="shared" si="155"/>
        <v>492.90915193901509</v>
      </c>
      <c r="BJ62" s="44" t="e">
        <f t="shared" si="155"/>
        <v>#DIV/0!</v>
      </c>
      <c r="BK62" s="44" t="e">
        <f t="shared" si="155"/>
        <v>#DIV/0!</v>
      </c>
      <c r="BL62" s="44" t="e">
        <f t="shared" si="155"/>
        <v>#DIV/0!</v>
      </c>
      <c r="BM62" s="44">
        <f t="shared" si="155"/>
        <v>425.50563109167047</v>
      </c>
      <c r="BN62" s="43">
        <f t="shared" si="155"/>
        <v>425.50563109167047</v>
      </c>
      <c r="BO62" s="44" t="e">
        <f t="shared" ref="BO62:CC62" si="156">365/(BO61/BO60)</f>
        <v>#DIV/0!</v>
      </c>
      <c r="BP62" s="44" t="e">
        <f t="shared" si="156"/>
        <v>#DIV/0!</v>
      </c>
      <c r="BQ62" s="44" t="e">
        <f t="shared" si="156"/>
        <v>#DIV/0!</v>
      </c>
      <c r="BR62" s="44">
        <f t="shared" si="156"/>
        <v>382.98319218276771</v>
      </c>
      <c r="BS62" s="43">
        <f t="shared" si="156"/>
        <v>382.98319218276771</v>
      </c>
      <c r="BT62" s="44" t="e">
        <f>365/(BT61/BT60)</f>
        <v>#DIV/0!</v>
      </c>
      <c r="BU62" s="44" t="e">
        <f>365/(BU61/BU60)</f>
        <v>#DIV/0!</v>
      </c>
      <c r="BV62" s="44" t="e">
        <f>365/(BV61/BV60)</f>
        <v>#DIV/0!</v>
      </c>
      <c r="BW62" s="44">
        <f>365/(BW61/BW60)</f>
        <v>220.98690459887794</v>
      </c>
      <c r="BX62" s="43">
        <f t="shared" si="156"/>
        <v>220.98690459887794</v>
      </c>
      <c r="BY62" s="44" t="e">
        <f t="shared" si="156"/>
        <v>#DIV/0!</v>
      </c>
      <c r="BZ62" s="44" t="e">
        <f t="shared" si="156"/>
        <v>#DIV/0!</v>
      </c>
      <c r="CA62" s="44" t="e">
        <f t="shared" si="156"/>
        <v>#DIV/0!</v>
      </c>
      <c r="CB62" s="44">
        <f t="shared" si="156"/>
        <v>735.94146590582443</v>
      </c>
      <c r="CC62" s="43">
        <f t="shared" si="156"/>
        <v>233.49323554694851</v>
      </c>
      <c r="CD62" s="44">
        <f>365/(CD61/CD60)</f>
        <v>237.87303504307729</v>
      </c>
      <c r="CE62" s="44">
        <f>365/(CE61/CE60)</f>
        <v>248.50625062059376</v>
      </c>
      <c r="CF62" s="44">
        <f>365/(CF61/CF60)</f>
        <v>227.45144808431763</v>
      </c>
      <c r="CG62" s="44">
        <f>365/(CG61/CG60)</f>
        <v>211.19144238703979</v>
      </c>
      <c r="CH62" s="43">
        <f t="shared" ref="CH62:DG62" si="157">365/(CH61/CH60)</f>
        <v>250.90452123016541</v>
      </c>
      <c r="CI62" s="44">
        <f t="shared" si="157"/>
        <v>247.47930171571321</v>
      </c>
      <c r="CJ62" s="44">
        <f t="shared" si="157"/>
        <v>207.79354691671551</v>
      </c>
      <c r="CK62" s="44">
        <f t="shared" si="157"/>
        <v>216.80203876947922</v>
      </c>
      <c r="CL62" s="44">
        <f t="shared" si="157"/>
        <v>232.37264163165406</v>
      </c>
      <c r="CM62" s="43">
        <f t="shared" si="157"/>
        <v>262.89106893208265</v>
      </c>
      <c r="CN62" s="44">
        <f>365/(CN61/CN60)</f>
        <v>325.50581102810077</v>
      </c>
      <c r="CO62" s="44">
        <f>365/(CO61/CO60)</f>
        <v>231.1185859943285</v>
      </c>
      <c r="CP62" s="44">
        <f>365/(CP61/CP60)</f>
        <v>199.85997619945513</v>
      </c>
      <c r="CQ62" s="44">
        <f>365/(CQ61/CQ60)</f>
        <v>181.69449720976959</v>
      </c>
      <c r="CR62" s="43">
        <f t="shared" si="157"/>
        <v>186.89493813019365</v>
      </c>
      <c r="CS62" s="44">
        <f t="shared" si="157"/>
        <v>158.2421551975994</v>
      </c>
      <c r="CT62" s="44">
        <f t="shared" si="157"/>
        <v>133.48413421829505</v>
      </c>
      <c r="CU62" s="44">
        <f>365/(CU61/CU60)</f>
        <v>128.61495587840076</v>
      </c>
      <c r="CV62" s="44">
        <f>365/(CV61/CV60)</f>
        <v>120.19638893719177</v>
      </c>
      <c r="CW62" s="43">
        <f t="shared" si="157"/>
        <v>135.3005265318495</v>
      </c>
      <c r="CX62" s="44">
        <f>365/(CX61/CX60)</f>
        <v>137.45918721371274</v>
      </c>
      <c r="CY62" s="44">
        <f>365/(CY61/CY60)</f>
        <v>123.76036812434178</v>
      </c>
      <c r="CZ62" s="44">
        <f>365/(CZ61/CZ60)</f>
        <v>123.05743008273782</v>
      </c>
      <c r="DA62" s="44">
        <f>365/(DA61/DA60)</f>
        <v>124.13898893474435</v>
      </c>
      <c r="DB62" s="43">
        <f t="shared" si="157"/>
        <v>130.98712230415222</v>
      </c>
      <c r="DC62" s="44">
        <f t="shared" si="157"/>
        <v>139.80257158158406</v>
      </c>
      <c r="DD62" s="44">
        <f t="shared" si="157"/>
        <v>141.58964018046609</v>
      </c>
      <c r="DE62" s="44">
        <f>365/(DE61/DE60)</f>
        <v>138.64895891567738</v>
      </c>
      <c r="DF62" s="44">
        <f>365/(DF61/DF60)</f>
        <v>135.60481807776853</v>
      </c>
      <c r="DG62" s="43">
        <f t="shared" si="157"/>
        <v>142.88939190537525</v>
      </c>
      <c r="DH62" s="44">
        <f t="shared" ref="DH62:DI62" si="158">365/(DH61/DH60)</f>
        <v>141.58610437391778</v>
      </c>
      <c r="DI62" s="44">
        <f t="shared" si="158"/>
        <v>143.99122941759182</v>
      </c>
      <c r="DJ62" s="44">
        <f t="shared" ref="DJ62:EF62" si="159">365/(DJ61/DJ60)</f>
        <v>150</v>
      </c>
      <c r="DK62" s="44">
        <f t="shared" si="159"/>
        <v>144.99999999999997</v>
      </c>
      <c r="DL62" s="43">
        <f t="shared" si="159"/>
        <v>155.15670010246552</v>
      </c>
      <c r="DM62" s="44">
        <f t="shared" si="159"/>
        <v>140.00000000000003</v>
      </c>
      <c r="DN62" s="44">
        <f t="shared" si="159"/>
        <v>140</v>
      </c>
      <c r="DO62" s="44">
        <f t="shared" si="159"/>
        <v>140.00000000000003</v>
      </c>
      <c r="DP62" s="44">
        <f t="shared" si="159"/>
        <v>140.00000000000003</v>
      </c>
      <c r="DQ62" s="43">
        <f t="shared" si="159"/>
        <v>145.56464869195747</v>
      </c>
      <c r="DR62" s="44">
        <f t="shared" si="159"/>
        <v>140.00000000000003</v>
      </c>
      <c r="DS62" s="44">
        <f t="shared" si="159"/>
        <v>140</v>
      </c>
      <c r="DT62" s="44">
        <f t="shared" si="159"/>
        <v>140</v>
      </c>
      <c r="DU62" s="44">
        <f t="shared" si="159"/>
        <v>140</v>
      </c>
      <c r="DV62" s="43">
        <f t="shared" si="159"/>
        <v>144.00521901475119</v>
      </c>
      <c r="DW62" s="44">
        <f t="shared" si="159"/>
        <v>140</v>
      </c>
      <c r="DX62" s="44">
        <f t="shared" si="159"/>
        <v>140.00000000000003</v>
      </c>
      <c r="DY62" s="44">
        <f t="shared" si="159"/>
        <v>140.00000000000003</v>
      </c>
      <c r="DZ62" s="44">
        <f t="shared" si="159"/>
        <v>140</v>
      </c>
      <c r="EA62" s="43">
        <f t="shared" si="159"/>
        <v>143.33941079521398</v>
      </c>
      <c r="EB62" s="44">
        <f t="shared" si="159"/>
        <v>140</v>
      </c>
      <c r="EC62" s="44">
        <f t="shared" si="159"/>
        <v>140</v>
      </c>
      <c r="ED62" s="44">
        <f t="shared" si="159"/>
        <v>140</v>
      </c>
      <c r="EE62" s="44">
        <f t="shared" si="159"/>
        <v>140</v>
      </c>
      <c r="EF62" s="43">
        <f t="shared" si="159"/>
        <v>142.95411158893123</v>
      </c>
    </row>
    <row r="63" spans="1:138" s="3" customFormat="1" ht="12" customHeight="1" outlineLevel="1">
      <c r="A63" s="3" t="s">
        <v>210</v>
      </c>
      <c r="B63" s="153" t="e">
        <f>-(B60-#REF!)</f>
        <v>#REF!</v>
      </c>
      <c r="C63" s="153">
        <f>-(C60-B60)</f>
        <v>0</v>
      </c>
      <c r="D63" s="153">
        <f>-(D60-C60)</f>
        <v>0</v>
      </c>
      <c r="E63" s="153">
        <f>-(E60-D60)</f>
        <v>0</v>
      </c>
      <c r="F63" s="154" t="e">
        <f>-(+F60-#REF!)</f>
        <v>#REF!</v>
      </c>
      <c r="G63" s="153">
        <f>-(G60-F60)</f>
        <v>0</v>
      </c>
      <c r="H63" s="153">
        <f>-(H60-G60)</f>
        <v>0</v>
      </c>
      <c r="I63" s="153">
        <f>-(I60-H60)</f>
        <v>0</v>
      </c>
      <c r="J63" s="153">
        <f>-(J60-I60)</f>
        <v>0</v>
      </c>
      <c r="K63" s="154">
        <f>-(+K60-F60)</f>
        <v>0</v>
      </c>
      <c r="L63" s="153">
        <f>-(L60-K60)</f>
        <v>0</v>
      </c>
      <c r="M63" s="153">
        <f>-(M60-L60)</f>
        <v>0</v>
      </c>
      <c r="N63" s="153">
        <f>-(N60-M60)</f>
        <v>0</v>
      </c>
      <c r="O63" s="153">
        <f>-(O60-N60)</f>
        <v>0</v>
      </c>
      <c r="P63" s="154">
        <f>-(+P60-K60)</f>
        <v>0</v>
      </c>
      <c r="Q63" s="153">
        <f>-(Q60-P60)</f>
        <v>0</v>
      </c>
      <c r="R63" s="153">
        <f>-(R60-Q60)</f>
        <v>0</v>
      </c>
      <c r="S63" s="153">
        <f>-(S60-R60)</f>
        <v>0</v>
      </c>
      <c r="T63" s="153">
        <f>-(T60-S60)</f>
        <v>0</v>
      </c>
      <c r="U63" s="154">
        <f>-(+U60-P60)</f>
        <v>0</v>
      </c>
      <c r="V63" s="153">
        <f>-(V60-U60)</f>
        <v>0</v>
      </c>
      <c r="W63" s="153">
        <f>-(W60-V60)</f>
        <v>0</v>
      </c>
      <c r="X63" s="153">
        <f>-(X60-W60)</f>
        <v>0</v>
      </c>
      <c r="Y63" s="153">
        <f>-(Y60-X60)</f>
        <v>0</v>
      </c>
      <c r="Z63" s="154">
        <f>-(+Z60-U60)</f>
        <v>0</v>
      </c>
      <c r="AA63" s="153">
        <f>-(AA60-Z60)</f>
        <v>0</v>
      </c>
      <c r="AB63" s="153">
        <f>-(AB60-AA60)</f>
        <v>0</v>
      </c>
      <c r="AC63" s="153">
        <f>-(AC60-AB60)</f>
        <v>0</v>
      </c>
      <c r="AD63" s="153">
        <f>-(AD60-AC60)</f>
        <v>0</v>
      </c>
      <c r="AE63" s="154">
        <f>-(+AE60-Z60)</f>
        <v>0</v>
      </c>
      <c r="AF63" s="153">
        <f>-(AF60-AE60)</f>
        <v>0</v>
      </c>
      <c r="AG63" s="153">
        <f>-(AG60-AF60)</f>
        <v>0</v>
      </c>
      <c r="AH63" s="153">
        <f>-(AH60-AG60)</f>
        <v>0</v>
      </c>
      <c r="AI63" s="153">
        <f>-(AI60-AH60)</f>
        <v>-234127.86300000001</v>
      </c>
      <c r="AJ63" s="154">
        <f>-(+AJ60-AE60)</f>
        <v>-234127.86300000001</v>
      </c>
      <c r="AK63" s="153">
        <f>-(AK60-AJ60)</f>
        <v>234127.86300000001</v>
      </c>
      <c r="AL63" s="153">
        <f>-(AL60-AK60)</f>
        <v>0</v>
      </c>
      <c r="AM63" s="153">
        <f>-(AM60-AL60)</f>
        <v>0</v>
      </c>
      <c r="AN63" s="153">
        <f>-(AN60-AM60)</f>
        <v>-314764.64900000003</v>
      </c>
      <c r="AO63" s="154">
        <f>-(+AO60-AJ60)</f>
        <v>-80636.786000000022</v>
      </c>
      <c r="AP63" s="153">
        <f>-(AP60-AO60)</f>
        <v>314764.64900000003</v>
      </c>
      <c r="AQ63" s="153">
        <f>-(AQ60-AP60)</f>
        <v>0</v>
      </c>
      <c r="AR63" s="153">
        <f>-(AR60-AQ60)</f>
        <v>0</v>
      </c>
      <c r="AS63" s="153">
        <f>-(AS60-AR60)</f>
        <v>-369786.71299999999</v>
      </c>
      <c r="AT63" s="154">
        <f>-(+AT60-AO60)</f>
        <v>-55022.063999999955</v>
      </c>
      <c r="AU63" s="153">
        <f>-(AU60-AT60)</f>
        <v>369786.71299999999</v>
      </c>
      <c r="AV63" s="153">
        <f>-(AV60-AU60)</f>
        <v>0</v>
      </c>
      <c r="AW63" s="153">
        <f>-(AW60-AV60)</f>
        <v>0</v>
      </c>
      <c r="AX63" s="153">
        <f>-(AX60-AW60)</f>
        <v>-448262</v>
      </c>
      <c r="AY63" s="154">
        <f>-(+AY60-AT60)</f>
        <v>-78475.287000000011</v>
      </c>
      <c r="AZ63" s="153">
        <f>-(AZ60-AY60)</f>
        <v>448262</v>
      </c>
      <c r="BA63" s="153">
        <f>-(BA60-AZ60)</f>
        <v>0</v>
      </c>
      <c r="BB63" s="153">
        <f>-(BB60-BA60)</f>
        <v>0</v>
      </c>
      <c r="BC63" s="153">
        <f>-(BC60-BB60)</f>
        <v>-520928</v>
      </c>
      <c r="BD63" s="154">
        <f>-(+BD60-AY60)</f>
        <v>-72666</v>
      </c>
      <c r="BE63" s="153">
        <f>-(BE60-BD60)</f>
        <v>520928</v>
      </c>
      <c r="BF63" s="153">
        <f>-(BF60-BE60)</f>
        <v>0</v>
      </c>
      <c r="BG63" s="153">
        <f>-(BG60-BF60)</f>
        <v>0</v>
      </c>
      <c r="BH63" s="153">
        <f>-(BH60-BG60)</f>
        <v>-611522</v>
      </c>
      <c r="BI63" s="154">
        <f>-(+BI60-BD60)</f>
        <v>-90594</v>
      </c>
      <c r="BJ63" s="153">
        <f>-(BJ60-BI60)</f>
        <v>611522</v>
      </c>
      <c r="BK63" s="153">
        <f>-(BK60-BJ60)</f>
        <v>0</v>
      </c>
      <c r="BL63" s="153">
        <f>-(BL60-BK60)</f>
        <v>0</v>
      </c>
      <c r="BM63" s="153">
        <f>-(BM60-BL60)</f>
        <v>-649226</v>
      </c>
      <c r="BN63" s="154">
        <f>-(+BN60-BI60)</f>
        <v>-37704</v>
      </c>
      <c r="BO63" s="153">
        <f>-(BO60-BN60)</f>
        <v>649226</v>
      </c>
      <c r="BP63" s="153">
        <f>-(BP60-BO60)</f>
        <v>0</v>
      </c>
      <c r="BQ63" s="153">
        <f>-(BQ60-BP60)</f>
        <v>0</v>
      </c>
      <c r="BR63" s="153">
        <f>-(BR60-BQ60)</f>
        <v>-765298</v>
      </c>
      <c r="BS63" s="154">
        <f>-(+BS60-BN60)</f>
        <v>-116072</v>
      </c>
      <c r="BT63" s="153">
        <f>-(BT60-BS60)</f>
        <v>765298</v>
      </c>
      <c r="BU63" s="153">
        <f>-(BU60-BT60)</f>
        <v>0</v>
      </c>
      <c r="BV63" s="153">
        <f>-(BV60-BU60)</f>
        <v>0</v>
      </c>
      <c r="BW63" s="153">
        <f>-(BW60-BV60)</f>
        <v>-557065</v>
      </c>
      <c r="BX63" s="154">
        <f>-(+BX60-BS60)</f>
        <v>208233</v>
      </c>
      <c r="BY63" s="153">
        <f>-(BY60-BX60)</f>
        <v>557065</v>
      </c>
      <c r="BZ63" s="153">
        <f>-(BZ60-BY60)</f>
        <v>0</v>
      </c>
      <c r="CA63" s="153">
        <f>-(CA60-BZ60)</f>
        <v>0</v>
      </c>
      <c r="CB63" s="153">
        <f>-(CB60-CA60)</f>
        <v>-659335</v>
      </c>
      <c r="CC63" s="154">
        <f>-(+CC60-BX60)</f>
        <v>-102270</v>
      </c>
      <c r="CD63" s="153">
        <f>-(CD60-CC60)</f>
        <v>53881</v>
      </c>
      <c r="CE63" s="153">
        <f>-(CE60-CD60)</f>
        <v>-80219</v>
      </c>
      <c r="CF63" s="153">
        <f>-(CF60-CE60)</f>
        <v>-145381</v>
      </c>
      <c r="CG63" s="153">
        <f>-(CG60-CF60)</f>
        <v>31732</v>
      </c>
      <c r="CH63" s="154">
        <f>-(+CH60-CC60)</f>
        <v>-139987</v>
      </c>
      <c r="CI63" s="153">
        <f>-(CI60-CH60)</f>
        <v>-138691</v>
      </c>
      <c r="CJ63" s="153">
        <f>-(CJ60-CI60)</f>
        <v>-111111</v>
      </c>
      <c r="CK63" s="153">
        <f>-(CK60-CJ60)</f>
        <v>-57158</v>
      </c>
      <c r="CL63" s="153">
        <f>-(CL60-CK60)</f>
        <v>-171383</v>
      </c>
      <c r="CM63" s="154">
        <f>-(+CM60-CH60)</f>
        <v>-478343</v>
      </c>
      <c r="CN63" s="153">
        <f>-(CN60-CM60)</f>
        <v>-352914</v>
      </c>
      <c r="CO63" s="153">
        <f>-(CO60-CN60)</f>
        <v>73787</v>
      </c>
      <c r="CP63" s="153">
        <f>-(CP60-CO60)</f>
        <v>157091</v>
      </c>
      <c r="CQ63" s="153">
        <f>-(CQ60-CP60)</f>
        <v>220439</v>
      </c>
      <c r="CR63" s="154">
        <f>-(+CR60-CM60)</f>
        <v>98403</v>
      </c>
      <c r="CS63" s="153">
        <f>-(CS60-CR60)</f>
        <v>128626</v>
      </c>
      <c r="CT63" s="153">
        <f>-(CT60-CS60)</f>
        <v>-35053</v>
      </c>
      <c r="CU63" s="153">
        <f>-(CU60-CT60)</f>
        <v>5298</v>
      </c>
      <c r="CV63" s="153">
        <f>-(CV60-CU60)</f>
        <v>-10410</v>
      </c>
      <c r="CW63" s="154">
        <f>-(+CW60-CR60)</f>
        <v>88461</v>
      </c>
      <c r="CX63" s="153">
        <f>-(CX60-CW60)</f>
        <v>-194407</v>
      </c>
      <c r="CY63" s="153">
        <f>-(CY60-CX60)</f>
        <v>-94044</v>
      </c>
      <c r="CZ63" s="153">
        <f>-(CZ60-CY60)</f>
        <v>-74978</v>
      </c>
      <c r="DA63" s="153">
        <f>-(DA60-CZ60)</f>
        <v>16993</v>
      </c>
      <c r="DB63" s="154">
        <f>-(+DB60-CW60)</f>
        <v>-346436</v>
      </c>
      <c r="DC63" s="153">
        <f>-(DC60-DB60)</f>
        <v>-459471</v>
      </c>
      <c r="DD63" s="153">
        <f>-(DD60-DC60)</f>
        <v>-236999</v>
      </c>
      <c r="DE63" s="153">
        <f>-(DE60-DD60)</f>
        <v>-65071</v>
      </c>
      <c r="DF63" s="153">
        <f>-(DF60-DE60)</f>
        <v>40835</v>
      </c>
      <c r="DG63" s="154">
        <f>-(+DG60-DB60)</f>
        <v>-720706</v>
      </c>
      <c r="DH63" s="153">
        <f>-(DH60-DG60)</f>
        <v>-391437</v>
      </c>
      <c r="DI63" s="153">
        <f>-(DI60-DH60)</f>
        <v>-172960</v>
      </c>
      <c r="DJ63" s="153">
        <f>-(DJ60-DI60)</f>
        <v>-95354.36963918712</v>
      </c>
      <c r="DK63" s="153">
        <f>-(DK60-DJ60)</f>
        <v>-131747.70350013487</v>
      </c>
      <c r="DL63" s="154">
        <f>-(+DL60-DG60)</f>
        <v>-791499.07313932199</v>
      </c>
      <c r="DM63" s="153">
        <f>-(DM60-DL60)</f>
        <v>40311.892672864255</v>
      </c>
      <c r="DN63" s="153">
        <f>-(DN60-DM60)</f>
        <v>-95797.464443901088</v>
      </c>
      <c r="DO63" s="153">
        <f>-(DO60-DN60)</f>
        <v>-81269.840187084861</v>
      </c>
      <c r="DP63" s="153">
        <f>-(DP60-DO60)</f>
        <v>-75016.919687542133</v>
      </c>
      <c r="DQ63" s="154">
        <f>-(+DQ60-DL60)</f>
        <v>-211772.33164566383</v>
      </c>
      <c r="DR63" s="153">
        <f>-(DR60-DQ60)</f>
        <v>-70397.237853226718</v>
      </c>
      <c r="DS63" s="153">
        <f>-(DS60-DR60)</f>
        <v>-66910.869626370259</v>
      </c>
      <c r="DT63" s="153">
        <f>-(DT60-DS60)</f>
        <v>-64160.973527455237</v>
      </c>
      <c r="DU63" s="153">
        <f>-(DU60-DT60)</f>
        <v>-61920.466322858352</v>
      </c>
      <c r="DV63" s="154">
        <f>-(+DV60-DQ60)</f>
        <v>-263389.54732991057</v>
      </c>
      <c r="DW63" s="153">
        <f>-(DW60-DV60)</f>
        <v>-60053.682038054336</v>
      </c>
      <c r="DX63" s="153">
        <f>-(DX60-DW60)</f>
        <v>-58476.715584873222</v>
      </c>
      <c r="DY63" s="153">
        <f>-(DY60-DX60)</f>
        <v>-57135.210057454649</v>
      </c>
      <c r="DZ63" s="153">
        <f>-(DZ60-DY60)</f>
        <v>-55991.961062120739</v>
      </c>
      <c r="EA63" s="154">
        <f>-(+EA60-DV60)</f>
        <v>-231657.56874250295</v>
      </c>
      <c r="EB63" s="153">
        <f>-(EB60-EA60)</f>
        <v>-55019.968154240865</v>
      </c>
      <c r="EC63" s="153">
        <f>-(EC60-EB60)</f>
        <v>-54198.514184644911</v>
      </c>
      <c r="ED63" s="153">
        <f>-(ED60-EC60)</f>
        <v>-53510.930232565384</v>
      </c>
      <c r="EE63" s="153">
        <f>-(EE60-ED60)</f>
        <v>-52943.301164990757</v>
      </c>
      <c r="EF63" s="154">
        <f>-(+EF60-EA60)</f>
        <v>-215672.71373644192</v>
      </c>
    </row>
    <row r="64" spans="1:138" s="3" customFormat="1" ht="12" customHeight="1" outlineLevel="2">
      <c r="A64" s="125" t="s">
        <v>283</v>
      </c>
      <c r="B64" s="153"/>
      <c r="C64" s="153"/>
      <c r="D64" s="153"/>
      <c r="E64" s="153"/>
      <c r="F64" s="154"/>
      <c r="G64" s="153"/>
      <c r="H64" s="153"/>
      <c r="I64" s="153"/>
      <c r="J64" s="153"/>
      <c r="K64" s="154"/>
      <c r="L64" s="153"/>
      <c r="M64" s="153"/>
      <c r="N64" s="153"/>
      <c r="O64" s="153"/>
      <c r="P64" s="154"/>
      <c r="Q64" s="153"/>
      <c r="R64" s="153"/>
      <c r="S64" s="153"/>
      <c r="T64" s="153"/>
      <c r="U64" s="154"/>
      <c r="V64" s="153"/>
      <c r="W64" s="153"/>
      <c r="X64" s="153"/>
      <c r="Y64" s="153"/>
      <c r="Z64" s="154"/>
      <c r="AA64" s="153"/>
      <c r="AB64" s="153"/>
      <c r="AC64" s="153"/>
      <c r="AD64" s="153"/>
      <c r="AE64" s="154"/>
      <c r="AF64" s="47">
        <f>('Income Statement'!AF6+'Income Statement'!AF30)/Macro!AF18</f>
        <v>0</v>
      </c>
      <c r="AG64" s="47">
        <f>('Income Statement'!AG6+'Income Statement'!AG30)/Macro!AG18</f>
        <v>0</v>
      </c>
      <c r="AH64" s="47">
        <f>('Income Statement'!AH6+'Income Statement'!AH30)/Macro!AH18</f>
        <v>0</v>
      </c>
      <c r="AI64" s="47">
        <f>('Income Statement'!AI6+'Income Statement'!AI30)/Macro!AI18</f>
        <v>0</v>
      </c>
      <c r="AJ64" s="50">
        <f>AI64</f>
        <v>0</v>
      </c>
      <c r="AK64" s="47">
        <f>('Income Statement'!AK6+'Income Statement'!AK30)/Macro!AK18</f>
        <v>0</v>
      </c>
      <c r="AL64" s="47">
        <f>('Income Statement'!AL6+'Income Statement'!AL30)/Macro!AL18</f>
        <v>0</v>
      </c>
      <c r="AM64" s="47">
        <f>('Income Statement'!AM6+'Income Statement'!AM30)/Macro!AM18</f>
        <v>0</v>
      </c>
      <c r="AN64" s="47">
        <f>('Income Statement'!AN6+'Income Statement'!AN30)/Macro!AN18</f>
        <v>0</v>
      </c>
      <c r="AO64" s="50">
        <f>AN64</f>
        <v>0</v>
      </c>
      <c r="AP64" s="47">
        <f>('Income Statement'!AP6+'Income Statement'!AP30)/Macro!AP18</f>
        <v>0</v>
      </c>
      <c r="AQ64" s="47">
        <f>('Income Statement'!AQ6+'Income Statement'!AQ30)/Macro!AQ18</f>
        <v>0</v>
      </c>
      <c r="AR64" s="47">
        <f>('Income Statement'!AR6+'Income Statement'!AR30)/Macro!AR18</f>
        <v>0</v>
      </c>
      <c r="AS64" s="47">
        <f>('Income Statement'!AS6+'Income Statement'!AS30)/Macro!AS18</f>
        <v>0</v>
      </c>
      <c r="AT64" s="50">
        <f>AS64</f>
        <v>0</v>
      </c>
      <c r="AU64" s="47">
        <f>('Income Statement'!AU6+'Income Statement'!AU30)/Macro!AU18</f>
        <v>0</v>
      </c>
      <c r="AV64" s="47">
        <f>('Income Statement'!AV6+'Income Statement'!AV30)/Macro!AV18</f>
        <v>0</v>
      </c>
      <c r="AW64" s="47">
        <f>('Income Statement'!AW6+'Income Statement'!AW30)/Macro!AW18</f>
        <v>0</v>
      </c>
      <c r="AX64" s="47">
        <f>('Income Statement'!AX6+'Income Statement'!AX30)/Macro!AX18</f>
        <v>0</v>
      </c>
      <c r="AY64" s="50">
        <f>AX64</f>
        <v>0</v>
      </c>
      <c r="AZ64" s="47">
        <f>('Income Statement'!AZ6+'Income Statement'!AZ30)/Macro!AZ18</f>
        <v>0</v>
      </c>
      <c r="BA64" s="47">
        <f>('Income Statement'!BA6+'Income Statement'!BA30)/Macro!BA18</f>
        <v>0</v>
      </c>
      <c r="BB64" s="47">
        <f>('Income Statement'!BB6+'Income Statement'!BB30)/Macro!BB18</f>
        <v>0</v>
      </c>
      <c r="BC64" s="47">
        <f>('Income Statement'!BC6+'Income Statement'!BC30)/Macro!BC18</f>
        <v>0</v>
      </c>
      <c r="BD64" s="50">
        <f>BC64</f>
        <v>0</v>
      </c>
      <c r="BE64" s="47">
        <f>('Income Statement'!BE6+'Income Statement'!BE30)/Macro!BE18</f>
        <v>0</v>
      </c>
      <c r="BF64" s="47">
        <f>('Income Statement'!BF6+'Income Statement'!BF30)/Macro!BF18</f>
        <v>0</v>
      </c>
      <c r="BG64" s="47">
        <f>('Income Statement'!BG6+'Income Statement'!BG30)/Macro!BG18</f>
        <v>0</v>
      </c>
      <c r="BH64" s="47">
        <f>('Income Statement'!BH6+'Income Statement'!BH30)/Macro!BH18</f>
        <v>0</v>
      </c>
      <c r="BI64" s="50">
        <f>BH64</f>
        <v>0</v>
      </c>
      <c r="BJ64" s="47">
        <f>('Income Statement'!BJ6+'Income Statement'!BJ30)/Macro!BJ18</f>
        <v>0</v>
      </c>
      <c r="BK64" s="47">
        <f>('Income Statement'!BK6+'Income Statement'!BK30)/Macro!BK18</f>
        <v>0</v>
      </c>
      <c r="BL64" s="47">
        <f>('Income Statement'!BL6+'Income Statement'!BL30)/Macro!BL18</f>
        <v>0</v>
      </c>
      <c r="BM64" s="47">
        <f>('Income Statement'!BM6+'Income Statement'!BM30)/Macro!BM18</f>
        <v>0</v>
      </c>
      <c r="BN64" s="50">
        <f>BM64</f>
        <v>0</v>
      </c>
      <c r="BO64" s="47">
        <f>('Income Statement'!BO6+'Income Statement'!BO30)/Macro!BO18</f>
        <v>0</v>
      </c>
      <c r="BP64" s="47">
        <f>('Income Statement'!BP6+'Income Statement'!BP30)/Macro!BP18</f>
        <v>0</v>
      </c>
      <c r="BQ64" s="47">
        <f>('Income Statement'!BQ6+'Income Statement'!BQ30)/Macro!BQ18</f>
        <v>0</v>
      </c>
      <c r="BR64" s="47">
        <f>('Income Statement'!BR6+'Income Statement'!BR30)/Macro!BR18</f>
        <v>0</v>
      </c>
      <c r="BS64" s="50">
        <f>BR64</f>
        <v>0</v>
      </c>
      <c r="BT64" s="47">
        <f>('Income Statement'!BT6+'Income Statement'!BT30)/Macro!BT18</f>
        <v>0</v>
      </c>
      <c r="BU64" s="47">
        <f>('Income Statement'!BU6+'Income Statement'!BU30)/Macro!BU18</f>
        <v>0</v>
      </c>
      <c r="BV64" s="47">
        <f>('Income Statement'!BV6+'Income Statement'!BV30)/Macro!BV18</f>
        <v>0</v>
      </c>
      <c r="BW64" s="47">
        <f>('Income Statement'!BW6+'Income Statement'!BW30)/Macro!BW18</f>
        <v>0</v>
      </c>
      <c r="BX64" s="50">
        <f>BW64</f>
        <v>0</v>
      </c>
      <c r="BY64" s="47">
        <f>('Income Statement'!BY6+'Income Statement'!BY30)/Macro!BY18</f>
        <v>0</v>
      </c>
      <c r="BZ64" s="47">
        <f>('Income Statement'!BZ6+'Income Statement'!BZ30)/Macro!BZ18</f>
        <v>0</v>
      </c>
      <c r="CA64" s="47">
        <f>('Income Statement'!CA6+'Income Statement'!CA30)/Macro!CA18</f>
        <v>0</v>
      </c>
      <c r="CB64" s="47">
        <f>('Income Statement'!CB6+'Income Statement'!CB30)/Macro!CB18</f>
        <v>0</v>
      </c>
      <c r="CC64" s="50">
        <f>CB64</f>
        <v>0</v>
      </c>
      <c r="CD64" s="47">
        <f>('Income Statement'!CD6+'Income Statement'!CD30)/Macro!CD18</f>
        <v>0</v>
      </c>
      <c r="CE64" s="47">
        <f>('Income Statement'!CE6+'Income Statement'!CE30)/Macro!CE18</f>
        <v>0</v>
      </c>
      <c r="CF64" s="47">
        <f>('Income Statement'!CF6+'Income Statement'!CF30)/Macro!CF18</f>
        <v>0</v>
      </c>
      <c r="CG64" s="47">
        <f>('Income Statement'!CG6+'Income Statement'!CG30)/Macro!CG18</f>
        <v>0</v>
      </c>
      <c r="CH64" s="50">
        <f>CG64</f>
        <v>0</v>
      </c>
      <c r="CI64" s="47">
        <f>('Income Statement'!CI6+'Income Statement'!CI30)/Macro!CI18</f>
        <v>0</v>
      </c>
      <c r="CJ64" s="47">
        <f>('Income Statement'!CJ6+'Income Statement'!CJ30)/Macro!CJ18</f>
        <v>0</v>
      </c>
      <c r="CK64" s="47">
        <f>('Income Statement'!CK6+'Income Statement'!CK30)/Macro!CK18</f>
        <v>0</v>
      </c>
      <c r="CL64" s="47">
        <f>('Income Statement'!CL6+'Income Statement'!CL30)/Macro!CL18</f>
        <v>0</v>
      </c>
      <c r="CM64" s="50">
        <f>CL64</f>
        <v>0</v>
      </c>
      <c r="CN64" s="47">
        <f>('Income Statement'!CN6+'Income Statement'!CN30)/Macro!CN18</f>
        <v>0</v>
      </c>
      <c r="CO64" s="47">
        <f>('Income Statement'!CO6+'Income Statement'!CO30)/Macro!CO18</f>
        <v>0</v>
      </c>
      <c r="CP64" s="47">
        <f>('Income Statement'!CP6+'Income Statement'!CP30)/Macro!CP18</f>
        <v>0</v>
      </c>
      <c r="CQ64" s="47">
        <f>('Income Statement'!CQ6+'Income Statement'!CQ30)/Macro!CQ18</f>
        <v>0</v>
      </c>
      <c r="CR64" s="50">
        <f>CQ64</f>
        <v>0</v>
      </c>
      <c r="CS64" s="47">
        <f>('Income Statement'!CS6+'Income Statement'!CS30)/Macro!CS18</f>
        <v>0</v>
      </c>
      <c r="CT64" s="47">
        <f>('Income Statement'!CT6+'Income Statement'!CT30)/Macro!CT18</f>
        <v>0</v>
      </c>
      <c r="CU64" s="47">
        <f>('Income Statement'!CU6+'Income Statement'!CU30)/Macro!CU18</f>
        <v>0</v>
      </c>
      <c r="CV64" s="47">
        <f>('Income Statement'!CV6+'Income Statement'!CV30)/Macro!CV18</f>
        <v>0</v>
      </c>
      <c r="CW64" s="50">
        <f>CV64</f>
        <v>0</v>
      </c>
      <c r="CX64" s="47">
        <f>('Income Statement'!CX6+'Income Statement'!CX30)/Macro!CX18</f>
        <v>0</v>
      </c>
      <c r="CY64" s="47">
        <f>('Income Statement'!CY6+'Income Statement'!CY30)/Macro!CY18</f>
        <v>0</v>
      </c>
      <c r="CZ64" s="47">
        <f>('Income Statement'!CZ6+'Income Statement'!CZ30)/Macro!CZ18</f>
        <v>0</v>
      </c>
      <c r="DA64" s="47">
        <f>('Income Statement'!DA6+'Income Statement'!DA30)/Macro!DA18</f>
        <v>0</v>
      </c>
      <c r="DB64" s="50">
        <f>DA64</f>
        <v>0</v>
      </c>
      <c r="DC64" s="47">
        <f>('Income Statement'!DC6+'Income Statement'!DC30)/Macro!DC18</f>
        <v>0</v>
      </c>
      <c r="DD64" s="47">
        <f>('Income Statement'!DD6+'Income Statement'!DD30)/Macro!DD18</f>
        <v>0</v>
      </c>
      <c r="DE64" s="47">
        <f>('Income Statement'!DE6+'Income Statement'!DE30)/Macro!DE18</f>
        <v>0</v>
      </c>
      <c r="DF64" s="47">
        <f>('Income Statement'!DF6+'Income Statement'!DF30)/Macro!DF18</f>
        <v>0</v>
      </c>
      <c r="DG64" s="50">
        <f>DF64</f>
        <v>0</v>
      </c>
      <c r="DH64" s="47">
        <f>('Income Statement'!DH6+'Income Statement'!DH30)/Macro!DH18</f>
        <v>0</v>
      </c>
      <c r="DI64" s="47">
        <f>('Income Statement'!DI6+'Income Statement'!DI30)/Macro!DI18</f>
        <v>0</v>
      </c>
      <c r="DJ64" s="47" t="e">
        <f t="shared" ref="DJ64:EE64" si="160">DJ65*DJ$61/365</f>
        <v>#DIV/0!</v>
      </c>
      <c r="DK64" s="47" t="e">
        <f t="shared" si="160"/>
        <v>#DIV/0!</v>
      </c>
      <c r="DL64" s="50" t="e">
        <f>DK64</f>
        <v>#DIV/0!</v>
      </c>
      <c r="DM64" s="47" t="e">
        <f t="shared" si="160"/>
        <v>#DIV/0!</v>
      </c>
      <c r="DN64" s="47" t="e">
        <f t="shared" si="160"/>
        <v>#DIV/0!</v>
      </c>
      <c r="DO64" s="47" t="e">
        <f t="shared" si="160"/>
        <v>#DIV/0!</v>
      </c>
      <c r="DP64" s="47" t="e">
        <f t="shared" si="160"/>
        <v>#DIV/0!</v>
      </c>
      <c r="DQ64" s="50" t="e">
        <f>DP64</f>
        <v>#DIV/0!</v>
      </c>
      <c r="DR64" s="47" t="e">
        <f t="shared" si="160"/>
        <v>#DIV/0!</v>
      </c>
      <c r="DS64" s="47" t="e">
        <f t="shared" si="160"/>
        <v>#DIV/0!</v>
      </c>
      <c r="DT64" s="47" t="e">
        <f t="shared" si="160"/>
        <v>#DIV/0!</v>
      </c>
      <c r="DU64" s="47" t="e">
        <f t="shared" si="160"/>
        <v>#DIV/0!</v>
      </c>
      <c r="DV64" s="50" t="e">
        <f>DU64</f>
        <v>#DIV/0!</v>
      </c>
      <c r="DW64" s="47" t="e">
        <f t="shared" si="160"/>
        <v>#DIV/0!</v>
      </c>
      <c r="DX64" s="47" t="e">
        <f t="shared" si="160"/>
        <v>#DIV/0!</v>
      </c>
      <c r="DY64" s="47" t="e">
        <f t="shared" si="160"/>
        <v>#DIV/0!</v>
      </c>
      <c r="DZ64" s="47" t="e">
        <f t="shared" si="160"/>
        <v>#DIV/0!</v>
      </c>
      <c r="EA64" s="50" t="e">
        <f>DZ64</f>
        <v>#DIV/0!</v>
      </c>
      <c r="EB64" s="47" t="e">
        <f t="shared" si="160"/>
        <v>#DIV/0!</v>
      </c>
      <c r="EC64" s="47" t="e">
        <f t="shared" si="160"/>
        <v>#DIV/0!</v>
      </c>
      <c r="ED64" s="47" t="e">
        <f t="shared" si="160"/>
        <v>#DIV/0!</v>
      </c>
      <c r="EE64" s="47" t="e">
        <f t="shared" si="160"/>
        <v>#DIV/0!</v>
      </c>
      <c r="EF64" s="50" t="e">
        <f>EE64</f>
        <v>#DIV/0!</v>
      </c>
    </row>
    <row r="65" spans="1:136" s="266" customFormat="1" ht="12" customHeight="1" outlineLevel="2">
      <c r="A65" s="421" t="s">
        <v>285</v>
      </c>
      <c r="B65" s="263" t="e">
        <f t="shared" ref="B65:K65" si="161">365/(B$61/B64)</f>
        <v>#REF!</v>
      </c>
      <c r="C65" s="263" t="e">
        <f t="shared" si="161"/>
        <v>#REF!</v>
      </c>
      <c r="D65" s="263" t="e">
        <f t="shared" si="161"/>
        <v>#REF!</v>
      </c>
      <c r="E65" s="263" t="e">
        <f t="shared" si="161"/>
        <v>#DIV/0!</v>
      </c>
      <c r="F65" s="264" t="e">
        <f t="shared" si="161"/>
        <v>#DIV/0!</v>
      </c>
      <c r="G65" s="263" t="e">
        <f t="shared" si="161"/>
        <v>#DIV/0!</v>
      </c>
      <c r="H65" s="263" t="e">
        <f t="shared" si="161"/>
        <v>#DIV/0!</v>
      </c>
      <c r="I65" s="263" t="e">
        <f t="shared" si="161"/>
        <v>#DIV/0!</v>
      </c>
      <c r="J65" s="263" t="e">
        <f t="shared" si="161"/>
        <v>#DIV/0!</v>
      </c>
      <c r="K65" s="264" t="e">
        <f t="shared" si="161"/>
        <v>#DIV/0!</v>
      </c>
      <c r="L65" s="263" t="e">
        <f t="shared" ref="L65:BN65" si="162">365/(L$61/L64)</f>
        <v>#DIV/0!</v>
      </c>
      <c r="M65" s="263" t="e">
        <f t="shared" si="162"/>
        <v>#DIV/0!</v>
      </c>
      <c r="N65" s="263" t="e">
        <f t="shared" si="162"/>
        <v>#DIV/0!</v>
      </c>
      <c r="O65" s="263" t="e">
        <f t="shared" si="162"/>
        <v>#DIV/0!</v>
      </c>
      <c r="P65" s="264" t="e">
        <f t="shared" si="162"/>
        <v>#DIV/0!</v>
      </c>
      <c r="Q65" s="263" t="e">
        <f t="shared" si="162"/>
        <v>#DIV/0!</v>
      </c>
      <c r="R65" s="263" t="e">
        <f t="shared" si="162"/>
        <v>#DIV/0!</v>
      </c>
      <c r="S65" s="263" t="e">
        <f t="shared" si="162"/>
        <v>#DIV/0!</v>
      </c>
      <c r="T65" s="263" t="e">
        <f t="shared" si="162"/>
        <v>#DIV/0!</v>
      </c>
      <c r="U65" s="264" t="e">
        <f t="shared" si="162"/>
        <v>#DIV/0!</v>
      </c>
      <c r="V65" s="263" t="e">
        <f t="shared" si="162"/>
        <v>#DIV/0!</v>
      </c>
      <c r="W65" s="263" t="e">
        <f t="shared" si="162"/>
        <v>#DIV/0!</v>
      </c>
      <c r="X65" s="263" t="e">
        <f t="shared" si="162"/>
        <v>#DIV/0!</v>
      </c>
      <c r="Y65" s="263" t="e">
        <f t="shared" si="162"/>
        <v>#DIV/0!</v>
      </c>
      <c r="Z65" s="264" t="e">
        <f t="shared" si="162"/>
        <v>#DIV/0!</v>
      </c>
      <c r="AA65" s="263" t="e">
        <f t="shared" si="162"/>
        <v>#DIV/0!</v>
      </c>
      <c r="AB65" s="263" t="e">
        <f t="shared" si="162"/>
        <v>#DIV/0!</v>
      </c>
      <c r="AC65" s="263" t="e">
        <f t="shared" si="162"/>
        <v>#DIV/0!</v>
      </c>
      <c r="AD65" s="263" t="e">
        <f t="shared" si="162"/>
        <v>#DIV/0!</v>
      </c>
      <c r="AE65" s="264" t="e">
        <f t="shared" si="162"/>
        <v>#DIV/0!</v>
      </c>
      <c r="AF65" s="263" t="e">
        <f t="shared" si="162"/>
        <v>#DIV/0!</v>
      </c>
      <c r="AG65" s="263" t="e">
        <f t="shared" si="162"/>
        <v>#DIV/0!</v>
      </c>
      <c r="AH65" s="263" t="e">
        <f t="shared" si="162"/>
        <v>#DIV/0!</v>
      </c>
      <c r="AI65" s="263" t="e">
        <f t="shared" si="162"/>
        <v>#DIV/0!</v>
      </c>
      <c r="AJ65" s="264" t="e">
        <f t="shared" si="162"/>
        <v>#DIV/0!</v>
      </c>
      <c r="AK65" s="263" t="e">
        <f t="shared" si="162"/>
        <v>#DIV/0!</v>
      </c>
      <c r="AL65" s="263" t="e">
        <f t="shared" si="162"/>
        <v>#DIV/0!</v>
      </c>
      <c r="AM65" s="263" t="e">
        <f t="shared" si="162"/>
        <v>#DIV/0!</v>
      </c>
      <c r="AN65" s="263" t="e">
        <f t="shared" si="162"/>
        <v>#DIV/0!</v>
      </c>
      <c r="AO65" s="264" t="e">
        <f t="shared" si="162"/>
        <v>#DIV/0!</v>
      </c>
      <c r="AP65" s="263" t="e">
        <f t="shared" si="162"/>
        <v>#DIV/0!</v>
      </c>
      <c r="AQ65" s="263" t="e">
        <f t="shared" si="162"/>
        <v>#DIV/0!</v>
      </c>
      <c r="AR65" s="263" t="e">
        <f t="shared" si="162"/>
        <v>#DIV/0!</v>
      </c>
      <c r="AS65" s="263" t="e">
        <f t="shared" si="162"/>
        <v>#DIV/0!</v>
      </c>
      <c r="AT65" s="264" t="e">
        <f t="shared" si="162"/>
        <v>#DIV/0!</v>
      </c>
      <c r="AU65" s="263" t="e">
        <f t="shared" si="162"/>
        <v>#DIV/0!</v>
      </c>
      <c r="AV65" s="263" t="e">
        <f t="shared" si="162"/>
        <v>#DIV/0!</v>
      </c>
      <c r="AW65" s="263" t="e">
        <f t="shared" si="162"/>
        <v>#DIV/0!</v>
      </c>
      <c r="AX65" s="263" t="e">
        <f t="shared" si="162"/>
        <v>#DIV/0!</v>
      </c>
      <c r="AY65" s="264" t="e">
        <f t="shared" si="162"/>
        <v>#DIV/0!</v>
      </c>
      <c r="AZ65" s="263" t="e">
        <f t="shared" si="162"/>
        <v>#DIV/0!</v>
      </c>
      <c r="BA65" s="263" t="e">
        <f t="shared" si="162"/>
        <v>#DIV/0!</v>
      </c>
      <c r="BB65" s="263" t="e">
        <f t="shared" si="162"/>
        <v>#DIV/0!</v>
      </c>
      <c r="BC65" s="263" t="e">
        <f t="shared" si="162"/>
        <v>#DIV/0!</v>
      </c>
      <c r="BD65" s="264" t="e">
        <f t="shared" si="162"/>
        <v>#DIV/0!</v>
      </c>
      <c r="BE65" s="263" t="e">
        <f t="shared" si="162"/>
        <v>#DIV/0!</v>
      </c>
      <c r="BF65" s="263" t="e">
        <f t="shared" si="162"/>
        <v>#DIV/0!</v>
      </c>
      <c r="BG65" s="263" t="e">
        <f t="shared" si="162"/>
        <v>#DIV/0!</v>
      </c>
      <c r="BH65" s="263" t="e">
        <f t="shared" si="162"/>
        <v>#DIV/0!</v>
      </c>
      <c r="BI65" s="264" t="e">
        <f t="shared" si="162"/>
        <v>#DIV/0!</v>
      </c>
      <c r="BJ65" s="263" t="e">
        <f t="shared" si="162"/>
        <v>#DIV/0!</v>
      </c>
      <c r="BK65" s="263" t="e">
        <f t="shared" si="162"/>
        <v>#DIV/0!</v>
      </c>
      <c r="BL65" s="263" t="e">
        <f t="shared" si="162"/>
        <v>#DIV/0!</v>
      </c>
      <c r="BM65" s="263" t="e">
        <f t="shared" si="162"/>
        <v>#DIV/0!</v>
      </c>
      <c r="BN65" s="264" t="e">
        <f t="shared" si="162"/>
        <v>#DIV/0!</v>
      </c>
      <c r="BO65" s="263" t="e">
        <f t="shared" ref="BO65:DD65" si="163">365/(BO$61/BO64)</f>
        <v>#DIV/0!</v>
      </c>
      <c r="BP65" s="263" t="e">
        <f t="shared" si="163"/>
        <v>#DIV/0!</v>
      </c>
      <c r="BQ65" s="263" t="e">
        <f t="shared" si="163"/>
        <v>#DIV/0!</v>
      </c>
      <c r="BR65" s="263" t="e">
        <f t="shared" si="163"/>
        <v>#DIV/0!</v>
      </c>
      <c r="BS65" s="264" t="e">
        <f t="shared" si="163"/>
        <v>#DIV/0!</v>
      </c>
      <c r="BT65" s="263" t="e">
        <f t="shared" si="163"/>
        <v>#DIV/0!</v>
      </c>
      <c r="BU65" s="263" t="e">
        <f t="shared" si="163"/>
        <v>#DIV/0!</v>
      </c>
      <c r="BV65" s="263" t="e">
        <f t="shared" si="163"/>
        <v>#DIV/0!</v>
      </c>
      <c r="BW65" s="263" t="e">
        <f t="shared" si="163"/>
        <v>#DIV/0!</v>
      </c>
      <c r="BX65" s="264" t="e">
        <f t="shared" si="163"/>
        <v>#DIV/0!</v>
      </c>
      <c r="BY65" s="263" t="e">
        <f t="shared" si="163"/>
        <v>#DIV/0!</v>
      </c>
      <c r="BZ65" s="263" t="e">
        <f t="shared" si="163"/>
        <v>#DIV/0!</v>
      </c>
      <c r="CA65" s="263" t="e">
        <f t="shared" si="163"/>
        <v>#DIV/0!</v>
      </c>
      <c r="CB65" s="263" t="e">
        <f t="shared" si="163"/>
        <v>#DIV/0!</v>
      </c>
      <c r="CC65" s="264" t="e">
        <f t="shared" si="163"/>
        <v>#DIV/0!</v>
      </c>
      <c r="CD65" s="263" t="e">
        <f t="shared" si="163"/>
        <v>#DIV/0!</v>
      </c>
      <c r="CE65" s="263" t="e">
        <f t="shared" si="163"/>
        <v>#DIV/0!</v>
      </c>
      <c r="CF65" s="263" t="e">
        <f t="shared" si="163"/>
        <v>#DIV/0!</v>
      </c>
      <c r="CG65" s="263" t="e">
        <f t="shared" si="163"/>
        <v>#DIV/0!</v>
      </c>
      <c r="CH65" s="264" t="e">
        <f t="shared" si="163"/>
        <v>#DIV/0!</v>
      </c>
      <c r="CI65" s="263" t="e">
        <f t="shared" si="163"/>
        <v>#DIV/0!</v>
      </c>
      <c r="CJ65" s="263" t="e">
        <f t="shared" si="163"/>
        <v>#DIV/0!</v>
      </c>
      <c r="CK65" s="263" t="e">
        <f t="shared" si="163"/>
        <v>#DIV/0!</v>
      </c>
      <c r="CL65" s="263" t="e">
        <f t="shared" si="163"/>
        <v>#DIV/0!</v>
      </c>
      <c r="CM65" s="264" t="e">
        <f t="shared" si="163"/>
        <v>#DIV/0!</v>
      </c>
      <c r="CN65" s="263" t="e">
        <f t="shared" si="163"/>
        <v>#DIV/0!</v>
      </c>
      <c r="CO65" s="263" t="e">
        <f t="shared" si="163"/>
        <v>#DIV/0!</v>
      </c>
      <c r="CP65" s="263" t="e">
        <f t="shared" si="163"/>
        <v>#DIV/0!</v>
      </c>
      <c r="CQ65" s="263" t="e">
        <f t="shared" si="163"/>
        <v>#DIV/0!</v>
      </c>
      <c r="CR65" s="264" t="e">
        <f t="shared" si="163"/>
        <v>#DIV/0!</v>
      </c>
      <c r="CS65" s="263" t="e">
        <f t="shared" si="163"/>
        <v>#DIV/0!</v>
      </c>
      <c r="CT65" s="263" t="e">
        <f t="shared" si="163"/>
        <v>#DIV/0!</v>
      </c>
      <c r="CU65" s="263" t="e">
        <f t="shared" si="163"/>
        <v>#DIV/0!</v>
      </c>
      <c r="CV65" s="263" t="e">
        <f t="shared" si="163"/>
        <v>#DIV/0!</v>
      </c>
      <c r="CW65" s="264" t="e">
        <f t="shared" si="163"/>
        <v>#DIV/0!</v>
      </c>
      <c r="CX65" s="263" t="e">
        <f t="shared" si="163"/>
        <v>#DIV/0!</v>
      </c>
      <c r="CY65" s="263" t="e">
        <f t="shared" si="163"/>
        <v>#DIV/0!</v>
      </c>
      <c r="CZ65" s="263" t="e">
        <f t="shared" si="163"/>
        <v>#DIV/0!</v>
      </c>
      <c r="DA65" s="263" t="e">
        <f t="shared" si="163"/>
        <v>#DIV/0!</v>
      </c>
      <c r="DB65" s="264" t="e">
        <f t="shared" si="163"/>
        <v>#DIV/0!</v>
      </c>
      <c r="DC65" s="263" t="e">
        <f t="shared" si="163"/>
        <v>#DIV/0!</v>
      </c>
      <c r="DD65" s="263" t="e">
        <f t="shared" si="163"/>
        <v>#DIV/0!</v>
      </c>
      <c r="DE65" s="263" t="e">
        <f t="shared" ref="DE65:DF65" si="164">365/(DE$61/DE64)</f>
        <v>#DIV/0!</v>
      </c>
      <c r="DF65" s="263" t="e">
        <f t="shared" si="164"/>
        <v>#DIV/0!</v>
      </c>
      <c r="DG65" s="264" t="e">
        <f>365/(DG$61/DG64)</f>
        <v>#DIV/0!</v>
      </c>
      <c r="DH65" s="263" t="e">
        <f t="shared" ref="DH65:DI65" si="165">365/(DH$61/DH64)</f>
        <v>#DIV/0!</v>
      </c>
      <c r="DI65" s="263" t="e">
        <f t="shared" si="165"/>
        <v>#DIV/0!</v>
      </c>
      <c r="DJ65" s="265" t="e">
        <f>DI65</f>
        <v>#DIV/0!</v>
      </c>
      <c r="DK65" s="265" t="e">
        <f>DJ65</f>
        <v>#DIV/0!</v>
      </c>
      <c r="DL65" s="264" t="e">
        <f>365/(DL$61/DL64)</f>
        <v>#DIV/0!</v>
      </c>
      <c r="DM65" s="265" t="e">
        <f>DK65</f>
        <v>#DIV/0!</v>
      </c>
      <c r="DN65" s="265" t="e">
        <f>DM65</f>
        <v>#DIV/0!</v>
      </c>
      <c r="DO65" s="265" t="e">
        <f>DN65</f>
        <v>#DIV/0!</v>
      </c>
      <c r="DP65" s="265" t="e">
        <f>DO65</f>
        <v>#DIV/0!</v>
      </c>
      <c r="DQ65" s="264" t="e">
        <f>365/(DQ$61/DQ64)</f>
        <v>#DIV/0!</v>
      </c>
      <c r="DR65" s="265" t="e">
        <f>DP65</f>
        <v>#DIV/0!</v>
      </c>
      <c r="DS65" s="265" t="e">
        <f>DR65</f>
        <v>#DIV/0!</v>
      </c>
      <c r="DT65" s="265" t="e">
        <f>DS65</f>
        <v>#DIV/0!</v>
      </c>
      <c r="DU65" s="265" t="e">
        <f>DT65</f>
        <v>#DIV/0!</v>
      </c>
      <c r="DV65" s="264" t="e">
        <f>365/(DV$61/DV64)</f>
        <v>#DIV/0!</v>
      </c>
      <c r="DW65" s="265" t="e">
        <f>DU65</f>
        <v>#DIV/0!</v>
      </c>
      <c r="DX65" s="265" t="e">
        <f>DW65</f>
        <v>#DIV/0!</v>
      </c>
      <c r="DY65" s="265" t="e">
        <f>DX65</f>
        <v>#DIV/0!</v>
      </c>
      <c r="DZ65" s="265" t="e">
        <f>DY65</f>
        <v>#DIV/0!</v>
      </c>
      <c r="EA65" s="264" t="e">
        <f>365/(EA$61/EA64)</f>
        <v>#DIV/0!</v>
      </c>
      <c r="EB65" s="265" t="e">
        <f>DZ65</f>
        <v>#DIV/0!</v>
      </c>
      <c r="EC65" s="265" t="e">
        <f>EB65</f>
        <v>#DIV/0!</v>
      </c>
      <c r="ED65" s="265" t="e">
        <f>EC65</f>
        <v>#DIV/0!</v>
      </c>
      <c r="EE65" s="265" t="e">
        <f>ED65</f>
        <v>#DIV/0!</v>
      </c>
      <c r="EF65" s="264" t="e">
        <f>365/(EF$61/EF64)</f>
        <v>#DIV/0!</v>
      </c>
    </row>
    <row r="66" spans="1:136" s="3" customFormat="1" ht="12" customHeight="1" outlineLevel="1">
      <c r="A66" s="125" t="s">
        <v>284</v>
      </c>
      <c r="B66" s="153" t="e">
        <f>#REF!-B64</f>
        <v>#REF!</v>
      </c>
      <c r="C66" s="153" t="e">
        <f>#REF!-C64</f>
        <v>#REF!</v>
      </c>
      <c r="D66" s="153" t="e">
        <f>#REF!-D64</f>
        <v>#REF!</v>
      </c>
      <c r="E66" s="153" t="e">
        <f>#REF!-E64</f>
        <v>#REF!</v>
      </c>
      <c r="F66" s="154" t="e">
        <f>#REF!-F64</f>
        <v>#REF!</v>
      </c>
      <c r="G66" s="153" t="e">
        <f>#REF!-G64</f>
        <v>#REF!</v>
      </c>
      <c r="H66" s="153" t="e">
        <f>#REF!-H64</f>
        <v>#REF!</v>
      </c>
      <c r="I66" s="153" t="e">
        <f>#REF!-I64</f>
        <v>#REF!</v>
      </c>
      <c r="J66" s="153" t="e">
        <f>#REF!-J64</f>
        <v>#REF!</v>
      </c>
      <c r="K66" s="154" t="e">
        <f>#REF!-K64</f>
        <v>#REF!</v>
      </c>
      <c r="L66" s="153" t="e">
        <f>#REF!-L64</f>
        <v>#REF!</v>
      </c>
      <c r="M66" s="153" t="e">
        <f>#REF!-M64</f>
        <v>#REF!</v>
      </c>
      <c r="N66" s="153" t="e">
        <f>#REF!-N64</f>
        <v>#REF!</v>
      </c>
      <c r="O66" s="153" t="e">
        <f>#REF!-O64</f>
        <v>#REF!</v>
      </c>
      <c r="P66" s="154" t="e">
        <f>#REF!-P64</f>
        <v>#REF!</v>
      </c>
      <c r="Q66" s="153" t="e">
        <f>#REF!-Q64</f>
        <v>#REF!</v>
      </c>
      <c r="R66" s="153" t="e">
        <f>#REF!-R64</f>
        <v>#REF!</v>
      </c>
      <c r="S66" s="153" t="e">
        <f>#REF!-S64</f>
        <v>#REF!</v>
      </c>
      <c r="T66" s="153" t="e">
        <f>#REF!-T64</f>
        <v>#REF!</v>
      </c>
      <c r="U66" s="154" t="e">
        <f>#REF!-U64</f>
        <v>#REF!</v>
      </c>
      <c r="V66" s="153" t="e">
        <f>#REF!-V64</f>
        <v>#REF!</v>
      </c>
      <c r="W66" s="153" t="e">
        <f>#REF!-W64</f>
        <v>#REF!</v>
      </c>
      <c r="X66" s="153" t="e">
        <f>#REF!-X64</f>
        <v>#REF!</v>
      </c>
      <c r="Y66" s="153" t="e">
        <f>#REF!-Y64</f>
        <v>#REF!</v>
      </c>
      <c r="Z66" s="154" t="e">
        <f>#REF!-Z64</f>
        <v>#REF!</v>
      </c>
      <c r="AA66" s="153" t="e">
        <f>#REF!-AA64</f>
        <v>#REF!</v>
      </c>
      <c r="AB66" s="153" t="e">
        <f>#REF!-AB64</f>
        <v>#REF!</v>
      </c>
      <c r="AC66" s="153" t="e">
        <f>#REF!-AC64</f>
        <v>#REF!</v>
      </c>
      <c r="AD66" s="153" t="e">
        <f>#REF!-AD64</f>
        <v>#REF!</v>
      </c>
      <c r="AE66" s="154" t="e">
        <f>#REF!-AE64</f>
        <v>#REF!</v>
      </c>
      <c r="AF66" s="47">
        <f>AF9</f>
        <v>0</v>
      </c>
      <c r="AG66" s="47">
        <f>AG9</f>
        <v>0</v>
      </c>
      <c r="AH66" s="47">
        <f>AH9</f>
        <v>0</v>
      </c>
      <c r="AI66" s="47">
        <f>AI9</f>
        <v>234127.86300000001</v>
      </c>
      <c r="AJ66" s="50">
        <f>AI66</f>
        <v>234127.86300000001</v>
      </c>
      <c r="AK66" s="47">
        <f>AK9</f>
        <v>0</v>
      </c>
      <c r="AL66" s="47">
        <f>AL9</f>
        <v>0</v>
      </c>
      <c r="AM66" s="47">
        <f>AM9</f>
        <v>0</v>
      </c>
      <c r="AN66" s="47">
        <f>AN9</f>
        <v>314764.64900000003</v>
      </c>
      <c r="AO66" s="50">
        <f>AN66</f>
        <v>314764.64900000003</v>
      </c>
      <c r="AP66" s="47">
        <f>AP9</f>
        <v>0</v>
      </c>
      <c r="AQ66" s="47">
        <f>AQ9</f>
        <v>0</v>
      </c>
      <c r="AR66" s="47">
        <f>AR9</f>
        <v>0</v>
      </c>
      <c r="AS66" s="47">
        <f>AS9</f>
        <v>369786.71299999999</v>
      </c>
      <c r="AT66" s="50">
        <f>AS66</f>
        <v>369786.71299999999</v>
      </c>
      <c r="AU66" s="47">
        <f>AU9</f>
        <v>0</v>
      </c>
      <c r="AV66" s="47">
        <f>AV9</f>
        <v>0</v>
      </c>
      <c r="AW66" s="47">
        <f>AW9</f>
        <v>0</v>
      </c>
      <c r="AX66" s="47">
        <f>AX9</f>
        <v>448262</v>
      </c>
      <c r="AY66" s="50">
        <f>AX66</f>
        <v>448262</v>
      </c>
      <c r="AZ66" s="47">
        <f>AZ9</f>
        <v>0</v>
      </c>
      <c r="BA66" s="47">
        <f>BA9</f>
        <v>0</v>
      </c>
      <c r="BB66" s="47">
        <f>BB9</f>
        <v>0</v>
      </c>
      <c r="BC66" s="47">
        <f>BC9</f>
        <v>324766</v>
      </c>
      <c r="BD66" s="50">
        <f>BC66</f>
        <v>324766</v>
      </c>
      <c r="BE66" s="47">
        <f>BE9</f>
        <v>0</v>
      </c>
      <c r="BF66" s="47">
        <f>BF9</f>
        <v>0</v>
      </c>
      <c r="BG66" s="47">
        <f>BG9</f>
        <v>0</v>
      </c>
      <c r="BH66" s="47">
        <f>BH9</f>
        <v>443781</v>
      </c>
      <c r="BI66" s="50">
        <f>BH66</f>
        <v>443781</v>
      </c>
      <c r="BJ66" s="47">
        <f>BJ9</f>
        <v>0</v>
      </c>
      <c r="BK66" s="47">
        <f>BK9</f>
        <v>0</v>
      </c>
      <c r="BL66" s="47">
        <f>BL9</f>
        <v>0</v>
      </c>
      <c r="BM66" s="47">
        <f>BM9</f>
        <v>586074</v>
      </c>
      <c r="BN66" s="50">
        <f>BM66</f>
        <v>586074</v>
      </c>
      <c r="BO66" s="47">
        <f>BO9</f>
        <v>0</v>
      </c>
      <c r="BP66" s="47">
        <f>BP9</f>
        <v>0</v>
      </c>
      <c r="BQ66" s="47">
        <f>BQ9</f>
        <v>0</v>
      </c>
      <c r="BR66" s="47">
        <f>BR9</f>
        <v>718932</v>
      </c>
      <c r="BS66" s="50">
        <f>BR66</f>
        <v>718932</v>
      </c>
      <c r="BT66" s="47">
        <f>BT9</f>
        <v>0</v>
      </c>
      <c r="BU66" s="47">
        <f>BU9</f>
        <v>0</v>
      </c>
      <c r="BV66" s="47">
        <f>BV9</f>
        <v>0</v>
      </c>
      <c r="BW66" s="47">
        <f>BW9</f>
        <v>481986</v>
      </c>
      <c r="BX66" s="50">
        <f>BW66</f>
        <v>481986</v>
      </c>
      <c r="BY66" s="47">
        <f>BY9</f>
        <v>0</v>
      </c>
      <c r="BZ66" s="47">
        <f>BZ9</f>
        <v>0</v>
      </c>
      <c r="CA66" s="47">
        <f>CA9</f>
        <v>0</v>
      </c>
      <c r="CB66" s="47">
        <f>CB9</f>
        <v>556863</v>
      </c>
      <c r="CC66" s="50">
        <f>CB66</f>
        <v>556863</v>
      </c>
      <c r="CD66" s="47">
        <f>CD9</f>
        <v>527013</v>
      </c>
      <c r="CE66" s="47">
        <f>CE9</f>
        <v>594707</v>
      </c>
      <c r="CF66" s="47">
        <f>CF9</f>
        <v>745284</v>
      </c>
      <c r="CG66" s="47">
        <f>CG9</f>
        <v>713804</v>
      </c>
      <c r="CH66" s="50">
        <f>CG66</f>
        <v>713804</v>
      </c>
      <c r="CI66" s="47">
        <f>CI9</f>
        <v>866972</v>
      </c>
      <c r="CJ66" s="47">
        <f>CJ9</f>
        <v>974152</v>
      </c>
      <c r="CK66" s="47">
        <f>CK9</f>
        <v>1025135</v>
      </c>
      <c r="CL66" s="47">
        <f>CL9</f>
        <v>1186992</v>
      </c>
      <c r="CM66" s="50">
        <f>CL66</f>
        <v>1186992</v>
      </c>
      <c r="CN66" s="47">
        <f>CN9</f>
        <v>1549111</v>
      </c>
      <c r="CO66" s="47">
        <f>CO9</f>
        <v>1482423</v>
      </c>
      <c r="CP66" s="47">
        <f>CP9</f>
        <v>1335180</v>
      </c>
      <c r="CQ66" s="47">
        <f>CQ9</f>
        <v>1128332</v>
      </c>
      <c r="CR66" s="50">
        <f>CQ66</f>
        <v>1128332</v>
      </c>
      <c r="CS66" s="47">
        <f>CS9</f>
        <v>998907</v>
      </c>
      <c r="CT66" s="47">
        <f>CT9</f>
        <v>1032846</v>
      </c>
      <c r="CU66" s="47">
        <f>CU9</f>
        <v>1080391</v>
      </c>
      <c r="CV66" s="47">
        <f>CV9</f>
        <v>1090801</v>
      </c>
      <c r="CW66" s="50">
        <f>CV66</f>
        <v>1090801</v>
      </c>
      <c r="CX66" s="47">
        <f>CX9</f>
        <v>1285208</v>
      </c>
      <c r="CY66" s="47">
        <f>CY9</f>
        <v>1379252</v>
      </c>
      <c r="CZ66" s="47">
        <f>CZ9</f>
        <v>1454230</v>
      </c>
      <c r="DA66" s="47">
        <f>DA9</f>
        <v>1437237</v>
      </c>
      <c r="DB66" s="50">
        <f>DA66</f>
        <v>1437237</v>
      </c>
      <c r="DC66" s="47">
        <f>DC9</f>
        <v>1896708</v>
      </c>
      <c r="DD66" s="47">
        <f>DD9</f>
        <v>2133707</v>
      </c>
      <c r="DE66" s="47">
        <f>DE9</f>
        <v>2198778</v>
      </c>
      <c r="DF66" s="47">
        <f>DF9</f>
        <v>2157943</v>
      </c>
      <c r="DG66" s="50">
        <f>DF66</f>
        <v>2157943</v>
      </c>
      <c r="DH66" s="47">
        <f>DH9</f>
        <v>2549380</v>
      </c>
      <c r="DI66" s="47">
        <f>DI9</f>
        <v>2722340</v>
      </c>
      <c r="DJ66" s="47">
        <f t="shared" ref="DJ66:EE66" si="166">DJ67*DJ$61/365</f>
        <v>2817694.3696391871</v>
      </c>
      <c r="DK66" s="47">
        <f t="shared" si="166"/>
        <v>2949442.073139322</v>
      </c>
      <c r="DL66" s="50">
        <f>DK66</f>
        <v>2949442.073139322</v>
      </c>
      <c r="DM66" s="47">
        <f t="shared" si="166"/>
        <v>2909130.1804664577</v>
      </c>
      <c r="DN66" s="47">
        <f t="shared" si="166"/>
        <v>3004927.6449103588</v>
      </c>
      <c r="DO66" s="47">
        <f t="shared" si="166"/>
        <v>3086197.4850974437</v>
      </c>
      <c r="DP66" s="47">
        <f t="shared" si="166"/>
        <v>3161214.4047849858</v>
      </c>
      <c r="DQ66" s="50">
        <f>DP66</f>
        <v>3161214.4047849858</v>
      </c>
      <c r="DR66" s="47">
        <f t="shared" si="166"/>
        <v>3231611.6426382125</v>
      </c>
      <c r="DS66" s="47">
        <f t="shared" si="166"/>
        <v>3298522.5122645828</v>
      </c>
      <c r="DT66" s="47">
        <f t="shared" si="166"/>
        <v>3362683.485792038</v>
      </c>
      <c r="DU66" s="47">
        <f t="shared" si="166"/>
        <v>3424603.9521148964</v>
      </c>
      <c r="DV66" s="50">
        <f>DU66</f>
        <v>3424603.9521148964</v>
      </c>
      <c r="DW66" s="47">
        <f t="shared" si="166"/>
        <v>3484657.6341529507</v>
      </c>
      <c r="DX66" s="47">
        <f t="shared" si="166"/>
        <v>3543134.3497378239</v>
      </c>
      <c r="DY66" s="47">
        <f t="shared" si="166"/>
        <v>3600269.5597952786</v>
      </c>
      <c r="DZ66" s="47">
        <f t="shared" si="166"/>
        <v>3656261.5208573993</v>
      </c>
      <c r="EA66" s="50">
        <f>DZ66</f>
        <v>3656261.5208573993</v>
      </c>
      <c r="EB66" s="47">
        <f t="shared" si="166"/>
        <v>3711281.4890116402</v>
      </c>
      <c r="EC66" s="47">
        <f t="shared" si="166"/>
        <v>3765480.0031962851</v>
      </c>
      <c r="ED66" s="47">
        <f t="shared" si="166"/>
        <v>3818990.9334288505</v>
      </c>
      <c r="EE66" s="47">
        <f t="shared" si="166"/>
        <v>3871934.2345938412</v>
      </c>
      <c r="EF66" s="50">
        <f>EE66</f>
        <v>3871934.2345938412</v>
      </c>
    </row>
    <row r="67" spans="1:136" s="266" customFormat="1" ht="12" customHeight="1" outlineLevel="1">
      <c r="A67" s="421" t="s">
        <v>285</v>
      </c>
      <c r="B67" s="263" t="e">
        <f t="shared" ref="B67:K67" si="167">365/(B$61/B66)</f>
        <v>#REF!</v>
      </c>
      <c r="C67" s="263" t="e">
        <f t="shared" si="167"/>
        <v>#REF!</v>
      </c>
      <c r="D67" s="263" t="e">
        <f t="shared" si="167"/>
        <v>#REF!</v>
      </c>
      <c r="E67" s="263" t="e">
        <f t="shared" si="167"/>
        <v>#REF!</v>
      </c>
      <c r="F67" s="264" t="e">
        <f t="shared" si="167"/>
        <v>#REF!</v>
      </c>
      <c r="G67" s="263" t="e">
        <f t="shared" si="167"/>
        <v>#REF!</v>
      </c>
      <c r="H67" s="263" t="e">
        <f t="shared" si="167"/>
        <v>#REF!</v>
      </c>
      <c r="I67" s="263" t="e">
        <f t="shared" si="167"/>
        <v>#REF!</v>
      </c>
      <c r="J67" s="263" t="e">
        <f t="shared" si="167"/>
        <v>#REF!</v>
      </c>
      <c r="K67" s="264" t="e">
        <f t="shared" si="167"/>
        <v>#REF!</v>
      </c>
      <c r="L67" s="263" t="e">
        <f t="shared" ref="L67:BN67" si="168">365/(L$61/L66)</f>
        <v>#REF!</v>
      </c>
      <c r="M67" s="263" t="e">
        <f t="shared" si="168"/>
        <v>#REF!</v>
      </c>
      <c r="N67" s="263" t="e">
        <f t="shared" si="168"/>
        <v>#REF!</v>
      </c>
      <c r="O67" s="263" t="e">
        <f t="shared" si="168"/>
        <v>#REF!</v>
      </c>
      <c r="P67" s="264" t="e">
        <f t="shared" si="168"/>
        <v>#REF!</v>
      </c>
      <c r="Q67" s="263" t="e">
        <f t="shared" si="168"/>
        <v>#REF!</v>
      </c>
      <c r="R67" s="263" t="e">
        <f t="shared" si="168"/>
        <v>#REF!</v>
      </c>
      <c r="S67" s="263" t="e">
        <f t="shared" si="168"/>
        <v>#REF!</v>
      </c>
      <c r="T67" s="263" t="e">
        <f t="shared" si="168"/>
        <v>#REF!</v>
      </c>
      <c r="U67" s="264" t="e">
        <f t="shared" si="168"/>
        <v>#REF!</v>
      </c>
      <c r="V67" s="263" t="e">
        <f t="shared" si="168"/>
        <v>#REF!</v>
      </c>
      <c r="W67" s="263" t="e">
        <f t="shared" si="168"/>
        <v>#REF!</v>
      </c>
      <c r="X67" s="263" t="e">
        <f t="shared" si="168"/>
        <v>#REF!</v>
      </c>
      <c r="Y67" s="263" t="e">
        <f t="shared" si="168"/>
        <v>#REF!</v>
      </c>
      <c r="Z67" s="264" t="e">
        <f t="shared" si="168"/>
        <v>#REF!</v>
      </c>
      <c r="AA67" s="263" t="e">
        <f t="shared" si="168"/>
        <v>#REF!</v>
      </c>
      <c r="AB67" s="263" t="e">
        <f t="shared" si="168"/>
        <v>#REF!</v>
      </c>
      <c r="AC67" s="263" t="e">
        <f t="shared" si="168"/>
        <v>#REF!</v>
      </c>
      <c r="AD67" s="263" t="e">
        <f t="shared" si="168"/>
        <v>#REF!</v>
      </c>
      <c r="AE67" s="264" t="e">
        <f t="shared" si="168"/>
        <v>#REF!</v>
      </c>
      <c r="AF67" s="263" t="e">
        <f t="shared" si="168"/>
        <v>#DIV/0!</v>
      </c>
      <c r="AG67" s="263" t="e">
        <f t="shared" si="168"/>
        <v>#DIV/0!</v>
      </c>
      <c r="AH67" s="263" t="e">
        <f t="shared" si="168"/>
        <v>#DIV/0!</v>
      </c>
      <c r="AI67" s="263">
        <f t="shared" si="168"/>
        <v>87.326787781143224</v>
      </c>
      <c r="AJ67" s="264">
        <f t="shared" si="168"/>
        <v>349.3071511245729</v>
      </c>
      <c r="AK67" s="263" t="e">
        <f t="shared" si="168"/>
        <v>#DIV/0!</v>
      </c>
      <c r="AL67" s="263" t="e">
        <f t="shared" si="168"/>
        <v>#DIV/0!</v>
      </c>
      <c r="AM67" s="263" t="e">
        <f t="shared" si="168"/>
        <v>#DIV/0!</v>
      </c>
      <c r="AN67" s="263">
        <f t="shared" si="168"/>
        <v>66.274144879847213</v>
      </c>
      <c r="AO67" s="264">
        <f t="shared" si="168"/>
        <v>265.09657951938885</v>
      </c>
      <c r="AP67" s="263" t="e">
        <f t="shared" si="168"/>
        <v>#DIV/0!</v>
      </c>
      <c r="AQ67" s="263" t="e">
        <f t="shared" si="168"/>
        <v>#DIV/0!</v>
      </c>
      <c r="AR67" s="263" t="e">
        <f t="shared" si="168"/>
        <v>#DIV/0!</v>
      </c>
      <c r="AS67" s="263">
        <f t="shared" si="168"/>
        <v>68.271228130619008</v>
      </c>
      <c r="AT67" s="264">
        <f t="shared" si="168"/>
        <v>273.08491252247603</v>
      </c>
      <c r="AU67" s="263" t="e">
        <f t="shared" si="168"/>
        <v>#DIV/0!</v>
      </c>
      <c r="AV67" s="263" t="e">
        <f t="shared" si="168"/>
        <v>#DIV/0!</v>
      </c>
      <c r="AW67" s="263" t="e">
        <f t="shared" si="168"/>
        <v>#DIV/0!</v>
      </c>
      <c r="AX67" s="263">
        <f t="shared" si="168"/>
        <v>54.31510162568182</v>
      </c>
      <c r="AY67" s="264">
        <f t="shared" si="168"/>
        <v>217.26040650272728</v>
      </c>
      <c r="AZ67" s="263" t="e">
        <f t="shared" si="168"/>
        <v>#DIV/0!</v>
      </c>
      <c r="BA67" s="263" t="e">
        <f t="shared" si="168"/>
        <v>#DIV/0!</v>
      </c>
      <c r="BB67" s="263" t="e">
        <f t="shared" si="168"/>
        <v>#DIV/0!</v>
      </c>
      <c r="BC67" s="263">
        <f t="shared" si="168"/>
        <v>252.6828514422626</v>
      </c>
      <c r="BD67" s="264">
        <f t="shared" si="168"/>
        <v>252.6828514422626</v>
      </c>
      <c r="BE67" s="263" t="e">
        <f t="shared" si="168"/>
        <v>#DIV/0!</v>
      </c>
      <c r="BF67" s="263" t="e">
        <f t="shared" si="168"/>
        <v>#DIV/0!</v>
      </c>
      <c r="BG67" s="263" t="e">
        <f t="shared" si="168"/>
        <v>#DIV/0!</v>
      </c>
      <c r="BH67" s="263">
        <f t="shared" si="168"/>
        <v>357.70375613084735</v>
      </c>
      <c r="BI67" s="264">
        <f t="shared" si="168"/>
        <v>357.70375613084735</v>
      </c>
      <c r="BJ67" s="263" t="e">
        <f t="shared" si="168"/>
        <v>#DIV/0!</v>
      </c>
      <c r="BK67" s="263" t="e">
        <f t="shared" si="168"/>
        <v>#DIV/0!</v>
      </c>
      <c r="BL67" s="263" t="e">
        <f t="shared" si="168"/>
        <v>#DIV/0!</v>
      </c>
      <c r="BM67" s="263">
        <f t="shared" si="168"/>
        <v>384.11552716068007</v>
      </c>
      <c r="BN67" s="264">
        <f t="shared" si="168"/>
        <v>384.11552716068007</v>
      </c>
      <c r="BO67" s="263" t="e">
        <f t="shared" ref="BO67:CC67" si="169">365/(BO$61/BO66)</f>
        <v>#DIV/0!</v>
      </c>
      <c r="BP67" s="263" t="e">
        <f t="shared" si="169"/>
        <v>#DIV/0!</v>
      </c>
      <c r="BQ67" s="263" t="e">
        <f t="shared" si="169"/>
        <v>#DIV/0!</v>
      </c>
      <c r="BR67" s="263">
        <f>365/(BR$61/BR66)</f>
        <v>359.7799449656755</v>
      </c>
      <c r="BS67" s="264">
        <f t="shared" si="169"/>
        <v>359.7799449656755</v>
      </c>
      <c r="BT67" s="263" t="e">
        <f>365/(BT$61/BT66)</f>
        <v>#DIV/0!</v>
      </c>
      <c r="BU67" s="263" t="e">
        <f>365/(BU$61/BU66)</f>
        <v>#DIV/0!</v>
      </c>
      <c r="BV67" s="263" t="e">
        <f>365/(BV$61/BV66)</f>
        <v>#DIV/0!</v>
      </c>
      <c r="BW67" s="263">
        <f>365/(BW$61/BW66)</f>
        <v>191.20317054561815</v>
      </c>
      <c r="BX67" s="264">
        <f t="shared" si="169"/>
        <v>191.20317054561815</v>
      </c>
      <c r="BY67" s="263" t="e">
        <f t="shared" si="169"/>
        <v>#DIV/0!</v>
      </c>
      <c r="BZ67" s="263" t="e">
        <f t="shared" si="169"/>
        <v>#DIV/0!</v>
      </c>
      <c r="CA67" s="263" t="e">
        <f t="shared" si="169"/>
        <v>#DIV/0!</v>
      </c>
      <c r="CB67" s="263">
        <f t="shared" si="169"/>
        <v>621.5635034219556</v>
      </c>
      <c r="CC67" s="264">
        <f t="shared" si="169"/>
        <v>197.20437050419042</v>
      </c>
      <c r="CD67" s="263">
        <f t="shared" ref="CD67:DD67" si="170">365/(CD$61/CD66)</f>
        <v>207.05484118885545</v>
      </c>
      <c r="CE67" s="263">
        <f t="shared" si="170"/>
        <v>215.53773706682554</v>
      </c>
      <c r="CF67" s="263">
        <f t="shared" si="170"/>
        <v>203.97702800789426</v>
      </c>
      <c r="CG67" s="263">
        <f t="shared" si="170"/>
        <v>188.59645592344333</v>
      </c>
      <c r="CH67" s="264">
        <f t="shared" si="170"/>
        <v>224.06070503774069</v>
      </c>
      <c r="CI67" s="263">
        <f t="shared" si="170"/>
        <v>228.73630234023975</v>
      </c>
      <c r="CJ67" s="263">
        <f t="shared" si="170"/>
        <v>192.94430335786069</v>
      </c>
      <c r="CK67" s="263">
        <f t="shared" si="170"/>
        <v>200.89937105905193</v>
      </c>
      <c r="CL67" s="263">
        <f t="shared" si="170"/>
        <v>215.88167996747217</v>
      </c>
      <c r="CM67" s="264">
        <f t="shared" si="170"/>
        <v>244.23428339496709</v>
      </c>
      <c r="CN67" s="263">
        <f t="shared" si="170"/>
        <v>309.24268767569816</v>
      </c>
      <c r="CO67" s="263">
        <f t="shared" si="170"/>
        <v>220.07789583031672</v>
      </c>
      <c r="CP67" s="263">
        <f t="shared" si="170"/>
        <v>190.64717609117127</v>
      </c>
      <c r="CQ67" s="263">
        <f t="shared" si="170"/>
        <v>173.84747021925045</v>
      </c>
      <c r="CR67" s="264">
        <f t="shared" si="170"/>
        <v>178.82331435280508</v>
      </c>
      <c r="CS67" s="263">
        <f t="shared" si="170"/>
        <v>150.45096162892611</v>
      </c>
      <c r="CT67" s="263">
        <f t="shared" si="170"/>
        <v>126.98715202127788</v>
      </c>
      <c r="CU67" s="263">
        <f t="shared" si="170"/>
        <v>128.61495587840076</v>
      </c>
      <c r="CV67" s="263">
        <f t="shared" si="170"/>
        <v>120.19638893719177</v>
      </c>
      <c r="CW67" s="264">
        <f t="shared" si="170"/>
        <v>135.3005265318495</v>
      </c>
      <c r="CX67" s="263">
        <f t="shared" si="170"/>
        <v>137.45918721371274</v>
      </c>
      <c r="CY67" s="263">
        <f t="shared" si="170"/>
        <v>123.76036812434178</v>
      </c>
      <c r="CZ67" s="263">
        <f t="shared" si="170"/>
        <v>123.05743008273782</v>
      </c>
      <c r="DA67" s="263">
        <f t="shared" si="170"/>
        <v>124.13898893474435</v>
      </c>
      <c r="DB67" s="264">
        <f t="shared" si="170"/>
        <v>130.98712230415222</v>
      </c>
      <c r="DC67" s="263">
        <f t="shared" si="170"/>
        <v>139.80257158158406</v>
      </c>
      <c r="DD67" s="263">
        <f t="shared" si="170"/>
        <v>141.58964018046609</v>
      </c>
      <c r="DE67" s="263">
        <f t="shared" ref="DE67:DF67" si="171">365/(DE$61/DE66)</f>
        <v>138.64895891567738</v>
      </c>
      <c r="DF67" s="263">
        <f t="shared" si="171"/>
        <v>135.60481807776853</v>
      </c>
      <c r="DG67" s="264">
        <f>365/(DG$61/DG66)</f>
        <v>142.88939190537525</v>
      </c>
      <c r="DH67" s="263">
        <f t="shared" ref="DH67:DI67" si="172">365/(DH$61/DH66)</f>
        <v>141.58610437391778</v>
      </c>
      <c r="DI67" s="263">
        <f t="shared" si="172"/>
        <v>143.99122941759182</v>
      </c>
      <c r="DJ67" s="265">
        <v>150</v>
      </c>
      <c r="DK67" s="265">
        <v>145</v>
      </c>
      <c r="DL67" s="264">
        <f>365/(DL$61/DL66)</f>
        <v>155.15670010246552</v>
      </c>
      <c r="DM67" s="265">
        <v>140</v>
      </c>
      <c r="DN67" s="265">
        <f>DM67</f>
        <v>140</v>
      </c>
      <c r="DO67" s="265">
        <f>DN67</f>
        <v>140</v>
      </c>
      <c r="DP67" s="265">
        <f>DO67</f>
        <v>140</v>
      </c>
      <c r="DQ67" s="264">
        <f>365/(DQ$61/DQ66)</f>
        <v>145.56464869195747</v>
      </c>
      <c r="DR67" s="265">
        <f>DP67</f>
        <v>140</v>
      </c>
      <c r="DS67" s="265">
        <f>DR67</f>
        <v>140</v>
      </c>
      <c r="DT67" s="265">
        <f>DS67</f>
        <v>140</v>
      </c>
      <c r="DU67" s="265">
        <f>DT67</f>
        <v>140</v>
      </c>
      <c r="DV67" s="264">
        <f>365/(DV$61/DV66)</f>
        <v>144.00521901475119</v>
      </c>
      <c r="DW67" s="265">
        <f>DU67</f>
        <v>140</v>
      </c>
      <c r="DX67" s="265">
        <f>DW67</f>
        <v>140</v>
      </c>
      <c r="DY67" s="265">
        <f>DX67</f>
        <v>140</v>
      </c>
      <c r="DZ67" s="265">
        <f>DY67</f>
        <v>140</v>
      </c>
      <c r="EA67" s="264">
        <f>365/(EA$61/EA66)</f>
        <v>143.33941079521398</v>
      </c>
      <c r="EB67" s="265">
        <f>DZ67</f>
        <v>140</v>
      </c>
      <c r="EC67" s="265">
        <f>EB67</f>
        <v>140</v>
      </c>
      <c r="ED67" s="265">
        <f>EC67</f>
        <v>140</v>
      </c>
      <c r="EE67" s="265">
        <f>ED67</f>
        <v>140</v>
      </c>
      <c r="EF67" s="264">
        <f>365/(EF$61/EF66)</f>
        <v>142.95411158893123</v>
      </c>
    </row>
    <row r="68" spans="1:136" ht="12" customHeight="1" outlineLevel="1">
      <c r="AF68" s="47"/>
      <c r="AG68" s="47"/>
      <c r="AH68" s="47"/>
      <c r="AK68" s="47"/>
      <c r="AL68" s="47"/>
      <c r="AM68" s="47"/>
      <c r="AP68" s="47"/>
      <c r="AQ68" s="47"/>
      <c r="AR68" s="47"/>
      <c r="AU68" s="47"/>
      <c r="AV68" s="47"/>
      <c r="AW68" s="47"/>
      <c r="AZ68" s="47"/>
      <c r="BA68" s="47"/>
      <c r="BB68" s="47"/>
      <c r="BE68" s="47"/>
      <c r="BF68" s="47"/>
      <c r="BG68" s="47"/>
      <c r="BJ68" s="47"/>
      <c r="BK68" s="47"/>
      <c r="BL68" s="47"/>
      <c r="BO68" s="47"/>
      <c r="BP68" s="47"/>
      <c r="BQ68" s="47"/>
      <c r="BT68" s="47"/>
      <c r="BU68" s="47"/>
      <c r="BV68" s="47"/>
      <c r="BY68" s="47"/>
      <c r="BZ68" s="47"/>
      <c r="CA68" s="47"/>
      <c r="CD68" s="47"/>
      <c r="CE68" s="47"/>
      <c r="CF68" s="47"/>
      <c r="CI68" s="47"/>
      <c r="CJ68" s="47"/>
      <c r="CK68" s="47"/>
      <c r="CN68" s="47"/>
      <c r="CO68" s="47"/>
      <c r="CP68" s="47"/>
      <c r="CS68" s="47"/>
      <c r="CT68" s="47"/>
      <c r="CU68" s="47"/>
      <c r="CX68" s="47"/>
      <c r="CY68" s="47"/>
      <c r="CZ68" s="47"/>
      <c r="DC68" s="47"/>
      <c r="DD68" s="47"/>
      <c r="DE68" s="47"/>
      <c r="DH68" s="47"/>
      <c r="DI68" s="47"/>
      <c r="DJ68" s="47"/>
      <c r="DM68" s="47"/>
      <c r="DN68" s="47"/>
      <c r="DO68" s="47"/>
      <c r="DR68" s="47"/>
      <c r="DS68" s="47"/>
      <c r="DT68" s="47"/>
      <c r="DW68" s="47"/>
      <c r="DX68" s="47"/>
      <c r="DY68" s="47"/>
      <c r="EB68" s="47"/>
      <c r="EC68" s="47"/>
      <c r="ED68" s="47"/>
    </row>
    <row r="69" spans="1:136" ht="12" customHeight="1" outlineLevel="1">
      <c r="A69" s="3" t="s">
        <v>81</v>
      </c>
      <c r="B69" s="151">
        <f t="shared" ref="B69:K69" si="173">B11</f>
        <v>0</v>
      </c>
      <c r="C69" s="151">
        <f t="shared" si="173"/>
        <v>0</v>
      </c>
      <c r="D69" s="151">
        <f t="shared" si="173"/>
        <v>0</v>
      </c>
      <c r="E69" s="151">
        <f t="shared" si="173"/>
        <v>0</v>
      </c>
      <c r="F69" s="152">
        <f t="shared" si="173"/>
        <v>0</v>
      </c>
      <c r="G69" s="151">
        <f t="shared" si="173"/>
        <v>0</v>
      </c>
      <c r="H69" s="151">
        <f t="shared" si="173"/>
        <v>0</v>
      </c>
      <c r="I69" s="151">
        <f t="shared" si="173"/>
        <v>0</v>
      </c>
      <c r="J69" s="151">
        <f t="shared" si="173"/>
        <v>0</v>
      </c>
      <c r="K69" s="152">
        <f t="shared" si="173"/>
        <v>0</v>
      </c>
      <c r="L69" s="151">
        <f t="shared" ref="L69:BN69" si="174">L11</f>
        <v>0</v>
      </c>
      <c r="M69" s="151">
        <f t="shared" si="174"/>
        <v>0</v>
      </c>
      <c r="N69" s="151">
        <f t="shared" si="174"/>
        <v>0</v>
      </c>
      <c r="O69" s="151">
        <f t="shared" si="174"/>
        <v>0</v>
      </c>
      <c r="P69" s="152">
        <f t="shared" si="174"/>
        <v>0</v>
      </c>
      <c r="Q69" s="151">
        <f t="shared" si="174"/>
        <v>0</v>
      </c>
      <c r="R69" s="151">
        <f t="shared" si="174"/>
        <v>0</v>
      </c>
      <c r="S69" s="151">
        <f t="shared" si="174"/>
        <v>0</v>
      </c>
      <c r="T69" s="151">
        <f t="shared" si="174"/>
        <v>0</v>
      </c>
      <c r="U69" s="152">
        <f t="shared" si="174"/>
        <v>0</v>
      </c>
      <c r="V69" s="151">
        <f t="shared" si="174"/>
        <v>0</v>
      </c>
      <c r="W69" s="151">
        <f t="shared" si="174"/>
        <v>0</v>
      </c>
      <c r="X69" s="151">
        <f t="shared" si="174"/>
        <v>0</v>
      </c>
      <c r="Y69" s="151">
        <f t="shared" si="174"/>
        <v>0</v>
      </c>
      <c r="Z69" s="152">
        <f t="shared" si="174"/>
        <v>0</v>
      </c>
      <c r="AA69" s="151">
        <f t="shared" si="174"/>
        <v>0</v>
      </c>
      <c r="AB69" s="151">
        <f t="shared" si="174"/>
        <v>0</v>
      </c>
      <c r="AC69" s="151">
        <f t="shared" si="174"/>
        <v>0</v>
      </c>
      <c r="AD69" s="151">
        <f t="shared" si="174"/>
        <v>0</v>
      </c>
      <c r="AE69" s="152">
        <f t="shared" si="174"/>
        <v>0</v>
      </c>
      <c r="AF69" s="151">
        <f t="shared" si="174"/>
        <v>0</v>
      </c>
      <c r="AG69" s="151">
        <f t="shared" si="174"/>
        <v>0</v>
      </c>
      <c r="AH69" s="151">
        <f t="shared" si="174"/>
        <v>0</v>
      </c>
      <c r="AI69" s="151">
        <f t="shared" si="174"/>
        <v>24299.129000000001</v>
      </c>
      <c r="AJ69" s="152">
        <f t="shared" si="174"/>
        <v>24299.129000000001</v>
      </c>
      <c r="AK69" s="151">
        <f t="shared" si="174"/>
        <v>0</v>
      </c>
      <c r="AL69" s="151">
        <f t="shared" si="174"/>
        <v>0</v>
      </c>
      <c r="AM69" s="151">
        <f t="shared" si="174"/>
        <v>0</v>
      </c>
      <c r="AN69" s="151">
        <f t="shared" si="174"/>
        <v>68050.569000000003</v>
      </c>
      <c r="AO69" s="152">
        <f t="shared" si="174"/>
        <v>68050.569000000003</v>
      </c>
      <c r="AP69" s="151">
        <f t="shared" si="174"/>
        <v>0</v>
      </c>
      <c r="AQ69" s="151">
        <f t="shared" si="174"/>
        <v>0</v>
      </c>
      <c r="AR69" s="151">
        <f t="shared" si="174"/>
        <v>0</v>
      </c>
      <c r="AS69" s="151">
        <f t="shared" si="174"/>
        <v>175651.45699999999</v>
      </c>
      <c r="AT69" s="152">
        <f t="shared" si="174"/>
        <v>175651.45699999999</v>
      </c>
      <c r="AU69" s="151">
        <f t="shared" si="174"/>
        <v>0</v>
      </c>
      <c r="AV69" s="151">
        <f t="shared" si="174"/>
        <v>0</v>
      </c>
      <c r="AW69" s="151">
        <f t="shared" si="174"/>
        <v>0</v>
      </c>
      <c r="AX69" s="151">
        <f t="shared" si="174"/>
        <v>153972</v>
      </c>
      <c r="AY69" s="152">
        <f t="shared" si="174"/>
        <v>153972</v>
      </c>
      <c r="AZ69" s="151">
        <f t="shared" si="174"/>
        <v>0</v>
      </c>
      <c r="BA69" s="151">
        <f t="shared" si="174"/>
        <v>0</v>
      </c>
      <c r="BB69" s="151">
        <f t="shared" si="174"/>
        <v>0</v>
      </c>
      <c r="BC69" s="151">
        <f t="shared" si="174"/>
        <v>256240</v>
      </c>
      <c r="BD69" s="152">
        <f t="shared" si="174"/>
        <v>256240</v>
      </c>
      <c r="BE69" s="151">
        <f t="shared" si="174"/>
        <v>0</v>
      </c>
      <c r="BF69" s="151">
        <f t="shared" si="174"/>
        <v>0</v>
      </c>
      <c r="BG69" s="151">
        <f t="shared" si="174"/>
        <v>0</v>
      </c>
      <c r="BH69" s="151">
        <f t="shared" si="174"/>
        <v>285355</v>
      </c>
      <c r="BI69" s="152">
        <f t="shared" si="174"/>
        <v>285355</v>
      </c>
      <c r="BJ69" s="151">
        <f t="shared" si="174"/>
        <v>0</v>
      </c>
      <c r="BK69" s="151">
        <f t="shared" si="174"/>
        <v>0</v>
      </c>
      <c r="BL69" s="151">
        <f t="shared" si="174"/>
        <v>0</v>
      </c>
      <c r="BM69" s="151">
        <f t="shared" si="174"/>
        <v>253854</v>
      </c>
      <c r="BN69" s="152">
        <f t="shared" si="174"/>
        <v>253854</v>
      </c>
      <c r="BO69" s="151">
        <f t="shared" ref="BO69:DD69" si="175">BO11</f>
        <v>0</v>
      </c>
      <c r="BP69" s="151">
        <f t="shared" si="175"/>
        <v>0</v>
      </c>
      <c r="BQ69" s="151">
        <f t="shared" si="175"/>
        <v>0</v>
      </c>
      <c r="BR69" s="151">
        <f t="shared" si="175"/>
        <v>249149</v>
      </c>
      <c r="BS69" s="152">
        <f t="shared" si="175"/>
        <v>249149</v>
      </c>
      <c r="BT69" s="151">
        <f t="shared" si="175"/>
        <v>0</v>
      </c>
      <c r="BU69" s="151">
        <f t="shared" si="175"/>
        <v>0</v>
      </c>
      <c r="BV69" s="151">
        <f t="shared" si="175"/>
        <v>0</v>
      </c>
      <c r="BW69" s="151">
        <f t="shared" si="175"/>
        <v>241079</v>
      </c>
      <c r="BX69" s="152">
        <f t="shared" si="175"/>
        <v>241079</v>
      </c>
      <c r="BY69" s="151">
        <f t="shared" si="175"/>
        <v>0</v>
      </c>
      <c r="BZ69" s="151">
        <f t="shared" si="175"/>
        <v>0</v>
      </c>
      <c r="CA69" s="151">
        <f t="shared" si="175"/>
        <v>0</v>
      </c>
      <c r="CB69" s="151">
        <f t="shared" si="175"/>
        <v>198799</v>
      </c>
      <c r="CC69" s="152">
        <f t="shared" si="175"/>
        <v>198799</v>
      </c>
      <c r="CD69" s="151">
        <f t="shared" si="175"/>
        <v>210689</v>
      </c>
      <c r="CE69" s="151">
        <f t="shared" si="175"/>
        <v>190026</v>
      </c>
      <c r="CF69" s="151">
        <f t="shared" si="175"/>
        <v>226704</v>
      </c>
      <c r="CG69" s="151">
        <f t="shared" si="175"/>
        <v>296258</v>
      </c>
      <c r="CH69" s="152">
        <f t="shared" si="175"/>
        <v>296258</v>
      </c>
      <c r="CI69" s="151">
        <f t="shared" si="175"/>
        <v>419485</v>
      </c>
      <c r="CJ69" s="151">
        <f t="shared" si="175"/>
        <v>365678</v>
      </c>
      <c r="CK69" s="151">
        <f t="shared" si="175"/>
        <v>381628</v>
      </c>
      <c r="CL69" s="151">
        <f t="shared" si="175"/>
        <v>532708</v>
      </c>
      <c r="CM69" s="152">
        <f t="shared" si="175"/>
        <v>532708</v>
      </c>
      <c r="CN69" s="151">
        <f t="shared" si="175"/>
        <v>500791</v>
      </c>
      <c r="CO69" s="151">
        <f t="shared" si="175"/>
        <v>470587</v>
      </c>
      <c r="CP69" s="151">
        <f t="shared" si="175"/>
        <v>528140</v>
      </c>
      <c r="CQ69" s="151">
        <f t="shared" si="175"/>
        <v>604089</v>
      </c>
      <c r="CR69" s="152">
        <f t="shared" si="175"/>
        <v>604089</v>
      </c>
      <c r="CS69" s="151">
        <f t="shared" si="175"/>
        <v>712498</v>
      </c>
      <c r="CT69" s="151">
        <f t="shared" si="175"/>
        <v>657603</v>
      </c>
      <c r="CU69" s="151">
        <f t="shared" si="175"/>
        <v>689025</v>
      </c>
      <c r="CV69" s="151">
        <f t="shared" si="175"/>
        <v>717548</v>
      </c>
      <c r="CW69" s="152">
        <f t="shared" si="175"/>
        <v>717548</v>
      </c>
      <c r="CX69" s="151">
        <f t="shared" si="175"/>
        <v>811385</v>
      </c>
      <c r="CY69" s="151">
        <f t="shared" si="175"/>
        <v>766051</v>
      </c>
      <c r="CZ69" s="151">
        <f t="shared" si="175"/>
        <v>791617</v>
      </c>
      <c r="DA69" s="151">
        <f t="shared" si="175"/>
        <v>1193128</v>
      </c>
      <c r="DB69" s="152">
        <f t="shared" si="175"/>
        <v>1193128</v>
      </c>
      <c r="DC69" s="151">
        <f t="shared" si="175"/>
        <v>1134943</v>
      </c>
      <c r="DD69" s="151">
        <f t="shared" si="175"/>
        <v>1183857</v>
      </c>
      <c r="DE69" s="151">
        <f t="shared" ref="DE69:DF69" si="176">DE11</f>
        <v>1316855</v>
      </c>
      <c r="DF69" s="151">
        <f t="shared" si="176"/>
        <v>1348649</v>
      </c>
      <c r="DG69" s="152">
        <f>DG11</f>
        <v>1348649</v>
      </c>
      <c r="DH69" s="151">
        <f t="shared" ref="DH69:DI69" si="177">DH11</f>
        <v>1521588</v>
      </c>
      <c r="DI69" s="151">
        <f t="shared" si="177"/>
        <v>1530119</v>
      </c>
      <c r="DJ69" s="151">
        <f>DJ73+DJ75+DJ77</f>
        <v>1694285.6571031462</v>
      </c>
      <c r="DK69" s="151">
        <f>DK73+DK75+DK77</f>
        <v>1685020.3794660841</v>
      </c>
      <c r="DL69" s="152">
        <f>DL11</f>
        <v>1685020.3794660841</v>
      </c>
      <c r="DM69" s="151">
        <f>DM73+DM75+DM77</f>
        <v>1736117.2737563411</v>
      </c>
      <c r="DN69" s="151">
        <f>DN73+DN75+DN77</f>
        <v>1780195.1093104908</v>
      </c>
      <c r="DO69" s="151">
        <f>DO73+DO75+DO77</f>
        <v>1820009.1633053476</v>
      </c>
      <c r="DP69" s="151">
        <f>DP73+DP75+DP77</f>
        <v>1857400.8465103642</v>
      </c>
      <c r="DQ69" s="152">
        <f>DQ11</f>
        <v>1857400.8465103642</v>
      </c>
      <c r="DR69" s="151">
        <f>DR73+DR75+DR77</f>
        <v>1893849.8818821656</v>
      </c>
      <c r="DS69" s="151">
        <f>DS73+DS75+DS77</f>
        <v>1931269.8225315609</v>
      </c>
      <c r="DT69" s="151">
        <f>DT73+DT75+DT77</f>
        <v>1965980.8042994281</v>
      </c>
      <c r="DU69" s="151">
        <f>DU73+DU75+DU77</f>
        <v>1999853.6439181801</v>
      </c>
      <c r="DV69" s="152">
        <f>DV11</f>
        <v>1999853.6439181801</v>
      </c>
      <c r="DW69" s="151">
        <f>DW73+DW75+DW77</f>
        <v>2032995.1370992807</v>
      </c>
      <c r="DX69" s="151">
        <f>DX73+DX75+DX77</f>
        <v>2066821.3201853663</v>
      </c>
      <c r="DY69" s="151">
        <f>DY73+DY75+DY77</f>
        <v>2099914.5808137073</v>
      </c>
      <c r="DZ69" s="151">
        <f>DZ73+DZ75+DZ77</f>
        <v>2132337.5512915868</v>
      </c>
      <c r="EA69" s="152">
        <f>EA11</f>
        <v>2132337.5512915868</v>
      </c>
      <c r="EB69" s="151">
        <f>EB73+EB75+EB77</f>
        <v>2164145.9713784009</v>
      </c>
      <c r="EC69" s="151">
        <f>EC73+EC75+EC77</f>
        <v>2170784.0164960404</v>
      </c>
      <c r="ED69" s="151">
        <f>ED73+ED75+ED77</f>
        <v>2152026.1385673936</v>
      </c>
      <c r="EE69" s="151">
        <f>EE73+EE75+EE77</f>
        <v>2107640.511103435</v>
      </c>
      <c r="EF69" s="152">
        <f>EF11</f>
        <v>2107640.511103435</v>
      </c>
    </row>
    <row r="70" spans="1:136" ht="12" customHeight="1" outlineLevel="1">
      <c r="A70" s="1" t="s">
        <v>211</v>
      </c>
      <c r="B70" s="44" t="e">
        <f>'Income Statement'!#REF!+'Income Statement'!B12+'Income Statement'!C12+'Income Statement'!D12</f>
        <v>#REF!</v>
      </c>
      <c r="C70" s="44" t="e">
        <f>'Income Statement'!C12+'Income Statement'!B12+'Income Statement'!#REF!+'Income Statement'!#REF!</f>
        <v>#REF!</v>
      </c>
      <c r="D70" s="44" t="e">
        <f>'Income Statement'!#REF!+'Income Statement'!B12+'Income Statement'!C12+'Income Statement'!D12</f>
        <v>#REF!</v>
      </c>
      <c r="E70" s="44">
        <f>'Income Statement'!B12+'Income Statement'!C12+'Income Statement'!D12+'Income Statement'!E12</f>
        <v>0</v>
      </c>
      <c r="F70" s="43">
        <f>'Income Statement'!F12</f>
        <v>0</v>
      </c>
      <c r="G70" s="44">
        <f>'Income Statement'!E12+'Income Statement'!G12+'Income Statement'!H12+'Income Statement'!I12</f>
        <v>0</v>
      </c>
      <c r="H70" s="44">
        <f>'Income Statement'!H12+'Income Statement'!G12+'Income Statement'!E12+'Income Statement'!D12</f>
        <v>0</v>
      </c>
      <c r="I70" s="44">
        <f>'Income Statement'!E12+'Income Statement'!G12+'Income Statement'!H12+'Income Statement'!I12</f>
        <v>0</v>
      </c>
      <c r="J70" s="44">
        <f>'Income Statement'!G12+'Income Statement'!H12+'Income Statement'!I12+'Income Statement'!J12</f>
        <v>0</v>
      </c>
      <c r="K70" s="43">
        <f>'Income Statement'!K12</f>
        <v>0</v>
      </c>
      <c r="L70" s="44">
        <f>'Income Statement'!J12+'Income Statement'!L12+'Income Statement'!M12+'Income Statement'!N12</f>
        <v>0</v>
      </c>
      <c r="M70" s="44">
        <f>'Income Statement'!M12+'Income Statement'!L12+'Income Statement'!J12+'Income Statement'!I12</f>
        <v>0</v>
      </c>
      <c r="N70" s="44">
        <f>'Income Statement'!J12+'Income Statement'!L12+'Income Statement'!M12+'Income Statement'!N12</f>
        <v>0</v>
      </c>
      <c r="O70" s="44">
        <f>'Income Statement'!L12+'Income Statement'!M12+'Income Statement'!N12+'Income Statement'!O12</f>
        <v>0</v>
      </c>
      <c r="P70" s="43">
        <f>'Income Statement'!P12</f>
        <v>0</v>
      </c>
      <c r="Q70" s="44">
        <f>'Income Statement'!O12+'Income Statement'!Q12+'Income Statement'!R12+'Income Statement'!S12</f>
        <v>0</v>
      </c>
      <c r="R70" s="44">
        <f>'Income Statement'!R12+'Income Statement'!Q12+'Income Statement'!O12+'Income Statement'!N12</f>
        <v>0</v>
      </c>
      <c r="S70" s="44">
        <f>'Income Statement'!O12+'Income Statement'!Q12+'Income Statement'!R12+'Income Statement'!S12</f>
        <v>0</v>
      </c>
      <c r="T70" s="44">
        <f>'Income Statement'!Q12+'Income Statement'!R12+'Income Statement'!S12+'Income Statement'!T12</f>
        <v>0</v>
      </c>
      <c r="U70" s="43">
        <f>'Income Statement'!U12</f>
        <v>0</v>
      </c>
      <c r="V70" s="44">
        <f>'Income Statement'!T12+'Income Statement'!V12+'Income Statement'!W12+'Income Statement'!X12</f>
        <v>0</v>
      </c>
      <c r="W70" s="44">
        <f>'Income Statement'!W12+'Income Statement'!V12+'Income Statement'!T12+'Income Statement'!S12</f>
        <v>0</v>
      </c>
      <c r="X70" s="44">
        <f>'Income Statement'!T12+'Income Statement'!V12+'Income Statement'!W12+'Income Statement'!X12</f>
        <v>0</v>
      </c>
      <c r="Y70" s="44">
        <f>'Income Statement'!V12+'Income Statement'!W12+'Income Statement'!X12+'Income Statement'!Y12</f>
        <v>0</v>
      </c>
      <c r="Z70" s="43">
        <f>'Income Statement'!Z12</f>
        <v>0</v>
      </c>
      <c r="AA70" s="44">
        <f>'Income Statement'!Y12+'Income Statement'!AA12+'Income Statement'!AB12+'Income Statement'!AC12</f>
        <v>0</v>
      </c>
      <c r="AB70" s="44">
        <f>'Income Statement'!AB12+'Income Statement'!AA12+'Income Statement'!Y12+'Income Statement'!X12</f>
        <v>0</v>
      </c>
      <c r="AC70" s="44">
        <f>'Income Statement'!Y12+'Income Statement'!AA12+'Income Statement'!AB12+'Income Statement'!AC12</f>
        <v>0</v>
      </c>
      <c r="AD70" s="44">
        <f>'Income Statement'!AA12+'Income Statement'!AB12+'Income Statement'!AC12+'Income Statement'!AD12</f>
        <v>0</v>
      </c>
      <c r="AE70" s="43">
        <f>'Income Statement'!AE12</f>
        <v>0</v>
      </c>
      <c r="AF70" s="258">
        <f>'Income Statement'!AF13*4</f>
        <v>0</v>
      </c>
      <c r="AG70" s="258">
        <f>'Income Statement'!AG13*4</f>
        <v>0</v>
      </c>
      <c r="AH70" s="258">
        <f>'Income Statement'!AH13*4</f>
        <v>0</v>
      </c>
      <c r="AI70" s="258">
        <f>'Income Statement'!AI13*4</f>
        <v>-463815.97200000001</v>
      </c>
      <c r="AJ70" s="43">
        <f>'Income Statement'!AJ12</f>
        <v>-158155.95799999998</v>
      </c>
      <c r="AK70" s="44">
        <f>'Income Statement'!AK13*4</f>
        <v>0</v>
      </c>
      <c r="AL70" s="44">
        <f>'Income Statement'!AL13*4</f>
        <v>0</v>
      </c>
      <c r="AM70" s="44">
        <f>'Income Statement'!AM13*4</f>
        <v>0</v>
      </c>
      <c r="AN70" s="44">
        <f>'Income Statement'!AN13*4</f>
        <v>-938418</v>
      </c>
      <c r="AO70" s="43">
        <f>'Income Statement'!AO12</f>
        <v>-295155.88300000003</v>
      </c>
      <c r="AP70" s="44">
        <f>'Income Statement'!AP13*4</f>
        <v>0</v>
      </c>
      <c r="AQ70" s="44">
        <f>'Income Statement'!AQ13*4</f>
        <v>0</v>
      </c>
      <c r="AR70" s="44">
        <f>'Income Statement'!AR13*4</f>
        <v>0</v>
      </c>
      <c r="AS70" s="44">
        <f>'Income Statement'!AS13*4</f>
        <v>-938524.08400000003</v>
      </c>
      <c r="AT70" s="43">
        <f>'Income Statement'!AT12</f>
        <v>-292086.09600000002</v>
      </c>
      <c r="AU70" s="44">
        <f>'Income Statement'!AU13*4</f>
        <v>0</v>
      </c>
      <c r="AV70" s="44">
        <f>'Income Statement'!AV13*4</f>
        <v>0</v>
      </c>
      <c r="AW70" s="44">
        <f>'Income Statement'!AW13*4</f>
        <v>0</v>
      </c>
      <c r="AX70" s="44">
        <f>'Income Statement'!AX13*4</f>
        <v>-1147673.324</v>
      </c>
      <c r="AY70" s="43">
        <f>'Income Statement'!AY12</f>
        <v>-482259.995</v>
      </c>
      <c r="AZ70" s="44">
        <f>'Income Statement'!AZ13*4</f>
        <v>0</v>
      </c>
      <c r="BA70" s="44">
        <f>'Income Statement'!BA13*4</f>
        <v>0</v>
      </c>
      <c r="BB70" s="44">
        <f>'Income Statement'!BB13*4</f>
        <v>0</v>
      </c>
      <c r="BC70" s="44">
        <f>'Income Statement'!BC13*4</f>
        <v>-1121584</v>
      </c>
      <c r="BD70" s="43">
        <f>'Income Statement'!BD12</f>
        <v>-641536</v>
      </c>
      <c r="BE70" s="44">
        <f>'Income Statement'!BE13*4</f>
        <v>0</v>
      </c>
      <c r="BF70" s="44">
        <f>'Income Statement'!BF13*4</f>
        <v>0</v>
      </c>
      <c r="BG70" s="44">
        <f>'Income Statement'!BG13*4</f>
        <v>0</v>
      </c>
      <c r="BH70" s="44">
        <f>'Income Statement'!BH13*4</f>
        <v>-1077516</v>
      </c>
      <c r="BI70" s="43">
        <f>'Income Statement'!BI12</f>
        <v>-612678</v>
      </c>
      <c r="BJ70" s="44">
        <f>'Income Statement'!BJ13*4</f>
        <v>0</v>
      </c>
      <c r="BK70" s="44">
        <f>'Income Statement'!BK13*4</f>
        <v>0</v>
      </c>
      <c r="BL70" s="44">
        <f>'Income Statement'!BL13*4</f>
        <v>0</v>
      </c>
      <c r="BM70" s="44">
        <f>'Income Statement'!BM13*4</f>
        <v>-1388616</v>
      </c>
      <c r="BN70" s="43">
        <f>'Income Statement'!BN12</f>
        <v>-604986</v>
      </c>
      <c r="BO70" s="44">
        <f>'Income Statement'!BO13*4</f>
        <v>0</v>
      </c>
      <c r="BP70" s="44">
        <f>'Income Statement'!BP13*4</f>
        <v>0</v>
      </c>
      <c r="BQ70" s="44">
        <f>'Income Statement'!BQ13*4</f>
        <v>0</v>
      </c>
      <c r="BR70" s="44">
        <f>'Income Statement'!BR13*4</f>
        <v>-1776692</v>
      </c>
      <c r="BS70" s="43">
        <f>'Income Statement'!BS12</f>
        <v>-570540</v>
      </c>
      <c r="BT70" s="44">
        <f>'Income Statement'!BT13*4</f>
        <v>0</v>
      </c>
      <c r="BU70" s="44">
        <f>'Income Statement'!BU13*4</f>
        <v>0</v>
      </c>
      <c r="BV70" s="44">
        <f>'Income Statement'!BV13*4</f>
        <v>0</v>
      </c>
      <c r="BW70" s="44">
        <f>'Income Statement'!BW13*4</f>
        <v>-2171132</v>
      </c>
      <c r="BX70" s="43">
        <f>'Income Statement'!BX12</f>
        <v>-605526</v>
      </c>
      <c r="BY70" s="44">
        <f>'Income Statement'!BY13*4</f>
        <v>-491964</v>
      </c>
      <c r="BZ70" s="44">
        <f>'Income Statement'!BZ13*4</f>
        <v>-627712</v>
      </c>
      <c r="CA70" s="44">
        <f>'Income Statement'!CA13*4</f>
        <v>-687072</v>
      </c>
      <c r="CB70" s="44">
        <f>'Income Statement'!CB13*4</f>
        <v>-707468</v>
      </c>
      <c r="CC70" s="43">
        <f>'Income Statement'!CC12</f>
        <v>-663392</v>
      </c>
      <c r="CD70" s="44">
        <f>'Income Statement'!CD13*4</f>
        <v>-552492</v>
      </c>
      <c r="CE70" s="44">
        <f>'Income Statement'!CE13*4</f>
        <v>-592736</v>
      </c>
      <c r="CF70" s="44">
        <f>'Income Statement'!CF13*4</f>
        <v>-786104</v>
      </c>
      <c r="CG70" s="44">
        <f>'Income Statement'!CG13*4</f>
        <v>-783796</v>
      </c>
      <c r="CH70" s="43">
        <f>'Income Statement'!CH12</f>
        <v>-716292</v>
      </c>
      <c r="CI70" s="44">
        <f>'Income Statement'!CI13*4</f>
        <v>-849096</v>
      </c>
      <c r="CJ70" s="44">
        <f>'Income Statement'!CJ13*4</f>
        <v>-1122560</v>
      </c>
      <c r="CK70" s="44">
        <f>'Income Statement'!CK13*4</f>
        <v>-1086652</v>
      </c>
      <c r="CL70" s="44">
        <f>'Income Statement'!CL13*4</f>
        <v>-1267124</v>
      </c>
      <c r="CM70" s="43">
        <f>'Income Statement'!CM12</f>
        <v>-1093624</v>
      </c>
      <c r="CN70" s="44">
        <f>'Income Statement'!CN13*4</f>
        <v>-1115956</v>
      </c>
      <c r="CO70" s="44">
        <f>'Income Statement'!CO13*4</f>
        <v>-1543884</v>
      </c>
      <c r="CP70" s="44">
        <f>'Income Statement'!CP13*4</f>
        <v>-1532144</v>
      </c>
      <c r="CQ70" s="44">
        <f>'Income Statement'!CQ13*4</f>
        <v>-1457884</v>
      </c>
      <c r="CR70" s="43">
        <f>'Income Statement'!CR12</f>
        <v>-1420402</v>
      </c>
      <c r="CS70" s="44">
        <f>'Income Statement'!CS13*4</f>
        <v>-1479892</v>
      </c>
      <c r="CT70" s="44">
        <f>'Income Statement'!CT13*4</f>
        <v>-1805752</v>
      </c>
      <c r="CU70" s="44">
        <f>'Income Statement'!CU13*4</f>
        <v>-1865376</v>
      </c>
      <c r="CV70" s="44">
        <f>'Income Statement'!CV13*4</f>
        <v>-1982980</v>
      </c>
      <c r="CW70" s="43">
        <f>'Income Statement'!CW12</f>
        <v>-1790819</v>
      </c>
      <c r="CX70" s="44">
        <f>'Income Statement'!CX13*4</f>
        <v>-2072812</v>
      </c>
      <c r="CY70" s="44">
        <f>'Income Statement'!CY13*4</f>
        <v>-2450696</v>
      </c>
      <c r="CZ70" s="44">
        <f>'Income Statement'!CZ13*4</f>
        <v>-2571008</v>
      </c>
      <c r="DA70" s="44">
        <f>'Income Statement'!DA13*4</f>
        <v>-2515032</v>
      </c>
      <c r="DB70" s="43">
        <f>'Income Statement'!DB12</f>
        <v>-2413370</v>
      </c>
      <c r="DC70" s="44">
        <f>'Income Statement'!DC13*4</f>
        <v>-2955916</v>
      </c>
      <c r="DD70" s="44">
        <f>'Income Statement'!DD13*4</f>
        <v>-3237460</v>
      </c>
      <c r="DE70" s="44">
        <f>'Income Statement'!DE13*4</f>
        <v>-3385792</v>
      </c>
      <c r="DF70" s="44">
        <f>'Income Statement'!DF13*4</f>
        <v>-3366564</v>
      </c>
      <c r="DG70" s="43">
        <f>'Income Statement'!DG12</f>
        <v>-3252837</v>
      </c>
      <c r="DH70" s="44">
        <f>'Income Statement'!DH13*4</f>
        <v>-3911496</v>
      </c>
      <c r="DI70" s="44">
        <f>'Income Statement'!DI13*4</f>
        <v>-4063976</v>
      </c>
      <c r="DJ70" s="44">
        <f>'Income Statement'!DJ13*4</f>
        <v>-4023954.2078371565</v>
      </c>
      <c r="DK70" s="44">
        <f>'Income Statement'!DK13*4</f>
        <v>-4335143.7824706072</v>
      </c>
      <c r="DL70" s="43">
        <f>'Income Statement'!DL12</f>
        <v>-4096084.15713479</v>
      </c>
      <c r="DM70" s="44">
        <f>'Income Statement'!DM13*4</f>
        <v>-4474795.6859000633</v>
      </c>
      <c r="DN70" s="44">
        <f>'Income Statement'!DN13*4</f>
        <v>-4634786.1206185026</v>
      </c>
      <c r="DO70" s="44">
        <f>'Income Statement'!DO13*4</f>
        <v>-4791024.2669401281</v>
      </c>
      <c r="DP70" s="44">
        <f>'Income Statement'!DP13*4</f>
        <v>-4919338.0678265234</v>
      </c>
      <c r="DQ70" s="43">
        <f>'Income Statement'!DQ12</f>
        <v>-4734299.1548330644</v>
      </c>
      <c r="DR70" s="44">
        <f>'Income Statement'!DR13*4</f>
        <v>-5060171.2287264094</v>
      </c>
      <c r="DS70" s="44">
        <f>'Income Statement'!DS13*4</f>
        <v>-5176809.6804877557</v>
      </c>
      <c r="DT70" s="44">
        <f>'Income Statement'!DT13*4</f>
        <v>-5288620.7065389352</v>
      </c>
      <c r="DU70" s="44">
        <f>'Income Statement'!DU13*4</f>
        <v>-5396436.1658779178</v>
      </c>
      <c r="DV70" s="43">
        <f>'Income Statement'!DV12</f>
        <v>-5283615.9072427722</v>
      </c>
      <c r="DW70" s="44">
        <f>'Income Statement'!DW13*4</f>
        <v>-5500869.5704977317</v>
      </c>
      <c r="DX70" s="44">
        <f>'Income Statement'!DX13*4</f>
        <v>-5602399.7919563195</v>
      </c>
      <c r="DY70" s="44">
        <f>'Income Statement'!DY13*4</f>
        <v>-5701418.6855574623</v>
      </c>
      <c r="DZ70" s="44">
        <f>'Income Statement'!DZ13*4</f>
        <v>-5798258.6179907229</v>
      </c>
      <c r="EA70" s="43">
        <f>'Income Statement'!EA12</f>
        <v>-5704955.1673025945</v>
      </c>
      <c r="EB70" s="44">
        <f>'Income Statement'!EB13*4</f>
        <v>-5893208.7578881057</v>
      </c>
      <c r="EC70" s="44">
        <f>'Income Statement'!EC13*4</f>
        <v>-5986525.0471175043</v>
      </c>
      <c r="ED70" s="44">
        <f>'Income Statement'!ED13*4</f>
        <v>-6078436.5856634444</v>
      </c>
      <c r="EE70" s="44">
        <f>'Income Statement'!EE13*4</f>
        <v>-6169149.9516390078</v>
      </c>
      <c r="EF70" s="43">
        <f>'Income Statement'!EF12</f>
        <v>-6089867.0836148206</v>
      </c>
    </row>
    <row r="71" spans="1:136" ht="12" customHeight="1" outlineLevel="1">
      <c r="A71" s="1" t="s">
        <v>164</v>
      </c>
      <c r="B71" s="44" t="e">
        <f t="shared" ref="B71:K71" si="178">-365/(B70/B69)</f>
        <v>#REF!</v>
      </c>
      <c r="C71" s="44" t="e">
        <f t="shared" si="178"/>
        <v>#REF!</v>
      </c>
      <c r="D71" s="44" t="e">
        <f t="shared" si="178"/>
        <v>#REF!</v>
      </c>
      <c r="E71" s="44" t="e">
        <f t="shared" si="178"/>
        <v>#DIV/0!</v>
      </c>
      <c r="F71" s="43" t="e">
        <f t="shared" si="178"/>
        <v>#DIV/0!</v>
      </c>
      <c r="G71" s="44" t="e">
        <f t="shared" si="178"/>
        <v>#DIV/0!</v>
      </c>
      <c r="H71" s="44" t="e">
        <f t="shared" si="178"/>
        <v>#DIV/0!</v>
      </c>
      <c r="I71" s="44" t="e">
        <f t="shared" si="178"/>
        <v>#DIV/0!</v>
      </c>
      <c r="J71" s="44" t="e">
        <f t="shared" si="178"/>
        <v>#DIV/0!</v>
      </c>
      <c r="K71" s="43" t="e">
        <f t="shared" si="178"/>
        <v>#DIV/0!</v>
      </c>
      <c r="L71" s="44" t="e">
        <f t="shared" ref="L71:BN71" si="179">-365/(L70/L69)</f>
        <v>#DIV/0!</v>
      </c>
      <c r="M71" s="44" t="e">
        <f t="shared" si="179"/>
        <v>#DIV/0!</v>
      </c>
      <c r="N71" s="44" t="e">
        <f t="shared" si="179"/>
        <v>#DIV/0!</v>
      </c>
      <c r="O71" s="44" t="e">
        <f t="shared" si="179"/>
        <v>#DIV/0!</v>
      </c>
      <c r="P71" s="43" t="e">
        <f t="shared" si="179"/>
        <v>#DIV/0!</v>
      </c>
      <c r="Q71" s="44" t="e">
        <f t="shared" si="179"/>
        <v>#DIV/0!</v>
      </c>
      <c r="R71" s="44" t="e">
        <f t="shared" si="179"/>
        <v>#DIV/0!</v>
      </c>
      <c r="S71" s="44" t="e">
        <f t="shared" si="179"/>
        <v>#DIV/0!</v>
      </c>
      <c r="T71" s="44" t="e">
        <f t="shared" si="179"/>
        <v>#DIV/0!</v>
      </c>
      <c r="U71" s="43" t="e">
        <f t="shared" si="179"/>
        <v>#DIV/0!</v>
      </c>
      <c r="V71" s="44" t="e">
        <f t="shared" si="179"/>
        <v>#DIV/0!</v>
      </c>
      <c r="W71" s="44" t="e">
        <f t="shared" si="179"/>
        <v>#DIV/0!</v>
      </c>
      <c r="X71" s="44" t="e">
        <f t="shared" si="179"/>
        <v>#DIV/0!</v>
      </c>
      <c r="Y71" s="44" t="e">
        <f t="shared" si="179"/>
        <v>#DIV/0!</v>
      </c>
      <c r="Z71" s="43" t="e">
        <f t="shared" si="179"/>
        <v>#DIV/0!</v>
      </c>
      <c r="AA71" s="44" t="e">
        <f t="shared" si="179"/>
        <v>#DIV/0!</v>
      </c>
      <c r="AB71" s="44" t="e">
        <f t="shared" si="179"/>
        <v>#DIV/0!</v>
      </c>
      <c r="AC71" s="44" t="e">
        <f t="shared" si="179"/>
        <v>#DIV/0!</v>
      </c>
      <c r="AD71" s="44" t="e">
        <f t="shared" si="179"/>
        <v>#DIV/0!</v>
      </c>
      <c r="AE71" s="43" t="e">
        <f t="shared" si="179"/>
        <v>#DIV/0!</v>
      </c>
      <c r="AF71" s="44" t="e">
        <f t="shared" si="179"/>
        <v>#DIV/0!</v>
      </c>
      <c r="AG71" s="44" t="e">
        <f t="shared" si="179"/>
        <v>#DIV/0!</v>
      </c>
      <c r="AH71" s="44" t="e">
        <f t="shared" si="179"/>
        <v>#DIV/0!</v>
      </c>
      <c r="AI71" s="44">
        <f t="shared" si="179"/>
        <v>19.12220065806617</v>
      </c>
      <c r="AJ71" s="43">
        <f t="shared" si="179"/>
        <v>56.07870988331657</v>
      </c>
      <c r="AK71" s="44" t="e">
        <f t="shared" si="179"/>
        <v>#DIV/0!</v>
      </c>
      <c r="AL71" s="44" t="e">
        <f t="shared" si="179"/>
        <v>#DIV/0!</v>
      </c>
      <c r="AM71" s="44" t="e">
        <f t="shared" si="179"/>
        <v>#DIV/0!</v>
      </c>
      <c r="AN71" s="44">
        <f t="shared" si="179"/>
        <v>26.468436970518471</v>
      </c>
      <c r="AO71" s="43">
        <f t="shared" si="179"/>
        <v>84.153693406138203</v>
      </c>
      <c r="AP71" s="44" t="e">
        <f t="shared" si="179"/>
        <v>#DIV/0!</v>
      </c>
      <c r="AQ71" s="44" t="e">
        <f t="shared" si="179"/>
        <v>#DIV/0!</v>
      </c>
      <c r="AR71" s="44" t="e">
        <f t="shared" si="179"/>
        <v>#DIV/0!</v>
      </c>
      <c r="AS71" s="44">
        <f t="shared" si="179"/>
        <v>68.312345839598066</v>
      </c>
      <c r="AT71" s="43">
        <f t="shared" si="179"/>
        <v>219.49960194270935</v>
      </c>
      <c r="AU71" s="44" t="e">
        <f t="shared" si="179"/>
        <v>#DIV/0!</v>
      </c>
      <c r="AV71" s="44" t="e">
        <f t="shared" si="179"/>
        <v>#DIV/0!</v>
      </c>
      <c r="AW71" s="44" t="e">
        <f t="shared" si="179"/>
        <v>#DIV/0!</v>
      </c>
      <c r="AX71" s="44">
        <f t="shared" si="179"/>
        <v>48.968446704090162</v>
      </c>
      <c r="AY71" s="43">
        <f t="shared" si="179"/>
        <v>116.53419438201587</v>
      </c>
      <c r="AZ71" s="44" t="e">
        <f t="shared" si="179"/>
        <v>#DIV/0!</v>
      </c>
      <c r="BA71" s="44" t="e">
        <f t="shared" si="179"/>
        <v>#DIV/0!</v>
      </c>
      <c r="BB71" s="44" t="e">
        <f t="shared" si="179"/>
        <v>#DIV/0!</v>
      </c>
      <c r="BC71" s="44">
        <f t="shared" si="179"/>
        <v>83.388850054922315</v>
      </c>
      <c r="BD71" s="43">
        <f t="shared" si="179"/>
        <v>145.78698623304069</v>
      </c>
      <c r="BE71" s="44" t="e">
        <f t="shared" si="179"/>
        <v>#DIV/0!</v>
      </c>
      <c r="BF71" s="44" t="e">
        <f t="shared" si="179"/>
        <v>#DIV/0!</v>
      </c>
      <c r="BG71" s="44" t="e">
        <f t="shared" si="179"/>
        <v>#DIV/0!</v>
      </c>
      <c r="BH71" s="44">
        <f t="shared" si="179"/>
        <v>96.661743305899861</v>
      </c>
      <c r="BI71" s="43">
        <f t="shared" si="179"/>
        <v>169.99888195756989</v>
      </c>
      <c r="BJ71" s="44" t="e">
        <f t="shared" si="179"/>
        <v>#DIV/0!</v>
      </c>
      <c r="BK71" s="44" t="e">
        <f t="shared" si="179"/>
        <v>#DIV/0!</v>
      </c>
      <c r="BL71" s="44" t="e">
        <f t="shared" si="179"/>
        <v>#DIV/0!</v>
      </c>
      <c r="BM71" s="44">
        <f t="shared" si="179"/>
        <v>66.72594151298847</v>
      </c>
      <c r="BN71" s="43">
        <f t="shared" si="179"/>
        <v>153.15513086253236</v>
      </c>
      <c r="BO71" s="44" t="e">
        <f t="shared" ref="BO71:CC71" si="180">-365/(BO70/BO69)</f>
        <v>#DIV/0!</v>
      </c>
      <c r="BP71" s="44" t="e">
        <f t="shared" si="180"/>
        <v>#DIV/0!</v>
      </c>
      <c r="BQ71" s="44" t="e">
        <f t="shared" si="180"/>
        <v>#DIV/0!</v>
      </c>
      <c r="BR71" s="44">
        <f t="shared" si="180"/>
        <v>51.184665096707811</v>
      </c>
      <c r="BS71" s="43">
        <f t="shared" si="180"/>
        <v>159.39177796473516</v>
      </c>
      <c r="BT71" s="44" t="e">
        <f>-365/(BT70/BT69)</f>
        <v>#DIV/0!</v>
      </c>
      <c r="BU71" s="44" t="e">
        <f>-365/(BU70/BU69)</f>
        <v>#DIV/0!</v>
      </c>
      <c r="BV71" s="44" t="e">
        <f>-365/(BV70/BV69)</f>
        <v>#DIV/0!</v>
      </c>
      <c r="BW71" s="44">
        <f>-365/(BW70/BW69)</f>
        <v>40.529012054541134</v>
      </c>
      <c r="BX71" s="43">
        <f t="shared" si="180"/>
        <v>145.31801276906359</v>
      </c>
      <c r="BY71" s="44" t="e">
        <f t="shared" si="180"/>
        <v>#DIV/0!</v>
      </c>
      <c r="BZ71" s="44" t="e">
        <f t="shared" si="180"/>
        <v>#DIV/0!</v>
      </c>
      <c r="CA71" s="44" t="e">
        <f t="shared" si="180"/>
        <v>#DIV/0!</v>
      </c>
      <c r="CB71" s="44">
        <f t="shared" si="180"/>
        <v>102.56525383480242</v>
      </c>
      <c r="CC71" s="43">
        <f t="shared" si="180"/>
        <v>109.37972571270079</v>
      </c>
      <c r="CD71" s="44">
        <f>-365/(CD70/CD69)</f>
        <v>139.19022356884804</v>
      </c>
      <c r="CE71" s="44">
        <f>-365/(CE70/CE69)</f>
        <v>117.01582154618582</v>
      </c>
      <c r="CF71" s="44">
        <f>-365/(CF70/CF69)</f>
        <v>105.26210272432147</v>
      </c>
      <c r="CG71" s="44">
        <f>-365/(CG70/CG69)</f>
        <v>137.96213555568031</v>
      </c>
      <c r="CH71" s="43">
        <f t="shared" ref="CH71:DG71" si="181">-365/(CH70/CH69)</f>
        <v>150.96381084808988</v>
      </c>
      <c r="CI71" s="44">
        <f t="shared" si="181"/>
        <v>180.32357354174323</v>
      </c>
      <c r="CJ71" s="44">
        <f t="shared" si="181"/>
        <v>118.90007661060433</v>
      </c>
      <c r="CK71" s="44">
        <f t="shared" si="181"/>
        <v>128.18659515649907</v>
      </c>
      <c r="CL71" s="44">
        <f t="shared" si="181"/>
        <v>153.4486127640231</v>
      </c>
      <c r="CM71" s="43">
        <f t="shared" si="181"/>
        <v>177.79275143925153</v>
      </c>
      <c r="CN71" s="44">
        <f>-365/(CN70/CN69)</f>
        <v>163.79562903913774</v>
      </c>
      <c r="CO71" s="44">
        <f>-365/(CO70/CO69)</f>
        <v>111.25463765412427</v>
      </c>
      <c r="CP71" s="44">
        <f>-365/(CP70/CP69)</f>
        <v>125.81787351580529</v>
      </c>
      <c r="CQ71" s="44">
        <f>-365/(CQ70/CQ69)</f>
        <v>151.24144650740388</v>
      </c>
      <c r="CR71" s="43">
        <f t="shared" si="181"/>
        <v>155.23245179885694</v>
      </c>
      <c r="CS71" s="44">
        <f t="shared" si="181"/>
        <v>175.73023571990387</v>
      </c>
      <c r="CT71" s="44">
        <f t="shared" si="181"/>
        <v>132.92251372281467</v>
      </c>
      <c r="CU71" s="44">
        <f>-365/(CU70/CU69)</f>
        <v>134.82221546755184</v>
      </c>
      <c r="CV71" s="44">
        <f>-365/(CV70/CV69)</f>
        <v>132.07648085205096</v>
      </c>
      <c r="CW71" s="43">
        <f t="shared" si="181"/>
        <v>146.24873870558667</v>
      </c>
      <c r="CX71" s="44">
        <f>-365/(CX70/CX69)</f>
        <v>142.87621115663168</v>
      </c>
      <c r="CY71" s="44">
        <f>-365/(CY70/CY69)</f>
        <v>114.0935534231908</v>
      </c>
      <c r="CZ71" s="44">
        <f>-365/(CZ70/CZ69)</f>
        <v>112.3840163080006</v>
      </c>
      <c r="DA71" s="44">
        <f>-365/(DA70/DA69)</f>
        <v>173.15553837883576</v>
      </c>
      <c r="DB71" s="43">
        <f t="shared" si="181"/>
        <v>180.44962852774336</v>
      </c>
      <c r="DC71" s="44">
        <f t="shared" si="181"/>
        <v>140.1441025387731</v>
      </c>
      <c r="DD71" s="44">
        <f t="shared" si="181"/>
        <v>133.47124134352239</v>
      </c>
      <c r="DE71" s="44">
        <f>-365/(DE70/DE69)</f>
        <v>141.96148936496985</v>
      </c>
      <c r="DF71" s="44">
        <f>-365/(DF70/DF69)</f>
        <v>146.21937530372213</v>
      </c>
      <c r="DG71" s="43">
        <f t="shared" si="181"/>
        <v>151.33155611547704</v>
      </c>
      <c r="DH71" s="44">
        <f t="shared" ref="DH71:DI71" si="182">-365/(DH70/DH69)</f>
        <v>141.98649826051209</v>
      </c>
      <c r="DI71" s="44">
        <f t="shared" si="182"/>
        <v>137.42537726600747</v>
      </c>
      <c r="DJ71" s="44">
        <f t="shared" ref="DJ71:EF71" si="183">-365/(DJ70/DJ69)</f>
        <v>153.68322622514165</v>
      </c>
      <c r="DK71" s="44">
        <f t="shared" si="183"/>
        <v>141.87128948110976</v>
      </c>
      <c r="DL71" s="43">
        <f t="shared" si="183"/>
        <v>150.15131889656675</v>
      </c>
      <c r="DM71" s="44">
        <f t="shared" si="183"/>
        <v>141.61156159995832</v>
      </c>
      <c r="DN71" s="44">
        <f t="shared" si="183"/>
        <v>140.19443357002601</v>
      </c>
      <c r="DO71" s="44">
        <f t="shared" si="183"/>
        <v>138.65580877775869</v>
      </c>
      <c r="DP71" s="44">
        <f t="shared" si="183"/>
        <v>137.81352280100916</v>
      </c>
      <c r="DQ71" s="43">
        <f t="shared" si="183"/>
        <v>143.19993029679767</v>
      </c>
      <c r="DR71" s="44">
        <f t="shared" si="183"/>
        <v>136.60707822746383</v>
      </c>
      <c r="DS71" s="44">
        <f t="shared" si="183"/>
        <v>136.1675488826553</v>
      </c>
      <c r="DT71" s="44">
        <f t="shared" si="183"/>
        <v>135.68433687862321</v>
      </c>
      <c r="DU71" s="44">
        <f t="shared" si="183"/>
        <v>135.26456305471459</v>
      </c>
      <c r="DV71" s="43">
        <f t="shared" si="183"/>
        <v>138.15284699811849</v>
      </c>
      <c r="DW71" s="44">
        <f t="shared" si="183"/>
        <v>134.89562250684224</v>
      </c>
      <c r="DX71" s="44">
        <f t="shared" si="183"/>
        <v>134.65475686879373</v>
      </c>
      <c r="DY71" s="44">
        <f t="shared" si="183"/>
        <v>134.43475462319267</v>
      </c>
      <c r="DZ71" s="44">
        <f t="shared" si="183"/>
        <v>134.23050910604871</v>
      </c>
      <c r="EA71" s="43">
        <f t="shared" si="183"/>
        <v>136.42582341088317</v>
      </c>
      <c r="EB71" s="44">
        <f t="shared" si="183"/>
        <v>134.03789208990963</v>
      </c>
      <c r="EC71" s="44">
        <f t="shared" si="183"/>
        <v>132.35327001639499</v>
      </c>
      <c r="ED71" s="44">
        <f t="shared" si="183"/>
        <v>129.22558778185635</v>
      </c>
      <c r="EE71" s="44">
        <f t="shared" si="183"/>
        <v>124.69931718037923</v>
      </c>
      <c r="EF71" s="43">
        <f t="shared" si="183"/>
        <v>126.32275483032706</v>
      </c>
    </row>
    <row r="72" spans="1:136" s="3" customFormat="1" ht="12" customHeight="1" outlineLevel="1">
      <c r="A72" s="3" t="s">
        <v>210</v>
      </c>
      <c r="B72" s="153" t="e">
        <f>-(B69-#REF!)</f>
        <v>#REF!</v>
      </c>
      <c r="C72" s="153">
        <f>-(C69-B69)</f>
        <v>0</v>
      </c>
      <c r="D72" s="153">
        <f>-(D69-C69)</f>
        <v>0</v>
      </c>
      <c r="E72" s="153">
        <f>-(E69-D69)</f>
        <v>0</v>
      </c>
      <c r="F72" s="154" t="e">
        <f>-(+F69-#REF!)</f>
        <v>#REF!</v>
      </c>
      <c r="G72" s="153">
        <f>-(G69-F69)</f>
        <v>0</v>
      </c>
      <c r="H72" s="153">
        <f>-(H69-G69)</f>
        <v>0</v>
      </c>
      <c r="I72" s="153">
        <f>-(I69-H69)</f>
        <v>0</v>
      </c>
      <c r="J72" s="153">
        <f>-(J69-I69)</f>
        <v>0</v>
      </c>
      <c r="K72" s="154">
        <f>-(+K69-F69)</f>
        <v>0</v>
      </c>
      <c r="L72" s="153">
        <f>-(L69-K69)</f>
        <v>0</v>
      </c>
      <c r="M72" s="153">
        <f>-(M69-L69)</f>
        <v>0</v>
      </c>
      <c r="N72" s="153">
        <f>-(N69-M69)</f>
        <v>0</v>
      </c>
      <c r="O72" s="153">
        <f>-(O69-N69)</f>
        <v>0</v>
      </c>
      <c r="P72" s="154">
        <f>-(+P69-K69)</f>
        <v>0</v>
      </c>
      <c r="Q72" s="153">
        <f>-(Q69-P69)</f>
        <v>0</v>
      </c>
      <c r="R72" s="153">
        <f>-(R69-Q69)</f>
        <v>0</v>
      </c>
      <c r="S72" s="153">
        <f>-(S69-R69)</f>
        <v>0</v>
      </c>
      <c r="T72" s="153">
        <f>-(T69-S69)</f>
        <v>0</v>
      </c>
      <c r="U72" s="154">
        <f>-(+U69-P69)</f>
        <v>0</v>
      </c>
      <c r="V72" s="153">
        <f>-(V69-U69)</f>
        <v>0</v>
      </c>
      <c r="W72" s="153">
        <f>-(W69-V69)</f>
        <v>0</v>
      </c>
      <c r="X72" s="153">
        <f>-(X69-W69)</f>
        <v>0</v>
      </c>
      <c r="Y72" s="153">
        <f>-(Y69-X69)</f>
        <v>0</v>
      </c>
      <c r="Z72" s="154">
        <f>-(+Z69-U69)</f>
        <v>0</v>
      </c>
      <c r="AA72" s="153">
        <f>-(AA69-Z69)</f>
        <v>0</v>
      </c>
      <c r="AB72" s="153">
        <f>-(AB69-AA69)</f>
        <v>0</v>
      </c>
      <c r="AC72" s="153">
        <f>-(AC69-AB69)</f>
        <v>0</v>
      </c>
      <c r="AD72" s="153">
        <f>-(AD69-AC69)</f>
        <v>0</v>
      </c>
      <c r="AE72" s="154">
        <f>-(+AE69-Z69)</f>
        <v>0</v>
      </c>
      <c r="AF72" s="153">
        <f>-(AF69-AE69)</f>
        <v>0</v>
      </c>
      <c r="AG72" s="153">
        <f>-(AG69-AF69)</f>
        <v>0</v>
      </c>
      <c r="AH72" s="153">
        <f>-(AH69-AG69)</f>
        <v>0</v>
      </c>
      <c r="AI72" s="153">
        <f>-(AI69-AH69)</f>
        <v>-24299.129000000001</v>
      </c>
      <c r="AJ72" s="154">
        <f>-(+AJ69-AE69)</f>
        <v>-24299.129000000001</v>
      </c>
      <c r="AK72" s="153">
        <f>-(AK69-AJ69)</f>
        <v>24299.129000000001</v>
      </c>
      <c r="AL72" s="153">
        <f>-(AL69-AK69)</f>
        <v>0</v>
      </c>
      <c r="AM72" s="153">
        <f>-(AM69-AL69)</f>
        <v>0</v>
      </c>
      <c r="AN72" s="153">
        <f>-(AN69-AM69)</f>
        <v>-68050.569000000003</v>
      </c>
      <c r="AO72" s="154">
        <f>-(+AO69-AJ69)</f>
        <v>-43751.44</v>
      </c>
      <c r="AP72" s="153">
        <f>-(AP69-AO69)</f>
        <v>68050.569000000003</v>
      </c>
      <c r="AQ72" s="153">
        <f>-(AQ69-AP69)</f>
        <v>0</v>
      </c>
      <c r="AR72" s="153">
        <f>-(AR69-AQ69)</f>
        <v>0</v>
      </c>
      <c r="AS72" s="153">
        <f>-(AS69-AR69)</f>
        <v>-175651.45699999999</v>
      </c>
      <c r="AT72" s="154">
        <f>-(+AT69-AO69)</f>
        <v>-107600.88799999999</v>
      </c>
      <c r="AU72" s="153">
        <f>-(AU69-AT69)</f>
        <v>175651.45699999999</v>
      </c>
      <c r="AV72" s="153">
        <f>-(AV69-AU69)</f>
        <v>0</v>
      </c>
      <c r="AW72" s="153">
        <f>-(AW69-AV69)</f>
        <v>0</v>
      </c>
      <c r="AX72" s="153">
        <f>-(AX69-AW69)</f>
        <v>-153972</v>
      </c>
      <c r="AY72" s="154">
        <f>-(+AY69-AT69)</f>
        <v>21679.456999999995</v>
      </c>
      <c r="AZ72" s="153">
        <f>-(AZ69-AY69)</f>
        <v>153972</v>
      </c>
      <c r="BA72" s="153">
        <f>-(BA69-AZ69)</f>
        <v>0</v>
      </c>
      <c r="BB72" s="153">
        <f>-(BB69-BA69)</f>
        <v>0</v>
      </c>
      <c r="BC72" s="153">
        <f>-(BC69-BB69)</f>
        <v>-256240</v>
      </c>
      <c r="BD72" s="154">
        <f>-(+BD69-AY69)</f>
        <v>-102268</v>
      </c>
      <c r="BE72" s="153">
        <f>-(BE69-BD69)</f>
        <v>256240</v>
      </c>
      <c r="BF72" s="153">
        <f>-(BF69-BE69)</f>
        <v>0</v>
      </c>
      <c r="BG72" s="153">
        <f>-(BG69-BF69)</f>
        <v>0</v>
      </c>
      <c r="BH72" s="153">
        <f>-(BH69-BG69)</f>
        <v>-285355</v>
      </c>
      <c r="BI72" s="154">
        <f>-(+BI69-BD69)</f>
        <v>-29115</v>
      </c>
      <c r="BJ72" s="153">
        <f>-(BJ69-BI69)</f>
        <v>285355</v>
      </c>
      <c r="BK72" s="153">
        <f>-(BK69-BJ69)</f>
        <v>0</v>
      </c>
      <c r="BL72" s="153">
        <f>-(BL69-BK69)</f>
        <v>0</v>
      </c>
      <c r="BM72" s="153">
        <f>-(BM69-BL69)</f>
        <v>-253854</v>
      </c>
      <c r="BN72" s="154">
        <f>-(+BN69-BI69)</f>
        <v>31501</v>
      </c>
      <c r="BO72" s="153">
        <f>-(BO69-BN69)</f>
        <v>253854</v>
      </c>
      <c r="BP72" s="153">
        <f>-(BP69-BO69)</f>
        <v>0</v>
      </c>
      <c r="BQ72" s="153">
        <f>-(BQ69-BP69)</f>
        <v>0</v>
      </c>
      <c r="BR72" s="153">
        <f>-(BR69-BQ69)</f>
        <v>-249149</v>
      </c>
      <c r="BS72" s="154">
        <f>-(+BS69-BN69)</f>
        <v>4705</v>
      </c>
      <c r="BT72" s="153">
        <f>-(BT69-BS69)</f>
        <v>249149</v>
      </c>
      <c r="BU72" s="153">
        <f>-(BU69-BT69)</f>
        <v>0</v>
      </c>
      <c r="BV72" s="153">
        <f>-(BV69-BU69)</f>
        <v>0</v>
      </c>
      <c r="BW72" s="153">
        <f>-(BW69-BV69)</f>
        <v>-241079</v>
      </c>
      <c r="BX72" s="154">
        <f>-(+BX69-BS69)</f>
        <v>8070</v>
      </c>
      <c r="BY72" s="153">
        <f>-(BY69-BX69)</f>
        <v>241079</v>
      </c>
      <c r="BZ72" s="153">
        <f>-(BZ69-BY69)</f>
        <v>0</v>
      </c>
      <c r="CA72" s="153">
        <f>-(CA69-BZ69)</f>
        <v>0</v>
      </c>
      <c r="CB72" s="153">
        <f>-(CB69-CA69)</f>
        <v>-198799</v>
      </c>
      <c r="CC72" s="154">
        <f>-(+CC69-BX69)</f>
        <v>42280</v>
      </c>
      <c r="CD72" s="153">
        <f>-(CD69-CC69)</f>
        <v>-11890</v>
      </c>
      <c r="CE72" s="153">
        <f>-(CE69-CD69)</f>
        <v>20663</v>
      </c>
      <c r="CF72" s="153">
        <f>-(CF69-CE69)</f>
        <v>-36678</v>
      </c>
      <c r="CG72" s="153">
        <f>-(CG69-CF69)</f>
        <v>-69554</v>
      </c>
      <c r="CH72" s="154">
        <f>-(+CH69-CC69)</f>
        <v>-97459</v>
      </c>
      <c r="CI72" s="153">
        <f>-(CI69-CH69)</f>
        <v>-123227</v>
      </c>
      <c r="CJ72" s="153">
        <f>-(CJ69-CI69)</f>
        <v>53807</v>
      </c>
      <c r="CK72" s="153">
        <f>-(CK69-CJ69)</f>
        <v>-15950</v>
      </c>
      <c r="CL72" s="153">
        <f>-(CL69-CK69)</f>
        <v>-151080</v>
      </c>
      <c r="CM72" s="154">
        <f>-(+CM69-CH69)</f>
        <v>-236450</v>
      </c>
      <c r="CN72" s="153">
        <f>-(CN69-CM69)</f>
        <v>31917</v>
      </c>
      <c r="CO72" s="153">
        <f>-(CO69-CN69)</f>
        <v>30204</v>
      </c>
      <c r="CP72" s="153">
        <f>-(CP69-CO69)</f>
        <v>-57553</v>
      </c>
      <c r="CQ72" s="153">
        <f>-(CQ69-CP69)</f>
        <v>-75949</v>
      </c>
      <c r="CR72" s="154">
        <f>-(+CR69-CM69)</f>
        <v>-71381</v>
      </c>
      <c r="CS72" s="153">
        <f>-(CS69-CR69)</f>
        <v>-108409</v>
      </c>
      <c r="CT72" s="153">
        <f>-(CT69-CS69)</f>
        <v>54895</v>
      </c>
      <c r="CU72" s="153">
        <f>-(CU69-CT69)</f>
        <v>-31422</v>
      </c>
      <c r="CV72" s="153">
        <f>-(CV69-CU69)</f>
        <v>-28523</v>
      </c>
      <c r="CW72" s="154">
        <f>-(+CW69-CR69)</f>
        <v>-113459</v>
      </c>
      <c r="CX72" s="153">
        <f>-(CX69-CW69)</f>
        <v>-93837</v>
      </c>
      <c r="CY72" s="153">
        <f>-(CY69-CX69)</f>
        <v>45334</v>
      </c>
      <c r="CZ72" s="153">
        <f>-(CZ69-CY69)</f>
        <v>-25566</v>
      </c>
      <c r="DA72" s="153">
        <f>-(DA69-CZ69)</f>
        <v>-401511</v>
      </c>
      <c r="DB72" s="154">
        <f>-(+DB69-CW69)</f>
        <v>-475580</v>
      </c>
      <c r="DC72" s="153">
        <f>-(DC69-DB69)</f>
        <v>58185</v>
      </c>
      <c r="DD72" s="153">
        <f>-(DD69-DC69)</f>
        <v>-48914</v>
      </c>
      <c r="DE72" s="153">
        <f>-(DE69-DD69)</f>
        <v>-132998</v>
      </c>
      <c r="DF72" s="153">
        <f>-(DF69-DE69)</f>
        <v>-31794</v>
      </c>
      <c r="DG72" s="154">
        <f>-(+DG69-DB69)</f>
        <v>-155521</v>
      </c>
      <c r="DH72" s="153">
        <f>-(DH69-DG69)</f>
        <v>-172939</v>
      </c>
      <c r="DI72" s="153">
        <f>-(DI69-DH69)</f>
        <v>-8531</v>
      </c>
      <c r="DJ72" s="153">
        <f>-(DJ69-DI69)</f>
        <v>-164166.65710314619</v>
      </c>
      <c r="DK72" s="153">
        <f>-(DK69-DJ69)</f>
        <v>9265.2776370621286</v>
      </c>
      <c r="DL72" s="154">
        <f>-(+DL69-DG69)</f>
        <v>-336371.37946608406</v>
      </c>
      <c r="DM72" s="153">
        <f>-(DM69-DL69)</f>
        <v>-51096.894290257012</v>
      </c>
      <c r="DN72" s="153">
        <f>-(DN69-DM69)</f>
        <v>-44077.8355541497</v>
      </c>
      <c r="DO72" s="153">
        <f>-(DO69-DN69)</f>
        <v>-39814.053994856775</v>
      </c>
      <c r="DP72" s="153">
        <f>-(DP69-DO69)</f>
        <v>-37391.683205016656</v>
      </c>
      <c r="DQ72" s="154">
        <f>-(+DQ69-DL69)</f>
        <v>-172380.46704428014</v>
      </c>
      <c r="DR72" s="153">
        <f>-(DR69-DQ69)</f>
        <v>-36449.03537180135</v>
      </c>
      <c r="DS72" s="153">
        <f>-(DS69-DR69)</f>
        <v>-37419.940649395343</v>
      </c>
      <c r="DT72" s="153">
        <f>-(DT69-DS69)</f>
        <v>-34710.981767867226</v>
      </c>
      <c r="DU72" s="153">
        <f>-(DU69-DT69)</f>
        <v>-33872.839618752012</v>
      </c>
      <c r="DV72" s="154">
        <f>-(+DV69-DQ69)</f>
        <v>-142452.79740781593</v>
      </c>
      <c r="DW72" s="153">
        <f>-(DW69-DV69)</f>
        <v>-33141.493181100581</v>
      </c>
      <c r="DX72" s="153">
        <f>-(DX69-DW69)</f>
        <v>-33826.183086085599</v>
      </c>
      <c r="DY72" s="153">
        <f>-(DY69-DX69)</f>
        <v>-33093.260628340999</v>
      </c>
      <c r="DZ72" s="153">
        <f>-(DZ69-DY69)</f>
        <v>-32422.970477879513</v>
      </c>
      <c r="EA72" s="154">
        <f>-(+EA69-DV69)</f>
        <v>-132483.90737340669</v>
      </c>
      <c r="EB72" s="153">
        <f>-(EB69-EA69)</f>
        <v>-31808.420086814091</v>
      </c>
      <c r="EC72" s="153">
        <f>-(EC69-EB69)</f>
        <v>-6638.0451176394708</v>
      </c>
      <c r="ED72" s="153">
        <f>-(ED69-EC69)</f>
        <v>18757.877928646747</v>
      </c>
      <c r="EE72" s="153">
        <f>-(EE69-ED69)</f>
        <v>44385.627463958692</v>
      </c>
      <c r="EF72" s="154">
        <f>-(+EF69-EA69)</f>
        <v>24697.040188151877</v>
      </c>
    </row>
    <row r="73" spans="1:136" ht="12" customHeight="1" outlineLevel="1">
      <c r="A73" s="1" t="s">
        <v>109</v>
      </c>
      <c r="B73" s="44">
        <f t="shared" ref="B73:K73" si="184">B12</f>
        <v>0</v>
      </c>
      <c r="C73" s="44">
        <f t="shared" si="184"/>
        <v>0</v>
      </c>
      <c r="D73" s="44">
        <f t="shared" si="184"/>
        <v>0</v>
      </c>
      <c r="E73" s="44">
        <f t="shared" si="184"/>
        <v>0</v>
      </c>
      <c r="F73" s="43">
        <f t="shared" si="184"/>
        <v>0</v>
      </c>
      <c r="G73" s="44">
        <f t="shared" si="184"/>
        <v>0</v>
      </c>
      <c r="H73" s="44">
        <f t="shared" si="184"/>
        <v>0</v>
      </c>
      <c r="I73" s="44">
        <f t="shared" si="184"/>
        <v>0</v>
      </c>
      <c r="J73" s="44">
        <f t="shared" si="184"/>
        <v>0</v>
      </c>
      <c r="K73" s="43">
        <f t="shared" si="184"/>
        <v>0</v>
      </c>
      <c r="L73" s="44">
        <f t="shared" ref="L73:AI73" si="185">L12</f>
        <v>0</v>
      </c>
      <c r="M73" s="44">
        <f t="shared" si="185"/>
        <v>0</v>
      </c>
      <c r="N73" s="44">
        <f t="shared" si="185"/>
        <v>0</v>
      </c>
      <c r="O73" s="44">
        <f t="shared" si="185"/>
        <v>0</v>
      </c>
      <c r="P73" s="43">
        <f t="shared" si="185"/>
        <v>0</v>
      </c>
      <c r="Q73" s="44">
        <f t="shared" si="185"/>
        <v>0</v>
      </c>
      <c r="R73" s="44">
        <f t="shared" si="185"/>
        <v>0</v>
      </c>
      <c r="S73" s="44">
        <f t="shared" si="185"/>
        <v>0</v>
      </c>
      <c r="T73" s="44">
        <f t="shared" si="185"/>
        <v>0</v>
      </c>
      <c r="U73" s="43">
        <f t="shared" si="185"/>
        <v>0</v>
      </c>
      <c r="V73" s="44">
        <f t="shared" si="185"/>
        <v>0</v>
      </c>
      <c r="W73" s="44">
        <f t="shared" si="185"/>
        <v>0</v>
      </c>
      <c r="X73" s="44">
        <f t="shared" si="185"/>
        <v>0</v>
      </c>
      <c r="Y73" s="44">
        <f t="shared" si="185"/>
        <v>0</v>
      </c>
      <c r="Z73" s="43">
        <f t="shared" si="185"/>
        <v>0</v>
      </c>
      <c r="AA73" s="44">
        <f t="shared" si="185"/>
        <v>0</v>
      </c>
      <c r="AB73" s="44">
        <f t="shared" si="185"/>
        <v>0</v>
      </c>
      <c r="AC73" s="44">
        <f t="shared" si="185"/>
        <v>0</v>
      </c>
      <c r="AD73" s="44">
        <f t="shared" si="185"/>
        <v>0</v>
      </c>
      <c r="AE73" s="43">
        <f t="shared" si="185"/>
        <v>0</v>
      </c>
      <c r="AF73" s="44">
        <f t="shared" si="185"/>
        <v>0</v>
      </c>
      <c r="AG73" s="44">
        <f t="shared" si="185"/>
        <v>0</v>
      </c>
      <c r="AH73" s="44">
        <f t="shared" si="185"/>
        <v>0</v>
      </c>
      <c r="AI73" s="44">
        <f t="shared" si="185"/>
        <v>0</v>
      </c>
      <c r="AJ73" s="43">
        <f>AI73</f>
        <v>0</v>
      </c>
      <c r="AK73" s="44">
        <f>AK12</f>
        <v>0</v>
      </c>
      <c r="AL73" s="44">
        <f>AL12</f>
        <v>0</v>
      </c>
      <c r="AM73" s="44">
        <f>AM12</f>
        <v>0</v>
      </c>
      <c r="AN73" s="44">
        <f>AN12</f>
        <v>0</v>
      </c>
      <c r="AO73" s="43">
        <f>AN73</f>
        <v>0</v>
      </c>
      <c r="AP73" s="44">
        <f>AP12</f>
        <v>0</v>
      </c>
      <c r="AQ73" s="44">
        <f>AQ12</f>
        <v>0</v>
      </c>
      <c r="AR73" s="44">
        <f>AR12</f>
        <v>0</v>
      </c>
      <c r="AS73" s="44">
        <f>AS12</f>
        <v>0</v>
      </c>
      <c r="AT73" s="43">
        <f>AS73</f>
        <v>0</v>
      </c>
      <c r="AU73" s="44">
        <f>AU12</f>
        <v>0</v>
      </c>
      <c r="AV73" s="44">
        <f>AV12</f>
        <v>0</v>
      </c>
      <c r="AW73" s="44">
        <f>AW12</f>
        <v>0</v>
      </c>
      <c r="AX73" s="44">
        <f>AX12</f>
        <v>0</v>
      </c>
      <c r="AY73" s="43">
        <f>AX73</f>
        <v>0</v>
      </c>
      <c r="AZ73" s="44">
        <f>AZ12</f>
        <v>0</v>
      </c>
      <c r="BA73" s="44">
        <f>BA12</f>
        <v>0</v>
      </c>
      <c r="BB73" s="44">
        <f>BB12</f>
        <v>0</v>
      </c>
      <c r="BC73" s="44">
        <f>BC12</f>
        <v>175359</v>
      </c>
      <c r="BD73" s="43">
        <f>BC73</f>
        <v>175359</v>
      </c>
      <c r="BE73" s="44">
        <f>BE12</f>
        <v>0</v>
      </c>
      <c r="BF73" s="44">
        <f>BF12</f>
        <v>0</v>
      </c>
      <c r="BG73" s="44">
        <f>BG12</f>
        <v>0</v>
      </c>
      <c r="BH73" s="44">
        <f>BH12</f>
        <v>204043</v>
      </c>
      <c r="BI73" s="43">
        <f>BH73</f>
        <v>204043</v>
      </c>
      <c r="BJ73" s="44">
        <f>BJ12</f>
        <v>0</v>
      </c>
      <c r="BK73" s="44">
        <f>BK12</f>
        <v>0</v>
      </c>
      <c r="BL73" s="44">
        <f>BL12</f>
        <v>0</v>
      </c>
      <c r="BM73" s="44">
        <f>BM12</f>
        <v>163448</v>
      </c>
      <c r="BN73" s="43">
        <f>BM73</f>
        <v>163448</v>
      </c>
      <c r="BO73" s="44">
        <f>BO12</f>
        <v>0</v>
      </c>
      <c r="BP73" s="44">
        <f>BP12</f>
        <v>0</v>
      </c>
      <c r="BQ73" s="44">
        <f>BQ12</f>
        <v>0</v>
      </c>
      <c r="BR73" s="44">
        <f>BR12</f>
        <v>135353</v>
      </c>
      <c r="BS73" s="43">
        <f>BR73</f>
        <v>135353</v>
      </c>
      <c r="BT73" s="44">
        <f>BT12</f>
        <v>0</v>
      </c>
      <c r="BU73" s="44">
        <f>BU12</f>
        <v>0</v>
      </c>
      <c r="BV73" s="44">
        <f>BV12</f>
        <v>0</v>
      </c>
      <c r="BW73" s="44">
        <f>BW12</f>
        <v>147768</v>
      </c>
      <c r="BX73" s="43">
        <f>BW73</f>
        <v>147768</v>
      </c>
      <c r="BY73" s="44">
        <f>BY12</f>
        <v>0</v>
      </c>
      <c r="BZ73" s="44">
        <f>BZ12</f>
        <v>0</v>
      </c>
      <c r="CA73" s="44">
        <f>CA12</f>
        <v>0</v>
      </c>
      <c r="CB73" s="44">
        <f>CB12</f>
        <v>93699</v>
      </c>
      <c r="CC73" s="43">
        <f>CB73</f>
        <v>93699</v>
      </c>
      <c r="CD73" s="44">
        <f>CD12</f>
        <v>134986</v>
      </c>
      <c r="CE73" s="44">
        <f>CE12</f>
        <v>87531</v>
      </c>
      <c r="CF73" s="44">
        <f>CF12</f>
        <v>129304</v>
      </c>
      <c r="CG73" s="44">
        <f>CG12</f>
        <v>152181</v>
      </c>
      <c r="CH73" s="43">
        <f>CG73</f>
        <v>152181</v>
      </c>
      <c r="CI73" s="44">
        <f>CI12</f>
        <v>265490</v>
      </c>
      <c r="CJ73" s="44">
        <f>CJ12</f>
        <v>203122</v>
      </c>
      <c r="CK73" s="44">
        <f>CK12</f>
        <v>202292</v>
      </c>
      <c r="CL73" s="44">
        <f>CL12</f>
        <v>343343</v>
      </c>
      <c r="CM73" s="43">
        <f>CL73</f>
        <v>343343</v>
      </c>
      <c r="CN73" s="44">
        <f>CN12</f>
        <v>255536</v>
      </c>
      <c r="CO73" s="44">
        <f>CO12</f>
        <v>274419</v>
      </c>
      <c r="CP73" s="44">
        <f>CP12</f>
        <v>277990</v>
      </c>
      <c r="CQ73" s="44">
        <f>CQ12</f>
        <v>372885</v>
      </c>
      <c r="CR73" s="43">
        <f>CQ73</f>
        <v>372885</v>
      </c>
      <c r="CS73" s="44">
        <f>CS12</f>
        <v>424492</v>
      </c>
      <c r="CT73" s="44">
        <f>CT12</f>
        <v>319737</v>
      </c>
      <c r="CU73" s="44">
        <f>CU12</f>
        <v>335412</v>
      </c>
      <c r="CV73" s="44">
        <f>CV12</f>
        <v>396885</v>
      </c>
      <c r="CW73" s="43">
        <f>CV73</f>
        <v>396885</v>
      </c>
      <c r="CX73" s="44">
        <f>CX12</f>
        <v>481860</v>
      </c>
      <c r="CY73" s="44">
        <f>CY12</f>
        <v>464458</v>
      </c>
      <c r="CZ73" s="44">
        <f>CZ12</f>
        <v>483282</v>
      </c>
      <c r="DA73" s="44">
        <f>DA12</f>
        <v>836484</v>
      </c>
      <c r="DB73" s="43">
        <f>DA73</f>
        <v>836484</v>
      </c>
      <c r="DC73" s="44">
        <f>DC12</f>
        <v>672097</v>
      </c>
      <c r="DD73" s="44">
        <f>DD12</f>
        <v>671814</v>
      </c>
      <c r="DE73" s="44">
        <f>DE12</f>
        <v>742901</v>
      </c>
      <c r="DF73" s="44">
        <f>DF12</f>
        <v>829071</v>
      </c>
      <c r="DG73" s="43">
        <f>DF73</f>
        <v>829071</v>
      </c>
      <c r="DH73" s="44">
        <f>DH12</f>
        <v>955586</v>
      </c>
      <c r="DI73" s="44">
        <f>DI12</f>
        <v>800816</v>
      </c>
      <c r="DJ73" s="44">
        <f>DJ74*Forecasts!DJ48</f>
        <v>912004.70709849894</v>
      </c>
      <c r="DK73" s="44">
        <f>DK74*Forecasts!DK48</f>
        <v>923116.96824128716</v>
      </c>
      <c r="DL73" s="43">
        <f>DK73</f>
        <v>923116.96824128716</v>
      </c>
      <c r="DM73" s="44">
        <f>DM74*Forecasts!DM48</f>
        <v>924496.99573188578</v>
      </c>
      <c r="DN73" s="44">
        <f>DN74*Forecasts!DN48</f>
        <v>925892.29321355664</v>
      </c>
      <c r="DO73" s="44">
        <f>DO74*Forecasts!DO48</f>
        <v>927303.0296486055</v>
      </c>
      <c r="DP73" s="44">
        <f>DP74*Forecasts!DP48</f>
        <v>928729.37586890487</v>
      </c>
      <c r="DQ73" s="43">
        <f>DP73</f>
        <v>928729.37586890487</v>
      </c>
      <c r="DR73" s="44">
        <f>DR74*Forecasts!DR48</f>
        <v>930171.50459658063</v>
      </c>
      <c r="DS73" s="44">
        <f>DS74*Forecasts!DS48</f>
        <v>931629.59046492632</v>
      </c>
      <c r="DT73" s="44">
        <f>DT74*Forecasts!DT48</f>
        <v>933103.81003955263</v>
      </c>
      <c r="DU73" s="44">
        <f>DU74*Forecasts!DU48</f>
        <v>934594.34183976566</v>
      </c>
      <c r="DV73" s="43">
        <f>DU73</f>
        <v>934594.34183976566</v>
      </c>
      <c r="DW73" s="44">
        <f>DW74*Forecasts!DW48</f>
        <v>936101.3663601866</v>
      </c>
      <c r="DX73" s="44">
        <f>DX74*Forecasts!DX48</f>
        <v>937625.06609260803</v>
      </c>
      <c r="DY73" s="44">
        <f>DY74*Forecasts!DY48</f>
        <v>939165.6255480923</v>
      </c>
      <c r="DZ73" s="44">
        <f>DZ74*Forecasts!DZ48</f>
        <v>940723.23127931484</v>
      </c>
      <c r="EA73" s="43">
        <f>DZ73</f>
        <v>940723.23127931484</v>
      </c>
      <c r="EB73" s="44">
        <f>EB74*Forecasts!EB48</f>
        <v>942298.07190315495</v>
      </c>
      <c r="EC73" s="44">
        <f>EC74*Forecasts!EC48</f>
        <v>919283.83372647362</v>
      </c>
      <c r="ED73" s="44">
        <f>ED74*Forecasts!ED48</f>
        <v>871408.43882596039</v>
      </c>
      <c r="EE73" s="44">
        <f>EE74*Forecasts!EE48</f>
        <v>798396.79873866809</v>
      </c>
      <c r="EF73" s="43">
        <f>EE73</f>
        <v>798396.79873866809</v>
      </c>
    </row>
    <row r="74" spans="1:136" ht="12" customHeight="1" outlineLevel="1">
      <c r="A74" s="143" t="s">
        <v>95</v>
      </c>
      <c r="B74" s="158" t="e">
        <f>B73/Forecasts!B48</f>
        <v>#DIV/0!</v>
      </c>
      <c r="C74" s="158" t="e">
        <f>C73/Forecasts!C48</f>
        <v>#DIV/0!</v>
      </c>
      <c r="D74" s="158" t="e">
        <f>D73/Forecasts!D48</f>
        <v>#DIV/0!</v>
      </c>
      <c r="E74" s="158" t="e">
        <f>E73/Forecasts!E48</f>
        <v>#DIV/0!</v>
      </c>
      <c r="F74" s="159" t="e">
        <f>F73/Forecasts!F48</f>
        <v>#DIV/0!</v>
      </c>
      <c r="G74" s="158" t="e">
        <f>G73/Forecasts!G48</f>
        <v>#DIV/0!</v>
      </c>
      <c r="H74" s="158" t="e">
        <f>H73/Forecasts!H48</f>
        <v>#DIV/0!</v>
      </c>
      <c r="I74" s="158" t="e">
        <f>I73/Forecasts!I48</f>
        <v>#DIV/0!</v>
      </c>
      <c r="J74" s="158" t="e">
        <f>J73/Forecasts!J48</f>
        <v>#DIV/0!</v>
      </c>
      <c r="K74" s="159" t="e">
        <f>K73/Forecasts!K48</f>
        <v>#DIV/0!</v>
      </c>
      <c r="L74" s="158" t="e">
        <f>L73/Forecasts!L48</f>
        <v>#DIV/0!</v>
      </c>
      <c r="M74" s="158" t="e">
        <f>M73/Forecasts!M48</f>
        <v>#DIV/0!</v>
      </c>
      <c r="N74" s="158" t="e">
        <f>N73/Forecasts!N48</f>
        <v>#DIV/0!</v>
      </c>
      <c r="O74" s="158" t="e">
        <f>O73/Forecasts!O48</f>
        <v>#DIV/0!</v>
      </c>
      <c r="P74" s="159" t="e">
        <f>P73/Forecasts!P48</f>
        <v>#DIV/0!</v>
      </c>
      <c r="Q74" s="158" t="e">
        <f>Q73/Forecasts!Q48</f>
        <v>#DIV/0!</v>
      </c>
      <c r="R74" s="158" t="e">
        <f>R73/Forecasts!R48</f>
        <v>#DIV/0!</v>
      </c>
      <c r="S74" s="158" t="e">
        <f>S73/Forecasts!S48</f>
        <v>#DIV/0!</v>
      </c>
      <c r="T74" s="158" t="e">
        <f>T73/Forecasts!T48</f>
        <v>#DIV/0!</v>
      </c>
      <c r="U74" s="159" t="e">
        <f>U73/Forecasts!U48</f>
        <v>#DIV/0!</v>
      </c>
      <c r="V74" s="158" t="e">
        <f>V73/Forecasts!V48</f>
        <v>#DIV/0!</v>
      </c>
      <c r="W74" s="158" t="e">
        <f>W73/Forecasts!W48</f>
        <v>#DIV/0!</v>
      </c>
      <c r="X74" s="158" t="e">
        <f>X73/Forecasts!X48</f>
        <v>#DIV/0!</v>
      </c>
      <c r="Y74" s="158" t="e">
        <f>Y73/Forecasts!Y48</f>
        <v>#DIV/0!</v>
      </c>
      <c r="Z74" s="159" t="e">
        <f>Z73/Forecasts!Z48</f>
        <v>#DIV/0!</v>
      </c>
      <c r="AA74" s="158" t="e">
        <f>AA73/Forecasts!AA48</f>
        <v>#DIV/0!</v>
      </c>
      <c r="AB74" s="158" t="e">
        <f>AB73/Forecasts!AB48</f>
        <v>#DIV/0!</v>
      </c>
      <c r="AC74" s="158" t="e">
        <f>AC73/Forecasts!AC48</f>
        <v>#DIV/0!</v>
      </c>
      <c r="AD74" s="158" t="e">
        <f>AD73/Forecasts!AD48</f>
        <v>#DIV/0!</v>
      </c>
      <c r="AE74" s="159" t="e">
        <f>AE73/Forecasts!AE48</f>
        <v>#DIV/0!</v>
      </c>
      <c r="AF74" s="158" t="e">
        <f>AF73/Forecasts!AF48</f>
        <v>#DIV/0!</v>
      </c>
      <c r="AG74" s="158" t="e">
        <f>AG73/Forecasts!AG48</f>
        <v>#DIV/0!</v>
      </c>
      <c r="AH74" s="158" t="e">
        <f>AH73/Forecasts!AH48</f>
        <v>#DIV/0!</v>
      </c>
      <c r="AI74" s="158" t="e">
        <f>AI73/Forecasts!AI48</f>
        <v>#DIV/0!</v>
      </c>
      <c r="AJ74" s="159" t="e">
        <f>AJ73/Forecasts!AJ48</f>
        <v>#DIV/0!</v>
      </c>
      <c r="AK74" s="158" t="e">
        <f>AK73/Forecasts!AK48</f>
        <v>#DIV/0!</v>
      </c>
      <c r="AL74" s="158" t="e">
        <f>AL73/Forecasts!AL48</f>
        <v>#DIV/0!</v>
      </c>
      <c r="AM74" s="158" t="e">
        <f>AM73/Forecasts!AM48</f>
        <v>#DIV/0!</v>
      </c>
      <c r="AN74" s="158" t="e">
        <f>AN73/Forecasts!AN48</f>
        <v>#DIV/0!</v>
      </c>
      <c r="AO74" s="159" t="e">
        <f>AO73/Forecasts!AO48</f>
        <v>#DIV/0!</v>
      </c>
      <c r="AP74" s="158" t="e">
        <f>AP73/Forecasts!AP48</f>
        <v>#DIV/0!</v>
      </c>
      <c r="AQ74" s="158" t="e">
        <f>AQ73/Forecasts!AQ48</f>
        <v>#DIV/0!</v>
      </c>
      <c r="AR74" s="158" t="e">
        <f>AR73/Forecasts!AR48</f>
        <v>#DIV/0!</v>
      </c>
      <c r="AS74" s="158" t="e">
        <f>AS73/Forecasts!AS48</f>
        <v>#DIV/0!</v>
      </c>
      <c r="AT74" s="159" t="e">
        <f>AT73/Forecasts!AT48</f>
        <v>#DIV/0!</v>
      </c>
      <c r="AU74" s="158" t="e">
        <f>AU73/Forecasts!AU48</f>
        <v>#DIV/0!</v>
      </c>
      <c r="AV74" s="158" t="e">
        <f>AV73/Forecasts!AV48</f>
        <v>#DIV/0!</v>
      </c>
      <c r="AW74" s="158" t="e">
        <f>AW73/Forecasts!AW48</f>
        <v>#DIV/0!</v>
      </c>
      <c r="AX74" s="158" t="e">
        <f>AX73/Forecasts!AX48</f>
        <v>#DIV/0!</v>
      </c>
      <c r="AY74" s="159" t="e">
        <f>AY73/Forecasts!AY48</f>
        <v>#DIV/0!</v>
      </c>
      <c r="AZ74" s="158" t="e">
        <f>AZ73/Forecasts!AZ48</f>
        <v>#DIV/0!</v>
      </c>
      <c r="BA74" s="158" t="e">
        <f>BA73/Forecasts!BA48</f>
        <v>#DIV/0!</v>
      </c>
      <c r="BB74" s="158" t="e">
        <f>BB73/Forecasts!BB48</f>
        <v>#DIV/0!</v>
      </c>
      <c r="BC74" s="158" t="e">
        <f>BC73/Forecasts!BC48</f>
        <v>#DIV/0!</v>
      </c>
      <c r="BD74" s="159" t="e">
        <f>BD73/Forecasts!BD48</f>
        <v>#DIV/0!</v>
      </c>
      <c r="BE74" s="158" t="e">
        <f>BE73/Forecasts!BE48</f>
        <v>#DIV/0!</v>
      </c>
      <c r="BF74" s="158" t="e">
        <f>BF73/Forecasts!BF48</f>
        <v>#DIV/0!</v>
      </c>
      <c r="BG74" s="158" t="e">
        <f>BG73/Forecasts!BG48</f>
        <v>#DIV/0!</v>
      </c>
      <c r="BH74" s="158" t="e">
        <f>BH73/Forecasts!BH48</f>
        <v>#DIV/0!</v>
      </c>
      <c r="BI74" s="159" t="e">
        <f>BI73/Forecasts!BI48</f>
        <v>#DIV/0!</v>
      </c>
      <c r="BJ74" s="158" t="e">
        <f>BJ73/Forecasts!BJ48</f>
        <v>#DIV/0!</v>
      </c>
      <c r="BK74" s="158" t="e">
        <f>BK73/Forecasts!BK48</f>
        <v>#DIV/0!</v>
      </c>
      <c r="BL74" s="158" t="e">
        <f>BL73/Forecasts!BL48</f>
        <v>#DIV/0!</v>
      </c>
      <c r="BM74" s="158" t="e">
        <f>BM73/Forecasts!BM48</f>
        <v>#DIV/0!</v>
      </c>
      <c r="BN74" s="159" t="e">
        <f>BN73/Forecasts!BN48</f>
        <v>#DIV/0!</v>
      </c>
      <c r="BO74" s="158" t="e">
        <f>BO73/Forecasts!BO48</f>
        <v>#DIV/0!</v>
      </c>
      <c r="BP74" s="158" t="e">
        <f>BP73/Forecasts!BP48</f>
        <v>#DIV/0!</v>
      </c>
      <c r="BQ74" s="158" t="e">
        <f>BQ73/Forecasts!BQ48</f>
        <v>#DIV/0!</v>
      </c>
      <c r="BR74" s="158" t="e">
        <f>BR73/Forecasts!BR48</f>
        <v>#DIV/0!</v>
      </c>
      <c r="BS74" s="159" t="e">
        <f>BS73/Forecasts!BS48</f>
        <v>#DIV/0!</v>
      </c>
      <c r="BT74" s="158" t="e">
        <f>BT73/Forecasts!BT48</f>
        <v>#DIV/0!</v>
      </c>
      <c r="BU74" s="158" t="e">
        <f>BU73/Forecasts!BU48</f>
        <v>#DIV/0!</v>
      </c>
      <c r="BV74" s="158" t="e">
        <f>BV73/Forecasts!BV48</f>
        <v>#DIV/0!</v>
      </c>
      <c r="BW74" s="427" t="e">
        <f>BW73/Forecasts!BW48</f>
        <v>#DIV/0!</v>
      </c>
      <c r="BX74" s="159" t="e">
        <f>BX73/Forecasts!BX48</f>
        <v>#DIV/0!</v>
      </c>
      <c r="BY74" s="158" t="e">
        <f>BY73/Forecasts!BY48</f>
        <v>#DIV/0!</v>
      </c>
      <c r="BZ74" s="158" t="e">
        <f>BZ73/Forecasts!BZ48</f>
        <v>#DIV/0!</v>
      </c>
      <c r="CA74" s="158">
        <f>CA73/Forecasts!CA48</f>
        <v>0</v>
      </c>
      <c r="CB74" s="158">
        <f>CB73/Forecasts!CB48</f>
        <v>1.6438421052631578E-2</v>
      </c>
      <c r="CC74" s="159">
        <f>CC73/Forecasts!CC48</f>
        <v>1.6438421052631578E-2</v>
      </c>
      <c r="CD74" s="158" t="e">
        <f ca="1">CD73/Forecasts!CD48</f>
        <v>#DIV/0!</v>
      </c>
      <c r="CE74" s="158">
        <f>CE73/Forecasts!CE48</f>
        <v>1.1017117684078037E-2</v>
      </c>
      <c r="CF74" s="158">
        <f>CF73/Forecasts!CF48</f>
        <v>1.4646448170621199E-2</v>
      </c>
      <c r="CG74" s="158">
        <f>CG73/Forecasts!CG48</f>
        <v>1.4449941129552965E-2</v>
      </c>
      <c r="CH74" s="159">
        <f>CH73/Forecasts!CH48</f>
        <v>1.4449941129552965E-2</v>
      </c>
      <c r="CI74" s="158">
        <f>CI73/Forecasts!CI48</f>
        <v>2.6639574553481839E-2</v>
      </c>
      <c r="CJ74" s="158">
        <f>CJ73/Forecasts!CJ48</f>
        <v>1.9474784276126558E-2</v>
      </c>
      <c r="CK74" s="158">
        <f>CK73/Forecasts!CK48</f>
        <v>1.7658170391061451E-2</v>
      </c>
      <c r="CL74" s="158">
        <f>CL73/Forecasts!CL48</f>
        <v>3.5056463140698386E-2</v>
      </c>
      <c r="CM74" s="159">
        <f>CM73/Forecasts!CM48</f>
        <v>3.5056463140698386E-2</v>
      </c>
      <c r="CN74" s="158">
        <f>CN73/Forecasts!CN48</f>
        <v>2.5675017156131345E-2</v>
      </c>
      <c r="CO74" s="158">
        <f>CO73/Forecasts!CO48</f>
        <v>2.8445471293668964E-2</v>
      </c>
      <c r="CP74" s="158">
        <f>CP73/Forecasts!CP48</f>
        <v>2.6507804826882551E-2</v>
      </c>
      <c r="CQ74" s="158">
        <f>CQ73/Forecasts!CQ48</f>
        <v>3.6779411784102108E-2</v>
      </c>
      <c r="CR74" s="159">
        <f>CR73/Forecasts!CR48</f>
        <v>3.6779411784102108E-2</v>
      </c>
      <c r="CS74" s="158">
        <f>CS73/Forecasts!CS48</f>
        <v>4.2854036661029847E-2</v>
      </c>
      <c r="CT74" s="158">
        <f>CT73/Forecasts!CT48</f>
        <v>3.1400469206876724E-2</v>
      </c>
      <c r="CU74" s="158">
        <f>CU73/Forecasts!CU48</f>
        <v>2.8309364250425781E-2</v>
      </c>
      <c r="CV74" s="158">
        <f>CV73/Forecasts!CV48</f>
        <v>2.7356286186931349E-2</v>
      </c>
      <c r="CW74" s="159">
        <f>CW73/Forecasts!CW48</f>
        <v>2.7356286186931349E-2</v>
      </c>
      <c r="CX74" s="158">
        <f>CX73/Forecasts!CX48</f>
        <v>3.0814585544911559E-2</v>
      </c>
      <c r="CY74" s="158">
        <f>CY73/Forecasts!CY48</f>
        <v>2.6411268310435811E-2</v>
      </c>
      <c r="CZ74" s="158">
        <f>CZ73/Forecasts!CZ48</f>
        <v>2.4762104831685196E-2</v>
      </c>
      <c r="DA74" s="158">
        <f>DA73/Forecasts!DA48</f>
        <v>4.1569792867649981E-2</v>
      </c>
      <c r="DB74" s="159">
        <f>DB73/Forecasts!DB48</f>
        <v>4.1569792867649981E-2</v>
      </c>
      <c r="DC74" s="158">
        <f>DC73/Forecasts!DC48</f>
        <v>3.3935209262167199E-2</v>
      </c>
      <c r="DD74" s="158">
        <f>DD73/Forecasts!DD48</f>
        <v>3.1817811540938885E-2</v>
      </c>
      <c r="DE74" s="158">
        <f>DE73/Forecasts!DE48</f>
        <v>3.182447512605114E-2</v>
      </c>
      <c r="DF74" s="158">
        <f>DF73/Forecasts!DF48</f>
        <v>3.3645586880562309E-2</v>
      </c>
      <c r="DG74" s="159">
        <f>DG73/Forecasts!DG48</f>
        <v>3.3645586880562309E-2</v>
      </c>
      <c r="DH74" s="158">
        <f>DH73/Forecasts!DH48</f>
        <v>3.8339070637041318E-2</v>
      </c>
      <c r="DI74" s="158">
        <f>DI73/Forecasts!DI48</f>
        <v>3.0691071866568557E-2</v>
      </c>
      <c r="DJ74" s="160">
        <v>3.5000000000000003E-2</v>
      </c>
      <c r="DK74" s="160">
        <v>3.5000000000000003E-2</v>
      </c>
      <c r="DL74" s="159">
        <f>DL73/Forecasts!DL48</f>
        <v>3.5000000000000003E-2</v>
      </c>
      <c r="DM74" s="160">
        <f>DK74</f>
        <v>3.5000000000000003E-2</v>
      </c>
      <c r="DN74" s="160">
        <f>DM74</f>
        <v>3.5000000000000003E-2</v>
      </c>
      <c r="DO74" s="160">
        <f>DN74</f>
        <v>3.5000000000000003E-2</v>
      </c>
      <c r="DP74" s="160">
        <f>DO74</f>
        <v>3.5000000000000003E-2</v>
      </c>
      <c r="DQ74" s="159">
        <f>DQ73/Forecasts!DQ48</f>
        <v>3.5000000000000003E-2</v>
      </c>
      <c r="DR74" s="160">
        <f>DP74</f>
        <v>3.5000000000000003E-2</v>
      </c>
      <c r="DS74" s="160">
        <f>DR74</f>
        <v>3.5000000000000003E-2</v>
      </c>
      <c r="DT74" s="160">
        <f>DS74</f>
        <v>3.5000000000000003E-2</v>
      </c>
      <c r="DU74" s="160">
        <f>DT74</f>
        <v>3.5000000000000003E-2</v>
      </c>
      <c r="DV74" s="159">
        <f>DV73/Forecasts!DV48</f>
        <v>3.5000000000000003E-2</v>
      </c>
      <c r="DW74" s="160">
        <f>DU74</f>
        <v>3.5000000000000003E-2</v>
      </c>
      <c r="DX74" s="160">
        <f>DW74</f>
        <v>3.5000000000000003E-2</v>
      </c>
      <c r="DY74" s="160">
        <f>DX74</f>
        <v>3.5000000000000003E-2</v>
      </c>
      <c r="DZ74" s="160">
        <f>DY74</f>
        <v>3.5000000000000003E-2</v>
      </c>
      <c r="EA74" s="159">
        <f>EA73/Forecasts!EA48</f>
        <v>3.5000000000000003E-2</v>
      </c>
      <c r="EB74" s="160">
        <f>DZ74</f>
        <v>3.5000000000000003E-2</v>
      </c>
      <c r="EC74" s="160">
        <f>EB74</f>
        <v>3.5000000000000003E-2</v>
      </c>
      <c r="ED74" s="160">
        <f>EC74</f>
        <v>3.5000000000000003E-2</v>
      </c>
      <c r="EE74" s="160">
        <f>ED74</f>
        <v>3.5000000000000003E-2</v>
      </c>
      <c r="EF74" s="159">
        <f>EF73/Forecasts!EF48</f>
        <v>3.5000000000000003E-2</v>
      </c>
    </row>
    <row r="75" spans="1:136" ht="12" customHeight="1" outlineLevel="1">
      <c r="A75" s="1" t="s">
        <v>110</v>
      </c>
      <c r="B75" s="44">
        <f t="shared" ref="B75:K75" si="186">B13</f>
        <v>0</v>
      </c>
      <c r="C75" s="44">
        <f t="shared" si="186"/>
        <v>0</v>
      </c>
      <c r="D75" s="44">
        <f t="shared" si="186"/>
        <v>0</v>
      </c>
      <c r="E75" s="44">
        <f t="shared" si="186"/>
        <v>0</v>
      </c>
      <c r="F75" s="43">
        <f t="shared" si="186"/>
        <v>0</v>
      </c>
      <c r="G75" s="44">
        <f t="shared" si="186"/>
        <v>0</v>
      </c>
      <c r="H75" s="44">
        <f t="shared" si="186"/>
        <v>0</v>
      </c>
      <c r="I75" s="44">
        <f t="shared" si="186"/>
        <v>0</v>
      </c>
      <c r="J75" s="44">
        <f t="shared" si="186"/>
        <v>0</v>
      </c>
      <c r="K75" s="43">
        <f t="shared" si="186"/>
        <v>0</v>
      </c>
      <c r="L75" s="44">
        <f t="shared" ref="L75:AI75" si="187">L13</f>
        <v>0</v>
      </c>
      <c r="M75" s="44">
        <f t="shared" si="187"/>
        <v>0</v>
      </c>
      <c r="N75" s="44">
        <f t="shared" si="187"/>
        <v>0</v>
      </c>
      <c r="O75" s="44">
        <f t="shared" si="187"/>
        <v>0</v>
      </c>
      <c r="P75" s="43">
        <f t="shared" si="187"/>
        <v>0</v>
      </c>
      <c r="Q75" s="44">
        <f t="shared" si="187"/>
        <v>0</v>
      </c>
      <c r="R75" s="44">
        <f t="shared" si="187"/>
        <v>0</v>
      </c>
      <c r="S75" s="44">
        <f t="shared" si="187"/>
        <v>0</v>
      </c>
      <c r="T75" s="44">
        <f t="shared" si="187"/>
        <v>0</v>
      </c>
      <c r="U75" s="43">
        <f t="shared" si="187"/>
        <v>0</v>
      </c>
      <c r="V75" s="44">
        <f t="shared" si="187"/>
        <v>0</v>
      </c>
      <c r="W75" s="44">
        <f t="shared" si="187"/>
        <v>0</v>
      </c>
      <c r="X75" s="44">
        <f t="shared" si="187"/>
        <v>0</v>
      </c>
      <c r="Y75" s="44">
        <f t="shared" si="187"/>
        <v>0</v>
      </c>
      <c r="Z75" s="43">
        <f t="shared" si="187"/>
        <v>0</v>
      </c>
      <c r="AA75" s="44">
        <f t="shared" si="187"/>
        <v>0</v>
      </c>
      <c r="AB75" s="44">
        <f t="shared" si="187"/>
        <v>0</v>
      </c>
      <c r="AC75" s="44">
        <f t="shared" si="187"/>
        <v>0</v>
      </c>
      <c r="AD75" s="44">
        <f t="shared" si="187"/>
        <v>0</v>
      </c>
      <c r="AE75" s="43">
        <f t="shared" si="187"/>
        <v>0</v>
      </c>
      <c r="AF75" s="44">
        <f t="shared" si="187"/>
        <v>0</v>
      </c>
      <c r="AG75" s="44">
        <f t="shared" si="187"/>
        <v>0</v>
      </c>
      <c r="AH75" s="44">
        <f t="shared" si="187"/>
        <v>0</v>
      </c>
      <c r="AI75" s="44">
        <f t="shared" si="187"/>
        <v>24299.129000000001</v>
      </c>
      <c r="AJ75" s="43">
        <f>AI75</f>
        <v>24299.129000000001</v>
      </c>
      <c r="AK75" s="44">
        <f>AK13</f>
        <v>0</v>
      </c>
      <c r="AL75" s="44">
        <f>AL13</f>
        <v>0</v>
      </c>
      <c r="AM75" s="44">
        <f>AM13</f>
        <v>0</v>
      </c>
      <c r="AN75" s="44">
        <f>AN13</f>
        <v>68050.569000000003</v>
      </c>
      <c r="AO75" s="43">
        <f>AN75</f>
        <v>68050.569000000003</v>
      </c>
      <c r="AP75" s="44">
        <f>AP13</f>
        <v>0</v>
      </c>
      <c r="AQ75" s="44">
        <f>AQ13</f>
        <v>0</v>
      </c>
      <c r="AR75" s="44">
        <f>AR13</f>
        <v>0</v>
      </c>
      <c r="AS75" s="44">
        <f>AS13</f>
        <v>175651.45699999999</v>
      </c>
      <c r="AT75" s="43">
        <f>AS75</f>
        <v>175651.45699999999</v>
      </c>
      <c r="AU75" s="44">
        <f>AU13</f>
        <v>0</v>
      </c>
      <c r="AV75" s="44">
        <f>AV13</f>
        <v>0</v>
      </c>
      <c r="AW75" s="44">
        <f>AW13</f>
        <v>0</v>
      </c>
      <c r="AX75" s="44">
        <f>AX13</f>
        <v>153972</v>
      </c>
      <c r="AY75" s="43">
        <f>AX75</f>
        <v>153972</v>
      </c>
      <c r="AZ75" s="44">
        <f>AZ13</f>
        <v>0</v>
      </c>
      <c r="BA75" s="44">
        <f>BA13</f>
        <v>0</v>
      </c>
      <c r="BB75" s="44">
        <f>BB13</f>
        <v>0</v>
      </c>
      <c r="BC75" s="44">
        <f>BC13</f>
        <v>80881</v>
      </c>
      <c r="BD75" s="43">
        <f>BC75</f>
        <v>80881</v>
      </c>
      <c r="BE75" s="44">
        <f>BE13</f>
        <v>0</v>
      </c>
      <c r="BF75" s="44">
        <f>BF13</f>
        <v>0</v>
      </c>
      <c r="BG75" s="44">
        <f>BG13</f>
        <v>0</v>
      </c>
      <c r="BH75" s="44">
        <f>BH13</f>
        <v>81312</v>
      </c>
      <c r="BI75" s="43">
        <f>BH75</f>
        <v>81312</v>
      </c>
      <c r="BJ75" s="44">
        <f>BJ13</f>
        <v>0</v>
      </c>
      <c r="BK75" s="44">
        <f>BK13</f>
        <v>0</v>
      </c>
      <c r="BL75" s="44">
        <f>BL13</f>
        <v>0</v>
      </c>
      <c r="BM75" s="44">
        <f>BM13</f>
        <v>90406</v>
      </c>
      <c r="BN75" s="43">
        <f>BM75</f>
        <v>90406</v>
      </c>
      <c r="BO75" s="44">
        <f>BO13</f>
        <v>0</v>
      </c>
      <c r="BP75" s="44">
        <f>BP13</f>
        <v>0</v>
      </c>
      <c r="BQ75" s="44">
        <f>BQ13</f>
        <v>0</v>
      </c>
      <c r="BR75" s="44">
        <f>BR13</f>
        <v>113796</v>
      </c>
      <c r="BS75" s="43">
        <f>BR75</f>
        <v>113796</v>
      </c>
      <c r="BT75" s="44">
        <f>BT13</f>
        <v>0</v>
      </c>
      <c r="BU75" s="44">
        <f>BU13</f>
        <v>0</v>
      </c>
      <c r="BV75" s="44">
        <f>BV13</f>
        <v>0</v>
      </c>
      <c r="BW75" s="44">
        <f>BW13</f>
        <v>93311</v>
      </c>
      <c r="BX75" s="43">
        <f>BW75</f>
        <v>93311</v>
      </c>
      <c r="BY75" s="44">
        <f>BY13</f>
        <v>0</v>
      </c>
      <c r="BZ75" s="44">
        <f>BZ13</f>
        <v>0</v>
      </c>
      <c r="CA75" s="44">
        <f>CA13</f>
        <v>0</v>
      </c>
      <c r="CB75" s="44">
        <f>CB13</f>
        <v>100326</v>
      </c>
      <c r="CC75" s="43">
        <f>CB75</f>
        <v>100326</v>
      </c>
      <c r="CD75" s="44">
        <f>CD13</f>
        <v>75703</v>
      </c>
      <c r="CE75" s="44">
        <f>CE13</f>
        <v>102495</v>
      </c>
      <c r="CF75" s="44">
        <f>CF13</f>
        <v>89754</v>
      </c>
      <c r="CG75" s="44">
        <f>CG13</f>
        <v>136569</v>
      </c>
      <c r="CH75" s="43">
        <f>CG75</f>
        <v>136569</v>
      </c>
      <c r="CI75" s="44">
        <f>CI13</f>
        <v>141608</v>
      </c>
      <c r="CJ75" s="44">
        <f>CJ13</f>
        <v>151854</v>
      </c>
      <c r="CK75" s="44">
        <f>CK13</f>
        <v>168352</v>
      </c>
      <c r="CL75" s="44">
        <f>CL13</f>
        <v>175219</v>
      </c>
      <c r="CM75" s="43">
        <f>CL75</f>
        <v>175219</v>
      </c>
      <c r="CN75" s="44">
        <f>CN13</f>
        <v>233624</v>
      </c>
      <c r="CO75" s="44">
        <f>CO13</f>
        <v>185800</v>
      </c>
      <c r="CP75" s="44">
        <f>CP13</f>
        <v>238927</v>
      </c>
      <c r="CQ75" s="44">
        <f>CQ13</f>
        <v>220026</v>
      </c>
      <c r="CR75" s="43">
        <f>CQ75</f>
        <v>220026</v>
      </c>
      <c r="CS75" s="44">
        <f>CS13</f>
        <v>277060</v>
      </c>
      <c r="CT75" s="44">
        <f>CT13</f>
        <v>326500</v>
      </c>
      <c r="CU75" s="44">
        <f>CU13</f>
        <v>341906</v>
      </c>
      <c r="CV75" s="44">
        <f>CV13</f>
        <v>309364</v>
      </c>
      <c r="CW75" s="43">
        <f>CV75</f>
        <v>309364</v>
      </c>
      <c r="CX75" s="44">
        <f>CX13</f>
        <v>319575</v>
      </c>
      <c r="CY75" s="44">
        <f>CY13</f>
        <v>289267</v>
      </c>
      <c r="CZ75" s="44">
        <f>CZ13</f>
        <v>296756</v>
      </c>
      <c r="DA75" s="44">
        <f>DA13</f>
        <v>346247</v>
      </c>
      <c r="DB75" s="43">
        <f>DA75</f>
        <v>346247</v>
      </c>
      <c r="DC75" s="44">
        <f>DC13</f>
        <v>452810</v>
      </c>
      <c r="DD75" s="44">
        <f>DD13</f>
        <v>491168</v>
      </c>
      <c r="DE75" s="44">
        <f>DE13</f>
        <v>555062</v>
      </c>
      <c r="DF75" s="44">
        <f>DF13</f>
        <v>488926</v>
      </c>
      <c r="DG75" s="43">
        <f>DF75</f>
        <v>488926</v>
      </c>
      <c r="DH75" s="44">
        <f>DH13</f>
        <v>538848</v>
      </c>
      <c r="DI75" s="44">
        <f>DI13</f>
        <v>696895</v>
      </c>
      <c r="DJ75" s="44">
        <f>DJ76*Forecasts!DJ24</f>
        <v>735975.8083466586</v>
      </c>
      <c r="DK75" s="44">
        <f>DK76*Forecasts!DK24</f>
        <v>687755.86220401502</v>
      </c>
      <c r="DL75" s="43">
        <f>DK75</f>
        <v>687755.86220401502</v>
      </c>
      <c r="DM75" s="44">
        <f>DM76*Forecasts!DM24</f>
        <v>709296.06803350674</v>
      </c>
      <c r="DN75" s="44">
        <f>DN76*Forecasts!DN24</f>
        <v>725688.75742731895</v>
      </c>
      <c r="DO75" s="44">
        <f>DO76*Forecasts!DO24</f>
        <v>739848.92926899483</v>
      </c>
      <c r="DP75" s="44">
        <f>DP76*Forecasts!DP24</f>
        <v>752669.17958183971</v>
      </c>
      <c r="DQ75" s="43">
        <f>DP75</f>
        <v>752669.17958183971</v>
      </c>
      <c r="DR75" s="44">
        <f>DR76*Forecasts!DR24</f>
        <v>764681.532266867</v>
      </c>
      <c r="DS75" s="44">
        <f>DS76*Forecasts!DS24</f>
        <v>776191.22366407455</v>
      </c>
      <c r="DT75" s="44">
        <f>DT76*Forecasts!DT24</f>
        <v>787377.57331864536</v>
      </c>
      <c r="DU75" s="44">
        <f>DU76*Forecasts!DU24</f>
        <v>798349.12171376531</v>
      </c>
      <c r="DV75" s="43">
        <f>DU75</f>
        <v>798349.12171376531</v>
      </c>
      <c r="DW75" s="44">
        <f>DW76*Forecasts!DW24</f>
        <v>809174.32576977042</v>
      </c>
      <c r="DX75" s="44">
        <f>DX76*Forecasts!DX24</f>
        <v>819898.66092450276</v>
      </c>
      <c r="DY75" s="44">
        <f>DY76*Forecasts!DY24</f>
        <v>830554.17865731346</v>
      </c>
      <c r="DZ75" s="44">
        <f>DZ76*Forecasts!DZ24</f>
        <v>841164.87325321278</v>
      </c>
      <c r="EA75" s="43">
        <f>DZ75</f>
        <v>841164.87325321278</v>
      </c>
      <c r="EB75" s="44">
        <f>EB76*Forecasts!EB24</f>
        <v>851749.71823688364</v>
      </c>
      <c r="EC75" s="44">
        <f>EC76*Forecasts!EC24</f>
        <v>862324.40472559177</v>
      </c>
      <c r="ED75" s="44">
        <f>ED76*Forecasts!ED24</f>
        <v>872902.3546617676</v>
      </c>
      <c r="EE75" s="44">
        <f>EE76*Forecasts!EE24</f>
        <v>883495.32715375908</v>
      </c>
      <c r="EF75" s="43">
        <f>EE75</f>
        <v>883495.32715375908</v>
      </c>
    </row>
    <row r="76" spans="1:136" ht="12" customHeight="1" outlineLevel="1">
      <c r="A76" s="143" t="s">
        <v>139</v>
      </c>
      <c r="B76" s="158" t="e">
        <f>-365/(B70/B75)</f>
        <v>#REF!</v>
      </c>
      <c r="C76" s="158" t="e">
        <f>-365/(C70/C75)</f>
        <v>#REF!</v>
      </c>
      <c r="D76" s="158" t="e">
        <f>-365/(D70/D75)</f>
        <v>#REF!</v>
      </c>
      <c r="E76" s="158" t="e">
        <f>-365/(E70/E75)</f>
        <v>#DIV/0!</v>
      </c>
      <c r="F76" s="159" t="e">
        <f>F75/Forecasts!F24</f>
        <v>#DIV/0!</v>
      </c>
      <c r="G76" s="158" t="e">
        <f>G75/Forecasts!G24</f>
        <v>#DIV/0!</v>
      </c>
      <c r="H76" s="158" t="e">
        <f>H75/Forecasts!H24</f>
        <v>#DIV/0!</v>
      </c>
      <c r="I76" s="158" t="e">
        <f>I75/Forecasts!I24</f>
        <v>#DIV/0!</v>
      </c>
      <c r="J76" s="158" t="e">
        <f>J75/Forecasts!J24</f>
        <v>#DIV/0!</v>
      </c>
      <c r="K76" s="159" t="e">
        <f>K75/Forecasts!K24</f>
        <v>#DIV/0!</v>
      </c>
      <c r="L76" s="158" t="e">
        <f>L75/Forecasts!L24</f>
        <v>#DIV/0!</v>
      </c>
      <c r="M76" s="158" t="e">
        <f>M75/Forecasts!M24</f>
        <v>#DIV/0!</v>
      </c>
      <c r="N76" s="158" t="e">
        <f>N75/Forecasts!N24</f>
        <v>#DIV/0!</v>
      </c>
      <c r="O76" s="158" t="e">
        <f>O75/Forecasts!O24</f>
        <v>#DIV/0!</v>
      </c>
      <c r="P76" s="159" t="e">
        <f>P75/Forecasts!P24</f>
        <v>#DIV/0!</v>
      </c>
      <c r="Q76" s="158" t="e">
        <f>Q75/Forecasts!Q24</f>
        <v>#DIV/0!</v>
      </c>
      <c r="R76" s="158" t="e">
        <f>R75/Forecasts!R24</f>
        <v>#DIV/0!</v>
      </c>
      <c r="S76" s="158" t="e">
        <f>S75/Forecasts!S24</f>
        <v>#DIV/0!</v>
      </c>
      <c r="T76" s="158" t="e">
        <f>T75/Forecasts!T24</f>
        <v>#DIV/0!</v>
      </c>
      <c r="U76" s="159" t="e">
        <f>U75/Forecasts!U24</f>
        <v>#DIV/0!</v>
      </c>
      <c r="V76" s="158" t="e">
        <f>V75/Forecasts!V24</f>
        <v>#DIV/0!</v>
      </c>
      <c r="W76" s="158" t="e">
        <f>W75/Forecasts!W24</f>
        <v>#DIV/0!</v>
      </c>
      <c r="X76" s="158" t="e">
        <f>X75/Forecasts!X24</f>
        <v>#DIV/0!</v>
      </c>
      <c r="Y76" s="158" t="e">
        <f>Y75/Forecasts!Y24</f>
        <v>#DIV/0!</v>
      </c>
      <c r="Z76" s="159" t="e">
        <f>Z75/Forecasts!Z24</f>
        <v>#DIV/0!</v>
      </c>
      <c r="AA76" s="158" t="e">
        <f>AA75/Forecasts!AA24</f>
        <v>#DIV/0!</v>
      </c>
      <c r="AB76" s="158" t="e">
        <f>AB75/Forecasts!AB24</f>
        <v>#DIV/0!</v>
      </c>
      <c r="AC76" s="158" t="e">
        <f>AC75/Forecasts!AC24</f>
        <v>#DIV/0!</v>
      </c>
      <c r="AD76" s="158" t="e">
        <f>AD75/Forecasts!AD24</f>
        <v>#DIV/0!</v>
      </c>
      <c r="AE76" s="159" t="e">
        <f>AE75/Forecasts!AE24</f>
        <v>#DIV/0!</v>
      </c>
      <c r="AF76" s="158" t="e">
        <f>AF75/Forecasts!AF24</f>
        <v>#DIV/0!</v>
      </c>
      <c r="AG76" s="158" t="e">
        <f>AG75/Forecasts!AG24</f>
        <v>#DIV/0!</v>
      </c>
      <c r="AH76" s="158" t="e">
        <f>AH75/Forecasts!AH24</f>
        <v>#DIV/0!</v>
      </c>
      <c r="AI76" s="158" t="e">
        <f>AI75/Forecasts!AI24</f>
        <v>#DIV/0!</v>
      </c>
      <c r="AJ76" s="159" t="e">
        <f>AJ75/Forecasts!AJ24</f>
        <v>#DIV/0!</v>
      </c>
      <c r="AK76" s="158" t="e">
        <f>AK75/Forecasts!AK24</f>
        <v>#DIV/0!</v>
      </c>
      <c r="AL76" s="158" t="e">
        <f>AL75/Forecasts!AL24</f>
        <v>#DIV/0!</v>
      </c>
      <c r="AM76" s="158" t="e">
        <f>AM75/Forecasts!AM24</f>
        <v>#DIV/0!</v>
      </c>
      <c r="AN76" s="158" t="e">
        <f>AN75/Forecasts!AN24</f>
        <v>#DIV/0!</v>
      </c>
      <c r="AO76" s="159" t="e">
        <f>AO75/Forecasts!AO24</f>
        <v>#DIV/0!</v>
      </c>
      <c r="AP76" s="158" t="e">
        <f>AP75/Forecasts!AP24</f>
        <v>#DIV/0!</v>
      </c>
      <c r="AQ76" s="158" t="e">
        <f>AQ75/Forecasts!AQ24</f>
        <v>#DIV/0!</v>
      </c>
      <c r="AR76" s="158" t="e">
        <f>AR75/Forecasts!AR24</f>
        <v>#DIV/0!</v>
      </c>
      <c r="AS76" s="158" t="e">
        <f>AS75/Forecasts!AS24</f>
        <v>#DIV/0!</v>
      </c>
      <c r="AT76" s="159" t="e">
        <f>AT75/Forecasts!AT24</f>
        <v>#DIV/0!</v>
      </c>
      <c r="AU76" s="158" t="e">
        <f>AU75/Forecasts!AU24</f>
        <v>#DIV/0!</v>
      </c>
      <c r="AV76" s="158" t="e">
        <f>AV75/Forecasts!AV24</f>
        <v>#DIV/0!</v>
      </c>
      <c r="AW76" s="158" t="e">
        <f>AW75/Forecasts!AW24</f>
        <v>#DIV/0!</v>
      </c>
      <c r="AX76" s="158" t="e">
        <f>AX75/Forecasts!AX24</f>
        <v>#DIV/0!</v>
      </c>
      <c r="AY76" s="159" t="e">
        <f>AY75/Forecasts!AY24</f>
        <v>#DIV/0!</v>
      </c>
      <c r="AZ76" s="158" t="e">
        <f>AZ75/Forecasts!AZ24</f>
        <v>#DIV/0!</v>
      </c>
      <c r="BA76" s="158" t="e">
        <f>BA75/Forecasts!BA24</f>
        <v>#DIV/0!</v>
      </c>
      <c r="BB76" s="158" t="e">
        <f>BB75/Forecasts!BB24</f>
        <v>#DIV/0!</v>
      </c>
      <c r="BC76" s="158" t="e">
        <f>BC75/Forecasts!BC24</f>
        <v>#DIV/0!</v>
      </c>
      <c r="BD76" s="159" t="e">
        <f>BD75/Forecasts!BD24</f>
        <v>#DIV/0!</v>
      </c>
      <c r="BE76" s="158" t="e">
        <f>BE75/Forecasts!BE24</f>
        <v>#DIV/0!</v>
      </c>
      <c r="BF76" s="158" t="e">
        <f>BF75/Forecasts!BF24</f>
        <v>#DIV/0!</v>
      </c>
      <c r="BG76" s="158" t="e">
        <f>BG75/Forecasts!BG24</f>
        <v>#DIV/0!</v>
      </c>
      <c r="BH76" s="158">
        <f>BH75/Forecasts!BH24</f>
        <v>0.16828754918010733</v>
      </c>
      <c r="BI76" s="159">
        <f>BI75/Forecasts!BI24</f>
        <v>0.16828754918010733</v>
      </c>
      <c r="BJ76" s="158" t="e">
        <f>BJ75/Forecasts!BJ24</f>
        <v>#DIV/0!</v>
      </c>
      <c r="BK76" s="158" t="e">
        <f>BK75/Forecasts!BK24</f>
        <v>#DIV/0!</v>
      </c>
      <c r="BL76" s="158" t="e">
        <f>BL75/Forecasts!BL24</f>
        <v>#DIV/0!</v>
      </c>
      <c r="BM76" s="158">
        <f>BM75/Forecasts!BM24</f>
        <v>0.24227335947067857</v>
      </c>
      <c r="BN76" s="159">
        <f>BN75/Forecasts!BN24</f>
        <v>0.24227335947067857</v>
      </c>
      <c r="BO76" s="158" t="e">
        <f>BO75/Forecasts!BO24</f>
        <v>#DIV/0!</v>
      </c>
      <c r="BP76" s="158" t="e">
        <f>BP75/Forecasts!BP24</f>
        <v>#DIV/0!</v>
      </c>
      <c r="BQ76" s="158" t="e">
        <f>BQ75/Forecasts!BQ24</f>
        <v>#DIV/0!</v>
      </c>
      <c r="BR76" s="158">
        <f>BR75/Forecasts!BR24</f>
        <v>0.28867653139657889</v>
      </c>
      <c r="BS76" s="159">
        <f>BS75/Forecasts!BS24</f>
        <v>0.28867653139657889</v>
      </c>
      <c r="BT76" s="158" t="e">
        <f>BT75/Forecasts!BT24</f>
        <v>#DIV/0!</v>
      </c>
      <c r="BU76" s="158" t="e">
        <f>BU75/Forecasts!BU24</f>
        <v>#DIV/0!</v>
      </c>
      <c r="BV76" s="158" t="e">
        <f>BV75/Forecasts!BV24</f>
        <v>#DIV/0!</v>
      </c>
      <c r="BW76" s="158">
        <f>BW75/Forecasts!BW24</f>
        <v>0.22553706783200556</v>
      </c>
      <c r="BX76" s="159">
        <f>BX75/Forecasts!BX24</f>
        <v>0.22553706783200556</v>
      </c>
      <c r="BY76" s="158" t="e">
        <f>BY75/Forecasts!BY24</f>
        <v>#DIV/0!</v>
      </c>
      <c r="BZ76" s="158" t="e">
        <f>BZ75/Forecasts!BZ24</f>
        <v>#DIV/0!</v>
      </c>
      <c r="CA76" s="158" t="e">
        <f>CA75/Forecasts!CA24</f>
        <v>#DIV/0!</v>
      </c>
      <c r="CB76" s="158">
        <f>CB75/Forecasts!CB24</f>
        <v>0.22592231457440556</v>
      </c>
      <c r="CC76" s="159">
        <f>CC75/Forecasts!CC24</f>
        <v>0.22592231457440556</v>
      </c>
      <c r="CD76" s="158">
        <f>CD75/Forecasts!CD24</f>
        <v>0.15181681630492111</v>
      </c>
      <c r="CE76" s="158">
        <f>CE75/Forecasts!CE24</f>
        <v>0.19783127739614317</v>
      </c>
      <c r="CF76" s="158">
        <f>CF75/Forecasts!CF24</f>
        <v>0.18975957106734209</v>
      </c>
      <c r="CG76" s="158">
        <f>CG75/Forecasts!CG24</f>
        <v>0.18255495937698002</v>
      </c>
      <c r="CH76" s="159">
        <f>CH75/Forecasts!CH24</f>
        <v>0.18255495937698002</v>
      </c>
      <c r="CI76" s="158">
        <f>CI75/Forecasts!CI24</f>
        <v>0.18493419927101384</v>
      </c>
      <c r="CJ76" s="158">
        <f>CJ75/Forecasts!CJ24</f>
        <v>0.20137036983011605</v>
      </c>
      <c r="CK76" s="158">
        <f>CK75/Forecasts!CK24</f>
        <v>0.20884598303448926</v>
      </c>
      <c r="CL76" s="158">
        <f>CL75/Forecasts!CL24</f>
        <v>0.17529963783340335</v>
      </c>
      <c r="CM76" s="159">
        <f>CM75/Forecasts!CM24</f>
        <v>0.17529963783340335</v>
      </c>
      <c r="CN76" s="158">
        <f>CN75/Forecasts!CN24</f>
        <v>0.21886156835302042</v>
      </c>
      <c r="CO76" s="158">
        <f>CO75/Forecasts!CO24</f>
        <v>0.14764708844588512</v>
      </c>
      <c r="CP76" s="158">
        <f>CP75/Forecasts!CP24</f>
        <v>0.18217150348085676</v>
      </c>
      <c r="CQ76" s="158">
        <f>CQ75/Forecasts!CQ24</f>
        <v>0.20338879645036051</v>
      </c>
      <c r="CR76" s="159">
        <f>CR75/Forecasts!CR24</f>
        <v>0.20338879645036051</v>
      </c>
      <c r="CS76" s="158">
        <f>CS75/Forecasts!CS24</f>
        <v>0.19692953619405348</v>
      </c>
      <c r="CT76" s="158">
        <f>CT75/Forecasts!CT24</f>
        <v>0.22732689234344658</v>
      </c>
      <c r="CU76" s="158">
        <f>CU75/Forecasts!CU24</f>
        <v>0.23802233738855666</v>
      </c>
      <c r="CV76" s="158">
        <f>CV75/Forecasts!CV24</f>
        <v>0.21728377397124829</v>
      </c>
      <c r="CW76" s="159">
        <f>CW75/Forecasts!CW24</f>
        <v>0.21728377397124829</v>
      </c>
      <c r="CX76" s="158">
        <f>CX75/Forecasts!CX24</f>
        <v>0.18913155403989063</v>
      </c>
      <c r="CY76" s="158">
        <f>CY75/Forecasts!CY24</f>
        <v>0.16888412773209169</v>
      </c>
      <c r="CZ76" s="158">
        <f>CZ75/Forecasts!CZ24</f>
        <v>0.16126489248946854</v>
      </c>
      <c r="DA76" s="158">
        <f>DA75/Forecasts!DA24</f>
        <v>0.1888659490152976</v>
      </c>
      <c r="DB76" s="159">
        <f>DB75/Forecasts!DB24</f>
        <v>0.1888659490152976</v>
      </c>
      <c r="DC76" s="158">
        <f>DC75/Forecasts!DC24</f>
        <v>0.17890224413403666</v>
      </c>
      <c r="DD76" s="158">
        <f>DD75/Forecasts!DD24</f>
        <v>0.19664629510195378</v>
      </c>
      <c r="DE76" s="158">
        <f>DE75/Forecasts!DE24</f>
        <v>0.20725150770994133</v>
      </c>
      <c r="DF76" s="158">
        <f>DF75/Forecasts!DF24</f>
        <v>0.20318404916973118</v>
      </c>
      <c r="DG76" s="159">
        <f>DG75/Forecasts!DG24</f>
        <v>0.20318404916973118</v>
      </c>
      <c r="DH76" s="158">
        <f>DH75/Forecasts!DH24</f>
        <v>0.1920905182335588</v>
      </c>
      <c r="DI76" s="158">
        <f>DI75/Forecasts!DI24</f>
        <v>0.23166041413918106</v>
      </c>
      <c r="DJ76" s="160">
        <f>DI76</f>
        <v>0.23166041413918106</v>
      </c>
      <c r="DK76" s="160">
        <f>DJ76</f>
        <v>0.23166041413918106</v>
      </c>
      <c r="DL76" s="159">
        <f>DL75/Forecasts!DL24</f>
        <v>0.23166041413918106</v>
      </c>
      <c r="DM76" s="160">
        <f>DK76</f>
        <v>0.23166041413918106</v>
      </c>
      <c r="DN76" s="160">
        <f>DM76</f>
        <v>0.23166041413918106</v>
      </c>
      <c r="DO76" s="160">
        <f>DN76</f>
        <v>0.23166041413918106</v>
      </c>
      <c r="DP76" s="160">
        <f>DO76</f>
        <v>0.23166041413918106</v>
      </c>
      <c r="DQ76" s="159">
        <f>DQ75/Forecasts!DQ24</f>
        <v>0.23166041413918106</v>
      </c>
      <c r="DR76" s="160">
        <f>DP76</f>
        <v>0.23166041413918106</v>
      </c>
      <c r="DS76" s="160">
        <f>DR76</f>
        <v>0.23166041413918106</v>
      </c>
      <c r="DT76" s="160">
        <f>DS76</f>
        <v>0.23166041413918106</v>
      </c>
      <c r="DU76" s="160">
        <f>DT76</f>
        <v>0.23166041413918106</v>
      </c>
      <c r="DV76" s="159">
        <f>DV75/Forecasts!DV24</f>
        <v>0.23166041413918106</v>
      </c>
      <c r="DW76" s="160">
        <f>DU76</f>
        <v>0.23166041413918106</v>
      </c>
      <c r="DX76" s="160">
        <f>DW76</f>
        <v>0.23166041413918106</v>
      </c>
      <c r="DY76" s="160">
        <f>DX76</f>
        <v>0.23166041413918106</v>
      </c>
      <c r="DZ76" s="160">
        <f>DY76</f>
        <v>0.23166041413918106</v>
      </c>
      <c r="EA76" s="159">
        <f>EA75/Forecasts!EA24</f>
        <v>0.23166041413918109</v>
      </c>
      <c r="EB76" s="160">
        <f>DZ76</f>
        <v>0.23166041413918106</v>
      </c>
      <c r="EC76" s="160">
        <f>EB76</f>
        <v>0.23166041413918106</v>
      </c>
      <c r="ED76" s="160">
        <f>EC76</f>
        <v>0.23166041413918106</v>
      </c>
      <c r="EE76" s="160">
        <f>ED76</f>
        <v>0.23166041413918106</v>
      </c>
      <c r="EF76" s="159">
        <f>EF75/Forecasts!EF24</f>
        <v>0.23166041413918106</v>
      </c>
    </row>
    <row r="77" spans="1:136" ht="12" customHeight="1" outlineLevel="1">
      <c r="A77" s="1" t="s">
        <v>111</v>
      </c>
      <c r="B77" s="44">
        <f t="shared" ref="B77:K77" si="188">B14</f>
        <v>0</v>
      </c>
      <c r="C77" s="44">
        <f t="shared" si="188"/>
        <v>0</v>
      </c>
      <c r="D77" s="44">
        <f t="shared" si="188"/>
        <v>0</v>
      </c>
      <c r="E77" s="44">
        <f t="shared" si="188"/>
        <v>0</v>
      </c>
      <c r="F77" s="43">
        <f t="shared" si="188"/>
        <v>0</v>
      </c>
      <c r="G77" s="44">
        <f t="shared" si="188"/>
        <v>0</v>
      </c>
      <c r="H77" s="44">
        <f t="shared" si="188"/>
        <v>0</v>
      </c>
      <c r="I77" s="44">
        <f t="shared" si="188"/>
        <v>0</v>
      </c>
      <c r="J77" s="44">
        <f t="shared" si="188"/>
        <v>0</v>
      </c>
      <c r="K77" s="43">
        <f t="shared" si="188"/>
        <v>0</v>
      </c>
      <c r="L77" s="44">
        <f t="shared" ref="L77:AI77" si="189">L14</f>
        <v>0</v>
      </c>
      <c r="M77" s="44">
        <f t="shared" si="189"/>
        <v>0</v>
      </c>
      <c r="N77" s="44">
        <f t="shared" si="189"/>
        <v>0</v>
      </c>
      <c r="O77" s="44">
        <f t="shared" si="189"/>
        <v>0</v>
      </c>
      <c r="P77" s="43">
        <f t="shared" si="189"/>
        <v>0</v>
      </c>
      <c r="Q77" s="44">
        <f t="shared" si="189"/>
        <v>0</v>
      </c>
      <c r="R77" s="44">
        <f t="shared" si="189"/>
        <v>0</v>
      </c>
      <c r="S77" s="44">
        <f t="shared" si="189"/>
        <v>0</v>
      </c>
      <c r="T77" s="44">
        <f t="shared" si="189"/>
        <v>0</v>
      </c>
      <c r="U77" s="43">
        <f t="shared" si="189"/>
        <v>0</v>
      </c>
      <c r="V77" s="44">
        <f t="shared" si="189"/>
        <v>0</v>
      </c>
      <c r="W77" s="44">
        <f t="shared" si="189"/>
        <v>0</v>
      </c>
      <c r="X77" s="44">
        <f t="shared" si="189"/>
        <v>0</v>
      </c>
      <c r="Y77" s="44">
        <f t="shared" si="189"/>
        <v>0</v>
      </c>
      <c r="Z77" s="43">
        <f t="shared" si="189"/>
        <v>0</v>
      </c>
      <c r="AA77" s="44">
        <f t="shared" si="189"/>
        <v>0</v>
      </c>
      <c r="AB77" s="44">
        <f t="shared" si="189"/>
        <v>0</v>
      </c>
      <c r="AC77" s="44">
        <f t="shared" si="189"/>
        <v>0</v>
      </c>
      <c r="AD77" s="44">
        <f t="shared" si="189"/>
        <v>0</v>
      </c>
      <c r="AE77" s="43">
        <f t="shared" si="189"/>
        <v>0</v>
      </c>
      <c r="AF77" s="44">
        <f t="shared" si="189"/>
        <v>0</v>
      </c>
      <c r="AG77" s="44">
        <f t="shared" si="189"/>
        <v>0</v>
      </c>
      <c r="AH77" s="44">
        <f t="shared" si="189"/>
        <v>0</v>
      </c>
      <c r="AI77" s="44">
        <f t="shared" si="189"/>
        <v>0</v>
      </c>
      <c r="AJ77" s="43">
        <f>AI77</f>
        <v>0</v>
      </c>
      <c r="AK77" s="44">
        <f>AK14</f>
        <v>0</v>
      </c>
      <c r="AL77" s="44">
        <f>AL14</f>
        <v>0</v>
      </c>
      <c r="AM77" s="44">
        <f>AM14</f>
        <v>0</v>
      </c>
      <c r="AN77" s="44">
        <f>AN14</f>
        <v>0</v>
      </c>
      <c r="AO77" s="43">
        <f>AN77</f>
        <v>0</v>
      </c>
      <c r="AP77" s="44">
        <f>AP14</f>
        <v>0</v>
      </c>
      <c r="AQ77" s="44">
        <f>AQ14</f>
        <v>0</v>
      </c>
      <c r="AR77" s="44">
        <f>AR14</f>
        <v>0</v>
      </c>
      <c r="AS77" s="44">
        <f>AS14</f>
        <v>0</v>
      </c>
      <c r="AT77" s="43">
        <f>AS77</f>
        <v>0</v>
      </c>
      <c r="AU77" s="44">
        <f>AU14</f>
        <v>0</v>
      </c>
      <c r="AV77" s="44">
        <f>AV14</f>
        <v>0</v>
      </c>
      <c r="AW77" s="44">
        <f>AW14</f>
        <v>0</v>
      </c>
      <c r="AX77" s="44">
        <f>AX14</f>
        <v>0</v>
      </c>
      <c r="AY77" s="43">
        <f>AX77</f>
        <v>0</v>
      </c>
      <c r="AZ77" s="44">
        <f>AZ14</f>
        <v>0</v>
      </c>
      <c r="BA77" s="44">
        <f>BA14</f>
        <v>0</v>
      </c>
      <c r="BB77" s="44">
        <f>BB14</f>
        <v>0</v>
      </c>
      <c r="BC77" s="44">
        <f>BC14</f>
        <v>0</v>
      </c>
      <c r="BD77" s="43">
        <f>BC77</f>
        <v>0</v>
      </c>
      <c r="BE77" s="44">
        <f>BE14</f>
        <v>0</v>
      </c>
      <c r="BF77" s="44">
        <f>BF14</f>
        <v>0</v>
      </c>
      <c r="BG77" s="44">
        <f>BG14</f>
        <v>0</v>
      </c>
      <c r="BH77" s="44">
        <f>BH14</f>
        <v>0</v>
      </c>
      <c r="BI77" s="43">
        <f>BH77</f>
        <v>0</v>
      </c>
      <c r="BJ77" s="44">
        <f>BJ14</f>
        <v>0</v>
      </c>
      <c r="BK77" s="44">
        <f>BK14</f>
        <v>0</v>
      </c>
      <c r="BL77" s="44">
        <f>BL14</f>
        <v>0</v>
      </c>
      <c r="BM77" s="44">
        <f>BM14</f>
        <v>0</v>
      </c>
      <c r="BN77" s="43">
        <f>BM77</f>
        <v>0</v>
      </c>
      <c r="BO77" s="44">
        <f>BO14</f>
        <v>0</v>
      </c>
      <c r="BP77" s="44">
        <f>BP14</f>
        <v>0</v>
      </c>
      <c r="BQ77" s="44">
        <f>BQ14</f>
        <v>0</v>
      </c>
      <c r="BR77" s="44">
        <f>BR14</f>
        <v>0</v>
      </c>
      <c r="BS77" s="43">
        <f>BR77</f>
        <v>0</v>
      </c>
      <c r="BT77" s="44">
        <f>BT14</f>
        <v>0</v>
      </c>
      <c r="BU77" s="44">
        <f>BU14</f>
        <v>0</v>
      </c>
      <c r="BV77" s="44">
        <f>BV14</f>
        <v>0</v>
      </c>
      <c r="BW77" s="44">
        <f>BW14</f>
        <v>0</v>
      </c>
      <c r="BX77" s="43">
        <f>BW77</f>
        <v>0</v>
      </c>
      <c r="BY77" s="44">
        <f>BY14</f>
        <v>0</v>
      </c>
      <c r="BZ77" s="44">
        <f>BZ14</f>
        <v>0</v>
      </c>
      <c r="CA77" s="44">
        <f>CA14</f>
        <v>0</v>
      </c>
      <c r="CB77" s="44">
        <f>CB14</f>
        <v>4774</v>
      </c>
      <c r="CC77" s="43">
        <f>CB77</f>
        <v>4774</v>
      </c>
      <c r="CD77" s="44">
        <f>CD14</f>
        <v>0</v>
      </c>
      <c r="CE77" s="44">
        <f>CE14</f>
        <v>0</v>
      </c>
      <c r="CF77" s="44">
        <f>CF14</f>
        <v>7646</v>
      </c>
      <c r="CG77" s="44">
        <f>CG14</f>
        <v>7508</v>
      </c>
      <c r="CH77" s="43">
        <f>CG77</f>
        <v>7508</v>
      </c>
      <c r="CI77" s="44">
        <f>CI14</f>
        <v>12387</v>
      </c>
      <c r="CJ77" s="44">
        <f>CJ14</f>
        <v>10702</v>
      </c>
      <c r="CK77" s="44">
        <f>CK14</f>
        <v>10984</v>
      </c>
      <c r="CL77" s="44">
        <f>CL14</f>
        <v>14146</v>
      </c>
      <c r="CM77" s="43">
        <f>CL77</f>
        <v>14146</v>
      </c>
      <c r="CN77" s="44">
        <f>CN14</f>
        <v>11631</v>
      </c>
      <c r="CO77" s="44">
        <f>CO14</f>
        <v>10368</v>
      </c>
      <c r="CP77" s="44">
        <f>CP14</f>
        <v>11223</v>
      </c>
      <c r="CQ77" s="44">
        <f>CQ14</f>
        <v>11178</v>
      </c>
      <c r="CR77" s="43">
        <f>CQ77</f>
        <v>11178</v>
      </c>
      <c r="CS77" s="44">
        <f>CS14</f>
        <v>10946</v>
      </c>
      <c r="CT77" s="44">
        <f>CT14</f>
        <v>11366</v>
      </c>
      <c r="CU77" s="44">
        <f>CU14</f>
        <v>11707</v>
      </c>
      <c r="CV77" s="44">
        <f>CV14</f>
        <v>11299</v>
      </c>
      <c r="CW77" s="43">
        <f>CV77</f>
        <v>11299</v>
      </c>
      <c r="CX77" s="44">
        <f>CX14</f>
        <v>9950</v>
      </c>
      <c r="CY77" s="44">
        <f>CY14</f>
        <v>12326</v>
      </c>
      <c r="CZ77" s="44">
        <f>CZ14</f>
        <v>11579</v>
      </c>
      <c r="DA77" s="44">
        <f>DA14</f>
        <v>10397</v>
      </c>
      <c r="DB77" s="43">
        <f>DA77</f>
        <v>10397</v>
      </c>
      <c r="DC77" s="44">
        <f>DC14</f>
        <v>10036</v>
      </c>
      <c r="DD77" s="44">
        <f>DD14</f>
        <v>20875</v>
      </c>
      <c r="DE77" s="44">
        <f>DE14</f>
        <v>18892</v>
      </c>
      <c r="DF77" s="44">
        <f>DF14</f>
        <v>30652</v>
      </c>
      <c r="DG77" s="43">
        <f>DF77</f>
        <v>30652</v>
      </c>
      <c r="DH77" s="44">
        <f>DH14</f>
        <v>27154</v>
      </c>
      <c r="DI77" s="44">
        <f>DI14</f>
        <v>32408</v>
      </c>
      <c r="DJ77" s="98">
        <f>30%*Forecasts!DJ27</f>
        <v>46305.141657988817</v>
      </c>
      <c r="DK77" s="98">
        <f>30%*Forecasts!DK27</f>
        <v>74147.549020781982</v>
      </c>
      <c r="DL77" s="43">
        <f>DK77</f>
        <v>74147.549020781982</v>
      </c>
      <c r="DM77" s="98">
        <f>30%*Forecasts!DM27</f>
        <v>102324.20999094845</v>
      </c>
      <c r="DN77" s="98">
        <f>30%*Forecasts!DN27</f>
        <v>128614.05866961526</v>
      </c>
      <c r="DO77" s="98">
        <f>30%*Forecasts!DO27</f>
        <v>152857.2043877473</v>
      </c>
      <c r="DP77" s="98">
        <f>30%*Forecasts!DP27</f>
        <v>176002.29105961963</v>
      </c>
      <c r="DQ77" s="43">
        <f>DP77</f>
        <v>176002.29105961963</v>
      </c>
      <c r="DR77" s="98">
        <f>30%*Forecasts!DR27</f>
        <v>198996.84501871787</v>
      </c>
      <c r="DS77" s="98">
        <f>30%*Forecasts!DS27</f>
        <v>223449.00840255985</v>
      </c>
      <c r="DT77" s="98">
        <f>30%*Forecasts!DT27</f>
        <v>245499.42094123023</v>
      </c>
      <c r="DU77" s="98">
        <f>30%*Forecasts!DU27</f>
        <v>266910.1803646491</v>
      </c>
      <c r="DV77" s="43">
        <f>DU77</f>
        <v>266910.1803646491</v>
      </c>
      <c r="DW77" s="98">
        <f>30%*Forecasts!DW27</f>
        <v>287719.44496932375</v>
      </c>
      <c r="DX77" s="98">
        <f>30%*Forecasts!DX27</f>
        <v>309297.59316825558</v>
      </c>
      <c r="DY77" s="98">
        <f>30%*Forecasts!DY27</f>
        <v>330194.77660830156</v>
      </c>
      <c r="DZ77" s="98">
        <f>30%*Forecasts!DZ27</f>
        <v>350449.44675905909</v>
      </c>
      <c r="EA77" s="43">
        <f>DZ77</f>
        <v>350449.44675905909</v>
      </c>
      <c r="EB77" s="98">
        <f>30%*Forecasts!EB27</f>
        <v>370098.18123836222</v>
      </c>
      <c r="EC77" s="98">
        <f>30%*Forecasts!EC27</f>
        <v>389175.77804397506</v>
      </c>
      <c r="ED77" s="98">
        <f>30%*Forecasts!ED27</f>
        <v>407715.3450796656</v>
      </c>
      <c r="EE77" s="98">
        <f>30%*Forecasts!EE27</f>
        <v>425748.38521100767</v>
      </c>
      <c r="EF77" s="43">
        <f>EE77</f>
        <v>425748.38521100767</v>
      </c>
    </row>
    <row r="78" spans="1:136" ht="12" customHeight="1" outlineLevel="1">
      <c r="AI78" s="68"/>
      <c r="AJ78" s="161"/>
      <c r="AN78" s="68"/>
      <c r="AO78" s="161"/>
      <c r="AS78" s="68"/>
      <c r="AT78" s="161"/>
      <c r="AX78" s="68"/>
      <c r="AY78" s="161"/>
      <c r="BC78" s="68"/>
      <c r="BD78" s="161"/>
      <c r="BH78" s="68"/>
      <c r="BI78" s="161"/>
      <c r="BM78" s="68"/>
      <c r="BN78" s="161"/>
      <c r="BR78" s="68"/>
      <c r="BS78" s="161"/>
      <c r="BW78" s="68"/>
      <c r="BX78" s="161"/>
      <c r="CB78" s="68"/>
      <c r="CC78" s="161"/>
      <c r="CG78" s="68"/>
      <c r="CH78" s="161"/>
      <c r="CM78" s="161"/>
      <c r="CR78" s="161"/>
      <c r="CW78" s="161"/>
      <c r="DB78" s="161"/>
      <c r="DG78" s="161"/>
      <c r="DL78" s="161"/>
      <c r="DQ78" s="161"/>
      <c r="DV78" s="161"/>
      <c r="EA78" s="161"/>
      <c r="EF78" s="161"/>
    </row>
    <row r="79" spans="1:136" ht="12" customHeight="1" outlineLevel="1">
      <c r="A79" s="3" t="s">
        <v>49</v>
      </c>
      <c r="B79" s="151">
        <f t="shared" ref="B79:K79" si="190">B32</f>
        <v>0</v>
      </c>
      <c r="C79" s="151">
        <f t="shared" si="190"/>
        <v>0</v>
      </c>
      <c r="D79" s="151">
        <f t="shared" si="190"/>
        <v>0</v>
      </c>
      <c r="E79" s="151">
        <f t="shared" si="190"/>
        <v>0</v>
      </c>
      <c r="F79" s="152">
        <f t="shared" si="190"/>
        <v>0</v>
      </c>
      <c r="G79" s="151">
        <f t="shared" si="190"/>
        <v>0</v>
      </c>
      <c r="H79" s="151">
        <f t="shared" si="190"/>
        <v>0</v>
      </c>
      <c r="I79" s="151">
        <f t="shared" si="190"/>
        <v>0</v>
      </c>
      <c r="J79" s="151">
        <f t="shared" si="190"/>
        <v>0</v>
      </c>
      <c r="K79" s="152">
        <f t="shared" si="190"/>
        <v>0</v>
      </c>
      <c r="L79" s="151">
        <f t="shared" ref="L79:BN79" si="191">L32</f>
        <v>0</v>
      </c>
      <c r="M79" s="151">
        <f t="shared" si="191"/>
        <v>0</v>
      </c>
      <c r="N79" s="151">
        <f t="shared" si="191"/>
        <v>0</v>
      </c>
      <c r="O79" s="151">
        <f t="shared" si="191"/>
        <v>0</v>
      </c>
      <c r="P79" s="152">
        <f t="shared" si="191"/>
        <v>0</v>
      </c>
      <c r="Q79" s="151">
        <f t="shared" si="191"/>
        <v>0</v>
      </c>
      <c r="R79" s="151">
        <f t="shared" si="191"/>
        <v>0</v>
      </c>
      <c r="S79" s="151">
        <f t="shared" si="191"/>
        <v>0</v>
      </c>
      <c r="T79" s="151">
        <f t="shared" si="191"/>
        <v>0</v>
      </c>
      <c r="U79" s="152">
        <f t="shared" si="191"/>
        <v>0</v>
      </c>
      <c r="V79" s="151">
        <f t="shared" si="191"/>
        <v>0</v>
      </c>
      <c r="W79" s="151">
        <f t="shared" si="191"/>
        <v>0</v>
      </c>
      <c r="X79" s="151">
        <f t="shared" si="191"/>
        <v>0</v>
      </c>
      <c r="Y79" s="151">
        <f t="shared" si="191"/>
        <v>0</v>
      </c>
      <c r="Z79" s="152">
        <f t="shared" si="191"/>
        <v>0</v>
      </c>
      <c r="AA79" s="151">
        <f t="shared" si="191"/>
        <v>0</v>
      </c>
      <c r="AB79" s="151">
        <f t="shared" si="191"/>
        <v>0</v>
      </c>
      <c r="AC79" s="151">
        <f t="shared" si="191"/>
        <v>0</v>
      </c>
      <c r="AD79" s="151">
        <f t="shared" si="191"/>
        <v>0</v>
      </c>
      <c r="AE79" s="152">
        <f t="shared" si="191"/>
        <v>0</v>
      </c>
      <c r="AF79" s="151">
        <f t="shared" si="191"/>
        <v>0</v>
      </c>
      <c r="AG79" s="151">
        <f t="shared" si="191"/>
        <v>0</v>
      </c>
      <c r="AH79" s="151">
        <f t="shared" si="191"/>
        <v>0</v>
      </c>
      <c r="AI79" s="151">
        <f t="shared" si="191"/>
        <v>15801.855</v>
      </c>
      <c r="AJ79" s="152">
        <f t="shared" si="191"/>
        <v>15801.855</v>
      </c>
      <c r="AK79" s="151">
        <f t="shared" si="191"/>
        <v>0</v>
      </c>
      <c r="AL79" s="151">
        <f t="shared" si="191"/>
        <v>0</v>
      </c>
      <c r="AM79" s="151">
        <f t="shared" si="191"/>
        <v>0</v>
      </c>
      <c r="AN79" s="151">
        <f t="shared" si="191"/>
        <v>15536.921</v>
      </c>
      <c r="AO79" s="152">
        <f t="shared" si="191"/>
        <v>15536.921</v>
      </c>
      <c r="AP79" s="151">
        <f t="shared" si="191"/>
        <v>0</v>
      </c>
      <c r="AQ79" s="151">
        <f t="shared" si="191"/>
        <v>0</v>
      </c>
      <c r="AR79" s="151">
        <f t="shared" si="191"/>
        <v>0</v>
      </c>
      <c r="AS79" s="151">
        <f t="shared" si="191"/>
        <v>22245.078000000001</v>
      </c>
      <c r="AT79" s="152">
        <f t="shared" si="191"/>
        <v>22245.078000000001</v>
      </c>
      <c r="AU79" s="151">
        <f t="shared" si="191"/>
        <v>0</v>
      </c>
      <c r="AV79" s="151">
        <f t="shared" si="191"/>
        <v>0</v>
      </c>
      <c r="AW79" s="151">
        <f t="shared" si="191"/>
        <v>0</v>
      </c>
      <c r="AX79" s="151">
        <f t="shared" si="191"/>
        <v>20992</v>
      </c>
      <c r="AY79" s="152">
        <f t="shared" si="191"/>
        <v>20992</v>
      </c>
      <c r="AZ79" s="151">
        <f t="shared" si="191"/>
        <v>0</v>
      </c>
      <c r="BA79" s="151">
        <f t="shared" si="191"/>
        <v>0</v>
      </c>
      <c r="BB79" s="151">
        <f t="shared" si="191"/>
        <v>0</v>
      </c>
      <c r="BC79" s="151">
        <f t="shared" si="191"/>
        <v>43983</v>
      </c>
      <c r="BD79" s="152">
        <f t="shared" si="191"/>
        <v>43983</v>
      </c>
      <c r="BE79" s="151">
        <f t="shared" si="191"/>
        <v>0</v>
      </c>
      <c r="BF79" s="151">
        <f t="shared" si="191"/>
        <v>0</v>
      </c>
      <c r="BG79" s="151">
        <f t="shared" si="191"/>
        <v>0</v>
      </c>
      <c r="BH79" s="151">
        <f t="shared" si="191"/>
        <v>36169</v>
      </c>
      <c r="BI79" s="152">
        <f t="shared" si="191"/>
        <v>36169</v>
      </c>
      <c r="BJ79" s="151">
        <f t="shared" si="191"/>
        <v>0</v>
      </c>
      <c r="BK79" s="151">
        <f t="shared" si="191"/>
        <v>0</v>
      </c>
      <c r="BL79" s="151">
        <f t="shared" si="191"/>
        <v>0</v>
      </c>
      <c r="BM79" s="151">
        <f t="shared" si="191"/>
        <v>51938</v>
      </c>
      <c r="BN79" s="152">
        <f t="shared" si="191"/>
        <v>51938</v>
      </c>
      <c r="BO79" s="151">
        <f t="shared" ref="BO79:DD79" si="192">BO32</f>
        <v>0</v>
      </c>
      <c r="BP79" s="151">
        <f t="shared" si="192"/>
        <v>0</v>
      </c>
      <c r="BQ79" s="151">
        <f t="shared" si="192"/>
        <v>0</v>
      </c>
      <c r="BR79" s="151">
        <f t="shared" si="192"/>
        <v>40602</v>
      </c>
      <c r="BS79" s="152">
        <f t="shared" si="192"/>
        <v>40602</v>
      </c>
      <c r="BT79" s="151">
        <f t="shared" si="192"/>
        <v>0</v>
      </c>
      <c r="BU79" s="151">
        <f t="shared" si="192"/>
        <v>0</v>
      </c>
      <c r="BV79" s="151">
        <f t="shared" si="192"/>
        <v>0</v>
      </c>
      <c r="BW79" s="151">
        <f t="shared" si="192"/>
        <v>49217</v>
      </c>
      <c r="BX79" s="152">
        <f t="shared" si="192"/>
        <v>49217</v>
      </c>
      <c r="BY79" s="151">
        <f t="shared" si="192"/>
        <v>0</v>
      </c>
      <c r="BZ79" s="151">
        <f t="shared" si="192"/>
        <v>0</v>
      </c>
      <c r="CA79" s="151">
        <f t="shared" si="192"/>
        <v>0</v>
      </c>
      <c r="CB79" s="151">
        <f t="shared" si="192"/>
        <v>38540</v>
      </c>
      <c r="CC79" s="152">
        <f t="shared" si="192"/>
        <v>38540</v>
      </c>
      <c r="CD79" s="151">
        <f t="shared" si="192"/>
        <v>54281</v>
      </c>
      <c r="CE79" s="151">
        <f t="shared" si="192"/>
        <v>62684</v>
      </c>
      <c r="CF79" s="151">
        <f t="shared" si="192"/>
        <v>92811</v>
      </c>
      <c r="CG79" s="151">
        <f t="shared" si="192"/>
        <v>43910</v>
      </c>
      <c r="CH79" s="152">
        <f t="shared" si="192"/>
        <v>43910</v>
      </c>
      <c r="CI79" s="151">
        <f t="shared" si="192"/>
        <v>60296</v>
      </c>
      <c r="CJ79" s="151">
        <f t="shared" si="192"/>
        <v>91549</v>
      </c>
      <c r="CK79" s="151">
        <f t="shared" si="192"/>
        <v>90214</v>
      </c>
      <c r="CL79" s="151">
        <f t="shared" si="192"/>
        <v>87488</v>
      </c>
      <c r="CM79" s="152">
        <f t="shared" si="192"/>
        <v>87488</v>
      </c>
      <c r="CN79" s="151">
        <f t="shared" si="192"/>
        <v>83823</v>
      </c>
      <c r="CO79" s="151">
        <f t="shared" si="192"/>
        <v>113748</v>
      </c>
      <c r="CP79" s="151">
        <f t="shared" si="192"/>
        <v>104282</v>
      </c>
      <c r="CQ79" s="151">
        <f t="shared" si="192"/>
        <v>114591</v>
      </c>
      <c r="CR79" s="152">
        <f t="shared" si="192"/>
        <v>114591</v>
      </c>
      <c r="CS79" s="151">
        <f t="shared" si="192"/>
        <v>121055</v>
      </c>
      <c r="CT79" s="151">
        <f t="shared" si="192"/>
        <v>118958</v>
      </c>
      <c r="CU79" s="151">
        <f t="shared" si="192"/>
        <v>144821</v>
      </c>
      <c r="CV79" s="151">
        <f t="shared" si="192"/>
        <v>171904</v>
      </c>
      <c r="CW79" s="152">
        <f t="shared" si="192"/>
        <v>171904</v>
      </c>
      <c r="CX79" s="151">
        <f t="shared" si="192"/>
        <v>172207</v>
      </c>
      <c r="CY79" s="151">
        <f t="shared" si="192"/>
        <v>141397</v>
      </c>
      <c r="CZ79" s="151">
        <f t="shared" si="192"/>
        <v>182227</v>
      </c>
      <c r="DA79" s="151">
        <f t="shared" si="192"/>
        <v>187317</v>
      </c>
      <c r="DB79" s="152">
        <f t="shared" si="192"/>
        <v>187317</v>
      </c>
      <c r="DC79" s="151">
        <f t="shared" si="192"/>
        <v>256301</v>
      </c>
      <c r="DD79" s="151">
        <f t="shared" si="192"/>
        <v>286650</v>
      </c>
      <c r="DE79" s="151">
        <f t="shared" ref="DE79:DF79" si="193">DE32</f>
        <v>283823</v>
      </c>
      <c r="DF79" s="151">
        <f t="shared" si="193"/>
        <v>278476</v>
      </c>
      <c r="DG79" s="152">
        <f>DG32</f>
        <v>278476</v>
      </c>
      <c r="DH79" s="151">
        <f t="shared" ref="DH79:DI79" si="194">DH32</f>
        <v>339656</v>
      </c>
      <c r="DI79" s="151">
        <f t="shared" si="194"/>
        <v>351510</v>
      </c>
      <c r="DJ79" s="151">
        <f>-DJ81*DJ80/365</f>
        <v>348048.35058003262</v>
      </c>
      <c r="DK79" s="151">
        <f>-DK81*DK80/365</f>
        <v>374964.41686078929</v>
      </c>
      <c r="DL79" s="152">
        <f>DL32</f>
        <v>374964.41686078929</v>
      </c>
      <c r="DM79" s="151">
        <f>-DM81*DM80/365</f>
        <v>387043.4843982177</v>
      </c>
      <c r="DN79" s="151">
        <f>-DN81*DN80/365</f>
        <v>400881.71516234591</v>
      </c>
      <c r="DO79" s="151">
        <f>-DO81*DO80/365</f>
        <v>414395.3950692928</v>
      </c>
      <c r="DP79" s="151">
        <f>-DP81*DP80/365</f>
        <v>425493.78348240763</v>
      </c>
      <c r="DQ79" s="152">
        <f>DQ32</f>
        <v>425493.78348240763</v>
      </c>
      <c r="DR79" s="151">
        <f>-DR81*DR80/365</f>
        <v>437675.02283714764</v>
      </c>
      <c r="DS79" s="151">
        <f>-DS81*DS80/365</f>
        <v>447763.56228192564</v>
      </c>
      <c r="DT79" s="151">
        <f>-DT81*DT80/365</f>
        <v>457434.5578210848</v>
      </c>
      <c r="DU79" s="151">
        <f>-DU81*DU80/365</f>
        <v>466759.96036092413</v>
      </c>
      <c r="DV79" s="152">
        <f>DV32</f>
        <v>466759.96036092413</v>
      </c>
      <c r="DW79" s="151">
        <f>-DW81*DW80/365</f>
        <v>475792.83507718984</v>
      </c>
      <c r="DX79" s="151">
        <f>-DX81*DX80/365</f>
        <v>484574.60154060111</v>
      </c>
      <c r="DY79" s="151">
        <f>-DY81*DY80/365</f>
        <v>493139.15292814316</v>
      </c>
      <c r="DZ79" s="151">
        <f>-DZ81*DZ80/365</f>
        <v>501515.23700187181</v>
      </c>
      <c r="EA79" s="152">
        <f>EA32</f>
        <v>501515.23700187181</v>
      </c>
      <c r="EB79" s="151">
        <f>-EB81*EB80/365</f>
        <v>509727.8651461642</v>
      </c>
      <c r="EC79" s="151">
        <f>-EC81*EC80/365</f>
        <v>517799.17482590297</v>
      </c>
      <c r="ED79" s="151">
        <f>-ED81*ED80/365</f>
        <v>525748.98184107326</v>
      </c>
      <c r="EE79" s="151">
        <f>-EE81*EE80/365</f>
        <v>533595.15398236294</v>
      </c>
      <c r="EF79" s="152">
        <f>EF32</f>
        <v>533595.15398236294</v>
      </c>
    </row>
    <row r="80" spans="1:136" ht="12" customHeight="1" outlineLevel="1">
      <c r="A80" s="1" t="s">
        <v>211</v>
      </c>
      <c r="B80" s="44" t="e">
        <f t="shared" ref="B80:K80" si="195">B70</f>
        <v>#REF!</v>
      </c>
      <c r="C80" s="44" t="e">
        <f t="shared" si="195"/>
        <v>#REF!</v>
      </c>
      <c r="D80" s="44" t="e">
        <f t="shared" si="195"/>
        <v>#REF!</v>
      </c>
      <c r="E80" s="44">
        <f t="shared" si="195"/>
        <v>0</v>
      </c>
      <c r="F80" s="43">
        <f t="shared" si="195"/>
        <v>0</v>
      </c>
      <c r="G80" s="44">
        <f t="shared" si="195"/>
        <v>0</v>
      </c>
      <c r="H80" s="44">
        <f t="shared" si="195"/>
        <v>0</v>
      </c>
      <c r="I80" s="44">
        <f t="shared" si="195"/>
        <v>0</v>
      </c>
      <c r="J80" s="44">
        <f t="shared" si="195"/>
        <v>0</v>
      </c>
      <c r="K80" s="43">
        <f t="shared" si="195"/>
        <v>0</v>
      </c>
      <c r="L80" s="44">
        <f t="shared" ref="L80:BN80" si="196">L70</f>
        <v>0</v>
      </c>
      <c r="M80" s="44">
        <f t="shared" si="196"/>
        <v>0</v>
      </c>
      <c r="N80" s="44">
        <f t="shared" si="196"/>
        <v>0</v>
      </c>
      <c r="O80" s="44">
        <f t="shared" si="196"/>
        <v>0</v>
      </c>
      <c r="P80" s="43">
        <f t="shared" si="196"/>
        <v>0</v>
      </c>
      <c r="Q80" s="44">
        <f t="shared" si="196"/>
        <v>0</v>
      </c>
      <c r="R80" s="44">
        <f t="shared" si="196"/>
        <v>0</v>
      </c>
      <c r="S80" s="44">
        <f t="shared" si="196"/>
        <v>0</v>
      </c>
      <c r="T80" s="44">
        <f t="shared" si="196"/>
        <v>0</v>
      </c>
      <c r="U80" s="43">
        <f t="shared" si="196"/>
        <v>0</v>
      </c>
      <c r="V80" s="44">
        <f t="shared" si="196"/>
        <v>0</v>
      </c>
      <c r="W80" s="44">
        <f t="shared" si="196"/>
        <v>0</v>
      </c>
      <c r="X80" s="44">
        <f t="shared" si="196"/>
        <v>0</v>
      </c>
      <c r="Y80" s="44">
        <f t="shared" si="196"/>
        <v>0</v>
      </c>
      <c r="Z80" s="43">
        <f t="shared" si="196"/>
        <v>0</v>
      </c>
      <c r="AA80" s="44">
        <f t="shared" si="196"/>
        <v>0</v>
      </c>
      <c r="AB80" s="44">
        <f t="shared" si="196"/>
        <v>0</v>
      </c>
      <c r="AC80" s="44">
        <f t="shared" si="196"/>
        <v>0</v>
      </c>
      <c r="AD80" s="44">
        <f t="shared" si="196"/>
        <v>0</v>
      </c>
      <c r="AE80" s="43">
        <f t="shared" si="196"/>
        <v>0</v>
      </c>
      <c r="AF80" s="44">
        <f t="shared" si="196"/>
        <v>0</v>
      </c>
      <c r="AG80" s="44">
        <f t="shared" si="196"/>
        <v>0</v>
      </c>
      <c r="AH80" s="44">
        <f t="shared" si="196"/>
        <v>0</v>
      </c>
      <c r="AI80" s="44">
        <f t="shared" si="196"/>
        <v>-463815.97200000001</v>
      </c>
      <c r="AJ80" s="43">
        <f t="shared" si="196"/>
        <v>-158155.95799999998</v>
      </c>
      <c r="AK80" s="44">
        <f t="shared" si="196"/>
        <v>0</v>
      </c>
      <c r="AL80" s="44">
        <f t="shared" si="196"/>
        <v>0</v>
      </c>
      <c r="AM80" s="44">
        <f t="shared" si="196"/>
        <v>0</v>
      </c>
      <c r="AN80" s="44">
        <f t="shared" si="196"/>
        <v>-938418</v>
      </c>
      <c r="AO80" s="43">
        <f t="shared" si="196"/>
        <v>-295155.88300000003</v>
      </c>
      <c r="AP80" s="44">
        <f t="shared" si="196"/>
        <v>0</v>
      </c>
      <c r="AQ80" s="44">
        <f t="shared" si="196"/>
        <v>0</v>
      </c>
      <c r="AR80" s="44">
        <f t="shared" si="196"/>
        <v>0</v>
      </c>
      <c r="AS80" s="44">
        <f t="shared" si="196"/>
        <v>-938524.08400000003</v>
      </c>
      <c r="AT80" s="43">
        <f t="shared" si="196"/>
        <v>-292086.09600000002</v>
      </c>
      <c r="AU80" s="44">
        <f t="shared" si="196"/>
        <v>0</v>
      </c>
      <c r="AV80" s="44">
        <f t="shared" si="196"/>
        <v>0</v>
      </c>
      <c r="AW80" s="44">
        <f t="shared" si="196"/>
        <v>0</v>
      </c>
      <c r="AX80" s="44">
        <f t="shared" si="196"/>
        <v>-1147673.324</v>
      </c>
      <c r="AY80" s="43">
        <f t="shared" si="196"/>
        <v>-482259.995</v>
      </c>
      <c r="AZ80" s="44">
        <f t="shared" si="196"/>
        <v>0</v>
      </c>
      <c r="BA80" s="44">
        <f t="shared" si="196"/>
        <v>0</v>
      </c>
      <c r="BB80" s="44">
        <f t="shared" si="196"/>
        <v>0</v>
      </c>
      <c r="BC80" s="44">
        <f t="shared" si="196"/>
        <v>-1121584</v>
      </c>
      <c r="BD80" s="43">
        <f t="shared" si="196"/>
        <v>-641536</v>
      </c>
      <c r="BE80" s="44">
        <f t="shared" si="196"/>
        <v>0</v>
      </c>
      <c r="BF80" s="44">
        <f t="shared" si="196"/>
        <v>0</v>
      </c>
      <c r="BG80" s="44">
        <f t="shared" si="196"/>
        <v>0</v>
      </c>
      <c r="BH80" s="44">
        <f t="shared" si="196"/>
        <v>-1077516</v>
      </c>
      <c r="BI80" s="43">
        <f t="shared" si="196"/>
        <v>-612678</v>
      </c>
      <c r="BJ80" s="44">
        <f t="shared" si="196"/>
        <v>0</v>
      </c>
      <c r="BK80" s="44">
        <f t="shared" si="196"/>
        <v>0</v>
      </c>
      <c r="BL80" s="44">
        <f t="shared" si="196"/>
        <v>0</v>
      </c>
      <c r="BM80" s="44">
        <f t="shared" si="196"/>
        <v>-1388616</v>
      </c>
      <c r="BN80" s="43">
        <f t="shared" si="196"/>
        <v>-604986</v>
      </c>
      <c r="BO80" s="44">
        <f t="shared" ref="BO80:DG80" si="197">BO70</f>
        <v>0</v>
      </c>
      <c r="BP80" s="44">
        <f t="shared" si="197"/>
        <v>0</v>
      </c>
      <c r="BQ80" s="44">
        <f t="shared" si="197"/>
        <v>0</v>
      </c>
      <c r="BR80" s="44">
        <f t="shared" si="197"/>
        <v>-1776692</v>
      </c>
      <c r="BS80" s="43">
        <f t="shared" si="197"/>
        <v>-570540</v>
      </c>
      <c r="BT80" s="44">
        <f t="shared" si="197"/>
        <v>0</v>
      </c>
      <c r="BU80" s="44">
        <f t="shared" si="197"/>
        <v>0</v>
      </c>
      <c r="BV80" s="44">
        <f t="shared" si="197"/>
        <v>0</v>
      </c>
      <c r="BW80" s="44">
        <f t="shared" si="197"/>
        <v>-2171132</v>
      </c>
      <c r="BX80" s="43">
        <f t="shared" si="197"/>
        <v>-605526</v>
      </c>
      <c r="BY80" s="44">
        <f t="shared" si="197"/>
        <v>-491964</v>
      </c>
      <c r="BZ80" s="44">
        <f t="shared" si="197"/>
        <v>-627712</v>
      </c>
      <c r="CA80" s="44">
        <f t="shared" si="197"/>
        <v>-687072</v>
      </c>
      <c r="CB80" s="44">
        <f t="shared" si="197"/>
        <v>-707468</v>
      </c>
      <c r="CC80" s="43">
        <f t="shared" si="197"/>
        <v>-663392</v>
      </c>
      <c r="CD80" s="44">
        <f t="shared" si="197"/>
        <v>-552492</v>
      </c>
      <c r="CE80" s="44">
        <f t="shared" si="197"/>
        <v>-592736</v>
      </c>
      <c r="CF80" s="44">
        <f t="shared" si="197"/>
        <v>-786104</v>
      </c>
      <c r="CG80" s="44">
        <f t="shared" si="197"/>
        <v>-783796</v>
      </c>
      <c r="CH80" s="43">
        <f t="shared" si="197"/>
        <v>-716292</v>
      </c>
      <c r="CI80" s="44">
        <f t="shared" si="197"/>
        <v>-849096</v>
      </c>
      <c r="CJ80" s="44">
        <f t="shared" si="197"/>
        <v>-1122560</v>
      </c>
      <c r="CK80" s="44">
        <f t="shared" si="197"/>
        <v>-1086652</v>
      </c>
      <c r="CL80" s="44">
        <f t="shared" si="197"/>
        <v>-1267124</v>
      </c>
      <c r="CM80" s="43">
        <f t="shared" si="197"/>
        <v>-1093624</v>
      </c>
      <c r="CN80" s="44">
        <f t="shared" si="197"/>
        <v>-1115956</v>
      </c>
      <c r="CO80" s="44">
        <f t="shared" si="197"/>
        <v>-1543884</v>
      </c>
      <c r="CP80" s="44">
        <f t="shared" si="197"/>
        <v>-1532144</v>
      </c>
      <c r="CQ80" s="44">
        <f t="shared" si="197"/>
        <v>-1457884</v>
      </c>
      <c r="CR80" s="43">
        <f t="shared" si="197"/>
        <v>-1420402</v>
      </c>
      <c r="CS80" s="44">
        <f t="shared" si="197"/>
        <v>-1479892</v>
      </c>
      <c r="CT80" s="44">
        <f t="shared" si="197"/>
        <v>-1805752</v>
      </c>
      <c r="CU80" s="44">
        <f t="shared" si="197"/>
        <v>-1865376</v>
      </c>
      <c r="CV80" s="44">
        <f t="shared" si="197"/>
        <v>-1982980</v>
      </c>
      <c r="CW80" s="43">
        <f t="shared" si="197"/>
        <v>-1790819</v>
      </c>
      <c r="CX80" s="44">
        <f t="shared" si="197"/>
        <v>-2072812</v>
      </c>
      <c r="CY80" s="44">
        <f t="shared" si="197"/>
        <v>-2450696</v>
      </c>
      <c r="CZ80" s="44">
        <f t="shared" si="197"/>
        <v>-2571008</v>
      </c>
      <c r="DA80" s="44">
        <f t="shared" si="197"/>
        <v>-2515032</v>
      </c>
      <c r="DB80" s="43">
        <f t="shared" si="197"/>
        <v>-2413370</v>
      </c>
      <c r="DC80" s="44">
        <f t="shared" si="197"/>
        <v>-2955916</v>
      </c>
      <c r="DD80" s="44">
        <f t="shared" si="197"/>
        <v>-3237460</v>
      </c>
      <c r="DE80" s="44">
        <f t="shared" ref="DE80:DF80" si="198">DE70</f>
        <v>-3385792</v>
      </c>
      <c r="DF80" s="44">
        <f t="shared" si="198"/>
        <v>-3366564</v>
      </c>
      <c r="DG80" s="43">
        <f t="shared" si="197"/>
        <v>-3252837</v>
      </c>
      <c r="DH80" s="44">
        <f t="shared" ref="DH80:DI80" si="199">DH70</f>
        <v>-3911496</v>
      </c>
      <c r="DI80" s="44">
        <f t="shared" si="199"/>
        <v>-4063976</v>
      </c>
      <c r="DJ80" s="44">
        <f t="shared" ref="DJ80:EF80" si="200">DJ70</f>
        <v>-4023954.2078371565</v>
      </c>
      <c r="DK80" s="44">
        <f t="shared" si="200"/>
        <v>-4335143.7824706072</v>
      </c>
      <c r="DL80" s="43">
        <f t="shared" si="200"/>
        <v>-4096084.15713479</v>
      </c>
      <c r="DM80" s="44">
        <f t="shared" si="200"/>
        <v>-4474795.6859000633</v>
      </c>
      <c r="DN80" s="44">
        <f t="shared" si="200"/>
        <v>-4634786.1206185026</v>
      </c>
      <c r="DO80" s="44">
        <f t="shared" si="200"/>
        <v>-4791024.2669401281</v>
      </c>
      <c r="DP80" s="44">
        <f t="shared" si="200"/>
        <v>-4919338.0678265234</v>
      </c>
      <c r="DQ80" s="43">
        <f t="shared" si="200"/>
        <v>-4734299.1548330644</v>
      </c>
      <c r="DR80" s="44">
        <f t="shared" si="200"/>
        <v>-5060171.2287264094</v>
      </c>
      <c r="DS80" s="44">
        <f t="shared" si="200"/>
        <v>-5176809.6804877557</v>
      </c>
      <c r="DT80" s="44">
        <f t="shared" si="200"/>
        <v>-5288620.7065389352</v>
      </c>
      <c r="DU80" s="44">
        <f t="shared" si="200"/>
        <v>-5396436.1658779178</v>
      </c>
      <c r="DV80" s="43">
        <f t="shared" si="200"/>
        <v>-5283615.9072427722</v>
      </c>
      <c r="DW80" s="44">
        <f t="shared" si="200"/>
        <v>-5500869.5704977317</v>
      </c>
      <c r="DX80" s="44">
        <f t="shared" si="200"/>
        <v>-5602399.7919563195</v>
      </c>
      <c r="DY80" s="44">
        <f t="shared" si="200"/>
        <v>-5701418.6855574623</v>
      </c>
      <c r="DZ80" s="44">
        <f t="shared" si="200"/>
        <v>-5798258.6179907229</v>
      </c>
      <c r="EA80" s="43">
        <f t="shared" si="200"/>
        <v>-5704955.1673025945</v>
      </c>
      <c r="EB80" s="44">
        <f t="shared" si="200"/>
        <v>-5893208.7578881057</v>
      </c>
      <c r="EC80" s="44">
        <f t="shared" si="200"/>
        <v>-5986525.0471175043</v>
      </c>
      <c r="ED80" s="44">
        <f t="shared" si="200"/>
        <v>-6078436.5856634444</v>
      </c>
      <c r="EE80" s="44">
        <f t="shared" si="200"/>
        <v>-6169149.9516390078</v>
      </c>
      <c r="EF80" s="43">
        <f t="shared" si="200"/>
        <v>-6089867.0836148206</v>
      </c>
    </row>
    <row r="81" spans="1:136" ht="12" customHeight="1" outlineLevel="1">
      <c r="A81" s="143" t="s">
        <v>83</v>
      </c>
      <c r="B81" s="155" t="e">
        <f t="shared" ref="B81:K81" si="201">-365/(B80/B79)</f>
        <v>#REF!</v>
      </c>
      <c r="C81" s="155" t="e">
        <f t="shared" si="201"/>
        <v>#REF!</v>
      </c>
      <c r="D81" s="155" t="e">
        <f t="shared" si="201"/>
        <v>#REF!</v>
      </c>
      <c r="E81" s="155" t="e">
        <f t="shared" si="201"/>
        <v>#DIV/0!</v>
      </c>
      <c r="F81" s="156" t="e">
        <f t="shared" si="201"/>
        <v>#DIV/0!</v>
      </c>
      <c r="G81" s="155" t="e">
        <f t="shared" si="201"/>
        <v>#DIV/0!</v>
      </c>
      <c r="H81" s="155" t="e">
        <f t="shared" si="201"/>
        <v>#DIV/0!</v>
      </c>
      <c r="I81" s="155" t="e">
        <f t="shared" si="201"/>
        <v>#DIV/0!</v>
      </c>
      <c r="J81" s="155" t="e">
        <f t="shared" si="201"/>
        <v>#DIV/0!</v>
      </c>
      <c r="K81" s="156" t="e">
        <f t="shared" si="201"/>
        <v>#DIV/0!</v>
      </c>
      <c r="L81" s="155" t="e">
        <f t="shared" ref="L81:BN81" si="202">-365/(L80/L79)</f>
        <v>#DIV/0!</v>
      </c>
      <c r="M81" s="155" t="e">
        <f t="shared" si="202"/>
        <v>#DIV/0!</v>
      </c>
      <c r="N81" s="155" t="e">
        <f t="shared" si="202"/>
        <v>#DIV/0!</v>
      </c>
      <c r="O81" s="155" t="e">
        <f t="shared" si="202"/>
        <v>#DIV/0!</v>
      </c>
      <c r="P81" s="156" t="e">
        <f t="shared" si="202"/>
        <v>#DIV/0!</v>
      </c>
      <c r="Q81" s="155" t="e">
        <f t="shared" si="202"/>
        <v>#DIV/0!</v>
      </c>
      <c r="R81" s="155" t="e">
        <f t="shared" si="202"/>
        <v>#DIV/0!</v>
      </c>
      <c r="S81" s="155" t="e">
        <f t="shared" si="202"/>
        <v>#DIV/0!</v>
      </c>
      <c r="T81" s="155" t="e">
        <f t="shared" si="202"/>
        <v>#DIV/0!</v>
      </c>
      <c r="U81" s="156" t="e">
        <f t="shared" si="202"/>
        <v>#DIV/0!</v>
      </c>
      <c r="V81" s="155" t="e">
        <f t="shared" si="202"/>
        <v>#DIV/0!</v>
      </c>
      <c r="W81" s="155" t="e">
        <f t="shared" si="202"/>
        <v>#DIV/0!</v>
      </c>
      <c r="X81" s="155" t="e">
        <f t="shared" si="202"/>
        <v>#DIV/0!</v>
      </c>
      <c r="Y81" s="155" t="e">
        <f t="shared" si="202"/>
        <v>#DIV/0!</v>
      </c>
      <c r="Z81" s="156" t="e">
        <f t="shared" si="202"/>
        <v>#DIV/0!</v>
      </c>
      <c r="AA81" s="155" t="e">
        <f t="shared" si="202"/>
        <v>#DIV/0!</v>
      </c>
      <c r="AB81" s="155" t="e">
        <f t="shared" si="202"/>
        <v>#DIV/0!</v>
      </c>
      <c r="AC81" s="155" t="e">
        <f t="shared" si="202"/>
        <v>#DIV/0!</v>
      </c>
      <c r="AD81" s="155" t="e">
        <f t="shared" si="202"/>
        <v>#DIV/0!</v>
      </c>
      <c r="AE81" s="156" t="e">
        <f t="shared" si="202"/>
        <v>#DIV/0!</v>
      </c>
      <c r="AF81" s="155" t="e">
        <f t="shared" si="202"/>
        <v>#DIV/0!</v>
      </c>
      <c r="AG81" s="155" t="e">
        <f t="shared" si="202"/>
        <v>#DIV/0!</v>
      </c>
      <c r="AH81" s="155" t="e">
        <f t="shared" si="202"/>
        <v>#DIV/0!</v>
      </c>
      <c r="AI81" s="155">
        <f t="shared" si="202"/>
        <v>12.435270502068867</v>
      </c>
      <c r="AJ81" s="156">
        <f t="shared" si="202"/>
        <v>36.468288314500299</v>
      </c>
      <c r="AK81" s="155" t="e">
        <f t="shared" si="202"/>
        <v>#DIV/0!</v>
      </c>
      <c r="AL81" s="155" t="e">
        <f t="shared" si="202"/>
        <v>#DIV/0!</v>
      </c>
      <c r="AM81" s="155" t="e">
        <f t="shared" si="202"/>
        <v>#DIV/0!</v>
      </c>
      <c r="AN81" s="155">
        <f t="shared" si="202"/>
        <v>6.0431238158262097</v>
      </c>
      <c r="AO81" s="156">
        <f t="shared" si="202"/>
        <v>19.213495280390532</v>
      </c>
      <c r="AP81" s="155" t="e">
        <f t="shared" si="202"/>
        <v>#DIV/0!</v>
      </c>
      <c r="AQ81" s="155" t="e">
        <f t="shared" si="202"/>
        <v>#DIV/0!</v>
      </c>
      <c r="AR81" s="155" t="e">
        <f t="shared" si="202"/>
        <v>#DIV/0!</v>
      </c>
      <c r="AS81" s="155">
        <f t="shared" si="202"/>
        <v>8.6513000661579191</v>
      </c>
      <c r="AT81" s="156">
        <f t="shared" si="202"/>
        <v>27.798151234148442</v>
      </c>
      <c r="AU81" s="155" t="e">
        <f t="shared" si="202"/>
        <v>#DIV/0!</v>
      </c>
      <c r="AV81" s="155" t="e">
        <f t="shared" si="202"/>
        <v>#DIV/0!</v>
      </c>
      <c r="AW81" s="155" t="e">
        <f t="shared" si="202"/>
        <v>#DIV/0!</v>
      </c>
      <c r="AX81" s="155">
        <f t="shared" si="202"/>
        <v>6.676185496143848</v>
      </c>
      <c r="AY81" s="156">
        <f t="shared" si="202"/>
        <v>15.887861484343109</v>
      </c>
      <c r="AZ81" s="155" t="e">
        <f t="shared" si="202"/>
        <v>#DIV/0!</v>
      </c>
      <c r="BA81" s="155" t="e">
        <f t="shared" si="202"/>
        <v>#DIV/0!</v>
      </c>
      <c r="BB81" s="155" t="e">
        <f t="shared" si="202"/>
        <v>#DIV/0!</v>
      </c>
      <c r="BC81" s="155">
        <f t="shared" si="202"/>
        <v>14.31350215409635</v>
      </c>
      <c r="BD81" s="156">
        <f t="shared" si="202"/>
        <v>25.023997094473263</v>
      </c>
      <c r="BE81" s="155" t="e">
        <f t="shared" si="202"/>
        <v>#DIV/0!</v>
      </c>
      <c r="BF81" s="155" t="e">
        <f t="shared" si="202"/>
        <v>#DIV/0!</v>
      </c>
      <c r="BG81" s="155" t="e">
        <f t="shared" si="202"/>
        <v>#DIV/0!</v>
      </c>
      <c r="BH81" s="155">
        <f t="shared" si="202"/>
        <v>12.251961919823</v>
      </c>
      <c r="BI81" s="156">
        <f t="shared" si="202"/>
        <v>21.547509458475741</v>
      </c>
      <c r="BJ81" s="155" t="e">
        <f t="shared" si="202"/>
        <v>#DIV/0!</v>
      </c>
      <c r="BK81" s="155" t="e">
        <f t="shared" si="202"/>
        <v>#DIV/0!</v>
      </c>
      <c r="BL81" s="155" t="e">
        <f t="shared" si="202"/>
        <v>#DIV/0!</v>
      </c>
      <c r="BM81" s="155">
        <f t="shared" si="202"/>
        <v>13.651988742748175</v>
      </c>
      <c r="BN81" s="156">
        <f t="shared" si="202"/>
        <v>31.335220980320205</v>
      </c>
      <c r="BO81" s="155" t="e">
        <f t="shared" ref="BO81:DD81" si="203">-365/(BO80/BO79)</f>
        <v>#DIV/0!</v>
      </c>
      <c r="BP81" s="155" t="e">
        <f t="shared" si="203"/>
        <v>#DIV/0!</v>
      </c>
      <c r="BQ81" s="155" t="e">
        <f t="shared" si="203"/>
        <v>#DIV/0!</v>
      </c>
      <c r="BR81" s="155">
        <f t="shared" si="203"/>
        <v>8.3411925083244594</v>
      </c>
      <c r="BS81" s="156">
        <f t="shared" si="203"/>
        <v>25.974918498264802</v>
      </c>
      <c r="BT81" s="155" t="e">
        <f t="shared" si="203"/>
        <v>#DIV/0!</v>
      </c>
      <c r="BU81" s="155" t="e">
        <f t="shared" si="203"/>
        <v>#DIV/0!</v>
      </c>
      <c r="BV81" s="155" t="e">
        <f t="shared" si="203"/>
        <v>#DIV/0!</v>
      </c>
      <c r="BW81" s="155">
        <f t="shared" si="203"/>
        <v>8.2741192152296588</v>
      </c>
      <c r="BX81" s="156">
        <f t="shared" si="203"/>
        <v>29.667107605618916</v>
      </c>
      <c r="BY81" s="155" t="e">
        <f t="shared" si="203"/>
        <v>#DIV/0!</v>
      </c>
      <c r="BZ81" s="155" t="e">
        <f t="shared" si="203"/>
        <v>#DIV/0!</v>
      </c>
      <c r="CA81" s="155" t="e">
        <f t="shared" si="203"/>
        <v>#DIV/0!</v>
      </c>
      <c r="CB81" s="155">
        <f t="shared" si="203"/>
        <v>19.883726189735793</v>
      </c>
      <c r="CC81" s="156">
        <f t="shared" si="203"/>
        <v>21.204808016979403</v>
      </c>
      <c r="CD81" s="155">
        <f t="shared" si="203"/>
        <v>35.860365398956006</v>
      </c>
      <c r="CE81" s="155">
        <f t="shared" si="203"/>
        <v>38.600085029422878</v>
      </c>
      <c r="CF81" s="155">
        <f t="shared" si="203"/>
        <v>43.093553779143726</v>
      </c>
      <c r="CG81" s="155">
        <f t="shared" si="203"/>
        <v>20.44811405008446</v>
      </c>
      <c r="CH81" s="156">
        <f t="shared" si="203"/>
        <v>22.375162643167869</v>
      </c>
      <c r="CI81" s="155">
        <f t="shared" si="203"/>
        <v>25.919377785315206</v>
      </c>
      <c r="CJ81" s="155">
        <f t="shared" si="203"/>
        <v>29.767126033352337</v>
      </c>
      <c r="CK81" s="155">
        <f t="shared" si="203"/>
        <v>30.30235070657395</v>
      </c>
      <c r="CL81" s="155">
        <f t="shared" si="203"/>
        <v>25.201258913886882</v>
      </c>
      <c r="CM81" s="156">
        <f t="shared" si="203"/>
        <v>29.199359194750663</v>
      </c>
      <c r="CN81" s="155">
        <f t="shared" si="203"/>
        <v>27.416309424385908</v>
      </c>
      <c r="CO81" s="155">
        <f t="shared" si="203"/>
        <v>26.891929704563296</v>
      </c>
      <c r="CP81" s="155">
        <f t="shared" si="203"/>
        <v>24.842919464488979</v>
      </c>
      <c r="CQ81" s="155">
        <f t="shared" si="203"/>
        <v>28.689329878097297</v>
      </c>
      <c r="CR81" s="156">
        <f t="shared" si="203"/>
        <v>29.446392640956574</v>
      </c>
      <c r="CS81" s="155">
        <f t="shared" si="203"/>
        <v>29.856959156478986</v>
      </c>
      <c r="CT81" s="155">
        <f t="shared" si="203"/>
        <v>24.045201112888147</v>
      </c>
      <c r="CU81" s="155">
        <f t="shared" si="203"/>
        <v>28.337270877292301</v>
      </c>
      <c r="CV81" s="155">
        <f t="shared" si="203"/>
        <v>31.64175130359358</v>
      </c>
      <c r="CW81" s="156">
        <f t="shared" si="203"/>
        <v>35.03701937493404</v>
      </c>
      <c r="CX81" s="155">
        <f t="shared" si="203"/>
        <v>30.323808912723393</v>
      </c>
      <c r="CY81" s="155">
        <f t="shared" si="203"/>
        <v>21.05928479093286</v>
      </c>
      <c r="CZ81" s="155">
        <f t="shared" si="203"/>
        <v>25.870341515856815</v>
      </c>
      <c r="DA81" s="155">
        <f t="shared" si="203"/>
        <v>27.184825083736509</v>
      </c>
      <c r="DB81" s="156">
        <f t="shared" si="203"/>
        <v>28.329972196555023</v>
      </c>
      <c r="DC81" s="155">
        <f t="shared" si="203"/>
        <v>31.648350291415586</v>
      </c>
      <c r="DD81" s="155">
        <f t="shared" si="203"/>
        <v>32.317696589301491</v>
      </c>
      <c r="DE81" s="155">
        <f t="shared" ref="DE81:DF81" si="204">-365/(DE80/DE79)</f>
        <v>30.597093678524846</v>
      </c>
      <c r="DF81" s="155">
        <f t="shared" si="204"/>
        <v>30.192130611507757</v>
      </c>
      <c r="DG81" s="156">
        <f>-365/(DG80/DG79)</f>
        <v>31.247720067129094</v>
      </c>
      <c r="DH81" s="155">
        <f t="shared" ref="DH81:DI81" si="205">-365/(DH80/DH79)</f>
        <v>31.694891161847028</v>
      </c>
      <c r="DI81" s="155">
        <f t="shared" si="205"/>
        <v>31.570351301287211</v>
      </c>
      <c r="DJ81" s="157">
        <f>DI81</f>
        <v>31.570351301287211</v>
      </c>
      <c r="DK81" s="157">
        <f>DJ81</f>
        <v>31.570351301287211</v>
      </c>
      <c r="DL81" s="156">
        <f>-365/(DL80/DL79)</f>
        <v>33.412890678965702</v>
      </c>
      <c r="DM81" s="157">
        <f>DK81</f>
        <v>31.570351301287211</v>
      </c>
      <c r="DN81" s="157">
        <f>DM81</f>
        <v>31.570351301287211</v>
      </c>
      <c r="DO81" s="157">
        <f>DN81</f>
        <v>31.570351301287211</v>
      </c>
      <c r="DP81" s="157">
        <f>DO81</f>
        <v>31.570351301287211</v>
      </c>
      <c r="DQ81" s="156">
        <f>-365/(DQ80/DQ79)</f>
        <v>32.804270683345734</v>
      </c>
      <c r="DR81" s="157">
        <f>DP81</f>
        <v>31.570351301287211</v>
      </c>
      <c r="DS81" s="157">
        <f>DR81</f>
        <v>31.570351301287211</v>
      </c>
      <c r="DT81" s="157">
        <f>DS81</f>
        <v>31.570351301287211</v>
      </c>
      <c r="DU81" s="157">
        <f>DT81</f>
        <v>31.570351301287211</v>
      </c>
      <c r="DV81" s="156">
        <f>-365/(DV80/DV79)</f>
        <v>32.244468281314312</v>
      </c>
      <c r="DW81" s="157">
        <f>DU81</f>
        <v>31.570351301287211</v>
      </c>
      <c r="DX81" s="157">
        <f>DW81</f>
        <v>31.570351301287211</v>
      </c>
      <c r="DY81" s="157">
        <f>DX81</f>
        <v>31.570351301287211</v>
      </c>
      <c r="DZ81" s="157">
        <f>DY81</f>
        <v>31.570351301287211</v>
      </c>
      <c r="EA81" s="156">
        <f>-365/(EA80/EA79)</f>
        <v>32.086678358987697</v>
      </c>
      <c r="EB81" s="157">
        <f>DZ81</f>
        <v>31.570351301287211</v>
      </c>
      <c r="EC81" s="157">
        <f>EB81</f>
        <v>31.570351301287211</v>
      </c>
      <c r="ED81" s="157">
        <f>EC81</f>
        <v>31.570351301287211</v>
      </c>
      <c r="EE81" s="157">
        <f>ED81</f>
        <v>31.570351301287211</v>
      </c>
      <c r="EF81" s="156">
        <f>-365/(EF80/EF79)</f>
        <v>31.981359942581143</v>
      </c>
    </row>
    <row r="82" spans="1:136" ht="12" customHeight="1" outlineLevel="1">
      <c r="B82" s="68"/>
      <c r="C82" s="68"/>
      <c r="D82" s="68"/>
      <c r="E82" s="68"/>
      <c r="F82" s="28"/>
      <c r="G82" s="68"/>
      <c r="H82" s="68"/>
      <c r="I82" s="68"/>
      <c r="J82" s="68"/>
      <c r="K82" s="28"/>
      <c r="L82" s="68"/>
      <c r="M82" s="68"/>
      <c r="N82" s="68"/>
      <c r="O82" s="68"/>
      <c r="P82" s="28"/>
      <c r="Q82" s="68"/>
      <c r="R82" s="68"/>
      <c r="S82" s="68"/>
      <c r="T82" s="68"/>
      <c r="U82" s="28"/>
      <c r="V82" s="68"/>
      <c r="W82" s="68"/>
      <c r="X82" s="68"/>
      <c r="Y82" s="68"/>
      <c r="Z82" s="28"/>
      <c r="AA82" s="68"/>
      <c r="AB82" s="68"/>
      <c r="AC82" s="68"/>
      <c r="AD82" s="68"/>
      <c r="AE82" s="28"/>
      <c r="AF82" s="68"/>
      <c r="AG82" s="68"/>
      <c r="AH82" s="68"/>
      <c r="AI82" s="68"/>
      <c r="AJ82" s="28"/>
      <c r="AK82" s="68"/>
      <c r="AL82" s="68"/>
      <c r="AM82" s="68"/>
      <c r="AN82" s="68"/>
      <c r="AO82" s="28"/>
      <c r="AP82" s="68"/>
      <c r="AQ82" s="68"/>
      <c r="AR82" s="68"/>
      <c r="AS82" s="68"/>
      <c r="AT82" s="28"/>
      <c r="AU82" s="68"/>
      <c r="AV82" s="68"/>
      <c r="AW82" s="68"/>
      <c r="AX82" s="68"/>
      <c r="AY82" s="28"/>
      <c r="AZ82" s="68"/>
      <c r="BA82" s="68"/>
      <c r="BB82" s="68"/>
      <c r="BC82" s="68"/>
      <c r="BD82" s="28"/>
      <c r="BE82" s="68"/>
      <c r="BF82" s="68"/>
      <c r="BG82" s="68"/>
      <c r="BH82" s="68"/>
      <c r="BI82" s="28"/>
      <c r="BJ82" s="68"/>
      <c r="BK82" s="68"/>
      <c r="BL82" s="68"/>
      <c r="BM82" s="68"/>
      <c r="BN82" s="28"/>
      <c r="BO82" s="68"/>
      <c r="BP82" s="68"/>
      <c r="BQ82" s="68"/>
      <c r="BR82" s="68"/>
      <c r="BS82" s="28"/>
      <c r="BT82" s="68"/>
      <c r="BU82" s="68"/>
      <c r="BV82" s="68"/>
      <c r="BW82" s="68"/>
      <c r="BX82" s="28"/>
      <c r="BY82" s="68"/>
      <c r="BZ82" s="68"/>
      <c r="CA82" s="68"/>
      <c r="CB82" s="68"/>
      <c r="CC82" s="28"/>
      <c r="CD82" s="68"/>
      <c r="CE82" s="68"/>
      <c r="CF82" s="68"/>
      <c r="CG82" s="68"/>
      <c r="CH82" s="28"/>
      <c r="CI82" s="68"/>
      <c r="CJ82" s="68"/>
      <c r="CK82" s="68"/>
      <c r="CL82" s="68"/>
      <c r="CM82" s="28"/>
      <c r="CN82" s="68"/>
      <c r="CO82" s="68"/>
      <c r="CP82" s="68"/>
      <c r="CQ82" s="68"/>
      <c r="CR82" s="28"/>
      <c r="CS82" s="68"/>
      <c r="CT82" s="68"/>
      <c r="CU82" s="68"/>
      <c r="CV82" s="68"/>
      <c r="CW82" s="28"/>
      <c r="CX82" s="68"/>
      <c r="CY82" s="68"/>
      <c r="CZ82" s="68"/>
      <c r="DA82" s="68"/>
      <c r="DB82" s="28"/>
      <c r="DC82" s="68"/>
      <c r="DD82" s="68"/>
      <c r="DE82" s="68"/>
      <c r="DF82" s="68"/>
      <c r="DG82" s="28"/>
      <c r="DH82" s="68"/>
      <c r="DI82" s="68"/>
      <c r="DJ82" s="68"/>
      <c r="DK82" s="68"/>
      <c r="DL82" s="28"/>
      <c r="DM82" s="68"/>
      <c r="DN82" s="68"/>
      <c r="DO82" s="68"/>
      <c r="DP82" s="68"/>
      <c r="DQ82" s="28"/>
      <c r="DR82" s="68"/>
      <c r="DS82" s="68"/>
      <c r="DT82" s="68"/>
      <c r="DU82" s="68"/>
      <c r="DV82" s="28"/>
      <c r="DW82" s="68"/>
      <c r="DX82" s="68"/>
      <c r="DY82" s="68"/>
      <c r="DZ82" s="68"/>
      <c r="EA82" s="28"/>
      <c r="EB82" s="68"/>
      <c r="EC82" s="68"/>
      <c r="ED82" s="68"/>
      <c r="EE82" s="68"/>
      <c r="EF82" s="28"/>
    </row>
    <row r="83" spans="1:136" s="3" customFormat="1" ht="12" customHeight="1" outlineLevel="1">
      <c r="A83" s="3" t="s">
        <v>50</v>
      </c>
      <c r="B83" s="162">
        <f t="shared" ref="B83:K83" si="206">B34</f>
        <v>0</v>
      </c>
      <c r="C83" s="162">
        <f t="shared" si="206"/>
        <v>0</v>
      </c>
      <c r="D83" s="162">
        <f t="shared" si="206"/>
        <v>0</v>
      </c>
      <c r="E83" s="162">
        <f t="shared" si="206"/>
        <v>0</v>
      </c>
      <c r="F83" s="163">
        <f t="shared" si="206"/>
        <v>0</v>
      </c>
      <c r="G83" s="162">
        <f t="shared" si="206"/>
        <v>0</v>
      </c>
      <c r="H83" s="162">
        <f t="shared" si="206"/>
        <v>0</v>
      </c>
      <c r="I83" s="162">
        <f t="shared" si="206"/>
        <v>0</v>
      </c>
      <c r="J83" s="162">
        <f t="shared" si="206"/>
        <v>0</v>
      </c>
      <c r="K83" s="163">
        <f t="shared" si="206"/>
        <v>0</v>
      </c>
      <c r="L83" s="162">
        <f t="shared" ref="L83:BN83" si="207">L34</f>
        <v>0</v>
      </c>
      <c r="M83" s="162">
        <f t="shared" si="207"/>
        <v>0</v>
      </c>
      <c r="N83" s="162">
        <f t="shared" si="207"/>
        <v>0</v>
      </c>
      <c r="O83" s="162">
        <f t="shared" si="207"/>
        <v>0</v>
      </c>
      <c r="P83" s="163">
        <f t="shared" si="207"/>
        <v>0</v>
      </c>
      <c r="Q83" s="162">
        <f t="shared" si="207"/>
        <v>0</v>
      </c>
      <c r="R83" s="162">
        <f t="shared" si="207"/>
        <v>0</v>
      </c>
      <c r="S83" s="162">
        <f t="shared" si="207"/>
        <v>0</v>
      </c>
      <c r="T83" s="162">
        <f t="shared" si="207"/>
        <v>0</v>
      </c>
      <c r="U83" s="163">
        <f t="shared" si="207"/>
        <v>0</v>
      </c>
      <c r="V83" s="162">
        <f t="shared" si="207"/>
        <v>0</v>
      </c>
      <c r="W83" s="162">
        <f t="shared" si="207"/>
        <v>0</v>
      </c>
      <c r="X83" s="162">
        <f t="shared" si="207"/>
        <v>0</v>
      </c>
      <c r="Y83" s="162">
        <f t="shared" si="207"/>
        <v>0</v>
      </c>
      <c r="Z83" s="163">
        <f t="shared" si="207"/>
        <v>0</v>
      </c>
      <c r="AA83" s="162">
        <f t="shared" si="207"/>
        <v>0</v>
      </c>
      <c r="AB83" s="162">
        <f t="shared" si="207"/>
        <v>0</v>
      </c>
      <c r="AC83" s="162">
        <f t="shared" si="207"/>
        <v>0</v>
      </c>
      <c r="AD83" s="162">
        <f t="shared" si="207"/>
        <v>0</v>
      </c>
      <c r="AE83" s="163">
        <f t="shared" si="207"/>
        <v>0</v>
      </c>
      <c r="AF83" s="162">
        <f t="shared" si="207"/>
        <v>0</v>
      </c>
      <c r="AG83" s="162">
        <f t="shared" si="207"/>
        <v>0</v>
      </c>
      <c r="AH83" s="162">
        <f t="shared" si="207"/>
        <v>0</v>
      </c>
      <c r="AI83" s="162">
        <f t="shared" si="207"/>
        <v>8704.134</v>
      </c>
      <c r="AJ83" s="163">
        <f t="shared" si="207"/>
        <v>8704.134</v>
      </c>
      <c r="AK83" s="162">
        <f t="shared" si="207"/>
        <v>0</v>
      </c>
      <c r="AL83" s="162">
        <f t="shared" si="207"/>
        <v>0</v>
      </c>
      <c r="AM83" s="162">
        <f t="shared" si="207"/>
        <v>0</v>
      </c>
      <c r="AN83" s="162">
        <f t="shared" si="207"/>
        <v>22571.302</v>
      </c>
      <c r="AO83" s="163">
        <f t="shared" si="207"/>
        <v>22571.302</v>
      </c>
      <c r="AP83" s="162">
        <f t="shared" si="207"/>
        <v>0</v>
      </c>
      <c r="AQ83" s="162">
        <f t="shared" si="207"/>
        <v>0</v>
      </c>
      <c r="AR83" s="162">
        <f t="shared" si="207"/>
        <v>0</v>
      </c>
      <c r="AS83" s="162">
        <f t="shared" si="207"/>
        <v>63132.907999999996</v>
      </c>
      <c r="AT83" s="163">
        <f t="shared" si="207"/>
        <v>63132.907999999996</v>
      </c>
      <c r="AU83" s="162">
        <f t="shared" si="207"/>
        <v>0</v>
      </c>
      <c r="AV83" s="162">
        <f t="shared" si="207"/>
        <v>0</v>
      </c>
      <c r="AW83" s="162">
        <f t="shared" si="207"/>
        <v>0</v>
      </c>
      <c r="AX83" s="162">
        <f t="shared" si="207"/>
        <v>33788</v>
      </c>
      <c r="AY83" s="163">
        <f t="shared" si="207"/>
        <v>33788</v>
      </c>
      <c r="AZ83" s="162">
        <f t="shared" si="207"/>
        <v>0</v>
      </c>
      <c r="BA83" s="162">
        <f t="shared" si="207"/>
        <v>0</v>
      </c>
      <c r="BB83" s="162">
        <f t="shared" si="207"/>
        <v>0</v>
      </c>
      <c r="BC83" s="162">
        <f t="shared" si="207"/>
        <v>55376</v>
      </c>
      <c r="BD83" s="163">
        <f t="shared" si="207"/>
        <v>55376</v>
      </c>
      <c r="BE83" s="162">
        <f t="shared" si="207"/>
        <v>0</v>
      </c>
      <c r="BF83" s="162">
        <f t="shared" si="207"/>
        <v>0</v>
      </c>
      <c r="BG83" s="162">
        <f t="shared" si="207"/>
        <v>0</v>
      </c>
      <c r="BH83" s="162">
        <f t="shared" si="207"/>
        <v>114204</v>
      </c>
      <c r="BI83" s="163">
        <f t="shared" si="207"/>
        <v>114204</v>
      </c>
      <c r="BJ83" s="162">
        <f t="shared" si="207"/>
        <v>0</v>
      </c>
      <c r="BK83" s="162">
        <f t="shared" si="207"/>
        <v>0</v>
      </c>
      <c r="BL83" s="162">
        <f t="shared" si="207"/>
        <v>0</v>
      </c>
      <c r="BM83" s="162">
        <f t="shared" si="207"/>
        <v>168561</v>
      </c>
      <c r="BN83" s="163">
        <f t="shared" si="207"/>
        <v>168561</v>
      </c>
      <c r="BO83" s="162">
        <f t="shared" ref="BO83:DD83" si="208">BO34</f>
        <v>0</v>
      </c>
      <c r="BP83" s="162">
        <f t="shared" si="208"/>
        <v>0</v>
      </c>
      <c r="BQ83" s="162">
        <f t="shared" si="208"/>
        <v>0</v>
      </c>
      <c r="BR83" s="162">
        <f t="shared" si="208"/>
        <v>280472</v>
      </c>
      <c r="BS83" s="163">
        <f t="shared" si="208"/>
        <v>280472</v>
      </c>
      <c r="BT83" s="162">
        <f t="shared" si="208"/>
        <v>0</v>
      </c>
      <c r="BU83" s="162">
        <f t="shared" si="208"/>
        <v>0</v>
      </c>
      <c r="BV83" s="162">
        <f t="shared" si="208"/>
        <v>0</v>
      </c>
      <c r="BW83" s="162">
        <f t="shared" si="208"/>
        <v>153254</v>
      </c>
      <c r="BX83" s="163">
        <f t="shared" si="208"/>
        <v>153254</v>
      </c>
      <c r="BY83" s="162">
        <f t="shared" si="208"/>
        <v>0</v>
      </c>
      <c r="BZ83" s="162">
        <f t="shared" si="208"/>
        <v>0</v>
      </c>
      <c r="CA83" s="162">
        <f t="shared" si="208"/>
        <v>0</v>
      </c>
      <c r="CB83" s="162">
        <f t="shared" si="208"/>
        <v>182793</v>
      </c>
      <c r="CC83" s="163">
        <f t="shared" si="208"/>
        <v>182793</v>
      </c>
      <c r="CD83" s="162">
        <f t="shared" si="208"/>
        <v>113611</v>
      </c>
      <c r="CE83" s="162">
        <f t="shared" si="208"/>
        <v>193921</v>
      </c>
      <c r="CF83" s="162">
        <f t="shared" si="208"/>
        <v>289238</v>
      </c>
      <c r="CG83" s="162">
        <f t="shared" si="208"/>
        <v>279670</v>
      </c>
      <c r="CH83" s="163">
        <f t="shared" si="208"/>
        <v>279670</v>
      </c>
      <c r="CI83" s="162">
        <f t="shared" si="208"/>
        <v>336426</v>
      </c>
      <c r="CJ83" s="162">
        <f t="shared" si="208"/>
        <v>358402</v>
      </c>
      <c r="CK83" s="162">
        <f t="shared" si="208"/>
        <v>403842</v>
      </c>
      <c r="CL83" s="162">
        <f t="shared" si="208"/>
        <v>515238</v>
      </c>
      <c r="CM83" s="163">
        <f t="shared" si="208"/>
        <v>515238</v>
      </c>
      <c r="CN83" s="162">
        <f t="shared" si="208"/>
        <v>806999</v>
      </c>
      <c r="CO83" s="162">
        <f t="shared" si="208"/>
        <v>668553</v>
      </c>
      <c r="CP83" s="162">
        <f t="shared" si="208"/>
        <v>489825</v>
      </c>
      <c r="CQ83" s="162">
        <f t="shared" si="208"/>
        <v>342626</v>
      </c>
      <c r="CR83" s="163">
        <f t="shared" si="208"/>
        <v>342626</v>
      </c>
      <c r="CS83" s="162">
        <f t="shared" si="208"/>
        <v>96307</v>
      </c>
      <c r="CT83" s="162">
        <f t="shared" si="208"/>
        <v>63829</v>
      </c>
      <c r="CU83" s="162">
        <f t="shared" si="208"/>
        <v>54193</v>
      </c>
      <c r="CV83" s="162">
        <f t="shared" si="208"/>
        <v>97208</v>
      </c>
      <c r="CW83" s="163">
        <f t="shared" si="208"/>
        <v>97208</v>
      </c>
      <c r="CX83" s="162">
        <f t="shared" si="208"/>
        <v>118652</v>
      </c>
      <c r="CY83" s="162">
        <f t="shared" si="208"/>
        <v>150036</v>
      </c>
      <c r="CZ83" s="162">
        <f t="shared" si="208"/>
        <v>122895</v>
      </c>
      <c r="DA83" s="162">
        <f t="shared" si="208"/>
        <v>184216</v>
      </c>
      <c r="DB83" s="163">
        <f t="shared" si="208"/>
        <v>184216</v>
      </c>
      <c r="DC83" s="162">
        <f t="shared" si="208"/>
        <v>238841</v>
      </c>
      <c r="DD83" s="162">
        <f t="shared" si="208"/>
        <v>253521</v>
      </c>
      <c r="DE83" s="162">
        <f t="shared" ref="DE83:DF83" si="209">DE34</f>
        <v>273630</v>
      </c>
      <c r="DF83" s="162">
        <f t="shared" si="209"/>
        <v>333123</v>
      </c>
      <c r="DG83" s="163">
        <f>DG34</f>
        <v>333123</v>
      </c>
      <c r="DH83" s="162">
        <f t="shared" ref="DH83:DI83" si="210">DH34</f>
        <v>351671</v>
      </c>
      <c r="DI83" s="162">
        <f t="shared" si="210"/>
        <v>347634</v>
      </c>
      <c r="DJ83" s="153">
        <f>DJ85*DJ84</f>
        <v>361712.75688660244</v>
      </c>
      <c r="DK83" s="153">
        <f>DK85*DK84</f>
        <v>394158.25950996071</v>
      </c>
      <c r="DL83" s="163">
        <f>DL34</f>
        <v>394158.25950996071</v>
      </c>
      <c r="DM83" s="153">
        <f>DM85*DM84</f>
        <v>401390.08162053634</v>
      </c>
      <c r="DN83" s="153">
        <f>DN85*DN84</f>
        <v>418310.11065216572</v>
      </c>
      <c r="DO83" s="153">
        <f>DO85*DO84</f>
        <v>428969.34090257139</v>
      </c>
      <c r="DP83" s="153">
        <f>DP85*DP84</f>
        <v>433716.78949578787</v>
      </c>
      <c r="DQ83" s="163">
        <f>DQ34</f>
        <v>433716.78949578787</v>
      </c>
      <c r="DR83" s="153">
        <f>DR85*DR84</f>
        <v>442081.67148820183</v>
      </c>
      <c r="DS83" s="153">
        <f>DS85*DS84</f>
        <v>449652.89413338271</v>
      </c>
      <c r="DT83" s="153">
        <f>DT85*DT84</f>
        <v>457439.06321446109</v>
      </c>
      <c r="DU83" s="153">
        <f>DU85*DU84</f>
        <v>464427.98990665853</v>
      </c>
      <c r="DV83" s="163">
        <f>DV34</f>
        <v>464427.98990665853</v>
      </c>
      <c r="DW83" s="153">
        <f>DW85*DW84</f>
        <v>470924.00760899077</v>
      </c>
      <c r="DX83" s="153">
        <f>DX85*DX84</f>
        <v>477573.52847079042</v>
      </c>
      <c r="DY83" s="153">
        <f>DY85*DY84</f>
        <v>483888.5497821513</v>
      </c>
      <c r="DZ83" s="153">
        <f>DZ85*DZ84</f>
        <v>490075.78121894674</v>
      </c>
      <c r="EA83" s="163">
        <f>EA34</f>
        <v>490075.78121894674</v>
      </c>
      <c r="EB83" s="153">
        <f>EB85*EB84</f>
        <v>495978.5303723262</v>
      </c>
      <c r="EC83" s="153">
        <f>EC85*EC84</f>
        <v>501761.81408734748</v>
      </c>
      <c r="ED83" s="153">
        <f>ED85*ED84</f>
        <v>507426.39489578217</v>
      </c>
      <c r="EE83" s="153">
        <f>EE85*EE84</f>
        <v>513141.15949308779</v>
      </c>
      <c r="EF83" s="163">
        <f>EF34</f>
        <v>513141.15949308779</v>
      </c>
    </row>
    <row r="84" spans="1:136" ht="12" customHeight="1" outlineLevel="1">
      <c r="A84" s="1" t="s">
        <v>212</v>
      </c>
      <c r="B84" s="47" t="e">
        <f>#REF!</f>
        <v>#REF!</v>
      </c>
      <c r="C84" s="47" t="e">
        <f>#REF!</f>
        <v>#REF!</v>
      </c>
      <c r="D84" s="47" t="e">
        <f>#REF!</f>
        <v>#REF!</v>
      </c>
      <c r="E84" s="47" t="e">
        <f>#REF!</f>
        <v>#REF!</v>
      </c>
      <c r="F84" s="50" t="e">
        <f>#REF!</f>
        <v>#REF!</v>
      </c>
      <c r="G84" s="47" t="e">
        <f>#REF!</f>
        <v>#REF!</v>
      </c>
      <c r="H84" s="47" t="e">
        <f>#REF!</f>
        <v>#REF!</v>
      </c>
      <c r="I84" s="47" t="e">
        <f>#REF!</f>
        <v>#REF!</v>
      </c>
      <c r="J84" s="47" t="e">
        <f>#REF!</f>
        <v>#REF!</v>
      </c>
      <c r="K84" s="50">
        <f>Forecasts!K10</f>
        <v>0</v>
      </c>
      <c r="L84" s="47" t="e">
        <f>#REF!</f>
        <v>#REF!</v>
      </c>
      <c r="M84" s="47" t="e">
        <f>#REF!</f>
        <v>#REF!</v>
      </c>
      <c r="N84" s="47" t="e">
        <f>#REF!</f>
        <v>#REF!</v>
      </c>
      <c r="O84" s="47" t="e">
        <f>#REF!</f>
        <v>#REF!</v>
      </c>
      <c r="P84" s="50">
        <f>Forecasts!P10</f>
        <v>0</v>
      </c>
      <c r="Q84" s="47" t="e">
        <f>#REF!</f>
        <v>#REF!</v>
      </c>
      <c r="R84" s="47" t="e">
        <f>#REF!</f>
        <v>#REF!</v>
      </c>
      <c r="S84" s="47" t="e">
        <f>#REF!</f>
        <v>#REF!</v>
      </c>
      <c r="T84" s="47" t="e">
        <f>#REF!</f>
        <v>#REF!</v>
      </c>
      <c r="U84" s="50">
        <f>Forecasts!U10</f>
        <v>0</v>
      </c>
      <c r="V84" s="47" t="e">
        <f>#REF!</f>
        <v>#REF!</v>
      </c>
      <c r="W84" s="47" t="e">
        <f>#REF!</f>
        <v>#REF!</v>
      </c>
      <c r="X84" s="47" t="e">
        <f>#REF!</f>
        <v>#REF!</v>
      </c>
      <c r="Y84" s="47" t="e">
        <f>#REF!</f>
        <v>#REF!</v>
      </c>
      <c r="Z84" s="50">
        <f>Forecasts!Z10</f>
        <v>0</v>
      </c>
      <c r="AA84" s="47" t="e">
        <f>#REF!</f>
        <v>#REF!</v>
      </c>
      <c r="AB84" s="47" t="e">
        <f>#REF!</f>
        <v>#REF!</v>
      </c>
      <c r="AC84" s="47" t="e">
        <f>#REF!</f>
        <v>#REF!</v>
      </c>
      <c r="AD84" s="47" t="e">
        <f>#REF!</f>
        <v>#REF!</v>
      </c>
      <c r="AE84" s="50">
        <f>Forecasts!AE10</f>
        <v>0</v>
      </c>
      <c r="AF84" s="47">
        <f>Forecasts!AF10+Forecasts!AE10+Forecasts!AC10+Forecasts!AD10</f>
        <v>0</v>
      </c>
      <c r="AG84" s="47">
        <f>Forecasts!AG10+Forecasts!AF10+Forecasts!AD10+Forecasts!AC10</f>
        <v>0</v>
      </c>
      <c r="AH84" s="47">
        <f>Forecasts!AH10+Forecasts!AG10+Forecasts!AE10+Forecasts!AD10</f>
        <v>0</v>
      </c>
      <c r="AI84" s="47">
        <f>Forecasts!AI10+Forecasts!AH10+Forecasts!AF10+Forecasts!AG10</f>
        <v>0</v>
      </c>
      <c r="AJ84" s="50">
        <f>Forecasts!AJ10</f>
        <v>0</v>
      </c>
      <c r="AK84" s="47">
        <f>Forecasts!AK10+Forecasts!AJ10+Forecasts!AH10+Forecasts!AI10</f>
        <v>0</v>
      </c>
      <c r="AL84" s="47">
        <f>Forecasts!AL10+Forecasts!AK10+Forecasts!AI10+Forecasts!AH10</f>
        <v>0</v>
      </c>
      <c r="AM84" s="47">
        <f>Forecasts!AM10+Forecasts!AL10+Forecasts!AJ10+Forecasts!AI10</f>
        <v>0</v>
      </c>
      <c r="AN84" s="47">
        <f>Forecasts!AN10+Forecasts!AM10+Forecasts!AK10+Forecasts!AL10</f>
        <v>0</v>
      </c>
      <c r="AO84" s="50">
        <f>Forecasts!AO10</f>
        <v>0</v>
      </c>
      <c r="AP84" s="47">
        <f>Forecasts!AP10+Forecasts!AO10+Forecasts!AM10+Forecasts!AN10</f>
        <v>0</v>
      </c>
      <c r="AQ84" s="47">
        <f>Forecasts!AQ10+Forecasts!AP10+Forecasts!AN10+Forecasts!AM10</f>
        <v>0</v>
      </c>
      <c r="AR84" s="47">
        <f>Forecasts!AR10+Forecasts!AQ10+Forecasts!AO10+Forecasts!AN10</f>
        <v>0</v>
      </c>
      <c r="AS84" s="47">
        <f>Forecasts!AS10+Forecasts!AR10+Forecasts!AP10+Forecasts!AQ10</f>
        <v>0</v>
      </c>
      <c r="AT84" s="50">
        <f>Forecasts!AT10</f>
        <v>0</v>
      </c>
      <c r="AU84" s="47">
        <f>Forecasts!AU10+Forecasts!AT10+Forecasts!AR10+Forecasts!AS10</f>
        <v>0</v>
      </c>
      <c r="AV84" s="47">
        <f>Forecasts!AV10+Forecasts!AU10+Forecasts!AS10+Forecasts!AR10</f>
        <v>0</v>
      </c>
      <c r="AW84" s="47">
        <f>Forecasts!AW10+Forecasts!AV10+Forecasts!AT10+Forecasts!AS10</f>
        <v>0</v>
      </c>
      <c r="AX84" s="47">
        <f>Forecasts!AX10+Forecasts!AW10+Forecasts!AU10+Forecasts!AV10</f>
        <v>0</v>
      </c>
      <c r="AY84" s="50">
        <f>Forecasts!AY10</f>
        <v>0</v>
      </c>
      <c r="AZ84" s="47">
        <f>Forecasts!AZ10+Forecasts!AY10+Forecasts!AW10+Forecasts!AX10</f>
        <v>0</v>
      </c>
      <c r="BA84" s="47">
        <f>Forecasts!BA10+Forecasts!AZ10+Forecasts!AX10+Forecasts!AW10</f>
        <v>0</v>
      </c>
      <c r="BB84" s="47">
        <f>Forecasts!BB10+Forecasts!BA10+Forecasts!AY10+Forecasts!AX10</f>
        <v>0</v>
      </c>
      <c r="BC84" s="47">
        <f>Forecasts!BC10+Forecasts!BB10+Forecasts!AZ10+Forecasts!BA10</f>
        <v>0</v>
      </c>
      <c r="BD84" s="50">
        <f>Forecasts!BD10</f>
        <v>0</v>
      </c>
      <c r="BE84" s="47">
        <f>Forecasts!BE10+Forecasts!BD10+Forecasts!BB10+Forecasts!BC10</f>
        <v>0</v>
      </c>
      <c r="BF84" s="47">
        <f>Forecasts!BF10+Forecasts!BE10+Forecasts!BC10+Forecasts!BB10</f>
        <v>0</v>
      </c>
      <c r="BG84" s="47">
        <f>Forecasts!BG10+Forecasts!BF10+Forecasts!BD10+Forecasts!BC10</f>
        <v>0</v>
      </c>
      <c r="BH84" s="47">
        <f>Forecasts!BH10+Forecasts!BG10+Forecasts!BE10+Forecasts!BF10</f>
        <v>482400</v>
      </c>
      <c r="BI84" s="50">
        <f>Forecasts!BI10</f>
        <v>482400</v>
      </c>
      <c r="BJ84" s="47">
        <f>Forecasts!BJ10+Forecasts!BI10+Forecasts!BG10+Forecasts!BH10</f>
        <v>964800</v>
      </c>
      <c r="BK84" s="47">
        <f>Forecasts!BK10+Forecasts!BJ10+Forecasts!BH10+Forecasts!BG10</f>
        <v>482400</v>
      </c>
      <c r="BL84" s="47">
        <f>Forecasts!BL10+Forecasts!BK10+Forecasts!BI10+Forecasts!BH10</f>
        <v>964800</v>
      </c>
      <c r="BM84" s="47">
        <f>Forecasts!BM10+Forecasts!BL10+Forecasts!BJ10+Forecasts!BK10</f>
        <v>522400</v>
      </c>
      <c r="BN84" s="50">
        <f>Forecasts!BN10</f>
        <v>522400</v>
      </c>
      <c r="BO84" s="47">
        <f>Forecasts!BO10+Forecasts!BN10+Forecasts!BL10+Forecasts!BM10</f>
        <v>1044800</v>
      </c>
      <c r="BP84" s="47">
        <f>Forecasts!BP10+Forecasts!BO10+Forecasts!BM10+Forecasts!BL10</f>
        <v>522400</v>
      </c>
      <c r="BQ84" s="47">
        <f>Forecasts!BQ10+Forecasts!BP10+Forecasts!BN10+Forecasts!BM10</f>
        <v>1044800</v>
      </c>
      <c r="BR84" s="47">
        <f>Forecasts!BR10+Forecasts!BQ10+Forecasts!BO10+Forecasts!BP10</f>
        <v>592800</v>
      </c>
      <c r="BS84" s="50">
        <f>Forecasts!BS10</f>
        <v>592800</v>
      </c>
      <c r="BT84" s="47">
        <f>Forecasts!BT10+Forecasts!BS10+Forecasts!BQ10+Forecasts!BR10</f>
        <v>1185600</v>
      </c>
      <c r="BU84" s="47">
        <f>Forecasts!BU10+Forecasts!BT10+Forecasts!BR10+Forecasts!BQ10</f>
        <v>592800</v>
      </c>
      <c r="BV84" s="47">
        <f>Forecasts!BV10+Forecasts!BU10+Forecasts!BS10+Forecasts!BR10</f>
        <v>1185600</v>
      </c>
      <c r="BW84" s="47">
        <f>Forecasts!BW10+Forecasts!BV10+Forecasts!BT10+Forecasts!BU10</f>
        <v>709600</v>
      </c>
      <c r="BX84" s="50">
        <f>Forecasts!BX10</f>
        <v>709600</v>
      </c>
      <c r="BY84" s="47">
        <f>Forecasts!BY10+Forecasts!BX10+Forecasts!BV10+Forecasts!BW10</f>
        <v>1419200</v>
      </c>
      <c r="BZ84" s="47">
        <f>Forecasts!BZ10+Forecasts!BY10+Forecasts!BW10+Forecasts!BV10</f>
        <v>709600</v>
      </c>
      <c r="CA84" s="47">
        <f>Forecasts!CA10+Forecasts!BZ10+Forecasts!BX10+Forecasts!BW10</f>
        <v>1621781</v>
      </c>
      <c r="CB84" s="47">
        <f>Forecasts!CB10+Forecasts!CA10+Forecasts!BY10+Forecasts!BZ10</f>
        <v>779341.8</v>
      </c>
      <c r="CC84" s="50">
        <f>Forecasts!CC10</f>
        <v>779341.8</v>
      </c>
      <c r="CD84" s="47">
        <f>Forecasts!CD10+Forecasts!CC10+Forecasts!CA10+Forecasts!CB10</f>
        <v>1732423.6</v>
      </c>
      <c r="CE84" s="47">
        <f>Forecasts!CE10+Forecasts!CD10+Forecasts!CB10+Forecasts!CA10</f>
        <v>1201288.8</v>
      </c>
      <c r="CF84" s="47">
        <f>Forecasts!CF10+Forecasts!CE10+Forecasts!CC10+Forecasts!CB10</f>
        <v>1967628.6</v>
      </c>
      <c r="CG84" s="47">
        <f>Forecasts!CG10+Forecasts!CF10+Forecasts!CD10+Forecasts!CE10</f>
        <v>1155303</v>
      </c>
      <c r="CH84" s="50">
        <f>Forecasts!CH10</f>
        <v>1155303</v>
      </c>
      <c r="CI84" s="47">
        <f>Forecasts!CI10+Forecasts!CH10+Forecasts!CF10+Forecasts!CG10</f>
        <v>2414738</v>
      </c>
      <c r="CJ84" s="47">
        <f>Forecasts!CJ10+Forecasts!CI10+Forecasts!CG10+Forecasts!CF10</f>
        <v>1877714</v>
      </c>
      <c r="CK84" s="47">
        <f>Forecasts!CK10+Forecasts!CJ10+Forecasts!CH10+Forecasts!CG10</f>
        <v>2783196</v>
      </c>
      <c r="CL84" s="47">
        <f>Forecasts!CL10+Forecasts!CK10+Forecasts!CI10+Forecasts!CJ10</f>
        <v>2349355</v>
      </c>
      <c r="CM84" s="50">
        <f>Forecasts!CM10</f>
        <v>2349355</v>
      </c>
      <c r="CN84" s="47">
        <f>Forecasts!CN10+Forecasts!CM10+Forecasts!CK10+Forecasts!CL10</f>
        <v>4261364</v>
      </c>
      <c r="CO84" s="47">
        <f>Forecasts!CO10+Forecasts!CN10+Forecasts!CL10+Forecasts!CK10</f>
        <v>2756809</v>
      </c>
      <c r="CP84" s="47">
        <f>Forecasts!CP10+Forecasts!CO10+Forecasts!CM10+Forecasts!CL10</f>
        <v>4596275</v>
      </c>
      <c r="CQ84" s="47">
        <f>Forecasts!CQ10+Forecasts!CP10+Forecasts!CN10+Forecasts!CO10</f>
        <v>3108193.9642810002</v>
      </c>
      <c r="CR84" s="50">
        <f>Forecasts!CR10</f>
        <v>3108193.9642810002</v>
      </c>
      <c r="CS84" s="47">
        <f>Forecasts!CS10+Forecasts!CR10+Forecasts!CP10+Forecasts!CQ10</f>
        <v>5725781.8131850502</v>
      </c>
      <c r="CT84" s="47">
        <f>Forecasts!CT10+Forecasts!CS10+Forecasts!CQ10+Forecasts!CP10</f>
        <v>3750104.84890405</v>
      </c>
      <c r="CU84" s="47">
        <f>Forecasts!CU10+Forecasts!CT10+Forecasts!CR10+Forecasts!CQ10</f>
        <v>5834032.1371899508</v>
      </c>
      <c r="CV84" s="47">
        <f>Forecasts!CV10+Forecasts!CU10+Forecasts!CS10+Forecasts!CT10</f>
        <v>3917647.5572509998</v>
      </c>
      <c r="CW84" s="50">
        <f>Forecasts!CW10</f>
        <v>3917647.5572509998</v>
      </c>
      <c r="CX84" s="47">
        <f>Forecasts!CX10+Forecasts!CW10+Forecasts!CU10+Forecasts!CV10</f>
        <v>6968887.5488454495</v>
      </c>
      <c r="CY84" s="47">
        <f>Forecasts!CY10+Forecasts!CX10+Forecasts!CV10+Forecasts!CU10</f>
        <v>4686558.6372854505</v>
      </c>
      <c r="CZ84" s="47">
        <f>Forecasts!CZ10+Forecasts!CY10+Forecasts!CW10+Forecasts!CV10</f>
        <v>7762834.9810215002</v>
      </c>
      <c r="DA84" s="47">
        <f>Forecasts!DA10+Forecasts!CZ10+Forecasts!CX10+Forecasts!CY10</f>
        <v>5499504.2787370011</v>
      </c>
      <c r="DB84" s="50">
        <f>Forecasts!DB10</f>
        <v>5499504.2787370002</v>
      </c>
      <c r="DC84" s="47">
        <f>Forecasts!DC10+Forecasts!DB10+Forecasts!CZ10+Forecasts!DA10</f>
        <v>9955616.5928165</v>
      </c>
      <c r="DD84" s="47">
        <f>Forecasts!DD10+Forecasts!DC10+Forecasts!DA10+Forecasts!CZ10</f>
        <v>6463348.2113621011</v>
      </c>
      <c r="DE84" s="47">
        <f>Forecasts!DE10+Forecasts!DD10+Forecasts!DB10+Forecasts!DA10</f>
        <v>10314236.141019601</v>
      </c>
      <c r="DF84" s="47">
        <f>Forecasts!DF10+Forecasts!DE10+Forecasts!DC10+Forecasts!DD10</f>
        <v>6991411.7654875983</v>
      </c>
      <c r="DG84" s="50">
        <f>Forecasts!DG10</f>
        <v>6991411.7654875983</v>
      </c>
      <c r="DH84" s="47">
        <f>Forecasts!DH10+Forecasts!DG10+Forecasts!DE10+Forecasts!DF10</f>
        <v>11949948.443934599</v>
      </c>
      <c r="DI84" s="47">
        <f>Forecasts!DI10+Forecasts!DH10+Forecasts!DF10+Forecasts!DE10</f>
        <v>6707304.8752070032</v>
      </c>
      <c r="DJ84" s="47">
        <f>Forecasts!DJ10+Forecasts!DI10+Forecasts!DH10+Forecasts!DF10</f>
        <v>6978942.6169191562</v>
      </c>
      <c r="DK84" s="47">
        <f>Forecasts!DK10+Forecasts!DJ10+Forecasts!DI10+Forecasts!DH10</f>
        <v>7604951.2292073462</v>
      </c>
      <c r="DL84" s="50">
        <f>Forecasts!DL10</f>
        <v>7604951.2292073471</v>
      </c>
      <c r="DM84" s="47">
        <f>Forecasts!DM10+Forecasts!DK10+Forecasts!DJ10+Forecasts!DI10</f>
        <v>7744483.1383384848</v>
      </c>
      <c r="DN84" s="47">
        <f>Forecasts!DN10+Forecasts!DM10+Forecasts!DK10+Forecasts!DJ10</f>
        <v>8070940.8300846657</v>
      </c>
      <c r="DO84" s="47">
        <f>Forecasts!DO10+Forecasts!DN10+Forecasts!DM10+Forecasts!DK10</f>
        <v>8276601.6889894325</v>
      </c>
      <c r="DP84" s="47">
        <f>Forecasts!DP10+Forecasts!DO10+Forecasts!DN10+Forecasts!DM10</f>
        <v>8368199.7061398709</v>
      </c>
      <c r="DQ84" s="50">
        <f>Forecasts!DQ10</f>
        <v>8368199.70613987</v>
      </c>
      <c r="DR84" s="47">
        <f>Forecasts!DR10+Forecasts!DP10+Forecasts!DO10+Forecasts!DN10</f>
        <v>8529593.0501978435</v>
      </c>
      <c r="DS84" s="47">
        <f>Forecasts!DS10+Forecasts!DR10+Forecasts!DP10+Forecasts!DO10</f>
        <v>8675673.4064325597</v>
      </c>
      <c r="DT84" s="47">
        <f>Forecasts!DT10+Forecasts!DS10+Forecasts!DR10+Forecasts!DP10</f>
        <v>8825900.9728866555</v>
      </c>
      <c r="DU84" s="47">
        <f>Forecasts!DU10+Forecasts!DT10+Forecasts!DS10+Forecasts!DR10</f>
        <v>8960746.419750426</v>
      </c>
      <c r="DV84" s="50">
        <f>Forecasts!DV10</f>
        <v>8960746.419750426</v>
      </c>
      <c r="DW84" s="47">
        <f>Forecasts!DW10+Forecasts!DU10+Forecasts!DT10+Forecasts!DS10</f>
        <v>9086081.603317868</v>
      </c>
      <c r="DX84" s="47">
        <f>Forecasts!DX10+Forecasts!DW10+Forecasts!DU10+Forecasts!DT10</f>
        <v>9214378.500900209</v>
      </c>
      <c r="DY84" s="47">
        <f>Forecasts!DY10+Forecasts!DX10+Forecasts!DW10+Forecasts!DU10</f>
        <v>9336221.5117355324</v>
      </c>
      <c r="DZ84" s="47">
        <f>Forecasts!DZ10+Forecasts!DY10+Forecasts!DX10+Forecasts!DW10</f>
        <v>9455598.924704494</v>
      </c>
      <c r="EA84" s="50">
        <f>Forecasts!EA10</f>
        <v>9455598.9247044921</v>
      </c>
      <c r="EB84" s="47">
        <f>Forecasts!EB10+Forecasts!DZ10+Forecasts!DY10+Forecasts!DX10</f>
        <v>9569487.4919147938</v>
      </c>
      <c r="EC84" s="47">
        <f>Forecasts!EC10+Forecasts!EB10+Forecasts!DZ10+Forecasts!DY10</f>
        <v>9681071.0742354747</v>
      </c>
      <c r="ED84" s="47">
        <f>Forecasts!ED10+Forecasts!EC10+Forecasts!EB10+Forecasts!DZ10</f>
        <v>9790364.3840740342</v>
      </c>
      <c r="EE84" s="47">
        <f>Forecasts!EE10+Forecasts!ED10+Forecasts!EC10+Forecasts!EB10</f>
        <v>9900625.9477995858</v>
      </c>
      <c r="EF84" s="50">
        <f>Forecasts!EF10</f>
        <v>9900625.9477995858</v>
      </c>
    </row>
    <row r="85" spans="1:136" ht="12" customHeight="1" outlineLevel="1">
      <c r="A85" s="143" t="s">
        <v>51</v>
      </c>
      <c r="B85" s="158" t="e">
        <f t="shared" ref="B85:K85" si="211">B83/B84</f>
        <v>#REF!</v>
      </c>
      <c r="C85" s="158" t="e">
        <f t="shared" si="211"/>
        <v>#REF!</v>
      </c>
      <c r="D85" s="158" t="e">
        <f t="shared" si="211"/>
        <v>#REF!</v>
      </c>
      <c r="E85" s="158" t="e">
        <f t="shared" si="211"/>
        <v>#REF!</v>
      </c>
      <c r="F85" s="159" t="e">
        <f t="shared" si="211"/>
        <v>#REF!</v>
      </c>
      <c r="G85" s="158" t="e">
        <f t="shared" si="211"/>
        <v>#REF!</v>
      </c>
      <c r="H85" s="158" t="e">
        <f t="shared" si="211"/>
        <v>#REF!</v>
      </c>
      <c r="I85" s="158" t="e">
        <f t="shared" si="211"/>
        <v>#REF!</v>
      </c>
      <c r="J85" s="158" t="e">
        <f t="shared" si="211"/>
        <v>#REF!</v>
      </c>
      <c r="K85" s="159" t="e">
        <f t="shared" si="211"/>
        <v>#DIV/0!</v>
      </c>
      <c r="L85" s="158" t="e">
        <f t="shared" ref="L85:BN85" si="212">L83/L84</f>
        <v>#REF!</v>
      </c>
      <c r="M85" s="158" t="e">
        <f t="shared" si="212"/>
        <v>#REF!</v>
      </c>
      <c r="N85" s="158" t="e">
        <f t="shared" si="212"/>
        <v>#REF!</v>
      </c>
      <c r="O85" s="158" t="e">
        <f t="shared" si="212"/>
        <v>#REF!</v>
      </c>
      <c r="P85" s="159" t="e">
        <f t="shared" si="212"/>
        <v>#DIV/0!</v>
      </c>
      <c r="Q85" s="158" t="e">
        <f t="shared" si="212"/>
        <v>#REF!</v>
      </c>
      <c r="R85" s="158" t="e">
        <f t="shared" si="212"/>
        <v>#REF!</v>
      </c>
      <c r="S85" s="158" t="e">
        <f t="shared" si="212"/>
        <v>#REF!</v>
      </c>
      <c r="T85" s="158" t="e">
        <f t="shared" si="212"/>
        <v>#REF!</v>
      </c>
      <c r="U85" s="159" t="e">
        <f t="shared" si="212"/>
        <v>#DIV/0!</v>
      </c>
      <c r="V85" s="158" t="e">
        <f t="shared" si="212"/>
        <v>#REF!</v>
      </c>
      <c r="W85" s="158" t="e">
        <f t="shared" si="212"/>
        <v>#REF!</v>
      </c>
      <c r="X85" s="158" t="e">
        <f t="shared" si="212"/>
        <v>#REF!</v>
      </c>
      <c r="Y85" s="158" t="e">
        <f t="shared" si="212"/>
        <v>#REF!</v>
      </c>
      <c r="Z85" s="159" t="e">
        <f t="shared" si="212"/>
        <v>#DIV/0!</v>
      </c>
      <c r="AA85" s="158" t="e">
        <f t="shared" si="212"/>
        <v>#REF!</v>
      </c>
      <c r="AB85" s="158" t="e">
        <f t="shared" si="212"/>
        <v>#REF!</v>
      </c>
      <c r="AC85" s="158" t="e">
        <f t="shared" si="212"/>
        <v>#REF!</v>
      </c>
      <c r="AD85" s="158" t="e">
        <f t="shared" si="212"/>
        <v>#REF!</v>
      </c>
      <c r="AE85" s="159" t="e">
        <f t="shared" si="212"/>
        <v>#DIV/0!</v>
      </c>
      <c r="AF85" s="158" t="e">
        <f t="shared" si="212"/>
        <v>#DIV/0!</v>
      </c>
      <c r="AG85" s="158" t="e">
        <f t="shared" si="212"/>
        <v>#DIV/0!</v>
      </c>
      <c r="AH85" s="158" t="e">
        <f t="shared" si="212"/>
        <v>#DIV/0!</v>
      </c>
      <c r="AI85" s="158" t="e">
        <f t="shared" si="212"/>
        <v>#DIV/0!</v>
      </c>
      <c r="AJ85" s="159" t="e">
        <f t="shared" si="212"/>
        <v>#DIV/0!</v>
      </c>
      <c r="AK85" s="158" t="e">
        <f t="shared" si="212"/>
        <v>#DIV/0!</v>
      </c>
      <c r="AL85" s="158" t="e">
        <f t="shared" si="212"/>
        <v>#DIV/0!</v>
      </c>
      <c r="AM85" s="158" t="e">
        <f t="shared" si="212"/>
        <v>#DIV/0!</v>
      </c>
      <c r="AN85" s="158" t="e">
        <f t="shared" si="212"/>
        <v>#DIV/0!</v>
      </c>
      <c r="AO85" s="159" t="e">
        <f t="shared" si="212"/>
        <v>#DIV/0!</v>
      </c>
      <c r="AP85" s="158" t="e">
        <f t="shared" si="212"/>
        <v>#DIV/0!</v>
      </c>
      <c r="AQ85" s="158" t="e">
        <f t="shared" si="212"/>
        <v>#DIV/0!</v>
      </c>
      <c r="AR85" s="158" t="e">
        <f t="shared" si="212"/>
        <v>#DIV/0!</v>
      </c>
      <c r="AS85" s="158" t="e">
        <f t="shared" si="212"/>
        <v>#DIV/0!</v>
      </c>
      <c r="AT85" s="159" t="e">
        <f t="shared" si="212"/>
        <v>#DIV/0!</v>
      </c>
      <c r="AU85" s="158" t="e">
        <f t="shared" si="212"/>
        <v>#DIV/0!</v>
      </c>
      <c r="AV85" s="158" t="e">
        <f t="shared" si="212"/>
        <v>#DIV/0!</v>
      </c>
      <c r="AW85" s="158" t="e">
        <f t="shared" si="212"/>
        <v>#DIV/0!</v>
      </c>
      <c r="AX85" s="158" t="e">
        <f t="shared" si="212"/>
        <v>#DIV/0!</v>
      </c>
      <c r="AY85" s="159" t="e">
        <f t="shared" si="212"/>
        <v>#DIV/0!</v>
      </c>
      <c r="AZ85" s="158" t="e">
        <f t="shared" si="212"/>
        <v>#DIV/0!</v>
      </c>
      <c r="BA85" s="158" t="e">
        <f t="shared" si="212"/>
        <v>#DIV/0!</v>
      </c>
      <c r="BB85" s="158" t="e">
        <f t="shared" si="212"/>
        <v>#DIV/0!</v>
      </c>
      <c r="BC85" s="158" t="e">
        <f t="shared" si="212"/>
        <v>#DIV/0!</v>
      </c>
      <c r="BD85" s="159" t="e">
        <f t="shared" si="212"/>
        <v>#DIV/0!</v>
      </c>
      <c r="BE85" s="158" t="e">
        <f t="shared" si="212"/>
        <v>#DIV/0!</v>
      </c>
      <c r="BF85" s="158" t="e">
        <f t="shared" si="212"/>
        <v>#DIV/0!</v>
      </c>
      <c r="BG85" s="158" t="e">
        <f t="shared" si="212"/>
        <v>#DIV/0!</v>
      </c>
      <c r="BH85" s="158">
        <f t="shared" si="212"/>
        <v>0.2367412935323383</v>
      </c>
      <c r="BI85" s="159">
        <f t="shared" si="212"/>
        <v>0.2367412935323383</v>
      </c>
      <c r="BJ85" s="158">
        <f t="shared" si="212"/>
        <v>0</v>
      </c>
      <c r="BK85" s="158">
        <f t="shared" si="212"/>
        <v>0</v>
      </c>
      <c r="BL85" s="158">
        <f t="shared" si="212"/>
        <v>0</v>
      </c>
      <c r="BM85" s="158">
        <f t="shared" si="212"/>
        <v>0.32266653905053599</v>
      </c>
      <c r="BN85" s="159">
        <f t="shared" si="212"/>
        <v>0.32266653905053599</v>
      </c>
      <c r="BO85" s="158">
        <f t="shared" ref="BO85:DD85" si="213">BO83/BO84</f>
        <v>0</v>
      </c>
      <c r="BP85" s="158">
        <f t="shared" si="213"/>
        <v>0</v>
      </c>
      <c r="BQ85" s="158">
        <f t="shared" si="213"/>
        <v>0</v>
      </c>
      <c r="BR85" s="158">
        <f t="shared" si="213"/>
        <v>0.47313090418353576</v>
      </c>
      <c r="BS85" s="159">
        <f t="shared" si="213"/>
        <v>0.47313090418353576</v>
      </c>
      <c r="BT85" s="158">
        <f t="shared" si="213"/>
        <v>0</v>
      </c>
      <c r="BU85" s="158">
        <f t="shared" si="213"/>
        <v>0</v>
      </c>
      <c r="BV85" s="158">
        <f t="shared" si="213"/>
        <v>0</v>
      </c>
      <c r="BW85" s="158">
        <f t="shared" si="213"/>
        <v>0.21597237880496054</v>
      </c>
      <c r="BX85" s="159">
        <f t="shared" si="213"/>
        <v>0.21597237880496054</v>
      </c>
      <c r="BY85" s="158">
        <f t="shared" si="213"/>
        <v>0</v>
      </c>
      <c r="BZ85" s="158">
        <f t="shared" si="213"/>
        <v>0</v>
      </c>
      <c r="CA85" s="158">
        <f t="shared" si="213"/>
        <v>0</v>
      </c>
      <c r="CB85" s="158">
        <f t="shared" si="213"/>
        <v>0.23454792236217792</v>
      </c>
      <c r="CC85" s="159">
        <f t="shared" si="213"/>
        <v>0.23454792236217792</v>
      </c>
      <c r="CD85" s="158">
        <f t="shared" si="213"/>
        <v>6.5579226697211931E-2</v>
      </c>
      <c r="CE85" s="158">
        <f t="shared" si="213"/>
        <v>0.16142746024103447</v>
      </c>
      <c r="CF85" s="158">
        <f t="shared" si="213"/>
        <v>0.14699826989707304</v>
      </c>
      <c r="CG85" s="158">
        <f t="shared" si="213"/>
        <v>0.24207502274295142</v>
      </c>
      <c r="CH85" s="159">
        <f t="shared" si="213"/>
        <v>0.24207502274295142</v>
      </c>
      <c r="CI85" s="158">
        <f t="shared" si="213"/>
        <v>0.13932194714291984</v>
      </c>
      <c r="CJ85" s="158">
        <f t="shared" si="213"/>
        <v>0.19087145326711097</v>
      </c>
      <c r="CK85" s="158">
        <f t="shared" si="213"/>
        <v>0.14510009356150266</v>
      </c>
      <c r="CL85" s="158">
        <f t="shared" si="213"/>
        <v>0.21931040647326608</v>
      </c>
      <c r="CM85" s="159">
        <f t="shared" si="213"/>
        <v>0.21931040647326608</v>
      </c>
      <c r="CN85" s="158">
        <f t="shared" si="213"/>
        <v>0.18937574917326941</v>
      </c>
      <c r="CO85" s="158">
        <f t="shared" si="213"/>
        <v>0.2425097277323166</v>
      </c>
      <c r="CP85" s="158">
        <f t="shared" si="213"/>
        <v>0.10656999418006972</v>
      </c>
      <c r="CQ85" s="158">
        <f t="shared" si="213"/>
        <v>0.11023314630213485</v>
      </c>
      <c r="CR85" s="159">
        <f t="shared" si="213"/>
        <v>0.11023314630213485</v>
      </c>
      <c r="CS85" s="158">
        <f t="shared" si="213"/>
        <v>1.681988646130891E-2</v>
      </c>
      <c r="CT85" s="158">
        <f t="shared" si="213"/>
        <v>1.7020590775922897E-2</v>
      </c>
      <c r="CU85" s="158">
        <f t="shared" si="213"/>
        <v>9.2891157822971599E-3</v>
      </c>
      <c r="CV85" s="158">
        <f t="shared" si="213"/>
        <v>2.48128496960075E-2</v>
      </c>
      <c r="CW85" s="159">
        <f t="shared" si="213"/>
        <v>2.48128496960075E-2</v>
      </c>
      <c r="CX85" s="158">
        <f t="shared" si="213"/>
        <v>1.7025959906564619E-2</v>
      </c>
      <c r="CY85" s="158">
        <f t="shared" si="213"/>
        <v>3.2014109202931872E-2</v>
      </c>
      <c r="CZ85" s="158">
        <f t="shared" si="213"/>
        <v>1.5831200882210229E-2</v>
      </c>
      <c r="DA85" s="158">
        <f t="shared" si="213"/>
        <v>3.3496837289906878E-2</v>
      </c>
      <c r="DB85" s="159">
        <f t="shared" si="213"/>
        <v>3.3496837289906885E-2</v>
      </c>
      <c r="DC85" s="158">
        <f t="shared" si="213"/>
        <v>2.3990578360795486E-2</v>
      </c>
      <c r="DD85" s="158">
        <f t="shared" si="213"/>
        <v>3.9224406872327922E-2</v>
      </c>
      <c r="DE85" s="158">
        <f t="shared" ref="DE85:DF85" si="214">DE83/DE84</f>
        <v>2.6529351884021401E-2</v>
      </c>
      <c r="DF85" s="158">
        <f t="shared" si="214"/>
        <v>4.764745822073136E-2</v>
      </c>
      <c r="DG85" s="159">
        <f>DG83/DG84</f>
        <v>4.764745822073136E-2</v>
      </c>
      <c r="DH85" s="158">
        <f t="shared" ref="DH85:DI85" si="215">DH83/DH84</f>
        <v>2.9428662529376572E-2</v>
      </c>
      <c r="DI85" s="158">
        <f t="shared" si="215"/>
        <v>5.1829163347710684E-2</v>
      </c>
      <c r="DJ85" s="160">
        <f>DI85</f>
        <v>5.1829163347710684E-2</v>
      </c>
      <c r="DK85" s="160">
        <f>DJ85</f>
        <v>5.1829163347710684E-2</v>
      </c>
      <c r="DL85" s="159">
        <f>DL83/DL84</f>
        <v>5.1829163347710677E-2</v>
      </c>
      <c r="DM85" s="160">
        <f>DL85</f>
        <v>5.1829163347710677E-2</v>
      </c>
      <c r="DN85" s="160">
        <f>DM85</f>
        <v>5.1829163347710677E-2</v>
      </c>
      <c r="DO85" s="160">
        <f>DN85</f>
        <v>5.1829163347710677E-2</v>
      </c>
      <c r="DP85" s="160">
        <f>DO85</f>
        <v>5.1829163347710677E-2</v>
      </c>
      <c r="DQ85" s="159">
        <f>DQ83/DQ84</f>
        <v>5.1829163347710684E-2</v>
      </c>
      <c r="DR85" s="160">
        <f>DQ85</f>
        <v>5.1829163347710684E-2</v>
      </c>
      <c r="DS85" s="160">
        <f>DR85</f>
        <v>5.1829163347710684E-2</v>
      </c>
      <c r="DT85" s="160">
        <f>DS85</f>
        <v>5.1829163347710684E-2</v>
      </c>
      <c r="DU85" s="160">
        <f>DT85</f>
        <v>5.1829163347710684E-2</v>
      </c>
      <c r="DV85" s="159">
        <f>DV83/DV84</f>
        <v>5.1829163347710684E-2</v>
      </c>
      <c r="DW85" s="160">
        <f>DV85</f>
        <v>5.1829163347710684E-2</v>
      </c>
      <c r="DX85" s="160">
        <f>DW85</f>
        <v>5.1829163347710684E-2</v>
      </c>
      <c r="DY85" s="160">
        <f>DX85</f>
        <v>5.1829163347710684E-2</v>
      </c>
      <c r="DZ85" s="160">
        <f>DY85</f>
        <v>5.1829163347710684E-2</v>
      </c>
      <c r="EA85" s="159">
        <f>EA83/EA84</f>
        <v>5.1829163347710698E-2</v>
      </c>
      <c r="EB85" s="160">
        <f>EA85</f>
        <v>5.1829163347710698E-2</v>
      </c>
      <c r="EC85" s="160">
        <f>EB85</f>
        <v>5.1829163347710698E-2</v>
      </c>
      <c r="ED85" s="160">
        <f>EC85</f>
        <v>5.1829163347710698E-2</v>
      </c>
      <c r="EE85" s="160">
        <f>ED85</f>
        <v>5.1829163347710698E-2</v>
      </c>
      <c r="EF85" s="159">
        <f>EF83/EF84</f>
        <v>5.1829163347710698E-2</v>
      </c>
    </row>
    <row r="86" spans="1:136" ht="12" customHeight="1" outlineLevel="1"/>
    <row r="87" spans="1:136" s="3" customFormat="1" ht="12" customHeight="1" outlineLevel="1">
      <c r="A87" s="3" t="s">
        <v>105</v>
      </c>
      <c r="B87" s="162">
        <f t="shared" ref="B87:K87" si="216">B35</f>
        <v>0</v>
      </c>
      <c r="C87" s="162">
        <f t="shared" si="216"/>
        <v>0</v>
      </c>
      <c r="D87" s="162">
        <f t="shared" si="216"/>
        <v>0</v>
      </c>
      <c r="E87" s="162">
        <f t="shared" si="216"/>
        <v>0</v>
      </c>
      <c r="F87" s="163">
        <f t="shared" si="216"/>
        <v>0</v>
      </c>
      <c r="G87" s="162">
        <f t="shared" si="216"/>
        <v>0</v>
      </c>
      <c r="H87" s="162">
        <f t="shared" si="216"/>
        <v>0</v>
      </c>
      <c r="I87" s="162">
        <f t="shared" si="216"/>
        <v>0</v>
      </c>
      <c r="J87" s="162">
        <f t="shared" si="216"/>
        <v>0</v>
      </c>
      <c r="K87" s="163">
        <f t="shared" si="216"/>
        <v>0</v>
      </c>
      <c r="L87" s="162">
        <f t="shared" ref="L87:BN87" si="217">L35</f>
        <v>0</v>
      </c>
      <c r="M87" s="162">
        <f t="shared" si="217"/>
        <v>0</v>
      </c>
      <c r="N87" s="162">
        <f t="shared" si="217"/>
        <v>0</v>
      </c>
      <c r="O87" s="162">
        <f t="shared" si="217"/>
        <v>0</v>
      </c>
      <c r="P87" s="163">
        <f t="shared" si="217"/>
        <v>0</v>
      </c>
      <c r="Q87" s="162">
        <f t="shared" si="217"/>
        <v>0</v>
      </c>
      <c r="R87" s="162">
        <f t="shared" si="217"/>
        <v>0</v>
      </c>
      <c r="S87" s="162">
        <f t="shared" si="217"/>
        <v>0</v>
      </c>
      <c r="T87" s="162">
        <f t="shared" si="217"/>
        <v>0</v>
      </c>
      <c r="U87" s="163">
        <f t="shared" si="217"/>
        <v>0</v>
      </c>
      <c r="V87" s="162">
        <f t="shared" si="217"/>
        <v>0</v>
      </c>
      <c r="W87" s="162">
        <f t="shared" si="217"/>
        <v>0</v>
      </c>
      <c r="X87" s="162">
        <f t="shared" si="217"/>
        <v>0</v>
      </c>
      <c r="Y87" s="162">
        <f t="shared" si="217"/>
        <v>0</v>
      </c>
      <c r="Z87" s="163">
        <f t="shared" si="217"/>
        <v>0</v>
      </c>
      <c r="AA87" s="162">
        <f t="shared" si="217"/>
        <v>0</v>
      </c>
      <c r="AB87" s="162">
        <f t="shared" si="217"/>
        <v>0</v>
      </c>
      <c r="AC87" s="162">
        <f t="shared" si="217"/>
        <v>0</v>
      </c>
      <c r="AD87" s="162">
        <f t="shared" si="217"/>
        <v>0</v>
      </c>
      <c r="AE87" s="163">
        <f t="shared" si="217"/>
        <v>0</v>
      </c>
      <c r="AF87" s="162">
        <f t="shared" si="217"/>
        <v>0</v>
      </c>
      <c r="AG87" s="162">
        <f t="shared" si="217"/>
        <v>0</v>
      </c>
      <c r="AH87" s="162">
        <f t="shared" si="217"/>
        <v>0</v>
      </c>
      <c r="AI87" s="162">
        <f t="shared" si="217"/>
        <v>24132.121999999999</v>
      </c>
      <c r="AJ87" s="163">
        <f t="shared" si="217"/>
        <v>24132.121999999999</v>
      </c>
      <c r="AK87" s="162">
        <f t="shared" si="217"/>
        <v>0</v>
      </c>
      <c r="AL87" s="162">
        <f t="shared" si="217"/>
        <v>0</v>
      </c>
      <c r="AM87" s="162">
        <f t="shared" si="217"/>
        <v>0</v>
      </c>
      <c r="AN87" s="162">
        <f t="shared" si="217"/>
        <v>14831.272000000001</v>
      </c>
      <c r="AO87" s="163">
        <f t="shared" si="217"/>
        <v>14831.272000000001</v>
      </c>
      <c r="AP87" s="162">
        <f t="shared" si="217"/>
        <v>0</v>
      </c>
      <c r="AQ87" s="162">
        <f t="shared" si="217"/>
        <v>0</v>
      </c>
      <c r="AR87" s="162">
        <f t="shared" si="217"/>
        <v>0</v>
      </c>
      <c r="AS87" s="162">
        <f t="shared" si="217"/>
        <v>57194.832999999999</v>
      </c>
      <c r="AT87" s="163">
        <f t="shared" si="217"/>
        <v>57194.832999999999</v>
      </c>
      <c r="AU87" s="162">
        <f t="shared" si="217"/>
        <v>0</v>
      </c>
      <c r="AV87" s="162">
        <f t="shared" si="217"/>
        <v>0</v>
      </c>
      <c r="AW87" s="162">
        <f t="shared" si="217"/>
        <v>0</v>
      </c>
      <c r="AX87" s="162">
        <f t="shared" si="217"/>
        <v>26191</v>
      </c>
      <c r="AY87" s="163">
        <f t="shared" si="217"/>
        <v>26191</v>
      </c>
      <c r="AZ87" s="162">
        <f t="shared" si="217"/>
        <v>0</v>
      </c>
      <c r="BA87" s="162">
        <f t="shared" si="217"/>
        <v>0</v>
      </c>
      <c r="BB87" s="162">
        <f t="shared" si="217"/>
        <v>0</v>
      </c>
      <c r="BC87" s="162">
        <f t="shared" si="217"/>
        <v>84511</v>
      </c>
      <c r="BD87" s="163">
        <f t="shared" si="217"/>
        <v>84511</v>
      </c>
      <c r="BE87" s="162">
        <f t="shared" si="217"/>
        <v>0</v>
      </c>
      <c r="BF87" s="162">
        <f t="shared" si="217"/>
        <v>0</v>
      </c>
      <c r="BG87" s="162">
        <f t="shared" si="217"/>
        <v>0</v>
      </c>
      <c r="BH87" s="162">
        <f t="shared" si="217"/>
        <v>93262</v>
      </c>
      <c r="BI87" s="163">
        <f t="shared" si="217"/>
        <v>93262</v>
      </c>
      <c r="BJ87" s="162">
        <f t="shared" si="217"/>
        <v>0</v>
      </c>
      <c r="BK87" s="162">
        <f t="shared" si="217"/>
        <v>0</v>
      </c>
      <c r="BL87" s="162">
        <f t="shared" si="217"/>
        <v>0</v>
      </c>
      <c r="BM87" s="162">
        <f t="shared" si="217"/>
        <v>79632</v>
      </c>
      <c r="BN87" s="163">
        <f t="shared" si="217"/>
        <v>79632</v>
      </c>
      <c r="BO87" s="162">
        <f t="shared" ref="BO87:DD87" si="218">BO35</f>
        <v>0</v>
      </c>
      <c r="BP87" s="162">
        <f t="shared" si="218"/>
        <v>0</v>
      </c>
      <c r="BQ87" s="162">
        <f t="shared" si="218"/>
        <v>0</v>
      </c>
      <c r="BR87" s="162">
        <f t="shared" si="218"/>
        <v>89574</v>
      </c>
      <c r="BS87" s="163">
        <f t="shared" si="218"/>
        <v>89574</v>
      </c>
      <c r="BT87" s="162">
        <f t="shared" si="218"/>
        <v>0</v>
      </c>
      <c r="BU87" s="162">
        <f t="shared" si="218"/>
        <v>0</v>
      </c>
      <c r="BV87" s="162">
        <f t="shared" si="218"/>
        <v>0</v>
      </c>
      <c r="BW87" s="162">
        <f t="shared" si="218"/>
        <v>65985</v>
      </c>
      <c r="BX87" s="163">
        <f t="shared" si="218"/>
        <v>65985</v>
      </c>
      <c r="BY87" s="162">
        <f t="shared" si="218"/>
        <v>0</v>
      </c>
      <c r="BZ87" s="162">
        <f t="shared" si="218"/>
        <v>0</v>
      </c>
      <c r="CA87" s="162">
        <f t="shared" si="218"/>
        <v>0</v>
      </c>
      <c r="CB87" s="162">
        <f t="shared" si="218"/>
        <v>134154</v>
      </c>
      <c r="CC87" s="163">
        <f t="shared" si="218"/>
        <v>134154</v>
      </c>
      <c r="CD87" s="162">
        <f t="shared" si="218"/>
        <v>147067</v>
      </c>
      <c r="CE87" s="162">
        <f t="shared" si="218"/>
        <v>142487</v>
      </c>
      <c r="CF87" s="162">
        <f t="shared" si="218"/>
        <v>210155</v>
      </c>
      <c r="CG87" s="162">
        <f t="shared" si="218"/>
        <v>271893</v>
      </c>
      <c r="CH87" s="163">
        <f t="shared" si="218"/>
        <v>271893</v>
      </c>
      <c r="CI87" s="162">
        <f t="shared" si="218"/>
        <v>406743</v>
      </c>
      <c r="CJ87" s="162">
        <f t="shared" si="218"/>
        <v>397446</v>
      </c>
      <c r="CK87" s="162">
        <f t="shared" si="218"/>
        <v>435584</v>
      </c>
      <c r="CL87" s="162">
        <f t="shared" si="218"/>
        <v>695829</v>
      </c>
      <c r="CM87" s="163">
        <f t="shared" si="218"/>
        <v>695829</v>
      </c>
      <c r="CN87" s="162">
        <f t="shared" si="218"/>
        <v>683051</v>
      </c>
      <c r="CO87" s="162">
        <f t="shared" si="218"/>
        <v>671804</v>
      </c>
      <c r="CP87" s="162">
        <f t="shared" si="218"/>
        <v>739361</v>
      </c>
      <c r="CQ87" s="162">
        <f t="shared" si="218"/>
        <v>776170</v>
      </c>
      <c r="CR87" s="163">
        <f t="shared" si="218"/>
        <v>776170</v>
      </c>
      <c r="CS87" s="162">
        <f t="shared" si="218"/>
        <v>917410</v>
      </c>
      <c r="CT87" s="162">
        <f t="shared" si="218"/>
        <v>904072</v>
      </c>
      <c r="CU87" s="162">
        <f t="shared" si="218"/>
        <v>940596</v>
      </c>
      <c r="CV87" s="162">
        <f t="shared" si="218"/>
        <v>929600</v>
      </c>
      <c r="CW87" s="163">
        <f t="shared" si="218"/>
        <v>929600</v>
      </c>
      <c r="CX87" s="162">
        <f t="shared" si="218"/>
        <v>1060377</v>
      </c>
      <c r="CY87" s="162">
        <f t="shared" si="218"/>
        <v>1089944</v>
      </c>
      <c r="CZ87" s="162">
        <f t="shared" si="218"/>
        <v>1089888</v>
      </c>
      <c r="DA87" s="162">
        <f t="shared" si="218"/>
        <v>1365518</v>
      </c>
      <c r="DB87" s="163">
        <f t="shared" si="218"/>
        <v>1365518</v>
      </c>
      <c r="DC87" s="162">
        <f t="shared" si="218"/>
        <v>1403034</v>
      </c>
      <c r="DD87" s="162">
        <f t="shared" si="218"/>
        <v>1469202</v>
      </c>
      <c r="DE87" s="162">
        <f t="shared" ref="DE87:DF87" si="219">DE35</f>
        <v>1586228</v>
      </c>
      <c r="DF87" s="162">
        <f t="shared" si="219"/>
        <v>1581500</v>
      </c>
      <c r="DG87" s="163">
        <f>DG35</f>
        <v>1581500</v>
      </c>
      <c r="DH87" s="162">
        <f t="shared" ref="DH87:DI87" si="220">DH35</f>
        <v>1757325</v>
      </c>
      <c r="DI87" s="162">
        <f t="shared" si="220"/>
        <v>1757566</v>
      </c>
      <c r="DJ87" s="153">
        <f>DJ89*DJ88</f>
        <v>1895177.5927619308</v>
      </c>
      <c r="DK87" s="153">
        <f>DK89*DK88</f>
        <v>1852503.7550120973</v>
      </c>
      <c r="DL87" s="163">
        <f>DL35</f>
        <v>1852503.7550120973</v>
      </c>
      <c r="DM87" s="153">
        <f>DM89*DM88</f>
        <v>1960551.676518471</v>
      </c>
      <c r="DN87" s="153">
        <f>DN89*DN88</f>
        <v>1981897.2607690506</v>
      </c>
      <c r="DO87" s="153">
        <f>DO89*DO88</f>
        <v>2000582.3507011202</v>
      </c>
      <c r="DP87" s="153">
        <f>DP89*DP88</f>
        <v>2017678.2665408934</v>
      </c>
      <c r="DQ87" s="163">
        <f>DQ35</f>
        <v>2017678.2665408934</v>
      </c>
      <c r="DR87" s="153">
        <f>DR89*DR88</f>
        <v>2033823.6442361372</v>
      </c>
      <c r="DS87" s="153">
        <f>DS89*DS88</f>
        <v>2049384.976954801</v>
      </c>
      <c r="DT87" s="153">
        <f>DT89*DT88</f>
        <v>2064577.6600298374</v>
      </c>
      <c r="DU87" s="153">
        <f>DU89*DU88</f>
        <v>2079532.1562642371</v>
      </c>
      <c r="DV87" s="163">
        <f>DV35</f>
        <v>2079532.1562642371</v>
      </c>
      <c r="DW87" s="153">
        <f>DW89*DW88</f>
        <v>2094330.8305559484</v>
      </c>
      <c r="DX87" s="153">
        <f>DX89*DX88</f>
        <v>2109028.4724205327</v>
      </c>
      <c r="DY87" s="153">
        <f>DY89*DY88</f>
        <v>2123663.7650464866</v>
      </c>
      <c r="DZ87" s="153">
        <f>DZ89*DZ88</f>
        <v>2138265.725439033</v>
      </c>
      <c r="EA87" s="163">
        <f>EA35</f>
        <v>2138265.725439033</v>
      </c>
      <c r="EB87" s="153">
        <f>EB89*EB88</f>
        <v>2152857.3481680462</v>
      </c>
      <c r="EC87" s="153">
        <f>EC89*EC88</f>
        <v>2137929.8861424783</v>
      </c>
      <c r="ED87" s="153">
        <f>ED89*ED88</f>
        <v>2093172.9521852736</v>
      </c>
      <c r="EE87" s="153">
        <f>EE89*EE88</f>
        <v>2018270.5510709127</v>
      </c>
      <c r="EF87" s="163">
        <f>EF35</f>
        <v>2018270.5510709127</v>
      </c>
    </row>
    <row r="88" spans="1:136" ht="12" customHeight="1" outlineLevel="1">
      <c r="A88" s="1" t="s">
        <v>159</v>
      </c>
      <c r="B88" s="44">
        <f t="shared" ref="B88:K88" si="221">B12+B13</f>
        <v>0</v>
      </c>
      <c r="C88" s="44">
        <f t="shared" si="221"/>
        <v>0</v>
      </c>
      <c r="D88" s="44">
        <f t="shared" si="221"/>
        <v>0</v>
      </c>
      <c r="E88" s="44">
        <f t="shared" si="221"/>
        <v>0</v>
      </c>
      <c r="F88" s="43">
        <f t="shared" si="221"/>
        <v>0</v>
      </c>
      <c r="G88" s="44">
        <f t="shared" si="221"/>
        <v>0</v>
      </c>
      <c r="H88" s="44">
        <f t="shared" si="221"/>
        <v>0</v>
      </c>
      <c r="I88" s="44">
        <f t="shared" si="221"/>
        <v>0</v>
      </c>
      <c r="J88" s="44">
        <f t="shared" si="221"/>
        <v>0</v>
      </c>
      <c r="K88" s="43">
        <f t="shared" si="221"/>
        <v>0</v>
      </c>
      <c r="L88" s="44">
        <f t="shared" ref="L88:BN88" si="222">L12+L13</f>
        <v>0</v>
      </c>
      <c r="M88" s="44">
        <f t="shared" si="222"/>
        <v>0</v>
      </c>
      <c r="N88" s="44">
        <f t="shared" si="222"/>
        <v>0</v>
      </c>
      <c r="O88" s="44">
        <f t="shared" si="222"/>
        <v>0</v>
      </c>
      <c r="P88" s="43">
        <f t="shared" si="222"/>
        <v>0</v>
      </c>
      <c r="Q88" s="44">
        <f t="shared" si="222"/>
        <v>0</v>
      </c>
      <c r="R88" s="44">
        <f t="shared" si="222"/>
        <v>0</v>
      </c>
      <c r="S88" s="44">
        <f t="shared" si="222"/>
        <v>0</v>
      </c>
      <c r="T88" s="44">
        <f t="shared" si="222"/>
        <v>0</v>
      </c>
      <c r="U88" s="43">
        <f t="shared" si="222"/>
        <v>0</v>
      </c>
      <c r="V88" s="44">
        <f t="shared" si="222"/>
        <v>0</v>
      </c>
      <c r="W88" s="44">
        <f t="shared" si="222"/>
        <v>0</v>
      </c>
      <c r="X88" s="44">
        <f t="shared" si="222"/>
        <v>0</v>
      </c>
      <c r="Y88" s="44">
        <f t="shared" si="222"/>
        <v>0</v>
      </c>
      <c r="Z88" s="43">
        <f t="shared" si="222"/>
        <v>0</v>
      </c>
      <c r="AA88" s="44">
        <f t="shared" si="222"/>
        <v>0</v>
      </c>
      <c r="AB88" s="44">
        <f t="shared" si="222"/>
        <v>0</v>
      </c>
      <c r="AC88" s="44">
        <f t="shared" si="222"/>
        <v>0</v>
      </c>
      <c r="AD88" s="44">
        <f t="shared" si="222"/>
        <v>0</v>
      </c>
      <c r="AE88" s="43">
        <f t="shared" si="222"/>
        <v>0</v>
      </c>
      <c r="AF88" s="44">
        <f t="shared" si="222"/>
        <v>0</v>
      </c>
      <c r="AG88" s="44">
        <f t="shared" si="222"/>
        <v>0</v>
      </c>
      <c r="AH88" s="44">
        <f t="shared" si="222"/>
        <v>0</v>
      </c>
      <c r="AI88" s="44">
        <f t="shared" si="222"/>
        <v>24299.129000000001</v>
      </c>
      <c r="AJ88" s="43">
        <f t="shared" si="222"/>
        <v>24299.129000000001</v>
      </c>
      <c r="AK88" s="44">
        <f t="shared" si="222"/>
        <v>0</v>
      </c>
      <c r="AL88" s="44">
        <f t="shared" si="222"/>
        <v>0</v>
      </c>
      <c r="AM88" s="44">
        <f t="shared" si="222"/>
        <v>0</v>
      </c>
      <c r="AN88" s="44">
        <f t="shared" si="222"/>
        <v>68050.569000000003</v>
      </c>
      <c r="AO88" s="43">
        <f t="shared" si="222"/>
        <v>68050.569000000003</v>
      </c>
      <c r="AP88" s="44">
        <f t="shared" si="222"/>
        <v>0</v>
      </c>
      <c r="AQ88" s="44">
        <f t="shared" si="222"/>
        <v>0</v>
      </c>
      <c r="AR88" s="44">
        <f t="shared" si="222"/>
        <v>0</v>
      </c>
      <c r="AS88" s="44">
        <f t="shared" si="222"/>
        <v>175651.45699999999</v>
      </c>
      <c r="AT88" s="43">
        <f t="shared" si="222"/>
        <v>175651.45699999999</v>
      </c>
      <c r="AU88" s="44">
        <f t="shared" si="222"/>
        <v>0</v>
      </c>
      <c r="AV88" s="44">
        <f t="shared" si="222"/>
        <v>0</v>
      </c>
      <c r="AW88" s="44">
        <f t="shared" si="222"/>
        <v>0</v>
      </c>
      <c r="AX88" s="44">
        <f t="shared" si="222"/>
        <v>153972</v>
      </c>
      <c r="AY88" s="43">
        <f t="shared" si="222"/>
        <v>153972</v>
      </c>
      <c r="AZ88" s="44">
        <f t="shared" si="222"/>
        <v>0</v>
      </c>
      <c r="BA88" s="44">
        <f t="shared" si="222"/>
        <v>0</v>
      </c>
      <c r="BB88" s="44">
        <f t="shared" si="222"/>
        <v>0</v>
      </c>
      <c r="BC88" s="44">
        <f t="shared" si="222"/>
        <v>256240</v>
      </c>
      <c r="BD88" s="43">
        <f t="shared" si="222"/>
        <v>256240</v>
      </c>
      <c r="BE88" s="44">
        <f t="shared" si="222"/>
        <v>0</v>
      </c>
      <c r="BF88" s="44">
        <f t="shared" si="222"/>
        <v>0</v>
      </c>
      <c r="BG88" s="44">
        <f t="shared" si="222"/>
        <v>0</v>
      </c>
      <c r="BH88" s="44">
        <f t="shared" si="222"/>
        <v>285355</v>
      </c>
      <c r="BI88" s="43">
        <f t="shared" si="222"/>
        <v>285355</v>
      </c>
      <c r="BJ88" s="44">
        <f t="shared" si="222"/>
        <v>0</v>
      </c>
      <c r="BK88" s="44">
        <f t="shared" si="222"/>
        <v>0</v>
      </c>
      <c r="BL88" s="44">
        <f t="shared" si="222"/>
        <v>0</v>
      </c>
      <c r="BM88" s="44">
        <f t="shared" si="222"/>
        <v>253854</v>
      </c>
      <c r="BN88" s="43">
        <f t="shared" si="222"/>
        <v>253854</v>
      </c>
      <c r="BO88" s="44">
        <f t="shared" ref="BO88:CC88" si="223">BO12+BO13</f>
        <v>0</v>
      </c>
      <c r="BP88" s="44">
        <f t="shared" si="223"/>
        <v>0</v>
      </c>
      <c r="BQ88" s="44">
        <f t="shared" si="223"/>
        <v>0</v>
      </c>
      <c r="BR88" s="44">
        <f t="shared" si="223"/>
        <v>249149</v>
      </c>
      <c r="BS88" s="43">
        <f t="shared" si="223"/>
        <v>249149</v>
      </c>
      <c r="BT88" s="44">
        <f>BT12+BT13</f>
        <v>0</v>
      </c>
      <c r="BU88" s="44">
        <f>BU12+BU13</f>
        <v>0</v>
      </c>
      <c r="BV88" s="44">
        <f>BV12+BV13</f>
        <v>0</v>
      </c>
      <c r="BW88" s="44">
        <f>BW12+BW13</f>
        <v>241079</v>
      </c>
      <c r="BX88" s="43">
        <f t="shared" si="223"/>
        <v>241079</v>
      </c>
      <c r="BY88" s="44">
        <f t="shared" si="223"/>
        <v>0</v>
      </c>
      <c r="BZ88" s="44">
        <f t="shared" si="223"/>
        <v>0</v>
      </c>
      <c r="CA88" s="44">
        <f t="shared" si="223"/>
        <v>0</v>
      </c>
      <c r="CB88" s="44">
        <f>CB12+CB13</f>
        <v>194025</v>
      </c>
      <c r="CC88" s="43">
        <f t="shared" si="223"/>
        <v>194025</v>
      </c>
      <c r="CD88" s="44">
        <f>CD12+CD13</f>
        <v>210689</v>
      </c>
      <c r="CE88" s="44">
        <f>CE12+CE13</f>
        <v>190026</v>
      </c>
      <c r="CF88" s="44">
        <f>CF12+CF13</f>
        <v>219058</v>
      </c>
      <c r="CG88" s="44">
        <f>CG12+CG13</f>
        <v>288750</v>
      </c>
      <c r="CH88" s="43">
        <f t="shared" ref="CH88:DG88" si="224">CH12+CH13</f>
        <v>288750</v>
      </c>
      <c r="CI88" s="44">
        <f t="shared" si="224"/>
        <v>407098</v>
      </c>
      <c r="CJ88" s="44">
        <f t="shared" si="224"/>
        <v>354976</v>
      </c>
      <c r="CK88" s="44">
        <f t="shared" si="224"/>
        <v>370644</v>
      </c>
      <c r="CL88" s="44">
        <f>CL12+CL13</f>
        <v>518562</v>
      </c>
      <c r="CM88" s="43">
        <f t="shared" si="224"/>
        <v>518562</v>
      </c>
      <c r="CN88" s="44">
        <f>CN12+CN13</f>
        <v>489160</v>
      </c>
      <c r="CO88" s="44">
        <f>CO12+CO13</f>
        <v>460219</v>
      </c>
      <c r="CP88" s="44">
        <f>CP12+CP13</f>
        <v>516917</v>
      </c>
      <c r="CQ88" s="44">
        <f>CQ12+CQ13</f>
        <v>592911</v>
      </c>
      <c r="CR88" s="43">
        <f t="shared" si="224"/>
        <v>592911</v>
      </c>
      <c r="CS88" s="44">
        <f t="shared" si="224"/>
        <v>701552</v>
      </c>
      <c r="CT88" s="44">
        <f t="shared" si="224"/>
        <v>646237</v>
      </c>
      <c r="CU88" s="44">
        <f>CU12+CU13</f>
        <v>677318</v>
      </c>
      <c r="CV88" s="44">
        <f>CV12+CV13</f>
        <v>706249</v>
      </c>
      <c r="CW88" s="43">
        <f t="shared" si="224"/>
        <v>706249</v>
      </c>
      <c r="CX88" s="44">
        <f>CX12+CX13</f>
        <v>801435</v>
      </c>
      <c r="CY88" s="44">
        <f>CY12+CY13</f>
        <v>753725</v>
      </c>
      <c r="CZ88" s="44">
        <f>CZ12+CZ13</f>
        <v>780038</v>
      </c>
      <c r="DA88" s="44">
        <f>DA12+DA13</f>
        <v>1182731</v>
      </c>
      <c r="DB88" s="43">
        <f t="shared" si="224"/>
        <v>1182731</v>
      </c>
      <c r="DC88" s="44">
        <f t="shared" si="224"/>
        <v>1124907</v>
      </c>
      <c r="DD88" s="44">
        <f t="shared" si="224"/>
        <v>1162982</v>
      </c>
      <c r="DE88" s="44">
        <f>DE12+DE13</f>
        <v>1297963</v>
      </c>
      <c r="DF88" s="44">
        <f>DF12+DF13</f>
        <v>1317997</v>
      </c>
      <c r="DG88" s="43">
        <f t="shared" si="224"/>
        <v>1317997</v>
      </c>
      <c r="DH88" s="44">
        <f t="shared" ref="DH88:DI88" si="225">DH12+DH13</f>
        <v>1494434</v>
      </c>
      <c r="DI88" s="44">
        <f t="shared" si="225"/>
        <v>1497711</v>
      </c>
      <c r="DJ88" s="44">
        <f t="shared" ref="DJ88:EF88" si="226">DJ12+DJ13</f>
        <v>1647980.5154451574</v>
      </c>
      <c r="DK88" s="44">
        <f t="shared" si="226"/>
        <v>1610872.8304453022</v>
      </c>
      <c r="DL88" s="43">
        <f t="shared" si="226"/>
        <v>1610872.8304453022</v>
      </c>
      <c r="DM88" s="44">
        <f t="shared" si="226"/>
        <v>1633793.0637653926</v>
      </c>
      <c r="DN88" s="44">
        <f t="shared" si="226"/>
        <v>1651581.0506408755</v>
      </c>
      <c r="DO88" s="44">
        <f t="shared" si="226"/>
        <v>1667151.9589176003</v>
      </c>
      <c r="DP88" s="44">
        <f t="shared" si="226"/>
        <v>1681398.5554507445</v>
      </c>
      <c r="DQ88" s="43">
        <f t="shared" si="226"/>
        <v>1681398.5554507445</v>
      </c>
      <c r="DR88" s="44">
        <f t="shared" si="226"/>
        <v>1694853.0368634476</v>
      </c>
      <c r="DS88" s="44">
        <f t="shared" si="226"/>
        <v>1707820.814129001</v>
      </c>
      <c r="DT88" s="44">
        <f t="shared" si="226"/>
        <v>1720481.383358198</v>
      </c>
      <c r="DU88" s="44">
        <f t="shared" si="226"/>
        <v>1732943.4635535311</v>
      </c>
      <c r="DV88" s="43">
        <f t="shared" si="226"/>
        <v>1732943.4635535311</v>
      </c>
      <c r="DW88" s="44">
        <f t="shared" si="226"/>
        <v>1745275.692129957</v>
      </c>
      <c r="DX88" s="44">
        <f t="shared" si="226"/>
        <v>1757523.7270171107</v>
      </c>
      <c r="DY88" s="44">
        <f t="shared" si="226"/>
        <v>1769719.8042054058</v>
      </c>
      <c r="DZ88" s="44">
        <f t="shared" si="226"/>
        <v>1781888.1045325277</v>
      </c>
      <c r="EA88" s="43">
        <f t="shared" si="226"/>
        <v>1781888.1045325277</v>
      </c>
      <c r="EB88" s="44">
        <f t="shared" si="226"/>
        <v>1794047.7901400386</v>
      </c>
      <c r="EC88" s="44">
        <f t="shared" si="226"/>
        <v>1781608.2384520653</v>
      </c>
      <c r="ED88" s="44">
        <f t="shared" si="226"/>
        <v>1744310.7934877281</v>
      </c>
      <c r="EE88" s="44">
        <f t="shared" si="226"/>
        <v>1681892.1258924273</v>
      </c>
      <c r="EF88" s="43">
        <f t="shared" si="226"/>
        <v>1681892.1258924273</v>
      </c>
    </row>
    <row r="89" spans="1:136" ht="12" customHeight="1" outlineLevel="1">
      <c r="A89" s="143" t="s">
        <v>106</v>
      </c>
      <c r="B89" s="158" t="e">
        <f t="shared" ref="B89:K89" si="227">B87/B88</f>
        <v>#DIV/0!</v>
      </c>
      <c r="C89" s="158" t="e">
        <f t="shared" si="227"/>
        <v>#DIV/0!</v>
      </c>
      <c r="D89" s="158" t="e">
        <f t="shared" si="227"/>
        <v>#DIV/0!</v>
      </c>
      <c r="E89" s="158" t="e">
        <f t="shared" si="227"/>
        <v>#DIV/0!</v>
      </c>
      <c r="F89" s="159" t="e">
        <f t="shared" si="227"/>
        <v>#DIV/0!</v>
      </c>
      <c r="G89" s="158" t="e">
        <f t="shared" si="227"/>
        <v>#DIV/0!</v>
      </c>
      <c r="H89" s="158" t="e">
        <f t="shared" si="227"/>
        <v>#DIV/0!</v>
      </c>
      <c r="I89" s="158" t="e">
        <f t="shared" si="227"/>
        <v>#DIV/0!</v>
      </c>
      <c r="J89" s="158" t="e">
        <f t="shared" si="227"/>
        <v>#DIV/0!</v>
      </c>
      <c r="K89" s="159" t="e">
        <f t="shared" si="227"/>
        <v>#DIV/0!</v>
      </c>
      <c r="L89" s="158" t="e">
        <f t="shared" ref="L89:BN89" si="228">L87/L88</f>
        <v>#DIV/0!</v>
      </c>
      <c r="M89" s="158" t="e">
        <f t="shared" si="228"/>
        <v>#DIV/0!</v>
      </c>
      <c r="N89" s="158" t="e">
        <f t="shared" si="228"/>
        <v>#DIV/0!</v>
      </c>
      <c r="O89" s="158" t="e">
        <f t="shared" si="228"/>
        <v>#DIV/0!</v>
      </c>
      <c r="P89" s="159" t="e">
        <f t="shared" si="228"/>
        <v>#DIV/0!</v>
      </c>
      <c r="Q89" s="158" t="e">
        <f t="shared" si="228"/>
        <v>#DIV/0!</v>
      </c>
      <c r="R89" s="158" t="e">
        <f t="shared" si="228"/>
        <v>#DIV/0!</v>
      </c>
      <c r="S89" s="158" t="e">
        <f t="shared" si="228"/>
        <v>#DIV/0!</v>
      </c>
      <c r="T89" s="158" t="e">
        <f t="shared" si="228"/>
        <v>#DIV/0!</v>
      </c>
      <c r="U89" s="159" t="e">
        <f t="shared" si="228"/>
        <v>#DIV/0!</v>
      </c>
      <c r="V89" s="158" t="e">
        <f t="shared" si="228"/>
        <v>#DIV/0!</v>
      </c>
      <c r="W89" s="158" t="e">
        <f t="shared" si="228"/>
        <v>#DIV/0!</v>
      </c>
      <c r="X89" s="158" t="e">
        <f t="shared" si="228"/>
        <v>#DIV/0!</v>
      </c>
      <c r="Y89" s="158" t="e">
        <f t="shared" si="228"/>
        <v>#DIV/0!</v>
      </c>
      <c r="Z89" s="159" t="e">
        <f t="shared" si="228"/>
        <v>#DIV/0!</v>
      </c>
      <c r="AA89" s="158" t="e">
        <f t="shared" si="228"/>
        <v>#DIV/0!</v>
      </c>
      <c r="AB89" s="158" t="e">
        <f t="shared" si="228"/>
        <v>#DIV/0!</v>
      </c>
      <c r="AC89" s="158" t="e">
        <f t="shared" si="228"/>
        <v>#DIV/0!</v>
      </c>
      <c r="AD89" s="158" t="e">
        <f t="shared" si="228"/>
        <v>#DIV/0!</v>
      </c>
      <c r="AE89" s="159" t="e">
        <f t="shared" si="228"/>
        <v>#DIV/0!</v>
      </c>
      <c r="AF89" s="158" t="e">
        <f t="shared" si="228"/>
        <v>#DIV/0!</v>
      </c>
      <c r="AG89" s="158" t="e">
        <f t="shared" si="228"/>
        <v>#DIV/0!</v>
      </c>
      <c r="AH89" s="158" t="e">
        <f t="shared" si="228"/>
        <v>#DIV/0!</v>
      </c>
      <c r="AI89" s="158">
        <f t="shared" si="228"/>
        <v>0.99312703759875498</v>
      </c>
      <c r="AJ89" s="159">
        <f t="shared" si="228"/>
        <v>0.99312703759875498</v>
      </c>
      <c r="AK89" s="158" t="e">
        <f t="shared" si="228"/>
        <v>#DIV/0!</v>
      </c>
      <c r="AL89" s="158" t="e">
        <f t="shared" si="228"/>
        <v>#DIV/0!</v>
      </c>
      <c r="AM89" s="158" t="e">
        <f t="shared" si="228"/>
        <v>#DIV/0!</v>
      </c>
      <c r="AN89" s="158">
        <f t="shared" si="228"/>
        <v>0.21794486391436346</v>
      </c>
      <c r="AO89" s="159">
        <f t="shared" si="228"/>
        <v>0.21794486391436346</v>
      </c>
      <c r="AP89" s="158" t="e">
        <f t="shared" si="228"/>
        <v>#DIV/0!</v>
      </c>
      <c r="AQ89" s="158" t="e">
        <f t="shared" si="228"/>
        <v>#DIV/0!</v>
      </c>
      <c r="AR89" s="158" t="e">
        <f t="shared" si="228"/>
        <v>#DIV/0!</v>
      </c>
      <c r="AS89" s="158">
        <f t="shared" si="228"/>
        <v>0.32561547724594164</v>
      </c>
      <c r="AT89" s="159">
        <f t="shared" si="228"/>
        <v>0.32561547724594164</v>
      </c>
      <c r="AU89" s="158" t="e">
        <f t="shared" si="228"/>
        <v>#DIV/0!</v>
      </c>
      <c r="AV89" s="158" t="e">
        <f t="shared" si="228"/>
        <v>#DIV/0!</v>
      </c>
      <c r="AW89" s="158" t="e">
        <f t="shared" si="228"/>
        <v>#DIV/0!</v>
      </c>
      <c r="AX89" s="158">
        <f t="shared" si="228"/>
        <v>0.17010235627256903</v>
      </c>
      <c r="AY89" s="159">
        <f t="shared" si="228"/>
        <v>0.17010235627256903</v>
      </c>
      <c r="AZ89" s="158" t="e">
        <f t="shared" si="228"/>
        <v>#DIV/0!</v>
      </c>
      <c r="BA89" s="158" t="e">
        <f t="shared" si="228"/>
        <v>#DIV/0!</v>
      </c>
      <c r="BB89" s="158" t="e">
        <f t="shared" si="228"/>
        <v>#DIV/0!</v>
      </c>
      <c r="BC89" s="158">
        <f t="shared" si="228"/>
        <v>0.3298118950983453</v>
      </c>
      <c r="BD89" s="159">
        <f t="shared" si="228"/>
        <v>0.3298118950983453</v>
      </c>
      <c r="BE89" s="158" t="e">
        <f t="shared" si="228"/>
        <v>#DIV/0!</v>
      </c>
      <c r="BF89" s="158" t="e">
        <f t="shared" si="228"/>
        <v>#DIV/0!</v>
      </c>
      <c r="BG89" s="158" t="e">
        <f t="shared" si="228"/>
        <v>#DIV/0!</v>
      </c>
      <c r="BH89" s="158">
        <f t="shared" si="228"/>
        <v>0.32682798619263725</v>
      </c>
      <c r="BI89" s="159">
        <f t="shared" si="228"/>
        <v>0.32682798619263725</v>
      </c>
      <c r="BJ89" s="158" t="e">
        <f t="shared" si="228"/>
        <v>#DIV/0!</v>
      </c>
      <c r="BK89" s="158" t="e">
        <f t="shared" si="228"/>
        <v>#DIV/0!</v>
      </c>
      <c r="BL89" s="158" t="e">
        <f t="shared" si="228"/>
        <v>#DIV/0!</v>
      </c>
      <c r="BM89" s="158">
        <f t="shared" si="228"/>
        <v>0.3136921222434943</v>
      </c>
      <c r="BN89" s="159">
        <f t="shared" si="228"/>
        <v>0.3136921222434943</v>
      </c>
      <c r="BO89" s="158" t="e">
        <f t="shared" ref="BO89:DD89" si="229">BO87/BO88</f>
        <v>#DIV/0!</v>
      </c>
      <c r="BP89" s="158" t="e">
        <f t="shared" si="229"/>
        <v>#DIV/0!</v>
      </c>
      <c r="BQ89" s="158" t="e">
        <f t="shared" si="229"/>
        <v>#DIV/0!</v>
      </c>
      <c r="BR89" s="158">
        <f t="shared" si="229"/>
        <v>0.35951980541764167</v>
      </c>
      <c r="BS89" s="159">
        <f t="shared" si="229"/>
        <v>0.35951980541764167</v>
      </c>
      <c r="BT89" s="158" t="e">
        <f t="shared" si="229"/>
        <v>#DIV/0!</v>
      </c>
      <c r="BU89" s="158" t="e">
        <f t="shared" si="229"/>
        <v>#DIV/0!</v>
      </c>
      <c r="BV89" s="158" t="e">
        <f t="shared" si="229"/>
        <v>#DIV/0!</v>
      </c>
      <c r="BW89" s="158">
        <f t="shared" si="229"/>
        <v>0.27370695912957993</v>
      </c>
      <c r="BX89" s="159">
        <f t="shared" si="229"/>
        <v>0.27370695912957993</v>
      </c>
      <c r="BY89" s="158" t="e">
        <f t="shared" si="229"/>
        <v>#DIV/0!</v>
      </c>
      <c r="BZ89" s="158" t="e">
        <f t="shared" si="229"/>
        <v>#DIV/0!</v>
      </c>
      <c r="CA89" s="158" t="e">
        <f t="shared" si="229"/>
        <v>#DIV/0!</v>
      </c>
      <c r="CB89" s="158">
        <f t="shared" si="229"/>
        <v>0.69142636258214152</v>
      </c>
      <c r="CC89" s="159">
        <f t="shared" si="229"/>
        <v>0.69142636258214152</v>
      </c>
      <c r="CD89" s="158">
        <f t="shared" si="229"/>
        <v>0.69802884820754763</v>
      </c>
      <c r="CE89" s="158">
        <f t="shared" si="229"/>
        <v>0.74982897077242061</v>
      </c>
      <c r="CF89" s="158">
        <f t="shared" si="229"/>
        <v>0.95935779565229296</v>
      </c>
      <c r="CG89" s="158">
        <f t="shared" si="229"/>
        <v>0.94162077922077925</v>
      </c>
      <c r="CH89" s="159">
        <f t="shared" si="229"/>
        <v>0.94162077922077925</v>
      </c>
      <c r="CI89" s="158">
        <f t="shared" si="229"/>
        <v>0.99912797409960252</v>
      </c>
      <c r="CJ89" s="158">
        <f t="shared" si="229"/>
        <v>1.119641891282791</v>
      </c>
      <c r="CK89" s="158">
        <f t="shared" si="229"/>
        <v>1.1752085559188872</v>
      </c>
      <c r="CL89" s="158">
        <f t="shared" si="229"/>
        <v>1.3418434054172885</v>
      </c>
      <c r="CM89" s="159">
        <f t="shared" si="229"/>
        <v>1.3418434054172885</v>
      </c>
      <c r="CN89" s="158">
        <f t="shared" si="229"/>
        <v>1.3963754190857798</v>
      </c>
      <c r="CO89" s="158">
        <f t="shared" si="229"/>
        <v>1.4597485110349637</v>
      </c>
      <c r="CP89" s="158">
        <f t="shared" si="229"/>
        <v>1.4303282732044023</v>
      </c>
      <c r="CQ89" s="158">
        <f t="shared" si="229"/>
        <v>1.309083488078312</v>
      </c>
      <c r="CR89" s="159">
        <f t="shared" si="229"/>
        <v>1.309083488078312</v>
      </c>
      <c r="CS89" s="158">
        <f t="shared" si="229"/>
        <v>1.3076863867539399</v>
      </c>
      <c r="CT89" s="158">
        <f t="shared" si="229"/>
        <v>1.3989790123437686</v>
      </c>
      <c r="CU89" s="158">
        <f t="shared" si="229"/>
        <v>1.3887066341068746</v>
      </c>
      <c r="CV89" s="158">
        <f t="shared" si="229"/>
        <v>1.3162496513269399</v>
      </c>
      <c r="CW89" s="159">
        <f t="shared" si="229"/>
        <v>1.3162496513269399</v>
      </c>
      <c r="CX89" s="158">
        <f t="shared" si="229"/>
        <v>1.3230979430646279</v>
      </c>
      <c r="CY89" s="158">
        <f t="shared" si="229"/>
        <v>1.4460764867823146</v>
      </c>
      <c r="CZ89" s="158">
        <f t="shared" si="229"/>
        <v>1.3972242377935433</v>
      </c>
      <c r="DA89" s="158">
        <f t="shared" si="229"/>
        <v>1.1545465536964872</v>
      </c>
      <c r="DB89" s="159">
        <f t="shared" si="229"/>
        <v>1.1545465536964872</v>
      </c>
      <c r="DC89" s="158">
        <f t="shared" si="229"/>
        <v>1.2472444388736135</v>
      </c>
      <c r="DD89" s="158">
        <f t="shared" si="229"/>
        <v>1.2633058809164717</v>
      </c>
      <c r="DE89" s="158">
        <f t="shared" ref="DE89:DF89" si="230">DE87/DE88</f>
        <v>1.2220903061181252</v>
      </c>
      <c r="DF89" s="158">
        <f t="shared" si="230"/>
        <v>1.199926858710604</v>
      </c>
      <c r="DG89" s="159">
        <f>DG87/DG88</f>
        <v>1.199926858710604</v>
      </c>
      <c r="DH89" s="158">
        <f t="shared" ref="DH89:DI89" si="231">DH87/DH88</f>
        <v>1.1759134227406496</v>
      </c>
      <c r="DI89" s="158">
        <f t="shared" si="231"/>
        <v>1.1735014298486157</v>
      </c>
      <c r="DJ89" s="160">
        <v>1.1499999999999999</v>
      </c>
      <c r="DK89" s="160">
        <f>DJ89</f>
        <v>1.1499999999999999</v>
      </c>
      <c r="DL89" s="159">
        <f>DL87/DL88</f>
        <v>1.1499999999999999</v>
      </c>
      <c r="DM89" s="160">
        <v>1.2</v>
      </c>
      <c r="DN89" s="160">
        <f>DM89</f>
        <v>1.2</v>
      </c>
      <c r="DO89" s="160">
        <f>DN89</f>
        <v>1.2</v>
      </c>
      <c r="DP89" s="160">
        <f>DO89</f>
        <v>1.2</v>
      </c>
      <c r="DQ89" s="159">
        <f>DQ87/DQ88</f>
        <v>1.2</v>
      </c>
      <c r="DR89" s="160">
        <f>DP89</f>
        <v>1.2</v>
      </c>
      <c r="DS89" s="160">
        <f>DR89</f>
        <v>1.2</v>
      </c>
      <c r="DT89" s="160">
        <f>DS89</f>
        <v>1.2</v>
      </c>
      <c r="DU89" s="160">
        <f>DT89</f>
        <v>1.2</v>
      </c>
      <c r="DV89" s="159">
        <f>DV87/DV88</f>
        <v>1.2</v>
      </c>
      <c r="DW89" s="160">
        <f>DU89</f>
        <v>1.2</v>
      </c>
      <c r="DX89" s="160">
        <f>DW89</f>
        <v>1.2</v>
      </c>
      <c r="DY89" s="160">
        <f>DX89</f>
        <v>1.2</v>
      </c>
      <c r="DZ89" s="160">
        <f>DY89</f>
        <v>1.2</v>
      </c>
      <c r="EA89" s="159">
        <f>EA87/EA88</f>
        <v>1.1999999999999997</v>
      </c>
      <c r="EB89" s="160">
        <f>DZ89</f>
        <v>1.2</v>
      </c>
      <c r="EC89" s="160">
        <f>EB89</f>
        <v>1.2</v>
      </c>
      <c r="ED89" s="160">
        <f>EC89</f>
        <v>1.2</v>
      </c>
      <c r="EE89" s="160">
        <f>ED89</f>
        <v>1.2</v>
      </c>
      <c r="EF89" s="159">
        <f>EF87/EF88</f>
        <v>1.2</v>
      </c>
    </row>
    <row r="90" spans="1:136" ht="12" customHeight="1" outlineLevel="1"/>
    <row r="91" spans="1:136" s="3" customFormat="1" ht="12" customHeight="1" outlineLevel="1">
      <c r="A91" s="3" t="s">
        <v>52</v>
      </c>
      <c r="B91" s="162">
        <f>B22+B23</f>
        <v>0</v>
      </c>
      <c r="C91" s="162">
        <f>C22+C23</f>
        <v>0</v>
      </c>
      <c r="D91" s="162">
        <f>D22+D23</f>
        <v>0</v>
      </c>
      <c r="E91" s="162">
        <f>E22+E23</f>
        <v>0</v>
      </c>
      <c r="F91" s="163">
        <f>F22</f>
        <v>0</v>
      </c>
      <c r="G91" s="162">
        <f>G22+G23</f>
        <v>0</v>
      </c>
      <c r="H91" s="162">
        <f>H22+H23</f>
        <v>0</v>
      </c>
      <c r="I91" s="162">
        <f>I22+I23</f>
        <v>0</v>
      </c>
      <c r="J91" s="162">
        <f>J22+J23</f>
        <v>0</v>
      </c>
      <c r="K91" s="163">
        <f>K22</f>
        <v>0</v>
      </c>
      <c r="L91" s="162">
        <f>L22+L23</f>
        <v>0</v>
      </c>
      <c r="M91" s="162">
        <f>M22+M23</f>
        <v>0</v>
      </c>
      <c r="N91" s="162">
        <f>N22+N23</f>
        <v>0</v>
      </c>
      <c r="O91" s="162">
        <f>O22+O23</f>
        <v>0</v>
      </c>
      <c r="P91" s="163">
        <f>P22</f>
        <v>0</v>
      </c>
      <c r="Q91" s="162">
        <f>Q22+Q23</f>
        <v>0</v>
      </c>
      <c r="R91" s="162">
        <f>R22+R23</f>
        <v>0</v>
      </c>
      <c r="S91" s="162">
        <f>S22+S23</f>
        <v>0</v>
      </c>
      <c r="T91" s="162">
        <f>T22+T23</f>
        <v>0</v>
      </c>
      <c r="U91" s="163">
        <f>U22</f>
        <v>0</v>
      </c>
      <c r="V91" s="162">
        <f>V22+V23</f>
        <v>0</v>
      </c>
      <c r="W91" s="162">
        <f>W22+W23</f>
        <v>0</v>
      </c>
      <c r="X91" s="162">
        <f>X22+X23</f>
        <v>0</v>
      </c>
      <c r="Y91" s="162">
        <f>Y22+Y23</f>
        <v>0</v>
      </c>
      <c r="Z91" s="163">
        <f>Z22</f>
        <v>0</v>
      </c>
      <c r="AA91" s="162">
        <f>AA22+AA23</f>
        <v>0</v>
      </c>
      <c r="AB91" s="162">
        <f>AB22+AB23</f>
        <v>0</v>
      </c>
      <c r="AC91" s="162">
        <f>AC22+AC23</f>
        <v>0</v>
      </c>
      <c r="AD91" s="162">
        <f>AD22+AD23</f>
        <v>0</v>
      </c>
      <c r="AE91" s="163">
        <f>AE22</f>
        <v>0</v>
      </c>
      <c r="AF91" s="162">
        <f>AE91-AF92+AF95</f>
        <v>0</v>
      </c>
      <c r="AG91" s="162">
        <f>AG22+AG23+AG21</f>
        <v>0</v>
      </c>
      <c r="AH91" s="162">
        <f>AH22+AH23+AH21</f>
        <v>0</v>
      </c>
      <c r="AI91" s="162">
        <f>AH91-AI92+AI95</f>
        <v>4925.0249999999996</v>
      </c>
      <c r="AJ91" s="163">
        <f>AI91</f>
        <v>4925.0249999999996</v>
      </c>
      <c r="AK91" s="162">
        <f>AJ91-AK92+AK95</f>
        <v>0</v>
      </c>
      <c r="AL91" s="162">
        <f>AL22+AL23+AL21</f>
        <v>0</v>
      </c>
      <c r="AM91" s="162">
        <f>AM22+AM23+AM21</f>
        <v>0</v>
      </c>
      <c r="AN91" s="162">
        <f>AM91-AN92+AN95</f>
        <v>6957.473</v>
      </c>
      <c r="AO91" s="163">
        <f>AN91</f>
        <v>6957.473</v>
      </c>
      <c r="AP91" s="162">
        <f>AO91-AP92+AP95</f>
        <v>0</v>
      </c>
      <c r="AQ91" s="162">
        <f>AQ22+AQ23+AQ21</f>
        <v>0</v>
      </c>
      <c r="AR91" s="162">
        <f>AR22+AR23+AR21</f>
        <v>0</v>
      </c>
      <c r="AS91" s="162">
        <f>AR91-AS92+AS95</f>
        <v>8468.4410000000007</v>
      </c>
      <c r="AT91" s="163">
        <f>AS91</f>
        <v>8468.4410000000007</v>
      </c>
      <c r="AU91" s="162">
        <f>AT91-AU92+AU95</f>
        <v>0</v>
      </c>
      <c r="AV91" s="162">
        <f>AV22+AV23+AV21</f>
        <v>0</v>
      </c>
      <c r="AW91" s="162">
        <f>AW22+AW23+AW21</f>
        <v>0</v>
      </c>
      <c r="AX91" s="162">
        <f>AW91-AX92+AX95</f>
        <v>7120</v>
      </c>
      <c r="AY91" s="163">
        <f>AX91</f>
        <v>7120</v>
      </c>
      <c r="AZ91" s="162">
        <f>AY91-AZ92+AZ95</f>
        <v>0</v>
      </c>
      <c r="BA91" s="162">
        <f>BA22+BA23+BA21</f>
        <v>0</v>
      </c>
      <c r="BB91" s="162">
        <f>BB22+BB23+BB21</f>
        <v>0</v>
      </c>
      <c r="BC91" s="162">
        <f>BB91-BC92+BC95</f>
        <v>6558</v>
      </c>
      <c r="BD91" s="163">
        <f>BC91</f>
        <v>6558</v>
      </c>
      <c r="BE91" s="162">
        <f>BD91-BE92+BE95</f>
        <v>0</v>
      </c>
      <c r="BF91" s="162">
        <f>BF22+BF23+BF21</f>
        <v>0</v>
      </c>
      <c r="BG91" s="162">
        <f>BG22+BG23+BG21</f>
        <v>0</v>
      </c>
      <c r="BH91" s="162">
        <f>BG91-BH92+BH95</f>
        <v>9856</v>
      </c>
      <c r="BI91" s="163">
        <f>BH91</f>
        <v>9856</v>
      </c>
      <c r="BJ91" s="162">
        <f>BI91-BJ92+BJ95</f>
        <v>0</v>
      </c>
      <c r="BK91" s="162">
        <f>BK22+BK23+BK21</f>
        <v>0</v>
      </c>
      <c r="BL91" s="162">
        <f>BL22+BL23+BL21</f>
        <v>0</v>
      </c>
      <c r="BM91" s="162">
        <f>BL91-BM92+BM95</f>
        <v>9847</v>
      </c>
      <c r="BN91" s="163">
        <f>BM91</f>
        <v>9847</v>
      </c>
      <c r="BO91" s="162">
        <f>BN91-BO92+BO95</f>
        <v>0</v>
      </c>
      <c r="BP91" s="162">
        <f>BP22+BP23+BP21</f>
        <v>0</v>
      </c>
      <c r="BQ91" s="162">
        <f>BQ22+BQ23+BQ21</f>
        <v>0</v>
      </c>
      <c r="BR91" s="162">
        <f>BQ91-BR92+BR95</f>
        <v>7856</v>
      </c>
      <c r="BS91" s="163">
        <f>BR91</f>
        <v>7856</v>
      </c>
      <c r="BT91" s="162">
        <f>BS91-BT92+BT95</f>
        <v>0</v>
      </c>
      <c r="BU91" s="162">
        <f>BU22+BU23+BU21</f>
        <v>0</v>
      </c>
      <c r="BV91" s="162">
        <f>BV22+BV23+BV21</f>
        <v>0</v>
      </c>
      <c r="BW91" s="162">
        <f>BV91-BW92+BW95</f>
        <v>6902</v>
      </c>
      <c r="BX91" s="163">
        <f>BW91</f>
        <v>6902</v>
      </c>
      <c r="BY91" s="162">
        <f>BX91-BY92+BY95</f>
        <v>0</v>
      </c>
      <c r="BZ91" s="162">
        <f>BZ22+BZ23+BZ21</f>
        <v>0</v>
      </c>
      <c r="CA91" s="162">
        <f>CA22+CA23+CA21</f>
        <v>0</v>
      </c>
      <c r="CB91" s="162">
        <f>CA91-CB92+CB95</f>
        <v>12039</v>
      </c>
      <c r="CC91" s="163">
        <f>CB91</f>
        <v>12039</v>
      </c>
      <c r="CD91" s="162">
        <f>CC91-CD92+CD95</f>
        <v>12275</v>
      </c>
      <c r="CE91" s="162">
        <f>CE22+CE23+CE21</f>
        <v>12871</v>
      </c>
      <c r="CF91" s="162">
        <f>CF22+CF23+CF21</f>
        <v>13604</v>
      </c>
      <c r="CG91" s="162">
        <f>CF91-CG92+CG95</f>
        <v>14669</v>
      </c>
      <c r="CH91" s="163">
        <f>CG91</f>
        <v>14669</v>
      </c>
      <c r="CI91" s="162">
        <f>CH91-CI92+CI95</f>
        <v>20211</v>
      </c>
      <c r="CJ91" s="162">
        <f>CJ22+CJ23+CJ21</f>
        <v>23569</v>
      </c>
      <c r="CK91" s="162">
        <f>CK22+CK23+CK21</f>
        <v>25579</v>
      </c>
      <c r="CL91" s="162">
        <f>CK91-CL92+CL95</f>
        <v>25765</v>
      </c>
      <c r="CM91" s="163">
        <f>CL91</f>
        <v>25765</v>
      </c>
      <c r="CN91" s="162">
        <f>CM91-CN92+CN95</f>
        <v>24330</v>
      </c>
      <c r="CO91" s="162">
        <f>CO22+CO23+CO21</f>
        <v>22509</v>
      </c>
      <c r="CP91" s="162">
        <f>CP22+CP23+CP21</f>
        <v>22203</v>
      </c>
      <c r="CQ91" s="162">
        <f>CP91-CQ92+CQ95</f>
        <v>22931</v>
      </c>
      <c r="CR91" s="163">
        <f>CQ91</f>
        <v>22931</v>
      </c>
      <c r="CS91" s="162">
        <f>CR91-CS92+CS95</f>
        <v>31101</v>
      </c>
      <c r="CT91" s="162">
        <f>CT22+CT23+CT21</f>
        <v>33293</v>
      </c>
      <c r="CU91" s="162">
        <f>CU22+CU23+CU21</f>
        <v>33278</v>
      </c>
      <c r="CV91" s="162">
        <f>CU91-CV92+CV95</f>
        <v>34596</v>
      </c>
      <c r="CW91" s="163">
        <f>CV91</f>
        <v>34596</v>
      </c>
      <c r="CX91" s="162">
        <f>CW91-CX92+CX95</f>
        <v>36855</v>
      </c>
      <c r="CY91" s="162">
        <f>CY22+CY23+CY21</f>
        <v>37163</v>
      </c>
      <c r="CZ91" s="162">
        <f>CZ22+CZ23+CZ21</f>
        <v>39806</v>
      </c>
      <c r="DA91" s="162">
        <f>CZ91-DA92+DA95</f>
        <v>41601</v>
      </c>
      <c r="DB91" s="163">
        <f>DA91</f>
        <v>41601</v>
      </c>
      <c r="DC91" s="162">
        <f>DB91-DC92+DC95</f>
        <v>41884</v>
      </c>
      <c r="DD91" s="162">
        <f>DD22+DD23+DD21</f>
        <v>40389</v>
      </c>
      <c r="DE91" s="162">
        <f>DE22+DE23+DE21</f>
        <v>40513</v>
      </c>
      <c r="DF91" s="162">
        <f>DE91-DF92+DF95</f>
        <v>41203</v>
      </c>
      <c r="DG91" s="163">
        <f>DF91</f>
        <v>41203</v>
      </c>
      <c r="DH91" s="162">
        <f>DG91-DH92+DH95</f>
        <v>46373</v>
      </c>
      <c r="DI91" s="162">
        <f>DI22+DI23+DI21</f>
        <v>51142</v>
      </c>
      <c r="DJ91" s="162">
        <f>DI91-DJ92+DJ95</f>
        <v>51404.034787484103</v>
      </c>
      <c r="DK91" s="162">
        <f>DJ91-DK92+DK95</f>
        <v>51667.41215503648</v>
      </c>
      <c r="DL91" s="163">
        <f>DK91</f>
        <v>51667.41215503648</v>
      </c>
      <c r="DM91" s="162">
        <f>DL91-DM92+DM95</f>
        <v>51932.138981595832</v>
      </c>
      <c r="DN91" s="162">
        <f>DM91-DN92+DN95</f>
        <v>52198.222181346267</v>
      </c>
      <c r="DO91" s="162">
        <f>DN91-DO92+DO95</f>
        <v>52465.668703897922</v>
      </c>
      <c r="DP91" s="162">
        <f>DO91-DP92+DP95</f>
        <v>52734.485534468433</v>
      </c>
      <c r="DQ91" s="163">
        <f>DP91</f>
        <v>52734.485534468433</v>
      </c>
      <c r="DR91" s="162">
        <f>DQ91-DR92+DR95</f>
        <v>53004.679694065395</v>
      </c>
      <c r="DS91" s="162">
        <f>DR91-DS92+DS95</f>
        <v>53276.258239669733</v>
      </c>
      <c r="DT91" s="162">
        <f>DS91-DT92+DT95</f>
        <v>53549.228264420024</v>
      </c>
      <c r="DU91" s="162">
        <f>DT91-DU92+DU95</f>
        <v>53823.596897797768</v>
      </c>
      <c r="DV91" s="163">
        <f>DU91</f>
        <v>53823.596897797768</v>
      </c>
      <c r="DW91" s="162">
        <f>DV91-DW92+DW95</f>
        <v>54099.371305813569</v>
      </c>
      <c r="DX91" s="162">
        <f>DW91-DX92+DX95</f>
        <v>54376.558691194317</v>
      </c>
      <c r="DY91" s="162">
        <f>DX91-DY92+DY95</f>
        <v>54655.166293571296</v>
      </c>
      <c r="DZ91" s="162">
        <f>DY91-DZ92+DZ95</f>
        <v>54935.201389669295</v>
      </c>
      <c r="EA91" s="163">
        <f>DZ91</f>
        <v>54935.201389669295</v>
      </c>
      <c r="EB91" s="162">
        <f>EA91-EB92+EB95</f>
        <v>55216.671293496634</v>
      </c>
      <c r="EC91" s="162">
        <f>EB91-EC92+EC95</f>
        <v>55499.583356536226</v>
      </c>
      <c r="ED91" s="162">
        <f>EC91-ED92+ED95</f>
        <v>55783.944967937532</v>
      </c>
      <c r="EE91" s="162">
        <f>ED91-EE92+EE95</f>
        <v>56069.763554709614</v>
      </c>
      <c r="EF91" s="163">
        <f>EE91</f>
        <v>56069.763554709614</v>
      </c>
    </row>
    <row r="92" spans="1:136" ht="12" customHeight="1" outlineLevel="1">
      <c r="A92" s="1" t="s">
        <v>11</v>
      </c>
      <c r="B92" s="52">
        <f>'Income Statement'!B68</f>
        <v>0</v>
      </c>
      <c r="C92" s="52">
        <f>'Income Statement'!C68</f>
        <v>0</v>
      </c>
      <c r="D92" s="52">
        <f>'Income Statement'!D68</f>
        <v>0</v>
      </c>
      <c r="E92" s="52">
        <f>'Income Statement'!E68</f>
        <v>0</v>
      </c>
      <c r="F92" s="43">
        <f>-'Income Statement'!F34</f>
        <v>0</v>
      </c>
      <c r="G92" s="52">
        <f>'Income Statement'!G68</f>
        <v>0</v>
      </c>
      <c r="H92" s="52">
        <f>'Income Statement'!H68</f>
        <v>0</v>
      </c>
      <c r="I92" s="52">
        <f>'Income Statement'!I68</f>
        <v>0</v>
      </c>
      <c r="J92" s="52">
        <f>'Income Statement'!J68</f>
        <v>0</v>
      </c>
      <c r="K92" s="43">
        <f>-'Income Statement'!K34</f>
        <v>0</v>
      </c>
      <c r="L92" s="52">
        <f>'Income Statement'!L68</f>
        <v>0</v>
      </c>
      <c r="M92" s="52">
        <f>'Income Statement'!M68</f>
        <v>0</v>
      </c>
      <c r="N92" s="52">
        <f>'Income Statement'!N68</f>
        <v>0</v>
      </c>
      <c r="O92" s="52">
        <f>'Income Statement'!O68</f>
        <v>0</v>
      </c>
      <c r="P92" s="43">
        <f>-'Income Statement'!P34</f>
        <v>0</v>
      </c>
      <c r="Q92" s="52">
        <f>'Income Statement'!Q68</f>
        <v>0</v>
      </c>
      <c r="R92" s="52">
        <f>'Income Statement'!R68</f>
        <v>0</v>
      </c>
      <c r="S92" s="52">
        <f>'Income Statement'!S68</f>
        <v>0</v>
      </c>
      <c r="T92" s="52">
        <f>'Income Statement'!T68</f>
        <v>0</v>
      </c>
      <c r="U92" s="43">
        <f>-'Income Statement'!U34</f>
        <v>0</v>
      </c>
      <c r="V92" s="52">
        <f>'Income Statement'!V68</f>
        <v>0</v>
      </c>
      <c r="W92" s="52">
        <f>'Income Statement'!W68</f>
        <v>0</v>
      </c>
      <c r="X92" s="52">
        <f>'Income Statement'!X68</f>
        <v>0</v>
      </c>
      <c r="Y92" s="52">
        <f>'Income Statement'!Y68</f>
        <v>0</v>
      </c>
      <c r="Z92" s="43">
        <f>-'Income Statement'!Z34</f>
        <v>0</v>
      </c>
      <c r="AA92" s="52">
        <f>'Income Statement'!AA68</f>
        <v>0</v>
      </c>
      <c r="AB92" s="52">
        <f>'Income Statement'!AB68</f>
        <v>0</v>
      </c>
      <c r="AC92" s="52">
        <f>'Income Statement'!AC68</f>
        <v>0</v>
      </c>
      <c r="AD92" s="52">
        <f>'Income Statement'!AD68</f>
        <v>0</v>
      </c>
      <c r="AE92" s="43">
        <f>-'Income Statement'!AE34</f>
        <v>0</v>
      </c>
      <c r="AF92" s="52">
        <f>'Income Statement'!AF68</f>
        <v>0</v>
      </c>
      <c r="AG92" s="52">
        <f>'Income Statement'!AG68</f>
        <v>0</v>
      </c>
      <c r="AH92" s="52">
        <f>'Income Statement'!AH68</f>
        <v>0</v>
      </c>
      <c r="AI92" s="52">
        <f>'Income Statement'!AI68</f>
        <v>0</v>
      </c>
      <c r="AJ92" s="43">
        <f>SUM(AF92:AI92)</f>
        <v>0</v>
      </c>
      <c r="AK92" s="52">
        <f>'Income Statement'!AK68</f>
        <v>0</v>
      </c>
      <c r="AL92" s="52">
        <f>'Income Statement'!AL68</f>
        <v>0</v>
      </c>
      <c r="AM92" s="52">
        <f>'Income Statement'!AM68</f>
        <v>0</v>
      </c>
      <c r="AN92" s="52">
        <f>'Income Statement'!AN68</f>
        <v>0</v>
      </c>
      <c r="AO92" s="43">
        <f>SUM(AK92:AN92)</f>
        <v>0</v>
      </c>
      <c r="AP92" s="52">
        <f>'Income Statement'!AP68</f>
        <v>0</v>
      </c>
      <c r="AQ92" s="52">
        <f>'Income Statement'!AQ68</f>
        <v>0</v>
      </c>
      <c r="AR92" s="52">
        <f>'Income Statement'!AR68</f>
        <v>0</v>
      </c>
      <c r="AS92" s="52">
        <f>'Income Statement'!AS68</f>
        <v>0</v>
      </c>
      <c r="AT92" s="43">
        <f>SUM(AP92:AS92)</f>
        <v>0</v>
      </c>
      <c r="AU92" s="52">
        <f>'Income Statement'!AU68</f>
        <v>0</v>
      </c>
      <c r="AV92" s="52">
        <f>'Income Statement'!AV68</f>
        <v>0</v>
      </c>
      <c r="AW92" s="52">
        <f>'Income Statement'!AW68</f>
        <v>0</v>
      </c>
      <c r="AX92" s="52">
        <f>'Income Statement'!AX68</f>
        <v>0</v>
      </c>
      <c r="AY92" s="43">
        <f>SUM(AU92:AX92)</f>
        <v>0</v>
      </c>
      <c r="AZ92" s="52">
        <f>'Income Statement'!AZ68</f>
        <v>0</v>
      </c>
      <c r="BA92" s="52">
        <f>'Income Statement'!BA68</f>
        <v>0</v>
      </c>
      <c r="BB92" s="52">
        <f>'Income Statement'!BB68</f>
        <v>0</v>
      </c>
      <c r="BC92" s="52">
        <f>'Income Statement'!BC68</f>
        <v>4942</v>
      </c>
      <c r="BD92" s="43">
        <f>SUM(AZ92:BC92)</f>
        <v>4942</v>
      </c>
      <c r="BE92" s="52">
        <f>'Income Statement'!BE68</f>
        <v>0</v>
      </c>
      <c r="BF92" s="52">
        <f>'Income Statement'!BF68</f>
        <v>0</v>
      </c>
      <c r="BG92" s="52">
        <f>'Income Statement'!BG68</f>
        <v>0</v>
      </c>
      <c r="BH92" s="52">
        <f>'Income Statement'!BH68</f>
        <v>3368</v>
      </c>
      <c r="BI92" s="43">
        <f>SUM(BE92:BH92)</f>
        <v>3368</v>
      </c>
      <c r="BJ92" s="52">
        <f>'Income Statement'!BJ68</f>
        <v>0</v>
      </c>
      <c r="BK92" s="52">
        <f>'Income Statement'!BK68</f>
        <v>0</v>
      </c>
      <c r="BL92" s="52">
        <f>'Income Statement'!BL68</f>
        <v>0</v>
      </c>
      <c r="BM92" s="52">
        <f>'Income Statement'!BM68</f>
        <v>5774</v>
      </c>
      <c r="BN92" s="43">
        <f>SUM(BJ92:BM92)</f>
        <v>5774</v>
      </c>
      <c r="BO92" s="52">
        <f>'Income Statement'!BO68</f>
        <v>0</v>
      </c>
      <c r="BP92" s="52">
        <f>'Income Statement'!BP68</f>
        <v>0</v>
      </c>
      <c r="BQ92" s="52">
        <f>'Income Statement'!BQ68</f>
        <v>0</v>
      </c>
      <c r="BR92" s="52">
        <f>'Income Statement'!BR68</f>
        <v>7471</v>
      </c>
      <c r="BS92" s="43">
        <f>SUM(BO92:BR92)</f>
        <v>7471</v>
      </c>
      <c r="BT92" s="52">
        <f>'Income Statement'!BT68</f>
        <v>0</v>
      </c>
      <c r="BU92" s="52">
        <f>'Income Statement'!BU68</f>
        <v>0</v>
      </c>
      <c r="BV92" s="52">
        <f>'Income Statement'!BV68</f>
        <v>0</v>
      </c>
      <c r="BW92" s="52">
        <f>'Income Statement'!BW68</f>
        <v>3718</v>
      </c>
      <c r="BX92" s="43">
        <f>SUM(BT92:BW92)</f>
        <v>3718</v>
      </c>
      <c r="BY92" s="52">
        <f>'Income Statement'!BY68</f>
        <v>1854</v>
      </c>
      <c r="BZ92" s="52">
        <f>'Income Statement'!BZ68</f>
        <v>179</v>
      </c>
      <c r="CA92" s="52">
        <f>'Income Statement'!CA68</f>
        <v>399</v>
      </c>
      <c r="CB92" s="52">
        <f>'Income Statement'!CB68</f>
        <v>-1277</v>
      </c>
      <c r="CC92" s="43">
        <f>SUM(BY92:CB92)</f>
        <v>1155</v>
      </c>
      <c r="CD92" s="52">
        <f>'Income Statement'!CD68</f>
        <v>2925</v>
      </c>
      <c r="CE92" s="52">
        <f>'Income Statement'!CE68</f>
        <v>307</v>
      </c>
      <c r="CF92" s="52">
        <f>'Income Statement'!CF68</f>
        <v>365</v>
      </c>
      <c r="CG92" s="52">
        <f>'Income Statement'!CG68</f>
        <v>-2038</v>
      </c>
      <c r="CH92" s="43">
        <f>SUM(CD92:CG92)</f>
        <v>1559</v>
      </c>
      <c r="CI92" s="52">
        <f>'Income Statement'!CI68</f>
        <v>335</v>
      </c>
      <c r="CJ92" s="52">
        <f>'Income Statement'!CJ68</f>
        <v>355</v>
      </c>
      <c r="CK92" s="52">
        <f>'Income Statement'!CK68</f>
        <v>365</v>
      </c>
      <c r="CL92" s="52">
        <f>'Income Statement'!CL68</f>
        <v>383</v>
      </c>
      <c r="CM92" s="43">
        <f>SUM(CI92:CL92)</f>
        <v>1438</v>
      </c>
      <c r="CN92" s="52">
        <f>'Income Statement'!CN68</f>
        <v>454</v>
      </c>
      <c r="CO92" s="52">
        <f>'Income Statement'!CO68</f>
        <v>459</v>
      </c>
      <c r="CP92" s="52">
        <f>'Income Statement'!CP68</f>
        <v>416</v>
      </c>
      <c r="CQ92" s="52">
        <f>'Income Statement'!CQ68</f>
        <v>523</v>
      </c>
      <c r="CR92" s="43">
        <f>SUM(CN92:CQ92)</f>
        <v>1852</v>
      </c>
      <c r="CS92" s="52">
        <f>'Income Statement'!CS68</f>
        <v>776</v>
      </c>
      <c r="CT92" s="52">
        <f>'Income Statement'!CT68</f>
        <v>721</v>
      </c>
      <c r="CU92" s="52">
        <f>'Income Statement'!CU68</f>
        <v>696</v>
      </c>
      <c r="CV92" s="52">
        <f>'Income Statement'!CV68</f>
        <v>782</v>
      </c>
      <c r="CW92" s="43">
        <f>SUM(CS92:CV92)</f>
        <v>2975</v>
      </c>
      <c r="CX92" s="52">
        <f>'Income Statement'!CX68</f>
        <v>529</v>
      </c>
      <c r="CY92" s="52">
        <f>'Income Statement'!CY68</f>
        <v>728</v>
      </c>
      <c r="CZ92" s="52">
        <f>'Income Statement'!CZ68</f>
        <v>725</v>
      </c>
      <c r="DA92" s="52">
        <f>'Income Statement'!DA68</f>
        <v>691</v>
      </c>
      <c r="DB92" s="43">
        <f>SUM(CX92:DA92)</f>
        <v>2673</v>
      </c>
      <c r="DC92" s="52">
        <f>'Income Statement'!DC68</f>
        <v>204</v>
      </c>
      <c r="DD92" s="52">
        <f>'Income Statement'!DD68</f>
        <v>226</v>
      </c>
      <c r="DE92" s="52">
        <f>'Income Statement'!DE68</f>
        <v>219</v>
      </c>
      <c r="DF92" s="52">
        <f>'Income Statement'!DF68</f>
        <v>216</v>
      </c>
      <c r="DG92" s="43">
        <f>SUM(DC92:DF92)</f>
        <v>865</v>
      </c>
      <c r="DH92" s="52">
        <f>'Income Statement'!DH68</f>
        <v>212</v>
      </c>
      <c r="DI92" s="52">
        <f>'Income Statement'!DI68</f>
        <v>198</v>
      </c>
      <c r="DJ92" s="52">
        <f>DJ93*DI91</f>
        <v>873.44929161365451</v>
      </c>
      <c r="DK92" s="52">
        <f>DK93*DJ91</f>
        <v>877.92455850791214</v>
      </c>
      <c r="DL92" s="43">
        <f>SUM(DH92:DK92)</f>
        <v>2161.3738501215666</v>
      </c>
      <c r="DM92" s="52">
        <f>DM93*DL91</f>
        <v>882.42275519782834</v>
      </c>
      <c r="DN92" s="52">
        <f>DN93*DM91</f>
        <v>886.9439991681345</v>
      </c>
      <c r="DO92" s="52">
        <f>DO93*DN91</f>
        <v>891.48840850551494</v>
      </c>
      <c r="DP92" s="52">
        <f>DP93*DO91</f>
        <v>896.05610190169182</v>
      </c>
      <c r="DQ92" s="43">
        <f>SUM(DM92:DP92)</f>
        <v>3556.9112647731695</v>
      </c>
      <c r="DR92" s="52">
        <f>DR93*DQ91</f>
        <v>900.64719865652432</v>
      </c>
      <c r="DS92" s="52">
        <f>DS93*DR91</f>
        <v>905.26181868112474</v>
      </c>
      <c r="DT92" s="52">
        <f>DT93*DS91</f>
        <v>909.90008250099049</v>
      </c>
      <c r="DU92" s="52">
        <f>DU93*DT91</f>
        <v>914.56211125915218</v>
      </c>
      <c r="DV92" s="43">
        <f>SUM(DR92:DU92)</f>
        <v>3630.3712110977917</v>
      </c>
      <c r="DW92" s="52">
        <f>DW93*DV91</f>
        <v>919.24802671933742</v>
      </c>
      <c r="DX92" s="52">
        <f>DX93*DW91</f>
        <v>923.95795126915118</v>
      </c>
      <c r="DY92" s="52">
        <f>DY93*DX91</f>
        <v>928.69200792327217</v>
      </c>
      <c r="DZ92" s="52">
        <f>DZ93*DY91</f>
        <v>933.45032032666575</v>
      </c>
      <c r="EA92" s="43">
        <f>SUM(DW92:DZ92)</f>
        <v>3705.3483062384266</v>
      </c>
      <c r="EB92" s="52">
        <f>EB93*EA91</f>
        <v>938.23301275781353</v>
      </c>
      <c r="EC92" s="52">
        <f>EC93*EB91</f>
        <v>943.04021013195904</v>
      </c>
      <c r="ED92" s="52">
        <f>ED93*EC91</f>
        <v>947.87203800437101</v>
      </c>
      <c r="EE92" s="52">
        <f>EE93*ED91</f>
        <v>952.72862257362101</v>
      </c>
      <c r="EF92" s="43">
        <f>SUM(EB92:EE92)</f>
        <v>3781.8738834677647</v>
      </c>
    </row>
    <row r="93" spans="1:136" ht="12" customHeight="1" outlineLevel="1">
      <c r="A93" s="143" t="s">
        <v>73</v>
      </c>
      <c r="B93" s="158" t="e">
        <f>B92/#REF!*4</f>
        <v>#REF!</v>
      </c>
      <c r="C93" s="158" t="e">
        <f>C92/B91*4</f>
        <v>#DIV/0!</v>
      </c>
      <c r="D93" s="158" t="e">
        <f>D92/C91*4</f>
        <v>#DIV/0!</v>
      </c>
      <c r="E93" s="158" t="e">
        <f>E92/D91*4</f>
        <v>#DIV/0!</v>
      </c>
      <c r="F93" s="159" t="e">
        <f>F92/AVERAGE(F91,#REF!)</f>
        <v>#REF!</v>
      </c>
      <c r="G93" s="158" t="e">
        <f>G92/E91*4</f>
        <v>#DIV/0!</v>
      </c>
      <c r="H93" s="158" t="e">
        <f>H92/G91*4</f>
        <v>#DIV/0!</v>
      </c>
      <c r="I93" s="158" t="e">
        <f>I92/H91*4</f>
        <v>#DIV/0!</v>
      </c>
      <c r="J93" s="158" t="e">
        <f>J92/I91*4</f>
        <v>#DIV/0!</v>
      </c>
      <c r="K93" s="159" t="e">
        <f>K92/AVERAGE(K91,F91)</f>
        <v>#DIV/0!</v>
      </c>
      <c r="L93" s="158" t="e">
        <f>L92/J91*4</f>
        <v>#DIV/0!</v>
      </c>
      <c r="M93" s="158" t="e">
        <f>M92/L91*4</f>
        <v>#DIV/0!</v>
      </c>
      <c r="N93" s="158" t="e">
        <f>N92/M91*4</f>
        <v>#DIV/0!</v>
      </c>
      <c r="O93" s="158" t="e">
        <f>O92/N91*4</f>
        <v>#DIV/0!</v>
      </c>
      <c r="P93" s="159" t="e">
        <f>P92/AVERAGE(P91,K91)</f>
        <v>#DIV/0!</v>
      </c>
      <c r="Q93" s="158" t="e">
        <f>Q92/O91*4</f>
        <v>#DIV/0!</v>
      </c>
      <c r="R93" s="158" t="e">
        <f>R92/Q91*4</f>
        <v>#DIV/0!</v>
      </c>
      <c r="S93" s="158" t="e">
        <f>S92/R91*4</f>
        <v>#DIV/0!</v>
      </c>
      <c r="T93" s="158" t="e">
        <f>T92/S91*4</f>
        <v>#DIV/0!</v>
      </c>
      <c r="U93" s="159" t="e">
        <f>U92/AVERAGE(U91,P91)</f>
        <v>#DIV/0!</v>
      </c>
      <c r="V93" s="158" t="e">
        <f>V92/T91*4</f>
        <v>#DIV/0!</v>
      </c>
      <c r="W93" s="158" t="e">
        <f>W92/V91*4</f>
        <v>#DIV/0!</v>
      </c>
      <c r="X93" s="158" t="e">
        <f>X92/W91*4</f>
        <v>#DIV/0!</v>
      </c>
      <c r="Y93" s="158" t="e">
        <f>Y92/X91*4</f>
        <v>#DIV/0!</v>
      </c>
      <c r="Z93" s="159" t="e">
        <f>Z92/AVERAGE(Z91,U91)</f>
        <v>#DIV/0!</v>
      </c>
      <c r="AA93" s="158" t="e">
        <f>AA92/Y91*4</f>
        <v>#DIV/0!</v>
      </c>
      <c r="AB93" s="158" t="e">
        <f>AB92/AA91*4</f>
        <v>#DIV/0!</v>
      </c>
      <c r="AC93" s="158" t="e">
        <f>AC92/AB91*4</f>
        <v>#DIV/0!</v>
      </c>
      <c r="AD93" s="158" t="e">
        <f>AD92/AC91*4</f>
        <v>#DIV/0!</v>
      </c>
      <c r="AE93" s="159" t="e">
        <f>AE92/AVERAGE(AE91,Z91)</f>
        <v>#DIV/0!</v>
      </c>
      <c r="AF93" s="158" t="e">
        <f>AF92/AE91*4</f>
        <v>#DIV/0!</v>
      </c>
      <c r="AG93" s="158" t="e">
        <f>AG92/AF91*4</f>
        <v>#DIV/0!</v>
      </c>
      <c r="AH93" s="158" t="e">
        <f>AH92/AG91*4</f>
        <v>#DIV/0!</v>
      </c>
      <c r="AI93" s="158" t="e">
        <f>AI92/AH91*4</f>
        <v>#DIV/0!</v>
      </c>
      <c r="AJ93" s="159">
        <f>AJ92/AVERAGE(AJ91,AE91)</f>
        <v>0</v>
      </c>
      <c r="AK93" s="158">
        <f>AK92/AJ91*4</f>
        <v>0</v>
      </c>
      <c r="AL93" s="158" t="e">
        <f>AL92/AK91*4</f>
        <v>#DIV/0!</v>
      </c>
      <c r="AM93" s="158" t="e">
        <f>AM92/AL91*4</f>
        <v>#DIV/0!</v>
      </c>
      <c r="AN93" s="158" t="e">
        <f>AN92/AM91*4</f>
        <v>#DIV/0!</v>
      </c>
      <c r="AO93" s="159">
        <f>AO92/AVERAGE(AO91,AJ91)</f>
        <v>0</v>
      </c>
      <c r="AP93" s="158">
        <f>AP92/AO91*4</f>
        <v>0</v>
      </c>
      <c r="AQ93" s="158" t="e">
        <f>AQ92/AP91*4</f>
        <v>#DIV/0!</v>
      </c>
      <c r="AR93" s="158" t="e">
        <f>AR92/AQ91*4</f>
        <v>#DIV/0!</v>
      </c>
      <c r="AS93" s="158" t="e">
        <f>AS92/AR91*4</f>
        <v>#DIV/0!</v>
      </c>
      <c r="AT93" s="159">
        <f>AT92/AVERAGE(AT91,AO91)</f>
        <v>0</v>
      </c>
      <c r="AU93" s="158">
        <f>AU92/AT91*4</f>
        <v>0</v>
      </c>
      <c r="AV93" s="158" t="e">
        <f>AV92/AU91*4</f>
        <v>#DIV/0!</v>
      </c>
      <c r="AW93" s="158" t="e">
        <f>AW92/AV91*4</f>
        <v>#DIV/0!</v>
      </c>
      <c r="AX93" s="158" t="e">
        <f>AX92/AW91*4</f>
        <v>#DIV/0!</v>
      </c>
      <c r="AY93" s="159">
        <f>AY92/AVERAGE(AY91,AT91)</f>
        <v>0</v>
      </c>
      <c r="AZ93" s="158">
        <f>AZ92/AY91*4</f>
        <v>0</v>
      </c>
      <c r="BA93" s="158" t="e">
        <f>BA92/AZ91*4</f>
        <v>#DIV/0!</v>
      </c>
      <c r="BB93" s="158" t="e">
        <f>BB92/BA91*4</f>
        <v>#DIV/0!</v>
      </c>
      <c r="BC93" s="158" t="e">
        <f>BC92/BB91*4</f>
        <v>#DIV/0!</v>
      </c>
      <c r="BD93" s="159">
        <f>BD92/AVERAGE(BD91,AY91)</f>
        <v>0.7226202661207779</v>
      </c>
      <c r="BE93" s="158">
        <f>BE92/BD91*4</f>
        <v>0</v>
      </c>
      <c r="BF93" s="158" t="e">
        <f>BF92/BE91*4</f>
        <v>#DIV/0!</v>
      </c>
      <c r="BG93" s="158" t="e">
        <f>BG92/BF91*4</f>
        <v>#DIV/0!</v>
      </c>
      <c r="BH93" s="158" t="e">
        <f>BH92/BG91*4</f>
        <v>#DIV/0!</v>
      </c>
      <c r="BI93" s="159">
        <f>BI92/AVERAGE(BI91,BD91)</f>
        <v>0.41038138174728889</v>
      </c>
      <c r="BJ93" s="158">
        <f>BJ92/BI91*4</f>
        <v>0</v>
      </c>
      <c r="BK93" s="158" t="e">
        <f>BK92/BJ91*4</f>
        <v>#DIV/0!</v>
      </c>
      <c r="BL93" s="158" t="e">
        <f>BL92/BK91*4</f>
        <v>#DIV/0!</v>
      </c>
      <c r="BM93" s="158" t="e">
        <f>BM92/BL91*4</f>
        <v>#DIV/0!</v>
      </c>
      <c r="BN93" s="159">
        <f>BN92/AVERAGE(BN91,BI91)</f>
        <v>0.58610363903974017</v>
      </c>
      <c r="BO93" s="158">
        <f>BO92/BN91*4</f>
        <v>0</v>
      </c>
      <c r="BP93" s="158" t="e">
        <f>BP92/BO91*4</f>
        <v>#DIV/0!</v>
      </c>
      <c r="BQ93" s="158" t="e">
        <f>BQ92/BP91*4</f>
        <v>#DIV/0!</v>
      </c>
      <c r="BR93" s="158" t="e">
        <f>BR92/BQ91*4</f>
        <v>#DIV/0!</v>
      </c>
      <c r="BS93" s="159">
        <f>BS92/AVERAGE(BS91,BN91)</f>
        <v>0.84403773371744906</v>
      </c>
      <c r="BT93" s="158">
        <f>BT92/BS91*4</f>
        <v>0</v>
      </c>
      <c r="BU93" s="158" t="e">
        <f>BU92/BT91*4</f>
        <v>#DIV/0!</v>
      </c>
      <c r="BV93" s="158" t="e">
        <f>BV92/BU91*4</f>
        <v>#DIV/0!</v>
      </c>
      <c r="BW93" s="158" t="e">
        <f>BW92/BV91*4</f>
        <v>#DIV/0!</v>
      </c>
      <c r="BX93" s="159">
        <f>BX92/AVERAGE(BX91,BS91)</f>
        <v>0.50386231196639109</v>
      </c>
      <c r="BY93" s="158">
        <f>BY92/BX91*4</f>
        <v>1.0744711677774559</v>
      </c>
      <c r="BZ93" s="158" t="e">
        <f>BZ92/BY91*4</f>
        <v>#DIV/0!</v>
      </c>
      <c r="CA93" s="158" t="e">
        <f>CA92/BZ91*4</f>
        <v>#DIV/0!</v>
      </c>
      <c r="CB93" s="158" t="e">
        <f>CB92/CA91*4</f>
        <v>#DIV/0!</v>
      </c>
      <c r="CC93" s="159">
        <f>CC92/AVERAGE(CC91,BX91)</f>
        <v>0.1219576579906024</v>
      </c>
      <c r="CD93" s="158">
        <f>CD92/CC91*4</f>
        <v>0.97184151507600303</v>
      </c>
      <c r="CE93" s="158">
        <f>CE92/CD91*4</f>
        <v>0.10004073319755601</v>
      </c>
      <c r="CF93" s="158">
        <f>CF92/CE91*4</f>
        <v>0.11343329966591563</v>
      </c>
      <c r="CG93" s="158">
        <f>CG92/CF91*4</f>
        <v>-0.59923551896501026</v>
      </c>
      <c r="CH93" s="159">
        <f>CH92/AVERAGE(CH91,CC91)</f>
        <v>0.11674404672757226</v>
      </c>
      <c r="CI93" s="158">
        <f>CI92/CH91*4</f>
        <v>9.134910355170768E-2</v>
      </c>
      <c r="CJ93" s="158">
        <f>CJ92/CI91*4</f>
        <v>7.0258769976745336E-2</v>
      </c>
      <c r="CK93" s="158">
        <f>CK92/CJ91*4</f>
        <v>6.1945776231490515E-2</v>
      </c>
      <c r="CL93" s="158">
        <f>CL92/CK91*4</f>
        <v>5.9892880878845929E-2</v>
      </c>
      <c r="CM93" s="159">
        <f>CM92/AVERAGE(CM91,CH91)</f>
        <v>7.1128258396399066E-2</v>
      </c>
      <c r="CN93" s="158">
        <f>CN92/CM91*4</f>
        <v>7.0483213661944502E-2</v>
      </c>
      <c r="CO93" s="158">
        <f>CO92/CN91*4</f>
        <v>7.5462392108508011E-2</v>
      </c>
      <c r="CP93" s="158">
        <f>CP92/CO91*4</f>
        <v>7.3925985161490959E-2</v>
      </c>
      <c r="CQ93" s="158">
        <f>CQ92/CP91*4</f>
        <v>9.422150159888304E-2</v>
      </c>
      <c r="CR93" s="159">
        <f>CR92/AVERAGE(CR91,CM91)</f>
        <v>7.6063742401839982E-2</v>
      </c>
      <c r="CS93" s="158">
        <f>CS92/CR91*4</f>
        <v>0.13536260956783394</v>
      </c>
      <c r="CT93" s="158">
        <f>CT92/CS91*4</f>
        <v>9.2730137294620749E-2</v>
      </c>
      <c r="CU93" s="158">
        <f>CU92/CT91*4</f>
        <v>8.3621181629772029E-2</v>
      </c>
      <c r="CV93" s="158">
        <f>CV92/CU91*4</f>
        <v>9.3996033415469679E-2</v>
      </c>
      <c r="CW93" s="159">
        <f>CW92/AVERAGE(CW91,CR91)</f>
        <v>0.10342969388287239</v>
      </c>
      <c r="CX93" s="158">
        <f>CX92/CW91*4</f>
        <v>6.1163140247427451E-2</v>
      </c>
      <c r="CY93" s="158">
        <f>CY92/CX91*4</f>
        <v>7.9012345679012344E-2</v>
      </c>
      <c r="CZ93" s="158">
        <f>CZ92/CY91*4</f>
        <v>7.8034604310739178E-2</v>
      </c>
      <c r="DA93" s="158">
        <f>DA92/CZ91*4</f>
        <v>6.9436768326382958E-2</v>
      </c>
      <c r="DB93" s="159">
        <f>DB92/AVERAGE(DB91,CW91)</f>
        <v>7.0160242529233433E-2</v>
      </c>
      <c r="DC93" s="158">
        <f>DC92/DB91*4</f>
        <v>1.9614913103050406E-2</v>
      </c>
      <c r="DD93" s="158">
        <f>DD92/DC91*4</f>
        <v>2.1583420876707095E-2</v>
      </c>
      <c r="DE93" s="158">
        <f>DE92/DD91*4</f>
        <v>2.1689073757706307E-2</v>
      </c>
      <c r="DF93" s="158">
        <f>DF92/DE91*4</f>
        <v>2.1326487794041418E-2</v>
      </c>
      <c r="DG93" s="159">
        <f>DG92/AVERAGE(DG91,DB91)</f>
        <v>2.0892710497077437E-2</v>
      </c>
      <c r="DH93" s="158">
        <f>DH92/DG91*4</f>
        <v>2.0581025653471835E-2</v>
      </c>
      <c r="DI93" s="158">
        <f>DI92/DH91*4</f>
        <v>1.7078903672395576E-2</v>
      </c>
      <c r="DJ93" s="160">
        <f>DI93</f>
        <v>1.7078903672395576E-2</v>
      </c>
      <c r="DK93" s="160">
        <f>DJ93</f>
        <v>1.7078903672395576E-2</v>
      </c>
      <c r="DL93" s="159">
        <f>DL92/AVERAGE(DL91,DG91)</f>
        <v>4.6546016109272809E-2</v>
      </c>
      <c r="DM93" s="160">
        <f>DK93</f>
        <v>1.7078903672395576E-2</v>
      </c>
      <c r="DN93" s="160">
        <f>DM93</f>
        <v>1.7078903672395576E-2</v>
      </c>
      <c r="DO93" s="160">
        <f>DN93</f>
        <v>1.7078903672395576E-2</v>
      </c>
      <c r="DP93" s="160">
        <f>DO93</f>
        <v>1.7078903672395576E-2</v>
      </c>
      <c r="DQ93" s="159">
        <f>DQ92/AVERAGE(DQ91,DL91)</f>
        <v>6.8138823977157092E-2</v>
      </c>
      <c r="DR93" s="160">
        <f>DP93</f>
        <v>1.7078903672395576E-2</v>
      </c>
      <c r="DS93" s="160">
        <f>DR93</f>
        <v>1.7078903672395576E-2</v>
      </c>
      <c r="DT93" s="160">
        <f>DS93</f>
        <v>1.7078903672395576E-2</v>
      </c>
      <c r="DU93" s="160">
        <f>DT93</f>
        <v>1.7078903672395576E-2</v>
      </c>
      <c r="DV93" s="159">
        <f>DV92/AVERAGE(DV91,DQ91)</f>
        <v>6.8138823977157106E-2</v>
      </c>
      <c r="DW93" s="160">
        <f>DU93</f>
        <v>1.7078903672395576E-2</v>
      </c>
      <c r="DX93" s="160">
        <f>DW93</f>
        <v>1.7078903672395576E-2</v>
      </c>
      <c r="DY93" s="160">
        <f>DX93</f>
        <v>1.7078903672395576E-2</v>
      </c>
      <c r="DZ93" s="160">
        <f>DY93</f>
        <v>1.7078903672395576E-2</v>
      </c>
      <c r="EA93" s="159">
        <f>EA92/AVERAGE(EA91,DV91)</f>
        <v>6.8138823977157092E-2</v>
      </c>
      <c r="EB93" s="160">
        <f>DZ93</f>
        <v>1.7078903672395576E-2</v>
      </c>
      <c r="EC93" s="160">
        <f>EB93</f>
        <v>1.7078903672395576E-2</v>
      </c>
      <c r="ED93" s="160">
        <f>EC93</f>
        <v>1.7078903672395576E-2</v>
      </c>
      <c r="EE93" s="160">
        <f>ED93</f>
        <v>1.7078903672395576E-2</v>
      </c>
      <c r="EF93" s="159">
        <f>EF92/AVERAGE(EF91,EA91)</f>
        <v>6.8138823977157106E-2</v>
      </c>
    </row>
    <row r="94" spans="1:136" ht="12" customHeight="1" outlineLevel="1">
      <c r="AJ94" s="2">
        <f>SUM(AF94:AI94)</f>
        <v>0</v>
      </c>
      <c r="AO94" s="2">
        <f>SUM(AK94:AN94)</f>
        <v>0</v>
      </c>
      <c r="AT94" s="2">
        <f>SUM(AP94:AS94)</f>
        <v>0</v>
      </c>
      <c r="AY94" s="2">
        <f>SUM(AU94:AX94)</f>
        <v>0</v>
      </c>
      <c r="BD94" s="2">
        <f>SUM(AZ94:BC94)</f>
        <v>0</v>
      </c>
      <c r="BI94" s="2">
        <f>SUM(BE94:BH94)</f>
        <v>0</v>
      </c>
      <c r="BN94" s="2">
        <f>SUM(BJ94:BM94)</f>
        <v>0</v>
      </c>
      <c r="BS94" s="2">
        <f>SUM(BO94:BR94)</f>
        <v>0</v>
      </c>
      <c r="BX94" s="2">
        <f>SUM(BT94:BW94)</f>
        <v>0</v>
      </c>
      <c r="CC94" s="2">
        <f>SUM(BY94:CB94)</f>
        <v>0</v>
      </c>
      <c r="CH94" s="2">
        <f>SUM(CD94:CG94)</f>
        <v>0</v>
      </c>
      <c r="CM94" s="2">
        <f>SUM(CI94:CL94)</f>
        <v>0</v>
      </c>
      <c r="CR94" s="2">
        <f>SUM(CN94:CQ94)</f>
        <v>0</v>
      </c>
      <c r="CW94" s="2">
        <f>SUM(CS94:CV94)</f>
        <v>0</v>
      </c>
      <c r="DB94" s="2">
        <f>SUM(CX94:DA94)</f>
        <v>0</v>
      </c>
      <c r="DG94" s="2">
        <f>SUM(DC94:DF94)</f>
        <v>0</v>
      </c>
      <c r="DJ94" s="1">
        <f>DI94</f>
        <v>0</v>
      </c>
      <c r="DL94" s="2">
        <f>SUM(DH94:DK94)</f>
        <v>0</v>
      </c>
      <c r="DO94" s="1">
        <f>DN94</f>
        <v>0</v>
      </c>
      <c r="DQ94" s="2">
        <f>SUM(DM94:DP94)</f>
        <v>0</v>
      </c>
      <c r="DT94" s="1">
        <f>DS94</f>
        <v>0</v>
      </c>
      <c r="DV94" s="2">
        <f>SUM(DR94:DU94)</f>
        <v>0</v>
      </c>
      <c r="DY94" s="1">
        <f>DX94</f>
        <v>0</v>
      </c>
      <c r="EA94" s="2">
        <f>SUM(DW94:DZ94)</f>
        <v>0</v>
      </c>
      <c r="ED94" s="1">
        <f>EC94</f>
        <v>0</v>
      </c>
      <c r="EF94" s="2">
        <f>SUM(EB94:EE94)</f>
        <v>0</v>
      </c>
    </row>
    <row r="95" spans="1:136" s="3" customFormat="1" ht="12" customHeight="1" outlineLevel="1">
      <c r="A95" s="3" t="s">
        <v>10</v>
      </c>
      <c r="B95" s="162" t="e">
        <f>B22-#REF!+B92</f>
        <v>#REF!</v>
      </c>
      <c r="C95" s="162">
        <f>C22-B22+C92</f>
        <v>0</v>
      </c>
      <c r="D95" s="162">
        <f>D22-C22+D92</f>
        <v>0</v>
      </c>
      <c r="E95" s="162">
        <f>E22-D22+E92</f>
        <v>0</v>
      </c>
      <c r="F95" s="163" t="e">
        <f>SUM(B95:E95)</f>
        <v>#REF!</v>
      </c>
      <c r="G95" s="162">
        <f>G22-E22+G92</f>
        <v>0</v>
      </c>
      <c r="H95" s="162">
        <f>H22-G22+H92</f>
        <v>0</v>
      </c>
      <c r="I95" s="162">
        <f>I22-H22+I92</f>
        <v>0</v>
      </c>
      <c r="J95" s="162">
        <f>J22-I22+J92</f>
        <v>0</v>
      </c>
      <c r="K95" s="163">
        <f>SUM(G95:J95)</f>
        <v>0</v>
      </c>
      <c r="L95" s="162">
        <f>L22-J22+L92</f>
        <v>0</v>
      </c>
      <c r="M95" s="162">
        <f>M22-L22+M92</f>
        <v>0</v>
      </c>
      <c r="N95" s="162">
        <f>N22-M22+N92</f>
        <v>0</v>
      </c>
      <c r="O95" s="162">
        <f>O22-N22+O92</f>
        <v>0</v>
      </c>
      <c r="P95" s="163">
        <f>SUM(L95:O95)</f>
        <v>0</v>
      </c>
      <c r="Q95" s="162">
        <f>Q22-O22+Q92</f>
        <v>0</v>
      </c>
      <c r="R95" s="162">
        <f>R22-Q22+R92</f>
        <v>0</v>
      </c>
      <c r="S95" s="162">
        <f>S22-R22+S92</f>
        <v>0</v>
      </c>
      <c r="T95" s="162">
        <f>T22-S22+T92</f>
        <v>0</v>
      </c>
      <c r="U95" s="163">
        <f>SUM(Q95:T95)</f>
        <v>0</v>
      </c>
      <c r="V95" s="162">
        <f>V22-T22+V92</f>
        <v>0</v>
      </c>
      <c r="W95" s="162">
        <f>W22-V22+W92</f>
        <v>0</v>
      </c>
      <c r="X95" s="162">
        <f>X22-W22+X92</f>
        <v>0</v>
      </c>
      <c r="Y95" s="162">
        <f>Y22-X22+Y92</f>
        <v>0</v>
      </c>
      <c r="Z95" s="163">
        <f>SUM(V95:Y95)</f>
        <v>0</v>
      </c>
      <c r="AA95" s="162">
        <f>AA22-Y22+AA92</f>
        <v>0</v>
      </c>
      <c r="AB95" s="162">
        <f>AB22-AA22+AB92</f>
        <v>0</v>
      </c>
      <c r="AC95" s="162">
        <f>AC22-AB22+AC92</f>
        <v>0</v>
      </c>
      <c r="AD95" s="162">
        <f>AD22-AC22+AD92</f>
        <v>0</v>
      </c>
      <c r="AE95" s="163">
        <f>SUM(AA95:AD95)</f>
        <v>0</v>
      </c>
      <c r="AF95" s="162">
        <f>AF22-AE22+AF92</f>
        <v>0</v>
      </c>
      <c r="AG95" s="162">
        <f>AG22-AF22+AG92</f>
        <v>0</v>
      </c>
      <c r="AH95" s="162">
        <f>AH22-AG22+AH92</f>
        <v>0</v>
      </c>
      <c r="AI95" s="162">
        <f>AI22-AH22+AI92</f>
        <v>4925.0249999999996</v>
      </c>
      <c r="AJ95" s="163">
        <f>SUM(AF95:AI95)</f>
        <v>4925.0249999999996</v>
      </c>
      <c r="AK95" s="162">
        <f>AK22-AJ22+AK92</f>
        <v>-4925.0249999999996</v>
      </c>
      <c r="AL95" s="162">
        <f>AL22-AK22+AL92</f>
        <v>0</v>
      </c>
      <c r="AM95" s="162">
        <f>AM22-AL22+AM92</f>
        <v>0</v>
      </c>
      <c r="AN95" s="162">
        <f>AN22-AM22+AN92</f>
        <v>6957.473</v>
      </c>
      <c r="AO95" s="163">
        <f>SUM(AK95:AN95)</f>
        <v>2032.4480000000003</v>
      </c>
      <c r="AP95" s="162">
        <f>AP22-AO22+AP92</f>
        <v>-6957.473</v>
      </c>
      <c r="AQ95" s="162">
        <f>AQ22-AP22+AQ92</f>
        <v>0</v>
      </c>
      <c r="AR95" s="162">
        <f>AR22-AQ22+AR92</f>
        <v>0</v>
      </c>
      <c r="AS95" s="162">
        <f>AS22-AR22+AS92</f>
        <v>8468.4410000000007</v>
      </c>
      <c r="AT95" s="163">
        <f>SUM(AP95:AS95)</f>
        <v>1510.9680000000008</v>
      </c>
      <c r="AU95" s="162">
        <f>AU22-AT22+AU92</f>
        <v>-8468.4410000000007</v>
      </c>
      <c r="AV95" s="162">
        <f>AV22-AU22+AV92</f>
        <v>0</v>
      </c>
      <c r="AW95" s="162">
        <f>AW22-AV22+AW92</f>
        <v>0</v>
      </c>
      <c r="AX95" s="162">
        <f>AX22-AW22+AX92</f>
        <v>7120</v>
      </c>
      <c r="AY95" s="163">
        <f>SUM(AU95:AX95)</f>
        <v>-1348.4410000000007</v>
      </c>
      <c r="AZ95" s="162">
        <f>AZ22-AY22+AZ92</f>
        <v>-7120</v>
      </c>
      <c r="BA95" s="162">
        <f>BA22-AZ22+BA92</f>
        <v>0</v>
      </c>
      <c r="BB95" s="162">
        <f>BB22-BA22+BB92</f>
        <v>0</v>
      </c>
      <c r="BC95" s="162">
        <f>BC22-BB22+BC92</f>
        <v>11500</v>
      </c>
      <c r="BD95" s="163">
        <f>SUM(AZ95:BC95)</f>
        <v>4380</v>
      </c>
      <c r="BE95" s="162">
        <f>BE22-BD22+BE92</f>
        <v>-6558</v>
      </c>
      <c r="BF95" s="162">
        <f>BF22-BE22+BF92</f>
        <v>0</v>
      </c>
      <c r="BG95" s="162">
        <f>BG22-BF22+BG92</f>
        <v>0</v>
      </c>
      <c r="BH95" s="162">
        <f>BH22-BG22+BH92</f>
        <v>13224</v>
      </c>
      <c r="BI95" s="163">
        <f>SUM(BE95:BH95)</f>
        <v>6666</v>
      </c>
      <c r="BJ95" s="162">
        <f>BJ22-BI22+BJ92</f>
        <v>-9856</v>
      </c>
      <c r="BK95" s="162">
        <f>BK22-BJ22+BK92</f>
        <v>0</v>
      </c>
      <c r="BL95" s="162">
        <f>BL22-BK22+BL92</f>
        <v>0</v>
      </c>
      <c r="BM95" s="162">
        <f>BM22-BL22+BM92</f>
        <v>15621</v>
      </c>
      <c r="BN95" s="163">
        <f>SUM(BJ95:BM95)</f>
        <v>5765</v>
      </c>
      <c r="BO95" s="162">
        <f>BO22-BN22+BO92</f>
        <v>-9847</v>
      </c>
      <c r="BP95" s="162">
        <f>BP22-BO22+BP92</f>
        <v>0</v>
      </c>
      <c r="BQ95" s="162">
        <f>BQ22-BP22+BQ92</f>
        <v>0</v>
      </c>
      <c r="BR95" s="162">
        <f>BR22-BQ22+BR92</f>
        <v>15327</v>
      </c>
      <c r="BS95" s="163">
        <f>SUM(BO95:BR95)</f>
        <v>5480</v>
      </c>
      <c r="BT95" s="162">
        <f>BT22-BS22+BT92</f>
        <v>-7856</v>
      </c>
      <c r="BU95" s="162">
        <f>BU22-BT22+BU92</f>
        <v>0</v>
      </c>
      <c r="BV95" s="162">
        <f>BV22-BU22+BV92</f>
        <v>0</v>
      </c>
      <c r="BW95" s="162">
        <f>BW22-BV22+BW92</f>
        <v>10620</v>
      </c>
      <c r="BX95" s="163">
        <f>SUM(BT95:BW95)</f>
        <v>2764</v>
      </c>
      <c r="BY95" s="162">
        <f>BY22-BX22+BY92</f>
        <v>-5048</v>
      </c>
      <c r="BZ95" s="162">
        <f>BZ22-BY22+BZ92</f>
        <v>179</v>
      </c>
      <c r="CA95" s="162">
        <f>CA22-BZ22+CA92</f>
        <v>399</v>
      </c>
      <c r="CB95" s="162">
        <f>CB22-CA22+CB92</f>
        <v>10762</v>
      </c>
      <c r="CC95" s="163">
        <f>SUM(BY95:CB95)</f>
        <v>6292</v>
      </c>
      <c r="CD95" s="162">
        <f>CD22-CC22+CD92</f>
        <v>3161</v>
      </c>
      <c r="CE95" s="162">
        <f>CE22-CD22+CE92</f>
        <v>903</v>
      </c>
      <c r="CF95" s="162">
        <f>CF22-CE22+CF92</f>
        <v>1098</v>
      </c>
      <c r="CG95" s="162">
        <f>CG22-CF22+CG92</f>
        <v>-973</v>
      </c>
      <c r="CH95" s="163">
        <f>SUM(CD95:CG95)</f>
        <v>4189</v>
      </c>
      <c r="CI95" s="162">
        <f>CI22-CH22+CI92</f>
        <v>5877</v>
      </c>
      <c r="CJ95" s="162">
        <f>CJ22-CI22+CJ92</f>
        <v>3713</v>
      </c>
      <c r="CK95" s="162">
        <f>CK22-CJ22+CK92</f>
        <v>2375</v>
      </c>
      <c r="CL95" s="162">
        <f>CL22-CK22+CL92</f>
        <v>569</v>
      </c>
      <c r="CM95" s="163">
        <f>SUM(CI95:CL95)</f>
        <v>12534</v>
      </c>
      <c r="CN95" s="162">
        <f>CN22-CM22+CN92</f>
        <v>-981</v>
      </c>
      <c r="CO95" s="162">
        <f>CO22-CN22+CO92</f>
        <v>-1362</v>
      </c>
      <c r="CP95" s="162">
        <f>CP22-CO22+CP92</f>
        <v>110</v>
      </c>
      <c r="CQ95" s="162">
        <f>CQ22-CP22+CQ92</f>
        <v>1251</v>
      </c>
      <c r="CR95" s="163">
        <f>SUM(CN95:CQ95)</f>
        <v>-982</v>
      </c>
      <c r="CS95" s="162">
        <f>CS22-CR22+CS92</f>
        <v>8946</v>
      </c>
      <c r="CT95" s="162">
        <f>CT22-CS22+CT92</f>
        <v>2913</v>
      </c>
      <c r="CU95" s="162">
        <f>CU22-CT22+CU92</f>
        <v>681</v>
      </c>
      <c r="CV95" s="162">
        <f>CV22-CU22+CV92</f>
        <v>2100</v>
      </c>
      <c r="CW95" s="163">
        <f>SUM(CS95:CV95)</f>
        <v>14640</v>
      </c>
      <c r="CX95" s="162">
        <f>CX22-CW22+CX92</f>
        <v>2788</v>
      </c>
      <c r="CY95" s="162">
        <f>CY22-CX22+CY92</f>
        <v>1036</v>
      </c>
      <c r="CZ95" s="162">
        <f>CZ22-CY22+CZ92</f>
        <v>3368</v>
      </c>
      <c r="DA95" s="162">
        <f>DA22-CZ22+DA92</f>
        <v>2486</v>
      </c>
      <c r="DB95" s="163">
        <f>SUM(CX95:DA95)</f>
        <v>9678</v>
      </c>
      <c r="DC95" s="162">
        <f>DC22-DB22+DC92</f>
        <v>487</v>
      </c>
      <c r="DD95" s="162">
        <f>DD22-DC22+DD92</f>
        <v>-1269</v>
      </c>
      <c r="DE95" s="162">
        <f>DE22-DD22+DE92</f>
        <v>343</v>
      </c>
      <c r="DF95" s="162">
        <f>DF22-DE22+DF92</f>
        <v>906</v>
      </c>
      <c r="DG95" s="163">
        <f>SUM(DC95:DF95)</f>
        <v>467</v>
      </c>
      <c r="DH95" s="162">
        <f>DH22-DG22+DH92</f>
        <v>5382</v>
      </c>
      <c r="DI95" s="162">
        <f>DI22-DH22+DI92</f>
        <v>4967</v>
      </c>
      <c r="DJ95" s="162">
        <f>DJ92*1.3</f>
        <v>1135.484079097751</v>
      </c>
      <c r="DK95" s="162">
        <f>DK92*1.3</f>
        <v>1141.3019260602857</v>
      </c>
      <c r="DL95" s="163">
        <f>SUM(DH95:DK95)</f>
        <v>12625.786005158036</v>
      </c>
      <c r="DM95" s="162">
        <f>DM92*1.3</f>
        <v>1147.149581757177</v>
      </c>
      <c r="DN95" s="162">
        <f>DN92*1.3</f>
        <v>1153.0271989185749</v>
      </c>
      <c r="DO95" s="162">
        <f>DO92*1.3</f>
        <v>1158.9349310571695</v>
      </c>
      <c r="DP95" s="162">
        <f>DP92*1.3</f>
        <v>1164.8729324721994</v>
      </c>
      <c r="DQ95" s="163">
        <f>SUM(DM95:DP95)</f>
        <v>4623.9846442051203</v>
      </c>
      <c r="DR95" s="162">
        <f>DR92*1.3</f>
        <v>1170.8413582534818</v>
      </c>
      <c r="DS95" s="162">
        <f>DS92*1.3</f>
        <v>1176.8403642854621</v>
      </c>
      <c r="DT95" s="162">
        <f>DT92*1.3</f>
        <v>1182.8701072512877</v>
      </c>
      <c r="DU95" s="162">
        <f>DU92*1.3</f>
        <v>1188.9307446368978</v>
      </c>
      <c r="DV95" s="163">
        <f>SUM(DR95:DU95)</f>
        <v>4719.4825744271293</v>
      </c>
      <c r="DW95" s="162">
        <f>DW92*1.3</f>
        <v>1195.0224347351386</v>
      </c>
      <c r="DX95" s="162">
        <f>DX92*1.3</f>
        <v>1201.1453366498965</v>
      </c>
      <c r="DY95" s="162">
        <f>DY92*1.3</f>
        <v>1207.2996103002538</v>
      </c>
      <c r="DZ95" s="162">
        <f>DZ92*1.3</f>
        <v>1213.4854164246656</v>
      </c>
      <c r="EA95" s="163">
        <f>SUM(DW95:DZ95)</f>
        <v>4816.9527981099545</v>
      </c>
      <c r="EB95" s="162">
        <f>EB92*1.3</f>
        <v>1219.7029165851577</v>
      </c>
      <c r="EC95" s="162">
        <f>EC92*1.3</f>
        <v>1225.9522731715467</v>
      </c>
      <c r="ED95" s="162">
        <f>ED92*1.3</f>
        <v>1232.2336494056824</v>
      </c>
      <c r="EE95" s="162">
        <f>EE92*1.3</f>
        <v>1238.5472093457074</v>
      </c>
      <c r="EF95" s="163">
        <f>SUM(EB95:EE95)</f>
        <v>4916.4360485080942</v>
      </c>
    </row>
    <row r="96" spans="1:136" ht="12" customHeight="1" outlineLevel="1"/>
    <row r="97" spans="1:136" ht="12" customHeight="1" outlineLevel="1">
      <c r="A97" s="3" t="s">
        <v>107</v>
      </c>
      <c r="B97" s="162">
        <f t="shared" ref="B97:K97" si="232">B17</f>
        <v>0</v>
      </c>
      <c r="C97" s="162">
        <f t="shared" si="232"/>
        <v>0</v>
      </c>
      <c r="D97" s="162">
        <f t="shared" si="232"/>
        <v>0</v>
      </c>
      <c r="E97" s="162">
        <f t="shared" si="232"/>
        <v>0</v>
      </c>
      <c r="F97" s="163">
        <f t="shared" si="232"/>
        <v>0</v>
      </c>
      <c r="G97" s="162">
        <f t="shared" si="232"/>
        <v>0</v>
      </c>
      <c r="H97" s="162">
        <f t="shared" si="232"/>
        <v>0</v>
      </c>
      <c r="I97" s="162">
        <f t="shared" si="232"/>
        <v>0</v>
      </c>
      <c r="J97" s="162">
        <f t="shared" si="232"/>
        <v>0</v>
      </c>
      <c r="K97" s="163">
        <f t="shared" si="232"/>
        <v>0</v>
      </c>
      <c r="L97" s="162">
        <f t="shared" ref="L97:BN97" si="233">L17</f>
        <v>0</v>
      </c>
      <c r="M97" s="162">
        <f t="shared" si="233"/>
        <v>0</v>
      </c>
      <c r="N97" s="162">
        <f t="shared" si="233"/>
        <v>0</v>
      </c>
      <c r="O97" s="162">
        <f t="shared" si="233"/>
        <v>0</v>
      </c>
      <c r="P97" s="163">
        <f t="shared" si="233"/>
        <v>0</v>
      </c>
      <c r="Q97" s="162">
        <f t="shared" si="233"/>
        <v>0</v>
      </c>
      <c r="R97" s="162">
        <f t="shared" si="233"/>
        <v>0</v>
      </c>
      <c r="S97" s="162">
        <f t="shared" si="233"/>
        <v>0</v>
      </c>
      <c r="T97" s="162">
        <f t="shared" si="233"/>
        <v>0</v>
      </c>
      <c r="U97" s="163">
        <f t="shared" si="233"/>
        <v>0</v>
      </c>
      <c r="V97" s="162">
        <f t="shared" si="233"/>
        <v>0</v>
      </c>
      <c r="W97" s="162">
        <f t="shared" si="233"/>
        <v>0</v>
      </c>
      <c r="X97" s="162">
        <f t="shared" si="233"/>
        <v>0</v>
      </c>
      <c r="Y97" s="162">
        <f t="shared" si="233"/>
        <v>0</v>
      </c>
      <c r="Z97" s="163">
        <f t="shared" si="233"/>
        <v>0</v>
      </c>
      <c r="AA97" s="162">
        <f t="shared" si="233"/>
        <v>0</v>
      </c>
      <c r="AB97" s="162">
        <f t="shared" si="233"/>
        <v>0</v>
      </c>
      <c r="AC97" s="162">
        <f t="shared" si="233"/>
        <v>0</v>
      </c>
      <c r="AD97" s="162">
        <f t="shared" si="233"/>
        <v>0</v>
      </c>
      <c r="AE97" s="163">
        <f t="shared" si="233"/>
        <v>0</v>
      </c>
      <c r="AF97" s="162">
        <f t="shared" si="233"/>
        <v>0</v>
      </c>
      <c r="AG97" s="162">
        <f t="shared" si="233"/>
        <v>0</v>
      </c>
      <c r="AH97" s="162">
        <f t="shared" si="233"/>
        <v>0</v>
      </c>
      <c r="AI97" s="162">
        <f t="shared" si="233"/>
        <v>0</v>
      </c>
      <c r="AJ97" s="163">
        <f t="shared" si="233"/>
        <v>0</v>
      </c>
      <c r="AK97" s="162">
        <f t="shared" si="233"/>
        <v>0</v>
      </c>
      <c r="AL97" s="162">
        <f t="shared" si="233"/>
        <v>0</v>
      </c>
      <c r="AM97" s="162">
        <f t="shared" si="233"/>
        <v>0</v>
      </c>
      <c r="AN97" s="162">
        <f t="shared" si="233"/>
        <v>0</v>
      </c>
      <c r="AO97" s="163">
        <f t="shared" si="233"/>
        <v>0</v>
      </c>
      <c r="AP97" s="162">
        <f t="shared" si="233"/>
        <v>0</v>
      </c>
      <c r="AQ97" s="162">
        <f t="shared" si="233"/>
        <v>0</v>
      </c>
      <c r="AR97" s="162">
        <f t="shared" si="233"/>
        <v>0</v>
      </c>
      <c r="AS97" s="162">
        <f t="shared" si="233"/>
        <v>0</v>
      </c>
      <c r="AT97" s="163">
        <f t="shared" si="233"/>
        <v>0</v>
      </c>
      <c r="AU97" s="162">
        <f t="shared" si="233"/>
        <v>0</v>
      </c>
      <c r="AV97" s="162">
        <f t="shared" si="233"/>
        <v>0</v>
      </c>
      <c r="AW97" s="162">
        <f t="shared" si="233"/>
        <v>0</v>
      </c>
      <c r="AX97" s="162">
        <f t="shared" si="233"/>
        <v>0</v>
      </c>
      <c r="AY97" s="163">
        <f t="shared" si="233"/>
        <v>0</v>
      </c>
      <c r="AZ97" s="162">
        <f t="shared" si="233"/>
        <v>0</v>
      </c>
      <c r="BA97" s="162">
        <f t="shared" si="233"/>
        <v>0</v>
      </c>
      <c r="BB97" s="162">
        <f t="shared" si="233"/>
        <v>0</v>
      </c>
      <c r="BC97" s="162">
        <f t="shared" si="233"/>
        <v>0</v>
      </c>
      <c r="BD97" s="163">
        <f t="shared" si="233"/>
        <v>0</v>
      </c>
      <c r="BE97" s="162">
        <f t="shared" si="233"/>
        <v>0</v>
      </c>
      <c r="BF97" s="162">
        <f t="shared" si="233"/>
        <v>0</v>
      </c>
      <c r="BG97" s="162">
        <f t="shared" si="233"/>
        <v>0</v>
      </c>
      <c r="BH97" s="162">
        <f t="shared" si="233"/>
        <v>0</v>
      </c>
      <c r="BI97" s="163">
        <f t="shared" si="233"/>
        <v>0</v>
      </c>
      <c r="BJ97" s="162">
        <f t="shared" si="233"/>
        <v>0</v>
      </c>
      <c r="BK97" s="162">
        <f t="shared" si="233"/>
        <v>0</v>
      </c>
      <c r="BL97" s="162">
        <f t="shared" si="233"/>
        <v>0</v>
      </c>
      <c r="BM97" s="162">
        <f t="shared" si="233"/>
        <v>0</v>
      </c>
      <c r="BN97" s="163">
        <f t="shared" si="233"/>
        <v>0</v>
      </c>
      <c r="BO97" s="162">
        <f t="shared" ref="BO97:DD97" si="234">BO17</f>
        <v>0</v>
      </c>
      <c r="BP97" s="162">
        <f t="shared" si="234"/>
        <v>0</v>
      </c>
      <c r="BQ97" s="162">
        <f t="shared" si="234"/>
        <v>0</v>
      </c>
      <c r="BR97" s="162">
        <f t="shared" si="234"/>
        <v>11264</v>
      </c>
      <c r="BS97" s="163">
        <f t="shared" si="234"/>
        <v>11264</v>
      </c>
      <c r="BT97" s="162">
        <f t="shared" si="234"/>
        <v>0</v>
      </c>
      <c r="BU97" s="162">
        <f t="shared" si="234"/>
        <v>0</v>
      </c>
      <c r="BV97" s="162">
        <f t="shared" si="234"/>
        <v>0</v>
      </c>
      <c r="BW97" s="162">
        <f t="shared" si="234"/>
        <v>21229</v>
      </c>
      <c r="BX97" s="163">
        <f t="shared" si="234"/>
        <v>21229</v>
      </c>
      <c r="BY97" s="162">
        <f t="shared" si="234"/>
        <v>0</v>
      </c>
      <c r="BZ97" s="162">
        <f t="shared" si="234"/>
        <v>0</v>
      </c>
      <c r="CA97" s="162">
        <f t="shared" si="234"/>
        <v>0</v>
      </c>
      <c r="CB97" s="162">
        <f t="shared" si="234"/>
        <v>28509</v>
      </c>
      <c r="CC97" s="163">
        <f t="shared" si="234"/>
        <v>28509</v>
      </c>
      <c r="CD97" s="162">
        <f t="shared" si="234"/>
        <v>29049</v>
      </c>
      <c r="CE97" s="162">
        <f t="shared" si="234"/>
        <v>31857</v>
      </c>
      <c r="CF97" s="162">
        <f t="shared" si="234"/>
        <v>34742</v>
      </c>
      <c r="CG97" s="162">
        <f t="shared" si="234"/>
        <v>35795</v>
      </c>
      <c r="CH97" s="163">
        <f t="shared" si="234"/>
        <v>35795</v>
      </c>
      <c r="CI97" s="162">
        <f t="shared" si="234"/>
        <v>35108</v>
      </c>
      <c r="CJ97" s="162">
        <f t="shared" si="234"/>
        <v>35750</v>
      </c>
      <c r="CK97" s="162">
        <f t="shared" si="234"/>
        <v>35795</v>
      </c>
      <c r="CL97" s="162">
        <f t="shared" si="234"/>
        <v>30956</v>
      </c>
      <c r="CM97" s="163">
        <f t="shared" si="234"/>
        <v>30956</v>
      </c>
      <c r="CN97" s="162">
        <f t="shared" si="234"/>
        <v>31947</v>
      </c>
      <c r="CO97" s="162">
        <f t="shared" si="234"/>
        <v>33536</v>
      </c>
      <c r="CP97" s="162">
        <f t="shared" si="234"/>
        <v>34097</v>
      </c>
      <c r="CQ97" s="162">
        <f t="shared" si="234"/>
        <v>32029</v>
      </c>
      <c r="CR97" s="163">
        <f t="shared" si="234"/>
        <v>32029</v>
      </c>
      <c r="CS97" s="162">
        <f t="shared" si="234"/>
        <v>33030</v>
      </c>
      <c r="CT97" s="162">
        <f t="shared" si="234"/>
        <v>34160</v>
      </c>
      <c r="CU97" s="162">
        <f t="shared" si="234"/>
        <v>32888</v>
      </c>
      <c r="CV97" s="162">
        <f t="shared" si="234"/>
        <v>30236</v>
      </c>
      <c r="CW97" s="163">
        <f t="shared" si="234"/>
        <v>30236</v>
      </c>
      <c r="CX97" s="162">
        <f t="shared" si="234"/>
        <v>31224</v>
      </c>
      <c r="CY97" s="162">
        <f t="shared" si="234"/>
        <v>28707</v>
      </c>
      <c r="CZ97" s="162">
        <f t="shared" si="234"/>
        <v>29068</v>
      </c>
      <c r="DA97" s="162">
        <f t="shared" si="234"/>
        <v>26391</v>
      </c>
      <c r="DB97" s="163">
        <f t="shared" si="234"/>
        <v>26391</v>
      </c>
      <c r="DC97" s="162">
        <f t="shared" si="234"/>
        <v>27551</v>
      </c>
      <c r="DD97" s="162">
        <f t="shared" si="234"/>
        <v>32719</v>
      </c>
      <c r="DE97" s="162">
        <f t="shared" ref="DE97:DF97" si="235">DE17</f>
        <v>31161</v>
      </c>
      <c r="DF97" s="162">
        <f t="shared" si="235"/>
        <v>26986</v>
      </c>
      <c r="DG97" s="163">
        <f>DG17</f>
        <v>26986</v>
      </c>
      <c r="DH97" s="162">
        <f t="shared" ref="DH97:DI97" si="236">DH17</f>
        <v>26816</v>
      </c>
      <c r="DI97" s="162">
        <f t="shared" si="236"/>
        <v>34432</v>
      </c>
      <c r="DJ97" s="162">
        <f>DJ98*DJ84</f>
        <v>35826.454389154955</v>
      </c>
      <c r="DK97" s="162">
        <f>DK98*DK84</f>
        <v>39040.074306445764</v>
      </c>
      <c r="DL97" s="163">
        <f>DL17</f>
        <v>39040.074306445764</v>
      </c>
      <c r="DM97" s="162">
        <f>DM98*DM84</f>
        <v>39756.362410921574</v>
      </c>
      <c r="DN97" s="162">
        <f>DN98*DN84</f>
        <v>41432.235425693034</v>
      </c>
      <c r="DO97" s="162">
        <f>DO98*DO84</f>
        <v>42487.996990965614</v>
      </c>
      <c r="DP97" s="162">
        <f>DP98*DP84</f>
        <v>42958.216100608603</v>
      </c>
      <c r="DQ97" s="163">
        <f>DQ17</f>
        <v>42958.216100608603</v>
      </c>
      <c r="DR97" s="162">
        <f>DR98*DR84</f>
        <v>43786.730045627774</v>
      </c>
      <c r="DS97" s="162">
        <f>DS98*DS84</f>
        <v>44536.634652538691</v>
      </c>
      <c r="DT97" s="162">
        <f>DT98*DT84</f>
        <v>45307.828994288029</v>
      </c>
      <c r="DU97" s="162">
        <f>DU98*DU84</f>
        <v>46000.059109483154</v>
      </c>
      <c r="DV97" s="163">
        <f>DV17</f>
        <v>46000.059109483154</v>
      </c>
      <c r="DW97" s="162">
        <f>DW98*DW84</f>
        <v>46643.46821655181</v>
      </c>
      <c r="DX97" s="162">
        <f>DX98*DX84</f>
        <v>47302.081304781052</v>
      </c>
      <c r="DY97" s="162">
        <f>DY98*DY84</f>
        <v>47927.563316876469</v>
      </c>
      <c r="DZ97" s="162">
        <f>DZ98*DZ84</f>
        <v>48540.38816378943</v>
      </c>
      <c r="EA97" s="163">
        <f>EA17</f>
        <v>48540.38816378943</v>
      </c>
      <c r="EB97" s="162">
        <f>EB98*EB84</f>
        <v>49125.035979737113</v>
      </c>
      <c r="EC97" s="162">
        <f>EC98*EC84</f>
        <v>49697.851138425889</v>
      </c>
      <c r="ED97" s="162">
        <f>ED98*ED84</f>
        <v>50258.909166110236</v>
      </c>
      <c r="EE97" s="162">
        <f>EE98*EE84</f>
        <v>50824.937732402454</v>
      </c>
      <c r="EF97" s="163">
        <f>EF17</f>
        <v>50824.937732402454</v>
      </c>
    </row>
    <row r="98" spans="1:136" ht="12" customHeight="1" outlineLevel="1">
      <c r="A98" s="143" t="s">
        <v>100</v>
      </c>
      <c r="B98" s="158" t="e">
        <f t="shared" ref="B98:K98" si="237">B97/B84</f>
        <v>#REF!</v>
      </c>
      <c r="C98" s="158" t="e">
        <f t="shared" si="237"/>
        <v>#REF!</v>
      </c>
      <c r="D98" s="158" t="e">
        <f t="shared" si="237"/>
        <v>#REF!</v>
      </c>
      <c r="E98" s="158" t="e">
        <f t="shared" si="237"/>
        <v>#REF!</v>
      </c>
      <c r="F98" s="159" t="e">
        <f t="shared" si="237"/>
        <v>#REF!</v>
      </c>
      <c r="G98" s="158" t="e">
        <f t="shared" si="237"/>
        <v>#REF!</v>
      </c>
      <c r="H98" s="158" t="e">
        <f t="shared" si="237"/>
        <v>#REF!</v>
      </c>
      <c r="I98" s="158" t="e">
        <f t="shared" si="237"/>
        <v>#REF!</v>
      </c>
      <c r="J98" s="158" t="e">
        <f t="shared" si="237"/>
        <v>#REF!</v>
      </c>
      <c r="K98" s="159" t="e">
        <f t="shared" si="237"/>
        <v>#DIV/0!</v>
      </c>
      <c r="L98" s="158" t="e">
        <f t="shared" ref="L98:BN98" si="238">L97/L84</f>
        <v>#REF!</v>
      </c>
      <c r="M98" s="158" t="e">
        <f t="shared" si="238"/>
        <v>#REF!</v>
      </c>
      <c r="N98" s="158" t="e">
        <f t="shared" si="238"/>
        <v>#REF!</v>
      </c>
      <c r="O98" s="158" t="e">
        <f t="shared" si="238"/>
        <v>#REF!</v>
      </c>
      <c r="P98" s="159" t="e">
        <f t="shared" si="238"/>
        <v>#DIV/0!</v>
      </c>
      <c r="Q98" s="158" t="e">
        <f t="shared" si="238"/>
        <v>#REF!</v>
      </c>
      <c r="R98" s="158" t="e">
        <f t="shared" si="238"/>
        <v>#REF!</v>
      </c>
      <c r="S98" s="158" t="e">
        <f t="shared" si="238"/>
        <v>#REF!</v>
      </c>
      <c r="T98" s="158" t="e">
        <f t="shared" si="238"/>
        <v>#REF!</v>
      </c>
      <c r="U98" s="159" t="e">
        <f t="shared" si="238"/>
        <v>#DIV/0!</v>
      </c>
      <c r="V98" s="158" t="e">
        <f t="shared" si="238"/>
        <v>#REF!</v>
      </c>
      <c r="W98" s="158" t="e">
        <f t="shared" si="238"/>
        <v>#REF!</v>
      </c>
      <c r="X98" s="158" t="e">
        <f t="shared" si="238"/>
        <v>#REF!</v>
      </c>
      <c r="Y98" s="158" t="e">
        <f t="shared" si="238"/>
        <v>#REF!</v>
      </c>
      <c r="Z98" s="159" t="e">
        <f t="shared" si="238"/>
        <v>#DIV/0!</v>
      </c>
      <c r="AA98" s="158" t="e">
        <f t="shared" si="238"/>
        <v>#REF!</v>
      </c>
      <c r="AB98" s="158" t="e">
        <f t="shared" si="238"/>
        <v>#REF!</v>
      </c>
      <c r="AC98" s="158" t="e">
        <f t="shared" si="238"/>
        <v>#REF!</v>
      </c>
      <c r="AD98" s="158" t="e">
        <f t="shared" si="238"/>
        <v>#REF!</v>
      </c>
      <c r="AE98" s="159" t="e">
        <f t="shared" si="238"/>
        <v>#DIV/0!</v>
      </c>
      <c r="AF98" s="158" t="e">
        <f t="shared" si="238"/>
        <v>#DIV/0!</v>
      </c>
      <c r="AG98" s="158" t="e">
        <f t="shared" si="238"/>
        <v>#DIV/0!</v>
      </c>
      <c r="AH98" s="158" t="e">
        <f t="shared" si="238"/>
        <v>#DIV/0!</v>
      </c>
      <c r="AI98" s="158" t="e">
        <f t="shared" si="238"/>
        <v>#DIV/0!</v>
      </c>
      <c r="AJ98" s="159" t="e">
        <f t="shared" si="238"/>
        <v>#DIV/0!</v>
      </c>
      <c r="AK98" s="158" t="e">
        <f t="shared" si="238"/>
        <v>#DIV/0!</v>
      </c>
      <c r="AL98" s="158" t="e">
        <f t="shared" si="238"/>
        <v>#DIV/0!</v>
      </c>
      <c r="AM98" s="158" t="e">
        <f t="shared" si="238"/>
        <v>#DIV/0!</v>
      </c>
      <c r="AN98" s="158" t="e">
        <f t="shared" si="238"/>
        <v>#DIV/0!</v>
      </c>
      <c r="AO98" s="159" t="e">
        <f t="shared" si="238"/>
        <v>#DIV/0!</v>
      </c>
      <c r="AP98" s="158" t="e">
        <f t="shared" si="238"/>
        <v>#DIV/0!</v>
      </c>
      <c r="AQ98" s="158" t="e">
        <f t="shared" si="238"/>
        <v>#DIV/0!</v>
      </c>
      <c r="AR98" s="158" t="e">
        <f t="shared" si="238"/>
        <v>#DIV/0!</v>
      </c>
      <c r="AS98" s="158" t="e">
        <f t="shared" si="238"/>
        <v>#DIV/0!</v>
      </c>
      <c r="AT98" s="159" t="e">
        <f t="shared" si="238"/>
        <v>#DIV/0!</v>
      </c>
      <c r="AU98" s="158" t="e">
        <f t="shared" si="238"/>
        <v>#DIV/0!</v>
      </c>
      <c r="AV98" s="158" t="e">
        <f t="shared" si="238"/>
        <v>#DIV/0!</v>
      </c>
      <c r="AW98" s="158" t="e">
        <f t="shared" si="238"/>
        <v>#DIV/0!</v>
      </c>
      <c r="AX98" s="158" t="e">
        <f t="shared" si="238"/>
        <v>#DIV/0!</v>
      </c>
      <c r="AY98" s="159" t="e">
        <f t="shared" si="238"/>
        <v>#DIV/0!</v>
      </c>
      <c r="AZ98" s="158" t="e">
        <f t="shared" si="238"/>
        <v>#DIV/0!</v>
      </c>
      <c r="BA98" s="158" t="e">
        <f t="shared" si="238"/>
        <v>#DIV/0!</v>
      </c>
      <c r="BB98" s="158" t="e">
        <f t="shared" si="238"/>
        <v>#DIV/0!</v>
      </c>
      <c r="BC98" s="158" t="e">
        <f t="shared" si="238"/>
        <v>#DIV/0!</v>
      </c>
      <c r="BD98" s="159" t="e">
        <f t="shared" si="238"/>
        <v>#DIV/0!</v>
      </c>
      <c r="BE98" s="158" t="e">
        <f t="shared" si="238"/>
        <v>#DIV/0!</v>
      </c>
      <c r="BF98" s="158" t="e">
        <f t="shared" si="238"/>
        <v>#DIV/0!</v>
      </c>
      <c r="BG98" s="158" t="e">
        <f t="shared" si="238"/>
        <v>#DIV/0!</v>
      </c>
      <c r="BH98" s="158">
        <f t="shared" si="238"/>
        <v>0</v>
      </c>
      <c r="BI98" s="159">
        <f t="shared" si="238"/>
        <v>0</v>
      </c>
      <c r="BJ98" s="158">
        <f t="shared" si="238"/>
        <v>0</v>
      </c>
      <c r="BK98" s="158">
        <f t="shared" si="238"/>
        <v>0</v>
      </c>
      <c r="BL98" s="158">
        <f t="shared" si="238"/>
        <v>0</v>
      </c>
      <c r="BM98" s="158">
        <f t="shared" si="238"/>
        <v>0</v>
      </c>
      <c r="BN98" s="159">
        <f t="shared" si="238"/>
        <v>0</v>
      </c>
      <c r="BO98" s="158">
        <f t="shared" ref="BO98:DD98" si="239">BO97/BO84</f>
        <v>0</v>
      </c>
      <c r="BP98" s="158">
        <f t="shared" si="239"/>
        <v>0</v>
      </c>
      <c r="BQ98" s="158">
        <f t="shared" si="239"/>
        <v>0</v>
      </c>
      <c r="BR98" s="158">
        <f t="shared" si="239"/>
        <v>1.9001349527665318E-2</v>
      </c>
      <c r="BS98" s="159">
        <f t="shared" si="239"/>
        <v>1.9001349527665318E-2</v>
      </c>
      <c r="BT98" s="158">
        <f t="shared" si="239"/>
        <v>0</v>
      </c>
      <c r="BU98" s="158">
        <f t="shared" si="239"/>
        <v>0</v>
      </c>
      <c r="BV98" s="158">
        <f t="shared" si="239"/>
        <v>0</v>
      </c>
      <c r="BW98" s="158">
        <f t="shared" si="239"/>
        <v>2.9916854565952649E-2</v>
      </c>
      <c r="BX98" s="159">
        <f t="shared" si="239"/>
        <v>2.9916854565952649E-2</v>
      </c>
      <c r="BY98" s="158">
        <f t="shared" si="239"/>
        <v>0</v>
      </c>
      <c r="BZ98" s="158">
        <f t="shared" si="239"/>
        <v>0</v>
      </c>
      <c r="CA98" s="158">
        <f t="shared" si="239"/>
        <v>0</v>
      </c>
      <c r="CB98" s="158">
        <f t="shared" si="239"/>
        <v>3.6580868625293805E-2</v>
      </c>
      <c r="CC98" s="159">
        <f t="shared" si="239"/>
        <v>3.6580868625293805E-2</v>
      </c>
      <c r="CD98" s="158">
        <f t="shared" si="239"/>
        <v>1.676783899734453E-2</v>
      </c>
      <c r="CE98" s="158">
        <f t="shared" si="239"/>
        <v>2.6519018574051468E-2</v>
      </c>
      <c r="CF98" s="158">
        <f t="shared" si="239"/>
        <v>1.7656787464870149E-2</v>
      </c>
      <c r="CG98" s="158">
        <f t="shared" si="239"/>
        <v>3.0983213927428564E-2</v>
      </c>
      <c r="CH98" s="159">
        <f t="shared" si="239"/>
        <v>3.0983213927428564E-2</v>
      </c>
      <c r="CI98" s="158">
        <f t="shared" si="239"/>
        <v>1.4539051441605673E-2</v>
      </c>
      <c r="CJ98" s="158">
        <f t="shared" si="239"/>
        <v>1.9039108192195404E-2</v>
      </c>
      <c r="CK98" s="158">
        <f t="shared" si="239"/>
        <v>1.2861113626205269E-2</v>
      </c>
      <c r="CL98" s="158">
        <f t="shared" si="239"/>
        <v>1.3176382453907561E-2</v>
      </c>
      <c r="CM98" s="159">
        <f t="shared" si="239"/>
        <v>1.3176382453907561E-2</v>
      </c>
      <c r="CN98" s="158">
        <f t="shared" si="239"/>
        <v>7.4968953602649289E-3</v>
      </c>
      <c r="CO98" s="158">
        <f t="shared" si="239"/>
        <v>1.2164789073163937E-2</v>
      </c>
      <c r="CP98" s="158">
        <f t="shared" si="239"/>
        <v>7.4183985945140358E-3</v>
      </c>
      <c r="CQ98" s="158">
        <f t="shared" si="239"/>
        <v>1.0304697959031356E-2</v>
      </c>
      <c r="CR98" s="159">
        <f t="shared" si="239"/>
        <v>1.0304697959031356E-2</v>
      </c>
      <c r="CS98" s="158">
        <f t="shared" si="239"/>
        <v>5.7686445410721262E-3</v>
      </c>
      <c r="CT98" s="158">
        <f t="shared" si="239"/>
        <v>9.1090786461565463E-3</v>
      </c>
      <c r="CU98" s="158">
        <f t="shared" si="239"/>
        <v>5.6372675409774135E-3</v>
      </c>
      <c r="CV98" s="158">
        <f t="shared" si="239"/>
        <v>7.7178969159789603E-3</v>
      </c>
      <c r="CW98" s="159">
        <f t="shared" si="239"/>
        <v>7.7178969159789603E-3</v>
      </c>
      <c r="CX98" s="158">
        <f t="shared" si="239"/>
        <v>4.4804855554274152E-3</v>
      </c>
      <c r="CY98" s="158">
        <f t="shared" si="239"/>
        <v>6.1253901256269512E-3</v>
      </c>
      <c r="CZ98" s="158">
        <f t="shared" si="239"/>
        <v>3.744508297685723E-3</v>
      </c>
      <c r="DA98" s="158">
        <f t="shared" si="239"/>
        <v>4.7987961573258148E-3</v>
      </c>
      <c r="DB98" s="159">
        <f t="shared" si="239"/>
        <v>4.7987961573258157E-3</v>
      </c>
      <c r="DC98" s="158">
        <f t="shared" si="239"/>
        <v>2.7673825868183284E-3</v>
      </c>
      <c r="DD98" s="158">
        <f t="shared" si="239"/>
        <v>5.0622369289159376E-3</v>
      </c>
      <c r="DE98" s="158">
        <f t="shared" ref="DE98:DF98" si="240">DE97/DE84</f>
        <v>3.0211641050250006E-3</v>
      </c>
      <c r="DF98" s="158">
        <f t="shared" si="240"/>
        <v>3.8598785059712373E-3</v>
      </c>
      <c r="DG98" s="159">
        <f>DG97/DG84</f>
        <v>3.8598785059712373E-3</v>
      </c>
      <c r="DH98" s="158">
        <f t="shared" ref="DH98:DI98" si="241">DH97/DH84</f>
        <v>2.2440264178387247E-3</v>
      </c>
      <c r="DI98" s="158">
        <f t="shared" si="241"/>
        <v>5.1335075176431946E-3</v>
      </c>
      <c r="DJ98" s="160">
        <f>DI98</f>
        <v>5.1335075176431946E-3</v>
      </c>
      <c r="DK98" s="160">
        <f>DJ98</f>
        <v>5.1335075176431946E-3</v>
      </c>
      <c r="DL98" s="159">
        <f>DL97/DL84</f>
        <v>5.1335075176431938E-3</v>
      </c>
      <c r="DM98" s="160">
        <f>DK98</f>
        <v>5.1335075176431946E-3</v>
      </c>
      <c r="DN98" s="160">
        <f>DM98</f>
        <v>5.1335075176431946E-3</v>
      </c>
      <c r="DO98" s="160">
        <f>DN98</f>
        <v>5.1335075176431946E-3</v>
      </c>
      <c r="DP98" s="160">
        <f>DO98</f>
        <v>5.1335075176431946E-3</v>
      </c>
      <c r="DQ98" s="159">
        <f>DQ97/DQ84</f>
        <v>5.1335075176431955E-3</v>
      </c>
      <c r="DR98" s="160">
        <f>DP98</f>
        <v>5.1335075176431946E-3</v>
      </c>
      <c r="DS98" s="160">
        <f>DR98</f>
        <v>5.1335075176431946E-3</v>
      </c>
      <c r="DT98" s="160">
        <f>DS98</f>
        <v>5.1335075176431946E-3</v>
      </c>
      <c r="DU98" s="160">
        <f>DT98</f>
        <v>5.1335075176431946E-3</v>
      </c>
      <c r="DV98" s="159">
        <f>DV97/DV84</f>
        <v>5.1335075176431946E-3</v>
      </c>
      <c r="DW98" s="160">
        <f>DU98</f>
        <v>5.1335075176431946E-3</v>
      </c>
      <c r="DX98" s="160">
        <f>DW98</f>
        <v>5.1335075176431946E-3</v>
      </c>
      <c r="DY98" s="160">
        <f>DX98</f>
        <v>5.1335075176431946E-3</v>
      </c>
      <c r="DZ98" s="160">
        <f>DY98</f>
        <v>5.1335075176431946E-3</v>
      </c>
      <c r="EA98" s="159">
        <f>EA97/EA84</f>
        <v>5.1335075176431964E-3</v>
      </c>
      <c r="EB98" s="160">
        <f>DZ98</f>
        <v>5.1335075176431946E-3</v>
      </c>
      <c r="EC98" s="160">
        <f>EB98</f>
        <v>5.1335075176431946E-3</v>
      </c>
      <c r="ED98" s="160">
        <f>EC98</f>
        <v>5.1335075176431946E-3</v>
      </c>
      <c r="EE98" s="160">
        <f>ED98</f>
        <v>5.1335075176431946E-3</v>
      </c>
      <c r="EF98" s="159">
        <f>EF97/EF84</f>
        <v>5.1335075176431946E-3</v>
      </c>
    </row>
    <row r="99" spans="1:136" ht="12" customHeight="1" outlineLevel="1"/>
    <row r="100" spans="1:136" s="3" customFormat="1" ht="12" customHeight="1" outlineLevel="1">
      <c r="A100" s="15" t="s">
        <v>84</v>
      </c>
      <c r="B100" s="162">
        <f t="shared" ref="B100:K100" si="242">B15</f>
        <v>0</v>
      </c>
      <c r="C100" s="162">
        <f t="shared" si="242"/>
        <v>0</v>
      </c>
      <c r="D100" s="162">
        <f t="shared" si="242"/>
        <v>0</v>
      </c>
      <c r="E100" s="162">
        <f t="shared" si="242"/>
        <v>0</v>
      </c>
      <c r="F100" s="163">
        <f t="shared" si="242"/>
        <v>0</v>
      </c>
      <c r="G100" s="162">
        <f t="shared" si="242"/>
        <v>0</v>
      </c>
      <c r="H100" s="162">
        <f t="shared" si="242"/>
        <v>0</v>
      </c>
      <c r="I100" s="162">
        <f t="shared" si="242"/>
        <v>0</v>
      </c>
      <c r="J100" s="162">
        <f t="shared" si="242"/>
        <v>0</v>
      </c>
      <c r="K100" s="163">
        <f t="shared" si="242"/>
        <v>0</v>
      </c>
      <c r="L100" s="162">
        <f t="shared" ref="L100:BN100" si="243">L15</f>
        <v>0</v>
      </c>
      <c r="M100" s="162">
        <f t="shared" si="243"/>
        <v>0</v>
      </c>
      <c r="N100" s="162">
        <f t="shared" si="243"/>
        <v>0</v>
      </c>
      <c r="O100" s="162">
        <f t="shared" si="243"/>
        <v>0</v>
      </c>
      <c r="P100" s="163">
        <f t="shared" si="243"/>
        <v>0</v>
      </c>
      <c r="Q100" s="162">
        <f t="shared" si="243"/>
        <v>0</v>
      </c>
      <c r="R100" s="162">
        <f t="shared" si="243"/>
        <v>0</v>
      </c>
      <c r="S100" s="162">
        <f t="shared" si="243"/>
        <v>0</v>
      </c>
      <c r="T100" s="162">
        <f t="shared" si="243"/>
        <v>0</v>
      </c>
      <c r="U100" s="163">
        <f t="shared" si="243"/>
        <v>0</v>
      </c>
      <c r="V100" s="162">
        <f t="shared" si="243"/>
        <v>0</v>
      </c>
      <c r="W100" s="162">
        <f t="shared" si="243"/>
        <v>0</v>
      </c>
      <c r="X100" s="162">
        <f t="shared" si="243"/>
        <v>0</v>
      </c>
      <c r="Y100" s="162">
        <f t="shared" si="243"/>
        <v>0</v>
      </c>
      <c r="Z100" s="163">
        <f t="shared" si="243"/>
        <v>0</v>
      </c>
      <c r="AA100" s="162">
        <f t="shared" si="243"/>
        <v>0</v>
      </c>
      <c r="AB100" s="162">
        <f t="shared" si="243"/>
        <v>0</v>
      </c>
      <c r="AC100" s="162">
        <f t="shared" si="243"/>
        <v>0</v>
      </c>
      <c r="AD100" s="162">
        <f t="shared" si="243"/>
        <v>0</v>
      </c>
      <c r="AE100" s="163">
        <f t="shared" si="243"/>
        <v>0</v>
      </c>
      <c r="AF100" s="162">
        <f t="shared" si="243"/>
        <v>0</v>
      </c>
      <c r="AG100" s="162">
        <f t="shared" si="243"/>
        <v>0</v>
      </c>
      <c r="AH100" s="162">
        <f t="shared" si="243"/>
        <v>0</v>
      </c>
      <c r="AI100" s="162">
        <f t="shared" si="243"/>
        <v>7039.6880000000001</v>
      </c>
      <c r="AJ100" s="163">
        <f t="shared" si="243"/>
        <v>7039.6880000000001</v>
      </c>
      <c r="AK100" s="162">
        <f t="shared" si="243"/>
        <v>0</v>
      </c>
      <c r="AL100" s="162">
        <f t="shared" si="243"/>
        <v>0</v>
      </c>
      <c r="AM100" s="162">
        <f t="shared" si="243"/>
        <v>0</v>
      </c>
      <c r="AN100" s="162">
        <f t="shared" si="243"/>
        <v>7454.9759999999997</v>
      </c>
      <c r="AO100" s="163">
        <f t="shared" si="243"/>
        <v>7454.9759999999997</v>
      </c>
      <c r="AP100" s="162">
        <f t="shared" si="243"/>
        <v>0</v>
      </c>
      <c r="AQ100" s="162">
        <f t="shared" si="243"/>
        <v>0</v>
      </c>
      <c r="AR100" s="162">
        <f t="shared" si="243"/>
        <v>0</v>
      </c>
      <c r="AS100" s="162">
        <f t="shared" si="243"/>
        <v>3735.7190000000001</v>
      </c>
      <c r="AT100" s="163">
        <f t="shared" si="243"/>
        <v>3735.7190000000001</v>
      </c>
      <c r="AU100" s="162">
        <f t="shared" si="243"/>
        <v>0</v>
      </c>
      <c r="AV100" s="162">
        <f t="shared" si="243"/>
        <v>0</v>
      </c>
      <c r="AW100" s="162">
        <f t="shared" si="243"/>
        <v>0</v>
      </c>
      <c r="AX100" s="162">
        <f t="shared" si="243"/>
        <v>3746</v>
      </c>
      <c r="AY100" s="163">
        <f t="shared" si="243"/>
        <v>3746</v>
      </c>
      <c r="AZ100" s="162">
        <f t="shared" si="243"/>
        <v>0</v>
      </c>
      <c r="BA100" s="162">
        <f t="shared" si="243"/>
        <v>0</v>
      </c>
      <c r="BB100" s="162">
        <f t="shared" si="243"/>
        <v>0</v>
      </c>
      <c r="BC100" s="162">
        <f t="shared" si="243"/>
        <v>1831</v>
      </c>
      <c r="BD100" s="163">
        <f t="shared" si="243"/>
        <v>1831</v>
      </c>
      <c r="BE100" s="162">
        <f t="shared" si="243"/>
        <v>0</v>
      </c>
      <c r="BF100" s="162">
        <f t="shared" si="243"/>
        <v>0</v>
      </c>
      <c r="BG100" s="162">
        <f t="shared" si="243"/>
        <v>0</v>
      </c>
      <c r="BH100" s="162">
        <f t="shared" si="243"/>
        <v>1824</v>
      </c>
      <c r="BI100" s="163">
        <f t="shared" si="243"/>
        <v>1824</v>
      </c>
      <c r="BJ100" s="162">
        <f t="shared" si="243"/>
        <v>0</v>
      </c>
      <c r="BK100" s="162">
        <f t="shared" si="243"/>
        <v>0</v>
      </c>
      <c r="BL100" s="162">
        <f t="shared" si="243"/>
        <v>0</v>
      </c>
      <c r="BM100" s="162">
        <f t="shared" si="243"/>
        <v>5060</v>
      </c>
      <c r="BN100" s="163">
        <f t="shared" si="243"/>
        <v>5060</v>
      </c>
      <c r="BO100" s="162">
        <f t="shared" ref="BO100:DD100" si="244">BO15</f>
        <v>0</v>
      </c>
      <c r="BP100" s="162">
        <f t="shared" si="244"/>
        <v>0</v>
      </c>
      <c r="BQ100" s="162">
        <f t="shared" si="244"/>
        <v>0</v>
      </c>
      <c r="BR100" s="162">
        <f t="shared" si="244"/>
        <v>4801</v>
      </c>
      <c r="BS100" s="163">
        <f t="shared" si="244"/>
        <v>4801</v>
      </c>
      <c r="BT100" s="162">
        <f t="shared" si="244"/>
        <v>0</v>
      </c>
      <c r="BU100" s="162">
        <f t="shared" si="244"/>
        <v>0</v>
      </c>
      <c r="BV100" s="162">
        <f t="shared" si="244"/>
        <v>0</v>
      </c>
      <c r="BW100" s="162">
        <f t="shared" si="244"/>
        <v>4471</v>
      </c>
      <c r="BX100" s="163">
        <f t="shared" si="244"/>
        <v>4471</v>
      </c>
      <c r="BY100" s="162">
        <f t="shared" si="244"/>
        <v>0</v>
      </c>
      <c r="BZ100" s="162">
        <f t="shared" si="244"/>
        <v>0</v>
      </c>
      <c r="CA100" s="162">
        <f t="shared" si="244"/>
        <v>0</v>
      </c>
      <c r="CB100" s="162">
        <f t="shared" si="244"/>
        <v>8922</v>
      </c>
      <c r="CC100" s="163">
        <f t="shared" si="244"/>
        <v>8922</v>
      </c>
      <c r="CD100" s="162">
        <f t="shared" si="244"/>
        <v>11718</v>
      </c>
      <c r="CE100" s="162">
        <f t="shared" si="244"/>
        <v>9125</v>
      </c>
      <c r="CF100" s="162">
        <f t="shared" si="244"/>
        <v>8463</v>
      </c>
      <c r="CG100" s="162">
        <f t="shared" si="244"/>
        <v>7748</v>
      </c>
      <c r="CH100" s="163">
        <f t="shared" si="244"/>
        <v>7748</v>
      </c>
      <c r="CI100" s="162">
        <f t="shared" si="244"/>
        <v>7755</v>
      </c>
      <c r="CJ100" s="162">
        <f t="shared" si="244"/>
        <v>5560</v>
      </c>
      <c r="CK100" s="162">
        <f t="shared" si="244"/>
        <v>9083</v>
      </c>
      <c r="CL100" s="162">
        <f t="shared" si="244"/>
        <v>6611</v>
      </c>
      <c r="CM100" s="163">
        <f t="shared" si="244"/>
        <v>6611</v>
      </c>
      <c r="CN100" s="162">
        <f t="shared" si="244"/>
        <v>6676</v>
      </c>
      <c r="CO100" s="162">
        <f t="shared" si="244"/>
        <v>6582</v>
      </c>
      <c r="CP100" s="162">
        <f t="shared" si="244"/>
        <v>8343</v>
      </c>
      <c r="CQ100" s="162">
        <f t="shared" si="244"/>
        <v>7297</v>
      </c>
      <c r="CR100" s="163">
        <f t="shared" si="244"/>
        <v>7297</v>
      </c>
      <c r="CS100" s="162">
        <f t="shared" si="244"/>
        <v>7108</v>
      </c>
      <c r="CT100" s="162">
        <f t="shared" si="244"/>
        <v>9562</v>
      </c>
      <c r="CU100" s="162">
        <f t="shared" si="244"/>
        <v>11558</v>
      </c>
      <c r="CV100" s="162">
        <f t="shared" si="244"/>
        <v>13547</v>
      </c>
      <c r="CW100" s="163">
        <f t="shared" si="244"/>
        <v>13547</v>
      </c>
      <c r="CX100" s="162">
        <f t="shared" si="244"/>
        <v>9839</v>
      </c>
      <c r="CY100" s="162">
        <f t="shared" si="244"/>
        <v>26070</v>
      </c>
      <c r="CZ100" s="162">
        <f t="shared" si="244"/>
        <v>15022</v>
      </c>
      <c r="DA100" s="162">
        <f t="shared" si="244"/>
        <v>17033</v>
      </c>
      <c r="DB100" s="163">
        <f t="shared" si="244"/>
        <v>17033</v>
      </c>
      <c r="DC100" s="162">
        <f t="shared" si="244"/>
        <v>15238</v>
      </c>
      <c r="DD100" s="162">
        <f t="shared" si="244"/>
        <v>8316</v>
      </c>
      <c r="DE100" s="162">
        <f t="shared" ref="DE100:DF100" si="245">DE15</f>
        <v>9581</v>
      </c>
      <c r="DF100" s="162">
        <f t="shared" si="245"/>
        <v>11708</v>
      </c>
      <c r="DG100" s="163">
        <f>DG15</f>
        <v>11708</v>
      </c>
      <c r="DH100" s="162">
        <f t="shared" ref="DH100:DI100" si="246">DH15</f>
        <v>10253</v>
      </c>
      <c r="DI100" s="162">
        <f t="shared" si="246"/>
        <v>9152</v>
      </c>
      <c r="DJ100" s="153">
        <f>DJ101*DJ84</f>
        <v>9522.6449398683253</v>
      </c>
      <c r="DK100" s="153">
        <f>DK101*DK84</f>
        <v>10376.822724575733</v>
      </c>
      <c r="DL100" s="163">
        <f>DL15</f>
        <v>10376.822724575733</v>
      </c>
      <c r="DM100" s="153">
        <f>DM101*DM84</f>
        <v>10567.211570189193</v>
      </c>
      <c r="DN100" s="153">
        <f>DN101*DN84</f>
        <v>11012.657371513205</v>
      </c>
      <c r="DO100" s="153">
        <f>DO101*DO84</f>
        <v>11293.27801060982</v>
      </c>
      <c r="DP100" s="153">
        <f>DP101*DP84</f>
        <v>11418.261900347639</v>
      </c>
      <c r="DQ100" s="163">
        <f>DQ15</f>
        <v>11418.261900347639</v>
      </c>
      <c r="DR100" s="153">
        <f>DR101*DR84</f>
        <v>11638.480290938238</v>
      </c>
      <c r="DS100" s="153">
        <f>DS101*DS84</f>
        <v>11837.804377905266</v>
      </c>
      <c r="DT100" s="153">
        <f>DT101*DT84</f>
        <v>12042.787260563548</v>
      </c>
      <c r="DU100" s="153">
        <f>DU101*DU84</f>
        <v>12226.781510513181</v>
      </c>
      <c r="DV100" s="163">
        <f>DV15</f>
        <v>12226.781510513181</v>
      </c>
      <c r="DW100" s="153">
        <f>DW101*DW84</f>
        <v>12397.799172800946</v>
      </c>
      <c r="DX100" s="153">
        <f>DX101*DX84</f>
        <v>12572.858041977121</v>
      </c>
      <c r="DY100" s="153">
        <f>DY101*DY84</f>
        <v>12739.110695749694</v>
      </c>
      <c r="DZ100" s="153">
        <f>DZ101*DZ84</f>
        <v>12901.999084427302</v>
      </c>
      <c r="EA100" s="163">
        <f>EA15</f>
        <v>12901.999084427302</v>
      </c>
      <c r="EB100" s="153">
        <f>EB101*EB84</f>
        <v>13057.398039223806</v>
      </c>
      <c r="EC100" s="153">
        <f>EC101*EC84</f>
        <v>13209.651882518407</v>
      </c>
      <c r="ED100" s="153">
        <f>ED101*ED84</f>
        <v>13358.780689133391</v>
      </c>
      <c r="EE100" s="153">
        <f>EE101*EE84</f>
        <v>13509.230661214779</v>
      </c>
      <c r="EF100" s="163">
        <f>EF15</f>
        <v>13509.230661214779</v>
      </c>
    </row>
    <row r="101" spans="1:136" ht="12" customHeight="1" outlineLevel="1">
      <c r="A101" s="143" t="s">
        <v>85</v>
      </c>
      <c r="B101" s="158" t="e">
        <f t="shared" ref="B101:K101" si="247">B100/B84</f>
        <v>#REF!</v>
      </c>
      <c r="C101" s="158" t="e">
        <f t="shared" si="247"/>
        <v>#REF!</v>
      </c>
      <c r="D101" s="158" t="e">
        <f t="shared" si="247"/>
        <v>#REF!</v>
      </c>
      <c r="E101" s="158" t="e">
        <f t="shared" si="247"/>
        <v>#REF!</v>
      </c>
      <c r="F101" s="159" t="e">
        <f t="shared" si="247"/>
        <v>#REF!</v>
      </c>
      <c r="G101" s="158" t="e">
        <f t="shared" si="247"/>
        <v>#REF!</v>
      </c>
      <c r="H101" s="158" t="e">
        <f t="shared" si="247"/>
        <v>#REF!</v>
      </c>
      <c r="I101" s="158" t="e">
        <f t="shared" si="247"/>
        <v>#REF!</v>
      </c>
      <c r="J101" s="158" t="e">
        <f t="shared" si="247"/>
        <v>#REF!</v>
      </c>
      <c r="K101" s="159" t="e">
        <f t="shared" si="247"/>
        <v>#DIV/0!</v>
      </c>
      <c r="L101" s="158" t="e">
        <f t="shared" ref="L101:BN101" si="248">L100/L84</f>
        <v>#REF!</v>
      </c>
      <c r="M101" s="158" t="e">
        <f t="shared" si="248"/>
        <v>#REF!</v>
      </c>
      <c r="N101" s="158" t="e">
        <f t="shared" si="248"/>
        <v>#REF!</v>
      </c>
      <c r="O101" s="158" t="e">
        <f t="shared" si="248"/>
        <v>#REF!</v>
      </c>
      <c r="P101" s="159" t="e">
        <f t="shared" si="248"/>
        <v>#DIV/0!</v>
      </c>
      <c r="Q101" s="158" t="e">
        <f t="shared" si="248"/>
        <v>#REF!</v>
      </c>
      <c r="R101" s="158" t="e">
        <f t="shared" si="248"/>
        <v>#REF!</v>
      </c>
      <c r="S101" s="158" t="e">
        <f t="shared" si="248"/>
        <v>#REF!</v>
      </c>
      <c r="T101" s="158" t="e">
        <f t="shared" si="248"/>
        <v>#REF!</v>
      </c>
      <c r="U101" s="159" t="e">
        <f t="shared" si="248"/>
        <v>#DIV/0!</v>
      </c>
      <c r="V101" s="158" t="e">
        <f t="shared" si="248"/>
        <v>#REF!</v>
      </c>
      <c r="W101" s="158" t="e">
        <f t="shared" si="248"/>
        <v>#REF!</v>
      </c>
      <c r="X101" s="158" t="e">
        <f t="shared" si="248"/>
        <v>#REF!</v>
      </c>
      <c r="Y101" s="158" t="e">
        <f t="shared" si="248"/>
        <v>#REF!</v>
      </c>
      <c r="Z101" s="159" t="e">
        <f t="shared" si="248"/>
        <v>#DIV/0!</v>
      </c>
      <c r="AA101" s="158" t="e">
        <f t="shared" si="248"/>
        <v>#REF!</v>
      </c>
      <c r="AB101" s="158" t="e">
        <f t="shared" si="248"/>
        <v>#REF!</v>
      </c>
      <c r="AC101" s="158" t="e">
        <f t="shared" si="248"/>
        <v>#REF!</v>
      </c>
      <c r="AD101" s="158" t="e">
        <f t="shared" si="248"/>
        <v>#REF!</v>
      </c>
      <c r="AE101" s="159" t="e">
        <f t="shared" si="248"/>
        <v>#DIV/0!</v>
      </c>
      <c r="AF101" s="158" t="e">
        <f t="shared" si="248"/>
        <v>#DIV/0!</v>
      </c>
      <c r="AG101" s="158" t="e">
        <f t="shared" si="248"/>
        <v>#DIV/0!</v>
      </c>
      <c r="AH101" s="158" t="e">
        <f t="shared" si="248"/>
        <v>#DIV/0!</v>
      </c>
      <c r="AI101" s="158" t="e">
        <f t="shared" si="248"/>
        <v>#DIV/0!</v>
      </c>
      <c r="AJ101" s="159" t="e">
        <f t="shared" si="248"/>
        <v>#DIV/0!</v>
      </c>
      <c r="AK101" s="158" t="e">
        <f t="shared" si="248"/>
        <v>#DIV/0!</v>
      </c>
      <c r="AL101" s="158" t="e">
        <f t="shared" si="248"/>
        <v>#DIV/0!</v>
      </c>
      <c r="AM101" s="158" t="e">
        <f t="shared" si="248"/>
        <v>#DIV/0!</v>
      </c>
      <c r="AN101" s="158" t="e">
        <f t="shared" si="248"/>
        <v>#DIV/0!</v>
      </c>
      <c r="AO101" s="159" t="e">
        <f t="shared" si="248"/>
        <v>#DIV/0!</v>
      </c>
      <c r="AP101" s="158" t="e">
        <f t="shared" si="248"/>
        <v>#DIV/0!</v>
      </c>
      <c r="AQ101" s="158" t="e">
        <f t="shared" si="248"/>
        <v>#DIV/0!</v>
      </c>
      <c r="AR101" s="158" t="e">
        <f t="shared" si="248"/>
        <v>#DIV/0!</v>
      </c>
      <c r="AS101" s="158" t="e">
        <f t="shared" si="248"/>
        <v>#DIV/0!</v>
      </c>
      <c r="AT101" s="159" t="e">
        <f t="shared" si="248"/>
        <v>#DIV/0!</v>
      </c>
      <c r="AU101" s="158" t="e">
        <f t="shared" si="248"/>
        <v>#DIV/0!</v>
      </c>
      <c r="AV101" s="158" t="e">
        <f t="shared" si="248"/>
        <v>#DIV/0!</v>
      </c>
      <c r="AW101" s="158" t="e">
        <f t="shared" si="248"/>
        <v>#DIV/0!</v>
      </c>
      <c r="AX101" s="158" t="e">
        <f t="shared" si="248"/>
        <v>#DIV/0!</v>
      </c>
      <c r="AY101" s="159" t="e">
        <f t="shared" si="248"/>
        <v>#DIV/0!</v>
      </c>
      <c r="AZ101" s="158" t="e">
        <f t="shared" si="248"/>
        <v>#DIV/0!</v>
      </c>
      <c r="BA101" s="158" t="e">
        <f t="shared" si="248"/>
        <v>#DIV/0!</v>
      </c>
      <c r="BB101" s="158" t="e">
        <f t="shared" si="248"/>
        <v>#DIV/0!</v>
      </c>
      <c r="BC101" s="158" t="e">
        <f t="shared" si="248"/>
        <v>#DIV/0!</v>
      </c>
      <c r="BD101" s="159" t="e">
        <f t="shared" si="248"/>
        <v>#DIV/0!</v>
      </c>
      <c r="BE101" s="158" t="e">
        <f t="shared" si="248"/>
        <v>#DIV/0!</v>
      </c>
      <c r="BF101" s="158" t="e">
        <f t="shared" si="248"/>
        <v>#DIV/0!</v>
      </c>
      <c r="BG101" s="158" t="e">
        <f t="shared" si="248"/>
        <v>#DIV/0!</v>
      </c>
      <c r="BH101" s="158">
        <f t="shared" si="248"/>
        <v>3.781094527363184E-3</v>
      </c>
      <c r="BI101" s="159">
        <f t="shared" si="248"/>
        <v>3.781094527363184E-3</v>
      </c>
      <c r="BJ101" s="158">
        <f t="shared" si="248"/>
        <v>0</v>
      </c>
      <c r="BK101" s="158">
        <f t="shared" si="248"/>
        <v>0</v>
      </c>
      <c r="BL101" s="158">
        <f t="shared" si="248"/>
        <v>0</v>
      </c>
      <c r="BM101" s="158">
        <f t="shared" si="248"/>
        <v>9.6860643185298616E-3</v>
      </c>
      <c r="BN101" s="159">
        <f t="shared" si="248"/>
        <v>9.6860643185298616E-3</v>
      </c>
      <c r="BO101" s="158">
        <f t="shared" ref="BO101:DD101" si="249">BO100/BO84</f>
        <v>0</v>
      </c>
      <c r="BP101" s="158">
        <f t="shared" si="249"/>
        <v>0</v>
      </c>
      <c r="BQ101" s="158">
        <f t="shared" si="249"/>
        <v>0</v>
      </c>
      <c r="BR101" s="158">
        <f t="shared" si="249"/>
        <v>8.0988529014844809E-3</v>
      </c>
      <c r="BS101" s="159">
        <f t="shared" si="249"/>
        <v>8.0988529014844809E-3</v>
      </c>
      <c r="BT101" s="158">
        <f t="shared" si="249"/>
        <v>0</v>
      </c>
      <c r="BU101" s="158">
        <f t="shared" si="249"/>
        <v>0</v>
      </c>
      <c r="BV101" s="158">
        <f t="shared" si="249"/>
        <v>0</v>
      </c>
      <c r="BW101" s="158">
        <f t="shared" si="249"/>
        <v>6.3007328072153326E-3</v>
      </c>
      <c r="BX101" s="159">
        <f t="shared" si="249"/>
        <v>6.3007328072153326E-3</v>
      </c>
      <c r="BY101" s="158">
        <f t="shared" si="249"/>
        <v>0</v>
      </c>
      <c r="BZ101" s="158">
        <f t="shared" si="249"/>
        <v>0</v>
      </c>
      <c r="CA101" s="158">
        <f t="shared" si="249"/>
        <v>0</v>
      </c>
      <c r="CB101" s="158">
        <f t="shared" si="249"/>
        <v>1.1448121992173394E-2</v>
      </c>
      <c r="CC101" s="159">
        <f t="shared" si="249"/>
        <v>1.1448121992173394E-2</v>
      </c>
      <c r="CD101" s="158">
        <f t="shared" si="249"/>
        <v>6.7639346404655305E-3</v>
      </c>
      <c r="CE101" s="158">
        <f t="shared" si="249"/>
        <v>7.5960085534802282E-3</v>
      </c>
      <c r="CF101" s="158">
        <f t="shared" si="249"/>
        <v>4.3011165826721568E-3</v>
      </c>
      <c r="CG101" s="158">
        <f t="shared" si="249"/>
        <v>6.7064657496777903E-3</v>
      </c>
      <c r="CH101" s="159">
        <f t="shared" si="249"/>
        <v>6.7064657496777903E-3</v>
      </c>
      <c r="CI101" s="158">
        <f t="shared" si="249"/>
        <v>3.2115285384998289E-3</v>
      </c>
      <c r="CJ101" s="158">
        <f t="shared" si="249"/>
        <v>2.9610473160449355E-3</v>
      </c>
      <c r="CK101" s="158">
        <f t="shared" si="249"/>
        <v>3.2635143195089387E-3</v>
      </c>
      <c r="CL101" s="158">
        <f t="shared" si="249"/>
        <v>2.8139638326264019E-3</v>
      </c>
      <c r="CM101" s="159">
        <f t="shared" si="249"/>
        <v>2.8139638326264019E-3</v>
      </c>
      <c r="CN101" s="158">
        <f t="shared" si="249"/>
        <v>1.5666345329805199E-3</v>
      </c>
      <c r="CO101" s="158">
        <f t="shared" si="249"/>
        <v>2.3875429890137475E-3</v>
      </c>
      <c r="CP101" s="158">
        <f t="shared" si="249"/>
        <v>1.8151655416614541E-3</v>
      </c>
      <c r="CQ101" s="158">
        <f t="shared" si="249"/>
        <v>2.3476655845343845E-3</v>
      </c>
      <c r="CR101" s="159">
        <f t="shared" si="249"/>
        <v>2.3476655845343845E-3</v>
      </c>
      <c r="CS101" s="158">
        <f t="shared" si="249"/>
        <v>1.2414025249149461E-3</v>
      </c>
      <c r="CT101" s="158">
        <f t="shared" si="249"/>
        <v>2.5497953751331642E-3</v>
      </c>
      <c r="CU101" s="158">
        <f t="shared" si="249"/>
        <v>1.9811340987173727E-3</v>
      </c>
      <c r="CV101" s="158">
        <f t="shared" si="249"/>
        <v>3.4579425030019507E-3</v>
      </c>
      <c r="CW101" s="159">
        <f t="shared" si="249"/>
        <v>3.4579425030019507E-3</v>
      </c>
      <c r="CX101" s="158">
        <f t="shared" si="249"/>
        <v>1.4118465725035338E-3</v>
      </c>
      <c r="CY101" s="158">
        <f t="shared" si="249"/>
        <v>5.5627171273589932E-3</v>
      </c>
      <c r="CZ101" s="158">
        <f t="shared" si="249"/>
        <v>1.935117780646585E-3</v>
      </c>
      <c r="DA101" s="158">
        <f t="shared" si="249"/>
        <v>3.0971882440123757E-3</v>
      </c>
      <c r="DB101" s="159">
        <f t="shared" si="249"/>
        <v>3.0971882440123766E-3</v>
      </c>
      <c r="DC101" s="158">
        <f t="shared" si="249"/>
        <v>1.5305932945424011E-3</v>
      </c>
      <c r="DD101" s="158">
        <f t="shared" si="249"/>
        <v>1.2866396375459193E-3</v>
      </c>
      <c r="DE101" s="158">
        <f t="shared" ref="DE101:DF101" si="250">DE100/DE84</f>
        <v>9.2891028177030687E-4</v>
      </c>
      <c r="DF101" s="158">
        <f t="shared" si="250"/>
        <v>1.6746260115582615E-3</v>
      </c>
      <c r="DG101" s="159">
        <f>DG100/DG84</f>
        <v>1.6746260115582615E-3</v>
      </c>
      <c r="DH101" s="158">
        <f t="shared" ref="DH101:DI101" si="251">DH100/DH84</f>
        <v>8.5799533346138292E-4</v>
      </c>
      <c r="DI101" s="158">
        <f t="shared" si="251"/>
        <v>1.3644824814553474E-3</v>
      </c>
      <c r="DJ101" s="160">
        <f>DI101</f>
        <v>1.3644824814553474E-3</v>
      </c>
      <c r="DK101" s="160">
        <f>DJ101</f>
        <v>1.3644824814553474E-3</v>
      </c>
      <c r="DL101" s="159">
        <f>DL100/DL84</f>
        <v>1.3644824814553471E-3</v>
      </c>
      <c r="DM101" s="160">
        <f>DK101</f>
        <v>1.3644824814553474E-3</v>
      </c>
      <c r="DN101" s="160">
        <f>DM101</f>
        <v>1.3644824814553474E-3</v>
      </c>
      <c r="DO101" s="160">
        <f>DN101</f>
        <v>1.3644824814553474E-3</v>
      </c>
      <c r="DP101" s="160">
        <f>DO101</f>
        <v>1.3644824814553474E-3</v>
      </c>
      <c r="DQ101" s="159">
        <f>DQ100/DQ84</f>
        <v>1.3644824814553476E-3</v>
      </c>
      <c r="DR101" s="160">
        <f>DP101</f>
        <v>1.3644824814553474E-3</v>
      </c>
      <c r="DS101" s="160">
        <f>DR101</f>
        <v>1.3644824814553474E-3</v>
      </c>
      <c r="DT101" s="160">
        <f>DS101</f>
        <v>1.3644824814553474E-3</v>
      </c>
      <c r="DU101" s="160">
        <f>DT101</f>
        <v>1.3644824814553474E-3</v>
      </c>
      <c r="DV101" s="159">
        <f>DV100/DV84</f>
        <v>1.3644824814553474E-3</v>
      </c>
      <c r="DW101" s="160">
        <f>DU101</f>
        <v>1.3644824814553474E-3</v>
      </c>
      <c r="DX101" s="160">
        <f>DW101</f>
        <v>1.3644824814553474E-3</v>
      </c>
      <c r="DY101" s="160">
        <f>DX101</f>
        <v>1.3644824814553474E-3</v>
      </c>
      <c r="DZ101" s="160">
        <f>DY101</f>
        <v>1.3644824814553474E-3</v>
      </c>
      <c r="EA101" s="159">
        <f>EA100/EA84</f>
        <v>1.3644824814553476E-3</v>
      </c>
      <c r="EB101" s="160">
        <f>DZ101</f>
        <v>1.3644824814553474E-3</v>
      </c>
      <c r="EC101" s="160">
        <f>EB101</f>
        <v>1.3644824814553474E-3</v>
      </c>
      <c r="ED101" s="160">
        <f>EC101</f>
        <v>1.3644824814553474E-3</v>
      </c>
      <c r="EE101" s="160">
        <f>ED101</f>
        <v>1.3644824814553474E-3</v>
      </c>
      <c r="EF101" s="159">
        <f>EF100/EF84</f>
        <v>1.3644824814553474E-3</v>
      </c>
    </row>
    <row r="102" spans="1:136" ht="12" customHeight="1" outlineLevel="1"/>
    <row r="103" spans="1:136" s="3" customFormat="1" ht="12" customHeight="1" outlineLevel="1">
      <c r="A103" s="15" t="s">
        <v>42</v>
      </c>
      <c r="B103" s="162">
        <f t="shared" ref="B103:K103" si="252">B36</f>
        <v>0</v>
      </c>
      <c r="C103" s="162">
        <f t="shared" si="252"/>
        <v>0</v>
      </c>
      <c r="D103" s="162">
        <f t="shared" si="252"/>
        <v>0</v>
      </c>
      <c r="E103" s="162">
        <f t="shared" si="252"/>
        <v>0</v>
      </c>
      <c r="F103" s="163">
        <f t="shared" si="252"/>
        <v>0</v>
      </c>
      <c r="G103" s="162">
        <f t="shared" si="252"/>
        <v>0</v>
      </c>
      <c r="H103" s="162">
        <f t="shared" si="252"/>
        <v>0</v>
      </c>
      <c r="I103" s="162">
        <f t="shared" si="252"/>
        <v>0</v>
      </c>
      <c r="J103" s="162">
        <f t="shared" si="252"/>
        <v>0</v>
      </c>
      <c r="K103" s="163">
        <f t="shared" si="252"/>
        <v>0</v>
      </c>
      <c r="L103" s="162">
        <f t="shared" ref="L103:BN103" si="253">L36</f>
        <v>0</v>
      </c>
      <c r="M103" s="162">
        <f t="shared" si="253"/>
        <v>0</v>
      </c>
      <c r="N103" s="162">
        <f t="shared" si="253"/>
        <v>0</v>
      </c>
      <c r="O103" s="162">
        <f t="shared" si="253"/>
        <v>0</v>
      </c>
      <c r="P103" s="163">
        <f t="shared" si="253"/>
        <v>0</v>
      </c>
      <c r="Q103" s="162">
        <f t="shared" si="253"/>
        <v>0</v>
      </c>
      <c r="R103" s="162">
        <f t="shared" si="253"/>
        <v>0</v>
      </c>
      <c r="S103" s="162">
        <f t="shared" si="253"/>
        <v>0</v>
      </c>
      <c r="T103" s="162">
        <f t="shared" si="253"/>
        <v>0</v>
      </c>
      <c r="U103" s="163">
        <f t="shared" si="253"/>
        <v>0</v>
      </c>
      <c r="V103" s="162">
        <f t="shared" si="253"/>
        <v>0</v>
      </c>
      <c r="W103" s="162">
        <f t="shared" si="253"/>
        <v>0</v>
      </c>
      <c r="X103" s="162">
        <f t="shared" si="253"/>
        <v>0</v>
      </c>
      <c r="Y103" s="162">
        <f t="shared" si="253"/>
        <v>0</v>
      </c>
      <c r="Z103" s="163">
        <f t="shared" si="253"/>
        <v>0</v>
      </c>
      <c r="AA103" s="162">
        <f t="shared" si="253"/>
        <v>0</v>
      </c>
      <c r="AB103" s="162">
        <f t="shared" si="253"/>
        <v>0</v>
      </c>
      <c r="AC103" s="162">
        <f t="shared" si="253"/>
        <v>0</v>
      </c>
      <c r="AD103" s="162">
        <f t="shared" si="253"/>
        <v>0</v>
      </c>
      <c r="AE103" s="163">
        <f t="shared" si="253"/>
        <v>0</v>
      </c>
      <c r="AF103" s="162">
        <f t="shared" si="253"/>
        <v>0</v>
      </c>
      <c r="AG103" s="162">
        <f t="shared" si="253"/>
        <v>0</v>
      </c>
      <c r="AH103" s="162">
        <f t="shared" si="253"/>
        <v>0</v>
      </c>
      <c r="AI103" s="162">
        <f t="shared" si="253"/>
        <v>0</v>
      </c>
      <c r="AJ103" s="163">
        <f t="shared" si="253"/>
        <v>0</v>
      </c>
      <c r="AK103" s="162">
        <f t="shared" si="253"/>
        <v>0</v>
      </c>
      <c r="AL103" s="162">
        <f t="shared" si="253"/>
        <v>0</v>
      </c>
      <c r="AM103" s="162">
        <f t="shared" si="253"/>
        <v>0</v>
      </c>
      <c r="AN103" s="162">
        <f t="shared" si="253"/>
        <v>0</v>
      </c>
      <c r="AO103" s="163">
        <f t="shared" si="253"/>
        <v>0</v>
      </c>
      <c r="AP103" s="162">
        <f t="shared" si="253"/>
        <v>0</v>
      </c>
      <c r="AQ103" s="162">
        <f t="shared" si="253"/>
        <v>0</v>
      </c>
      <c r="AR103" s="162">
        <f t="shared" si="253"/>
        <v>0</v>
      </c>
      <c r="AS103" s="162">
        <f t="shared" si="253"/>
        <v>0</v>
      </c>
      <c r="AT103" s="163">
        <f t="shared" si="253"/>
        <v>0</v>
      </c>
      <c r="AU103" s="162">
        <f t="shared" si="253"/>
        <v>0</v>
      </c>
      <c r="AV103" s="162">
        <f t="shared" si="253"/>
        <v>0</v>
      </c>
      <c r="AW103" s="162">
        <f t="shared" si="253"/>
        <v>0</v>
      </c>
      <c r="AX103" s="162">
        <f t="shared" si="253"/>
        <v>15670</v>
      </c>
      <c r="AY103" s="163">
        <f t="shared" si="253"/>
        <v>15670</v>
      </c>
      <c r="AZ103" s="162">
        <f t="shared" si="253"/>
        <v>0</v>
      </c>
      <c r="BA103" s="162">
        <f t="shared" si="253"/>
        <v>0</v>
      </c>
      <c r="BB103" s="162">
        <f t="shared" si="253"/>
        <v>0</v>
      </c>
      <c r="BC103" s="162">
        <f t="shared" si="253"/>
        <v>9007</v>
      </c>
      <c r="BD103" s="163">
        <f t="shared" si="253"/>
        <v>9007</v>
      </c>
      <c r="BE103" s="162">
        <f t="shared" si="253"/>
        <v>0</v>
      </c>
      <c r="BF103" s="162">
        <f t="shared" si="253"/>
        <v>0</v>
      </c>
      <c r="BG103" s="162">
        <f t="shared" si="253"/>
        <v>0</v>
      </c>
      <c r="BH103" s="162">
        <f t="shared" si="253"/>
        <v>6580</v>
      </c>
      <c r="BI103" s="163">
        <f t="shared" si="253"/>
        <v>6580</v>
      </c>
      <c r="BJ103" s="162">
        <f t="shared" si="253"/>
        <v>0</v>
      </c>
      <c r="BK103" s="162">
        <f t="shared" si="253"/>
        <v>0</v>
      </c>
      <c r="BL103" s="162">
        <f t="shared" si="253"/>
        <v>0</v>
      </c>
      <c r="BM103" s="162">
        <f t="shared" si="253"/>
        <v>7859</v>
      </c>
      <c r="BN103" s="163">
        <f t="shared" si="253"/>
        <v>7859</v>
      </c>
      <c r="BO103" s="162">
        <f t="shared" ref="BO103:DD103" si="254">BO36</f>
        <v>0</v>
      </c>
      <c r="BP103" s="162">
        <f t="shared" si="254"/>
        <v>0</v>
      </c>
      <c r="BQ103" s="162">
        <f t="shared" si="254"/>
        <v>0</v>
      </c>
      <c r="BR103" s="162">
        <f t="shared" si="254"/>
        <v>6357</v>
      </c>
      <c r="BS103" s="163">
        <f t="shared" si="254"/>
        <v>6357</v>
      </c>
      <c r="BT103" s="162">
        <f t="shared" si="254"/>
        <v>0</v>
      </c>
      <c r="BU103" s="162">
        <f t="shared" si="254"/>
        <v>0</v>
      </c>
      <c r="BV103" s="162">
        <f t="shared" si="254"/>
        <v>0</v>
      </c>
      <c r="BW103" s="162">
        <f t="shared" si="254"/>
        <v>7193</v>
      </c>
      <c r="BX103" s="163">
        <f t="shared" si="254"/>
        <v>7193</v>
      </c>
      <c r="BY103" s="162">
        <f t="shared" si="254"/>
        <v>0</v>
      </c>
      <c r="BZ103" s="162">
        <f t="shared" si="254"/>
        <v>0</v>
      </c>
      <c r="CA103" s="162">
        <f t="shared" si="254"/>
        <v>0</v>
      </c>
      <c r="CB103" s="162">
        <f t="shared" si="254"/>
        <v>8810</v>
      </c>
      <c r="CC103" s="163">
        <f t="shared" si="254"/>
        <v>8810</v>
      </c>
      <c r="CD103" s="162">
        <f t="shared" si="254"/>
        <v>8131</v>
      </c>
      <c r="CE103" s="162">
        <f t="shared" si="254"/>
        <v>6957</v>
      </c>
      <c r="CF103" s="162">
        <f t="shared" si="254"/>
        <v>9230</v>
      </c>
      <c r="CG103" s="162">
        <f t="shared" si="254"/>
        <v>9201</v>
      </c>
      <c r="CH103" s="163">
        <f t="shared" si="254"/>
        <v>9201</v>
      </c>
      <c r="CI103" s="162">
        <f t="shared" si="254"/>
        <v>9385</v>
      </c>
      <c r="CJ103" s="162">
        <f t="shared" si="254"/>
        <v>8745</v>
      </c>
      <c r="CK103" s="162">
        <f t="shared" si="254"/>
        <v>9271</v>
      </c>
      <c r="CL103" s="162">
        <f t="shared" si="254"/>
        <v>8366</v>
      </c>
      <c r="CM103" s="163">
        <f t="shared" si="254"/>
        <v>8366</v>
      </c>
      <c r="CN103" s="162">
        <f t="shared" si="254"/>
        <v>10182</v>
      </c>
      <c r="CO103" s="162">
        <f t="shared" si="254"/>
        <v>12518</v>
      </c>
      <c r="CP103" s="162">
        <f t="shared" si="254"/>
        <v>12142</v>
      </c>
      <c r="CQ103" s="162">
        <f t="shared" si="254"/>
        <v>14840</v>
      </c>
      <c r="CR103" s="163">
        <f t="shared" si="254"/>
        <v>14840</v>
      </c>
      <c r="CS103" s="162">
        <f t="shared" si="254"/>
        <v>14924</v>
      </c>
      <c r="CT103" s="162">
        <f t="shared" si="254"/>
        <v>14002</v>
      </c>
      <c r="CU103" s="162">
        <f t="shared" si="254"/>
        <v>16903</v>
      </c>
      <c r="CV103" s="162">
        <f t="shared" si="254"/>
        <v>19051</v>
      </c>
      <c r="CW103" s="163">
        <f t="shared" si="254"/>
        <v>19051</v>
      </c>
      <c r="CX103" s="162">
        <f t="shared" si="254"/>
        <v>17695</v>
      </c>
      <c r="CY103" s="162">
        <f t="shared" si="254"/>
        <v>19541</v>
      </c>
      <c r="CZ103" s="162">
        <f t="shared" si="254"/>
        <v>20725</v>
      </c>
      <c r="DA103" s="162">
        <f t="shared" si="254"/>
        <v>27898</v>
      </c>
      <c r="DB103" s="163">
        <f t="shared" si="254"/>
        <v>27898</v>
      </c>
      <c r="DC103" s="162">
        <f t="shared" si="254"/>
        <v>24510</v>
      </c>
      <c r="DD103" s="162">
        <f t="shared" si="254"/>
        <v>30682</v>
      </c>
      <c r="DE103" s="162">
        <f t="shared" ref="DE103:DF103" si="255">DE36</f>
        <v>39048</v>
      </c>
      <c r="DF103" s="162">
        <f t="shared" si="255"/>
        <v>42103</v>
      </c>
      <c r="DG103" s="163">
        <f>DG36</f>
        <v>42103</v>
      </c>
      <c r="DH103" s="162">
        <f t="shared" ref="DH103:DI103" si="256">DH36</f>
        <v>40189</v>
      </c>
      <c r="DI103" s="162">
        <f t="shared" si="256"/>
        <v>45828</v>
      </c>
      <c r="DJ103" s="153">
        <f>DJ104*DJ84</f>
        <v>47683.978617164074</v>
      </c>
      <c r="DK103" s="153">
        <f>DK104*DK84</f>
        <v>51961.214141374199</v>
      </c>
      <c r="DL103" s="163">
        <f>DL36</f>
        <v>51961.214141374199</v>
      </c>
      <c r="DM103" s="153">
        <f>DM104*DM84</f>
        <v>52914.572971878304</v>
      </c>
      <c r="DN103" s="153">
        <f>DN104*DN84</f>
        <v>55145.111671952262</v>
      </c>
      <c r="DO103" s="153">
        <f>DO104*DO84</f>
        <v>56550.299898407648</v>
      </c>
      <c r="DP103" s="153">
        <f>DP104*DP84</f>
        <v>57176.147986137628</v>
      </c>
      <c r="DQ103" s="163">
        <f>DQ36</f>
        <v>57176.147986137628</v>
      </c>
      <c r="DR103" s="153">
        <f>DR104*DR84</f>
        <v>58278.876177132595</v>
      </c>
      <c r="DS103" s="153">
        <f>DS104*DS84</f>
        <v>59276.977603872641</v>
      </c>
      <c r="DT103" s="153">
        <f>DT104*DT84</f>
        <v>60303.415054316676</v>
      </c>
      <c r="DU103" s="153">
        <f>DU104*DU84</f>
        <v>61224.753394208696</v>
      </c>
      <c r="DV103" s="163">
        <f>DV36</f>
        <v>61224.753394208696</v>
      </c>
      <c r="DW103" s="153">
        <f>DW104*DW84</f>
        <v>62081.112378837592</v>
      </c>
      <c r="DX103" s="153">
        <f>DX104*DX84</f>
        <v>62957.707424358327</v>
      </c>
      <c r="DY103" s="153">
        <f>DY104*DY84</f>
        <v>63790.205962064785</v>
      </c>
      <c r="DZ103" s="153">
        <f>DZ104*DZ84</f>
        <v>64605.858177571499</v>
      </c>
      <c r="EA103" s="163">
        <f>EA36</f>
        <v>64605.858177571499</v>
      </c>
      <c r="EB103" s="153">
        <f>EB104*EB84</f>
        <v>65384.007576655211</v>
      </c>
      <c r="EC103" s="153">
        <f>EC104*EC84</f>
        <v>66146.408049831007</v>
      </c>
      <c r="ED103" s="153">
        <f>ED104*ED84</f>
        <v>66893.160120367684</v>
      </c>
      <c r="EE103" s="153">
        <f>EE104*EE84</f>
        <v>67646.527834588152</v>
      </c>
      <c r="EF103" s="163">
        <f>EF36</f>
        <v>67646.527834588152</v>
      </c>
    </row>
    <row r="104" spans="1:136" ht="12" customHeight="1" outlineLevel="1">
      <c r="A104" s="143" t="s">
        <v>100</v>
      </c>
      <c r="B104" s="158" t="e">
        <f t="shared" ref="B104:K104" si="257">B103/B84</f>
        <v>#REF!</v>
      </c>
      <c r="C104" s="158" t="e">
        <f t="shared" si="257"/>
        <v>#REF!</v>
      </c>
      <c r="D104" s="158" t="e">
        <f t="shared" si="257"/>
        <v>#REF!</v>
      </c>
      <c r="E104" s="158" t="e">
        <f t="shared" si="257"/>
        <v>#REF!</v>
      </c>
      <c r="F104" s="159" t="e">
        <f t="shared" si="257"/>
        <v>#REF!</v>
      </c>
      <c r="G104" s="158" t="e">
        <f t="shared" si="257"/>
        <v>#REF!</v>
      </c>
      <c r="H104" s="158" t="e">
        <f t="shared" si="257"/>
        <v>#REF!</v>
      </c>
      <c r="I104" s="158" t="e">
        <f t="shared" si="257"/>
        <v>#REF!</v>
      </c>
      <c r="J104" s="158" t="e">
        <f t="shared" si="257"/>
        <v>#REF!</v>
      </c>
      <c r="K104" s="159" t="e">
        <f t="shared" si="257"/>
        <v>#DIV/0!</v>
      </c>
      <c r="L104" s="158" t="e">
        <f t="shared" ref="L104:BN104" si="258">L103/L84</f>
        <v>#REF!</v>
      </c>
      <c r="M104" s="158" t="e">
        <f t="shared" si="258"/>
        <v>#REF!</v>
      </c>
      <c r="N104" s="158" t="e">
        <f t="shared" si="258"/>
        <v>#REF!</v>
      </c>
      <c r="O104" s="158" t="e">
        <f t="shared" si="258"/>
        <v>#REF!</v>
      </c>
      <c r="P104" s="159" t="e">
        <f t="shared" si="258"/>
        <v>#DIV/0!</v>
      </c>
      <c r="Q104" s="158" t="e">
        <f t="shared" si="258"/>
        <v>#REF!</v>
      </c>
      <c r="R104" s="158" t="e">
        <f t="shared" si="258"/>
        <v>#REF!</v>
      </c>
      <c r="S104" s="158" t="e">
        <f t="shared" si="258"/>
        <v>#REF!</v>
      </c>
      <c r="T104" s="158" t="e">
        <f t="shared" si="258"/>
        <v>#REF!</v>
      </c>
      <c r="U104" s="159" t="e">
        <f t="shared" si="258"/>
        <v>#DIV/0!</v>
      </c>
      <c r="V104" s="158" t="e">
        <f t="shared" si="258"/>
        <v>#REF!</v>
      </c>
      <c r="W104" s="158" t="e">
        <f t="shared" si="258"/>
        <v>#REF!</v>
      </c>
      <c r="X104" s="158" t="e">
        <f t="shared" si="258"/>
        <v>#REF!</v>
      </c>
      <c r="Y104" s="158" t="e">
        <f t="shared" si="258"/>
        <v>#REF!</v>
      </c>
      <c r="Z104" s="159" t="e">
        <f t="shared" si="258"/>
        <v>#DIV/0!</v>
      </c>
      <c r="AA104" s="158" t="e">
        <f t="shared" si="258"/>
        <v>#REF!</v>
      </c>
      <c r="AB104" s="158" t="e">
        <f t="shared" si="258"/>
        <v>#REF!</v>
      </c>
      <c r="AC104" s="158" t="e">
        <f t="shared" si="258"/>
        <v>#REF!</v>
      </c>
      <c r="AD104" s="158" t="e">
        <f t="shared" si="258"/>
        <v>#REF!</v>
      </c>
      <c r="AE104" s="159" t="e">
        <f t="shared" si="258"/>
        <v>#DIV/0!</v>
      </c>
      <c r="AF104" s="158" t="e">
        <f t="shared" si="258"/>
        <v>#DIV/0!</v>
      </c>
      <c r="AG104" s="158" t="e">
        <f t="shared" si="258"/>
        <v>#DIV/0!</v>
      </c>
      <c r="AH104" s="158" t="e">
        <f t="shared" si="258"/>
        <v>#DIV/0!</v>
      </c>
      <c r="AI104" s="158" t="e">
        <f t="shared" si="258"/>
        <v>#DIV/0!</v>
      </c>
      <c r="AJ104" s="159" t="e">
        <f t="shared" si="258"/>
        <v>#DIV/0!</v>
      </c>
      <c r="AK104" s="158" t="e">
        <f t="shared" si="258"/>
        <v>#DIV/0!</v>
      </c>
      <c r="AL104" s="158" t="e">
        <f t="shared" si="258"/>
        <v>#DIV/0!</v>
      </c>
      <c r="AM104" s="158" t="e">
        <f t="shared" si="258"/>
        <v>#DIV/0!</v>
      </c>
      <c r="AN104" s="158" t="e">
        <f t="shared" si="258"/>
        <v>#DIV/0!</v>
      </c>
      <c r="AO104" s="159" t="e">
        <f t="shared" si="258"/>
        <v>#DIV/0!</v>
      </c>
      <c r="AP104" s="158" t="e">
        <f t="shared" si="258"/>
        <v>#DIV/0!</v>
      </c>
      <c r="AQ104" s="158" t="e">
        <f t="shared" si="258"/>
        <v>#DIV/0!</v>
      </c>
      <c r="AR104" s="158" t="e">
        <f t="shared" si="258"/>
        <v>#DIV/0!</v>
      </c>
      <c r="AS104" s="158" t="e">
        <f t="shared" si="258"/>
        <v>#DIV/0!</v>
      </c>
      <c r="AT104" s="159" t="e">
        <f t="shared" si="258"/>
        <v>#DIV/0!</v>
      </c>
      <c r="AU104" s="158" t="e">
        <f t="shared" si="258"/>
        <v>#DIV/0!</v>
      </c>
      <c r="AV104" s="158" t="e">
        <f t="shared" si="258"/>
        <v>#DIV/0!</v>
      </c>
      <c r="AW104" s="158" t="e">
        <f t="shared" si="258"/>
        <v>#DIV/0!</v>
      </c>
      <c r="AX104" s="158" t="e">
        <f t="shared" si="258"/>
        <v>#DIV/0!</v>
      </c>
      <c r="AY104" s="159" t="e">
        <f t="shared" si="258"/>
        <v>#DIV/0!</v>
      </c>
      <c r="AZ104" s="158" t="e">
        <f t="shared" si="258"/>
        <v>#DIV/0!</v>
      </c>
      <c r="BA104" s="158" t="e">
        <f t="shared" si="258"/>
        <v>#DIV/0!</v>
      </c>
      <c r="BB104" s="158" t="e">
        <f t="shared" si="258"/>
        <v>#DIV/0!</v>
      </c>
      <c r="BC104" s="158" t="e">
        <f t="shared" si="258"/>
        <v>#DIV/0!</v>
      </c>
      <c r="BD104" s="159" t="e">
        <f t="shared" si="258"/>
        <v>#DIV/0!</v>
      </c>
      <c r="BE104" s="158" t="e">
        <f t="shared" si="258"/>
        <v>#DIV/0!</v>
      </c>
      <c r="BF104" s="158" t="e">
        <f t="shared" si="258"/>
        <v>#DIV/0!</v>
      </c>
      <c r="BG104" s="158" t="e">
        <f t="shared" si="258"/>
        <v>#DIV/0!</v>
      </c>
      <c r="BH104" s="158">
        <f t="shared" si="258"/>
        <v>1.3640132669983417E-2</v>
      </c>
      <c r="BI104" s="159">
        <f t="shared" si="258"/>
        <v>1.3640132669983417E-2</v>
      </c>
      <c r="BJ104" s="158">
        <f t="shared" si="258"/>
        <v>0</v>
      </c>
      <c r="BK104" s="158">
        <f t="shared" si="258"/>
        <v>0</v>
      </c>
      <c r="BL104" s="158">
        <f t="shared" si="258"/>
        <v>0</v>
      </c>
      <c r="BM104" s="158">
        <f t="shared" si="258"/>
        <v>1.5044027565084227E-2</v>
      </c>
      <c r="BN104" s="159">
        <f t="shared" si="258"/>
        <v>1.5044027565084227E-2</v>
      </c>
      <c r="BO104" s="158">
        <f t="shared" ref="BO104:DD104" si="259">BO103/BO84</f>
        <v>0</v>
      </c>
      <c r="BP104" s="158">
        <f t="shared" si="259"/>
        <v>0</v>
      </c>
      <c r="BQ104" s="158">
        <f t="shared" si="259"/>
        <v>0</v>
      </c>
      <c r="BR104" s="158">
        <f t="shared" si="259"/>
        <v>1.0723684210526316E-2</v>
      </c>
      <c r="BS104" s="159">
        <f t="shared" si="259"/>
        <v>1.0723684210526316E-2</v>
      </c>
      <c r="BT104" s="158">
        <f t="shared" si="259"/>
        <v>0</v>
      </c>
      <c r="BU104" s="158">
        <f t="shared" si="259"/>
        <v>0</v>
      </c>
      <c r="BV104" s="158">
        <f t="shared" si="259"/>
        <v>0</v>
      </c>
      <c r="BW104" s="158">
        <f t="shared" si="259"/>
        <v>1.0136696730552425E-2</v>
      </c>
      <c r="BX104" s="159">
        <f t="shared" si="259"/>
        <v>1.0136696730552425E-2</v>
      </c>
      <c r="BY104" s="158">
        <f t="shared" si="259"/>
        <v>0</v>
      </c>
      <c r="BZ104" s="158">
        <f t="shared" si="259"/>
        <v>0</v>
      </c>
      <c r="CA104" s="158">
        <f t="shared" si="259"/>
        <v>0</v>
      </c>
      <c r="CB104" s="158">
        <f t="shared" si="259"/>
        <v>1.1304410978597581E-2</v>
      </c>
      <c r="CC104" s="159">
        <f t="shared" si="259"/>
        <v>1.1304410978597581E-2</v>
      </c>
      <c r="CD104" s="158">
        <f t="shared" si="259"/>
        <v>4.6934248644500106E-3</v>
      </c>
      <c r="CE104" s="158">
        <f t="shared" si="259"/>
        <v>5.7912801651026791E-3</v>
      </c>
      <c r="CF104" s="158">
        <f t="shared" si="259"/>
        <v>4.6909259196578051E-3</v>
      </c>
      <c r="CG104" s="158">
        <f t="shared" si="259"/>
        <v>7.9641444711906744E-3</v>
      </c>
      <c r="CH104" s="159">
        <f t="shared" si="259"/>
        <v>7.9641444711906744E-3</v>
      </c>
      <c r="CI104" s="158">
        <f t="shared" si="259"/>
        <v>3.886550010808626E-3</v>
      </c>
      <c r="CJ104" s="158">
        <f t="shared" si="259"/>
        <v>4.6572587731677989E-3</v>
      </c>
      <c r="CK104" s="158">
        <f t="shared" si="259"/>
        <v>3.3310625626078796E-3</v>
      </c>
      <c r="CL104" s="158">
        <f t="shared" si="259"/>
        <v>3.5609773746411249E-3</v>
      </c>
      <c r="CM104" s="159">
        <f t="shared" si="259"/>
        <v>3.5609773746411249E-3</v>
      </c>
      <c r="CN104" s="158">
        <f t="shared" si="259"/>
        <v>2.3893757961065986E-3</v>
      </c>
      <c r="CO104" s="158">
        <f t="shared" si="259"/>
        <v>4.5407570854564096E-3</v>
      </c>
      <c r="CP104" s="158">
        <f t="shared" si="259"/>
        <v>2.6417044236909234E-3</v>
      </c>
      <c r="CQ104" s="158">
        <f t="shared" si="259"/>
        <v>4.774476808892732E-3</v>
      </c>
      <c r="CR104" s="159">
        <f t="shared" si="259"/>
        <v>4.774476808892732E-3</v>
      </c>
      <c r="CS104" s="158">
        <f t="shared" si="259"/>
        <v>2.606456286132619E-3</v>
      </c>
      <c r="CT104" s="158">
        <f t="shared" si="259"/>
        <v>3.7337622717647525E-3</v>
      </c>
      <c r="CU104" s="158">
        <f t="shared" si="259"/>
        <v>2.8973100597525308E-3</v>
      </c>
      <c r="CV104" s="158">
        <f t="shared" si="259"/>
        <v>4.8628672491835946E-3</v>
      </c>
      <c r="CW104" s="159">
        <f t="shared" si="259"/>
        <v>4.8628672491835946E-3</v>
      </c>
      <c r="CX104" s="158">
        <f t="shared" si="259"/>
        <v>2.5391427076379741E-3</v>
      </c>
      <c r="CY104" s="158">
        <f t="shared" si="259"/>
        <v>4.1695840193986229E-3</v>
      </c>
      <c r="CZ104" s="158">
        <f t="shared" si="259"/>
        <v>2.6697720678937873E-3</v>
      </c>
      <c r="DA104" s="158">
        <f t="shared" si="259"/>
        <v>5.0728208554838995E-3</v>
      </c>
      <c r="DB104" s="159">
        <f t="shared" si="259"/>
        <v>5.0728208554839003E-3</v>
      </c>
      <c r="DC104" s="158">
        <f t="shared" si="259"/>
        <v>2.4619268702739368E-3</v>
      </c>
      <c r="DD104" s="158">
        <f t="shared" si="259"/>
        <v>4.7470751995170634E-3</v>
      </c>
      <c r="DE104" s="158">
        <f t="shared" ref="DE104:DF104" si="260">DE103/DE84</f>
        <v>3.7858353702710512E-3</v>
      </c>
      <c r="DF104" s="158">
        <f t="shared" si="260"/>
        <v>6.0221027472358631E-3</v>
      </c>
      <c r="DG104" s="159">
        <f>DG103/DG84</f>
        <v>6.0221027472358631E-3</v>
      </c>
      <c r="DH104" s="158">
        <f t="shared" ref="DH104:DI104" si="261">DH103/DH84</f>
        <v>3.3631107438290763E-3</v>
      </c>
      <c r="DI104" s="158">
        <f t="shared" si="261"/>
        <v>6.8325506075323046E-3</v>
      </c>
      <c r="DJ104" s="160">
        <f>DI104</f>
        <v>6.8325506075323046E-3</v>
      </c>
      <c r="DK104" s="160">
        <f>DJ104</f>
        <v>6.8325506075323046E-3</v>
      </c>
      <c r="DL104" s="159">
        <f>DL103/DL84</f>
        <v>6.8325506075323037E-3</v>
      </c>
      <c r="DM104" s="160">
        <f>DK104</f>
        <v>6.8325506075323046E-3</v>
      </c>
      <c r="DN104" s="160">
        <f>DM104</f>
        <v>6.8325506075323046E-3</v>
      </c>
      <c r="DO104" s="160">
        <f>DN104</f>
        <v>6.8325506075323046E-3</v>
      </c>
      <c r="DP104" s="160">
        <f>DO104</f>
        <v>6.8325506075323046E-3</v>
      </c>
      <c r="DQ104" s="159">
        <f>DQ103/DQ84</f>
        <v>6.8325506075323054E-3</v>
      </c>
      <c r="DR104" s="160">
        <f>DP104</f>
        <v>6.8325506075323046E-3</v>
      </c>
      <c r="DS104" s="160">
        <f>DR104</f>
        <v>6.8325506075323046E-3</v>
      </c>
      <c r="DT104" s="160">
        <f>DS104</f>
        <v>6.8325506075323046E-3</v>
      </c>
      <c r="DU104" s="160">
        <f>DT104</f>
        <v>6.8325506075323046E-3</v>
      </c>
      <c r="DV104" s="159">
        <f>DV103/DV84</f>
        <v>6.8325506075323046E-3</v>
      </c>
      <c r="DW104" s="160">
        <f>DU104</f>
        <v>6.8325506075323046E-3</v>
      </c>
      <c r="DX104" s="160">
        <f>DW104</f>
        <v>6.8325506075323046E-3</v>
      </c>
      <c r="DY104" s="160">
        <f>DX104</f>
        <v>6.8325506075323046E-3</v>
      </c>
      <c r="DZ104" s="160">
        <f>DY104</f>
        <v>6.8325506075323046E-3</v>
      </c>
      <c r="EA104" s="159">
        <f>EA103/EA84</f>
        <v>6.8325506075323063E-3</v>
      </c>
      <c r="EB104" s="160">
        <f>DZ104</f>
        <v>6.8325506075323046E-3</v>
      </c>
      <c r="EC104" s="160">
        <f>EB104</f>
        <v>6.8325506075323046E-3</v>
      </c>
      <c r="ED104" s="160">
        <f>EC104</f>
        <v>6.8325506075323046E-3</v>
      </c>
      <c r="EE104" s="160">
        <f>ED104</f>
        <v>6.8325506075323046E-3</v>
      </c>
      <c r="EF104" s="159">
        <f>EF103/EF84</f>
        <v>6.8325506075323037E-3</v>
      </c>
    </row>
    <row r="105" spans="1:136" ht="12" customHeight="1"/>
    <row r="106" spans="1:136" s="8" customFormat="1" ht="12" customHeight="1" thickBot="1">
      <c r="A106" s="4" t="s">
        <v>213</v>
      </c>
      <c r="B106" s="30" t="str">
        <f>Macro!B$9</f>
        <v>1Q04</v>
      </c>
      <c r="C106" s="30" t="str">
        <f>Macro!C$9</f>
        <v>2Q04</v>
      </c>
      <c r="D106" s="30" t="str">
        <f>Macro!D$9</f>
        <v>3Q04</v>
      </c>
      <c r="E106" s="31" t="str">
        <f>Macro!E$9</f>
        <v>4Q04</v>
      </c>
      <c r="F106" s="29" t="str">
        <f>Macro!F$9</f>
        <v>2004</v>
      </c>
      <c r="G106" s="30" t="str">
        <f>Macro!G$9</f>
        <v>1Q05</v>
      </c>
      <c r="H106" s="30" t="str">
        <f>Macro!H$9</f>
        <v>2Q05</v>
      </c>
      <c r="I106" s="30" t="str">
        <f>Macro!I$9</f>
        <v>3Q05</v>
      </c>
      <c r="J106" s="31" t="str">
        <f>Macro!J$9</f>
        <v>4Q05</v>
      </c>
      <c r="K106" s="29" t="str">
        <f>Macro!K$9</f>
        <v>2005</v>
      </c>
      <c r="L106" s="30" t="str">
        <f>Macro!L$9</f>
        <v>1Q06</v>
      </c>
      <c r="M106" s="30" t="str">
        <f>Macro!M$9</f>
        <v>2Q06</v>
      </c>
      <c r="N106" s="30" t="str">
        <f>Macro!N$9</f>
        <v>3Q06</v>
      </c>
      <c r="O106" s="31" t="str">
        <f>Macro!O$9</f>
        <v>4Q06</v>
      </c>
      <c r="P106" s="29" t="str">
        <f>Macro!P$9</f>
        <v>2006</v>
      </c>
      <c r="Q106" s="30" t="str">
        <f>Macro!Q$9</f>
        <v>1Q07</v>
      </c>
      <c r="R106" s="30" t="str">
        <f>Macro!R$9</f>
        <v>2Q07</v>
      </c>
      <c r="S106" s="30" t="str">
        <f>Macro!S$9</f>
        <v>3Q07</v>
      </c>
      <c r="T106" s="31" t="str">
        <f>Macro!T$9</f>
        <v>4Q07</v>
      </c>
      <c r="U106" s="29" t="str">
        <f>Macro!U$9</f>
        <v>2007</v>
      </c>
      <c r="V106" s="30" t="str">
        <f>Macro!V$9</f>
        <v>1Q08</v>
      </c>
      <c r="W106" s="30" t="str">
        <f>Macro!W$9</f>
        <v>2Q08</v>
      </c>
      <c r="X106" s="30" t="str">
        <f>Macro!X$9</f>
        <v>3Q08</v>
      </c>
      <c r="Y106" s="31" t="str">
        <f>Macro!Y$9</f>
        <v>4Q08</v>
      </c>
      <c r="Z106" s="29" t="str">
        <f>Macro!Z$9</f>
        <v>2008</v>
      </c>
      <c r="AA106" s="30" t="str">
        <f>Macro!AA$9</f>
        <v>1Q09</v>
      </c>
      <c r="AB106" s="30" t="str">
        <f>Macro!AB$9</f>
        <v>2Q09</v>
      </c>
      <c r="AC106" s="30" t="str">
        <f>Macro!AC$9</f>
        <v>3Q09</v>
      </c>
      <c r="AD106" s="31" t="str">
        <f>Macro!AD$9</f>
        <v>4Q09</v>
      </c>
      <c r="AE106" s="29" t="str">
        <f>Macro!AE$9</f>
        <v>2009</v>
      </c>
      <c r="AF106" s="30" t="str">
        <f>Macro!AF$9</f>
        <v>1Q10</v>
      </c>
      <c r="AG106" s="30" t="str">
        <f>Macro!AG$9</f>
        <v>2Q10</v>
      </c>
      <c r="AH106" s="30" t="str">
        <f>Macro!AH$9</f>
        <v>3Q10</v>
      </c>
      <c r="AI106" s="31" t="str">
        <f>Macro!AI$9</f>
        <v>4Q10</v>
      </c>
      <c r="AJ106" s="29" t="str">
        <f>Macro!AJ$9</f>
        <v>2010</v>
      </c>
      <c r="AK106" s="30" t="str">
        <f>Macro!AK$9</f>
        <v>1Q11</v>
      </c>
      <c r="AL106" s="30" t="str">
        <f>Macro!AL$9</f>
        <v>2Q11</v>
      </c>
      <c r="AM106" s="30" t="str">
        <f>Macro!AM$9</f>
        <v>3Q11</v>
      </c>
      <c r="AN106" s="31" t="str">
        <f>Macro!AN$9</f>
        <v>4Q11</v>
      </c>
      <c r="AO106" s="29" t="str">
        <f>Macro!AO$9</f>
        <v>2011</v>
      </c>
      <c r="AP106" s="30" t="str">
        <f>Macro!AP$9</f>
        <v>1Q12</v>
      </c>
      <c r="AQ106" s="30" t="str">
        <f>Macro!AQ$9</f>
        <v>2Q12</v>
      </c>
      <c r="AR106" s="30" t="str">
        <f>Macro!AR$9</f>
        <v>3Q12</v>
      </c>
      <c r="AS106" s="31" t="str">
        <f>Macro!AS$9</f>
        <v>4Q12</v>
      </c>
      <c r="AT106" s="29" t="str">
        <f>Macro!AT$9</f>
        <v>2012</v>
      </c>
      <c r="AU106" s="30" t="str">
        <f>Macro!AU$9</f>
        <v>1Q13</v>
      </c>
      <c r="AV106" s="30" t="str">
        <f>Macro!AV$9</f>
        <v>2Q13</v>
      </c>
      <c r="AW106" s="30" t="str">
        <f>Macro!AW$9</f>
        <v>3Q13</v>
      </c>
      <c r="AX106" s="31" t="str">
        <f>Macro!AX$9</f>
        <v>4Q13</v>
      </c>
      <c r="AY106" s="29" t="str">
        <f>Macro!AY$9</f>
        <v>2013</v>
      </c>
      <c r="AZ106" s="30" t="str">
        <f>Macro!AZ$9</f>
        <v>1Q14</v>
      </c>
      <c r="BA106" s="30" t="str">
        <f>Macro!BA$9</f>
        <v>2Q14</v>
      </c>
      <c r="BB106" s="30" t="str">
        <f>Macro!BB$9</f>
        <v>3Q14</v>
      </c>
      <c r="BC106" s="31" t="str">
        <f>Macro!BC$9</f>
        <v>4Q14</v>
      </c>
      <c r="BD106" s="29" t="str">
        <f>Macro!BD$9</f>
        <v>2014</v>
      </c>
      <c r="BE106" s="30" t="str">
        <f>Macro!BE$9</f>
        <v>1Q15</v>
      </c>
      <c r="BF106" s="30" t="str">
        <f>Macro!BF$9</f>
        <v>2Q15</v>
      </c>
      <c r="BG106" s="30" t="str">
        <f>Macro!BG$9</f>
        <v>3Q15</v>
      </c>
      <c r="BH106" s="31" t="str">
        <f>Macro!BH$9</f>
        <v>4Q15</v>
      </c>
      <c r="BI106" s="29" t="str">
        <f>Macro!BI$9</f>
        <v>2015</v>
      </c>
      <c r="BJ106" s="30" t="str">
        <f>Macro!BJ$9</f>
        <v>1Q16</v>
      </c>
      <c r="BK106" s="30" t="str">
        <f>Macro!BK$9</f>
        <v>2Q16</v>
      </c>
      <c r="BL106" s="30" t="str">
        <f>Macro!BL$9</f>
        <v>3Q16</v>
      </c>
      <c r="BM106" s="31" t="str">
        <f>Macro!BM$9</f>
        <v>4Q16</v>
      </c>
      <c r="BN106" s="29" t="str">
        <f>Macro!BN$9</f>
        <v>2016</v>
      </c>
      <c r="BO106" s="30" t="str">
        <f>Macro!BO$9</f>
        <v>1Q17</v>
      </c>
      <c r="BP106" s="30" t="str">
        <f>Macro!BP$9</f>
        <v>2Q17</v>
      </c>
      <c r="BQ106" s="30" t="str">
        <f>Macro!BQ$9</f>
        <v>3Q17</v>
      </c>
      <c r="BR106" s="31" t="str">
        <f>Macro!BR$9</f>
        <v>4Q17</v>
      </c>
      <c r="BS106" s="29" t="str">
        <f>Macro!BS$9</f>
        <v>2017</v>
      </c>
      <c r="BT106" s="30" t="str">
        <f>Macro!BT$9</f>
        <v>1Q18</v>
      </c>
      <c r="BU106" s="30" t="str">
        <f>Macro!BU$9</f>
        <v>2Q18</v>
      </c>
      <c r="BV106" s="30" t="str">
        <f>Macro!BV$9</f>
        <v>3Q18</v>
      </c>
      <c r="BW106" s="31" t="str">
        <f>Macro!BW$9</f>
        <v>4Q18</v>
      </c>
      <c r="BX106" s="29" t="str">
        <f>Macro!BX$9</f>
        <v>2018</v>
      </c>
      <c r="BY106" s="30" t="str">
        <f>Macro!BY$9</f>
        <v>1Q19</v>
      </c>
      <c r="BZ106" s="30" t="str">
        <f>Macro!BZ$9</f>
        <v>2Q19</v>
      </c>
      <c r="CA106" s="30" t="str">
        <f>Macro!CA$9</f>
        <v>3Q19</v>
      </c>
      <c r="CB106" s="31" t="str">
        <f>Macro!CB$9</f>
        <v>4Q19</v>
      </c>
      <c r="CC106" s="29" t="str">
        <f>Macro!CC$9</f>
        <v>2019</v>
      </c>
      <c r="CD106" s="30" t="str">
        <f>Macro!CD$9</f>
        <v>1Q20</v>
      </c>
      <c r="CE106" s="30" t="str">
        <f>Macro!CE$9</f>
        <v>2Q20</v>
      </c>
      <c r="CF106" s="30" t="str">
        <f>Macro!CF$9</f>
        <v>3Q20</v>
      </c>
      <c r="CG106" s="31" t="str">
        <f>Macro!CG$9</f>
        <v>4Q20</v>
      </c>
      <c r="CH106" s="29" t="str">
        <f>Macro!CH$9</f>
        <v>2020</v>
      </c>
      <c r="CI106" s="30" t="str">
        <f>Macro!CI$9</f>
        <v>1Q21</v>
      </c>
      <c r="CJ106" s="30" t="str">
        <f>Macro!CJ$9</f>
        <v>2Q21</v>
      </c>
      <c r="CK106" s="30" t="str">
        <f>Macro!CK$9</f>
        <v>3Q21</v>
      </c>
      <c r="CL106" s="31" t="str">
        <f>Macro!CL$9</f>
        <v>4Q21</v>
      </c>
      <c r="CM106" s="29" t="str">
        <f>Macro!CM$9</f>
        <v>2021</v>
      </c>
      <c r="CN106" s="30" t="str">
        <f>Macro!CN$9</f>
        <v>1Q22</v>
      </c>
      <c r="CO106" s="30" t="str">
        <f>Macro!CO$9</f>
        <v>2Q22</v>
      </c>
      <c r="CP106" s="30" t="str">
        <f>Macro!CP$9</f>
        <v>3Q22</v>
      </c>
      <c r="CQ106" s="31" t="str">
        <f>Macro!CQ$9</f>
        <v>4Q22</v>
      </c>
      <c r="CR106" s="29" t="str">
        <f>Macro!CR$9</f>
        <v>2022</v>
      </c>
      <c r="CS106" s="30" t="str">
        <f>Macro!CS$9</f>
        <v>1Q23</v>
      </c>
      <c r="CT106" s="30" t="str">
        <f>Macro!CT$9</f>
        <v>2Q23</v>
      </c>
      <c r="CU106" s="30" t="str">
        <f>Macro!CU$9</f>
        <v>3Q23</v>
      </c>
      <c r="CV106" s="31" t="str">
        <f>Macro!CV$9</f>
        <v>4Q23</v>
      </c>
      <c r="CW106" s="29" t="str">
        <f>Macro!CW$9</f>
        <v>2023</v>
      </c>
      <c r="CX106" s="30" t="str">
        <f>Macro!CX$9</f>
        <v>1Q24</v>
      </c>
      <c r="CY106" s="30" t="str">
        <f>Macro!CY$9</f>
        <v>2Q24</v>
      </c>
      <c r="CZ106" s="30" t="str">
        <f>Macro!CZ$9</f>
        <v>3Q24</v>
      </c>
      <c r="DA106" s="31" t="str">
        <f>Macro!DA$9</f>
        <v>4Q24</v>
      </c>
      <c r="DB106" s="29" t="str">
        <f>Macro!DB$9</f>
        <v>2024</v>
      </c>
      <c r="DC106" s="30" t="str">
        <f>Macro!DC$9</f>
        <v>1Q25</v>
      </c>
      <c r="DD106" s="30" t="str">
        <f>Macro!DD$9</f>
        <v>2Q25</v>
      </c>
      <c r="DE106" s="30" t="str">
        <f>Macro!DE$9</f>
        <v>3Q25</v>
      </c>
      <c r="DF106" s="31" t="str">
        <f>Macro!DF$9</f>
        <v>4Q25</v>
      </c>
      <c r="DG106" s="29" t="str">
        <f>Macro!DG$9</f>
        <v>2025</v>
      </c>
      <c r="DH106" s="30" t="str">
        <f>Macro!DH$9</f>
        <v>1Q26</v>
      </c>
      <c r="DI106" s="30" t="str">
        <f>Macro!DI$9</f>
        <v>2Q26</v>
      </c>
      <c r="DJ106" s="30" t="str">
        <f>Macro!DJ$9</f>
        <v>3Q26E</v>
      </c>
      <c r="DK106" s="31" t="str">
        <f>Macro!DK$9</f>
        <v>4Q26E</v>
      </c>
      <c r="DL106" s="29" t="str">
        <f>Macro!DL$9</f>
        <v>2026E</v>
      </c>
      <c r="DM106" s="30" t="str">
        <f>Macro!DM$9</f>
        <v>1Q27E</v>
      </c>
      <c r="DN106" s="30" t="str">
        <f>Macro!DN$9</f>
        <v>2Q27E</v>
      </c>
      <c r="DO106" s="30" t="str">
        <f>Macro!DO$9</f>
        <v>3Q27E</v>
      </c>
      <c r="DP106" s="31" t="str">
        <f>Macro!DP$9</f>
        <v>4Q27E</v>
      </c>
      <c r="DQ106" s="29" t="str">
        <f>Macro!DQ$9</f>
        <v>2027E</v>
      </c>
      <c r="DR106" s="30" t="str">
        <f>Macro!DR$9</f>
        <v>1Q28E</v>
      </c>
      <c r="DS106" s="30" t="str">
        <f>Macro!DS$9</f>
        <v>2Q28E</v>
      </c>
      <c r="DT106" s="30" t="str">
        <f>Macro!DT$9</f>
        <v>3Q28E</v>
      </c>
      <c r="DU106" s="31" t="str">
        <f>Macro!DU$9</f>
        <v>4Q28E</v>
      </c>
      <c r="DV106" s="29" t="str">
        <f>Macro!DV$9</f>
        <v>2028E</v>
      </c>
      <c r="DW106" s="30" t="str">
        <f>Macro!DW$9</f>
        <v>1Q29E</v>
      </c>
      <c r="DX106" s="30" t="str">
        <f>Macro!DX$9</f>
        <v>2Q29E</v>
      </c>
      <c r="DY106" s="30" t="str">
        <f>Macro!DY$9</f>
        <v>3Q29E</v>
      </c>
      <c r="DZ106" s="31" t="str">
        <f>Macro!DZ$9</f>
        <v>4Q29E</v>
      </c>
      <c r="EA106" s="29" t="str">
        <f>Macro!EA$9</f>
        <v>2029E</v>
      </c>
      <c r="EB106" s="30" t="str">
        <f>Macro!EB$9</f>
        <v>1Q30E</v>
      </c>
      <c r="EC106" s="30" t="str">
        <f>Macro!EC$9</f>
        <v>2Q30E</v>
      </c>
      <c r="ED106" s="30" t="str">
        <f>Macro!ED$9</f>
        <v>3Q30E</v>
      </c>
      <c r="EE106" s="31" t="str">
        <f>Macro!EE$9</f>
        <v>4Q30E</v>
      </c>
      <c r="EF106" s="29" t="str">
        <f>Macro!EF$9</f>
        <v>2030E</v>
      </c>
    </row>
    <row r="107" spans="1:136" ht="12" customHeight="1">
      <c r="A107" s="9" t="s">
        <v>214</v>
      </c>
      <c r="B107" s="94"/>
      <c r="C107" s="94"/>
      <c r="D107" s="94"/>
      <c r="E107" s="140"/>
      <c r="F107" s="26">
        <f>E107</f>
        <v>0</v>
      </c>
      <c r="G107" s="94"/>
      <c r="H107" s="94"/>
      <c r="I107" s="94"/>
      <c r="J107" s="140"/>
      <c r="K107" s="26">
        <f>J107</f>
        <v>0</v>
      </c>
      <c r="L107" s="94"/>
      <c r="M107" s="94"/>
      <c r="N107" s="94"/>
      <c r="O107" s="140"/>
      <c r="P107" s="26">
        <f>O107</f>
        <v>0</v>
      </c>
      <c r="Q107" s="94"/>
      <c r="R107" s="94"/>
      <c r="S107" s="94"/>
      <c r="T107" s="140"/>
      <c r="U107" s="26">
        <f>T107</f>
        <v>0</v>
      </c>
      <c r="V107" s="94"/>
      <c r="W107" s="94"/>
      <c r="X107" s="94"/>
      <c r="Y107" s="140"/>
      <c r="Z107" s="26">
        <f>Y107</f>
        <v>0</v>
      </c>
      <c r="AA107" s="94"/>
      <c r="AB107" s="94"/>
      <c r="AC107" s="94"/>
      <c r="AD107" s="140"/>
      <c r="AE107" s="26">
        <f>AD107</f>
        <v>0</v>
      </c>
      <c r="AF107" s="94"/>
      <c r="AG107" s="94"/>
      <c r="AH107" s="94"/>
      <c r="AI107" s="224"/>
      <c r="AJ107" s="165">
        <f>AI107</f>
        <v>0</v>
      </c>
      <c r="AK107" s="94"/>
      <c r="AL107" s="94"/>
      <c r="AM107" s="94"/>
      <c r="AN107" s="224"/>
      <c r="AO107" s="165">
        <f>AN107</f>
        <v>0</v>
      </c>
      <c r="AP107" s="94"/>
      <c r="AQ107" s="94"/>
      <c r="AR107" s="94"/>
      <c r="AS107" s="224"/>
      <c r="AT107" s="165">
        <f>AS107</f>
        <v>0</v>
      </c>
      <c r="AU107" s="94"/>
      <c r="AV107" s="94"/>
      <c r="AW107" s="94"/>
      <c r="AX107" s="224"/>
      <c r="AY107" s="165">
        <f>AX107</f>
        <v>0</v>
      </c>
      <c r="AZ107" s="94"/>
      <c r="BA107" s="94"/>
      <c r="BB107" s="94"/>
      <c r="BC107" s="94">
        <v>707918</v>
      </c>
      <c r="BD107" s="165">
        <f>BC107</f>
        <v>707918</v>
      </c>
      <c r="BE107" s="94"/>
      <c r="BF107" s="94"/>
      <c r="BG107" s="94"/>
      <c r="BH107" s="94">
        <v>717207</v>
      </c>
      <c r="BI107" s="165">
        <f>BH107</f>
        <v>717207</v>
      </c>
      <c r="BJ107" s="94"/>
      <c r="BK107" s="94"/>
      <c r="BL107" s="94"/>
      <c r="BM107" s="94">
        <v>868619</v>
      </c>
      <c r="BN107" s="165">
        <f>BM107</f>
        <v>868619</v>
      </c>
      <c r="BO107" s="94"/>
      <c r="BP107" s="94"/>
      <c r="BQ107" s="94"/>
      <c r="BR107" s="94">
        <v>734452</v>
      </c>
      <c r="BS107" s="165">
        <f>BR107</f>
        <v>734452</v>
      </c>
      <c r="BT107" s="94"/>
      <c r="BU107" s="94"/>
      <c r="BV107" s="94"/>
      <c r="BW107" s="94">
        <v>689084</v>
      </c>
      <c r="BX107" s="165">
        <f>BW107</f>
        <v>689084</v>
      </c>
      <c r="BY107" s="94"/>
      <c r="BZ107" s="94"/>
      <c r="CA107" s="94"/>
      <c r="CB107" s="94">
        <v>670419</v>
      </c>
      <c r="CC107" s="165">
        <f>CB107</f>
        <v>670419</v>
      </c>
      <c r="CD107" s="94">
        <v>641933</v>
      </c>
      <c r="CE107" s="94">
        <v>649571</v>
      </c>
      <c r="CF107" s="94">
        <v>726078</v>
      </c>
      <c r="CG107" s="94">
        <v>778550</v>
      </c>
      <c r="CH107" s="165">
        <f>CG107</f>
        <v>778550</v>
      </c>
      <c r="CI107" s="94">
        <v>972631</v>
      </c>
      <c r="CJ107" s="94">
        <v>1172291</v>
      </c>
      <c r="CK107" s="94">
        <v>1427093</v>
      </c>
      <c r="CL107" s="94">
        <v>1560016</v>
      </c>
      <c r="CM107" s="165">
        <f>CL107</f>
        <v>1560016</v>
      </c>
      <c r="CN107" s="94">
        <v>1826371</v>
      </c>
      <c r="CO107" s="94">
        <v>2064638</v>
      </c>
      <c r="CP107" s="94">
        <v>2322205</v>
      </c>
      <c r="CQ107" s="94">
        <v>2454399</v>
      </c>
      <c r="CR107" s="165">
        <f>CQ107</f>
        <v>2454399</v>
      </c>
      <c r="CS107" s="94">
        <v>2914433</v>
      </c>
      <c r="CT107" s="94">
        <v>3245796</v>
      </c>
      <c r="CU107" s="94">
        <v>3439133</v>
      </c>
      <c r="CV107" s="94">
        <v>3501917</v>
      </c>
      <c r="CW107" s="165">
        <f>CV107</f>
        <v>3501917</v>
      </c>
      <c r="CX107" s="94">
        <v>4153406</v>
      </c>
      <c r="CY107" s="94">
        <v>4837930</v>
      </c>
      <c r="CZ107" s="94">
        <v>5203643</v>
      </c>
      <c r="DA107" s="94">
        <v>5565297</v>
      </c>
      <c r="DB107" s="165">
        <f>DA107</f>
        <v>5565297</v>
      </c>
      <c r="DC107" s="94">
        <v>6430448</v>
      </c>
      <c r="DD107" s="94">
        <v>7284016</v>
      </c>
      <c r="DE107" s="94">
        <v>7701127</v>
      </c>
      <c r="DF107" s="94">
        <v>7802275</v>
      </c>
      <c r="DG107" s="165">
        <f>DF107</f>
        <v>7802275</v>
      </c>
      <c r="DH107" s="94">
        <v>8471900</v>
      </c>
      <c r="DI107" s="94">
        <v>8831273</v>
      </c>
      <c r="DJ107" s="49">
        <f>DI107-Forecasts!DJ40+DJ112</f>
        <v>9230338.5992607754</v>
      </c>
      <c r="DK107" s="49">
        <f>DJ107-Forecasts!DK40+DK112</f>
        <v>9543417.3653678335</v>
      </c>
      <c r="DL107" s="165">
        <f>DK107</f>
        <v>9543417.3653678335</v>
      </c>
      <c r="DM107" s="49">
        <f>DL107-Forecasts!DM40+DM112</f>
        <v>9912484.7304392047</v>
      </c>
      <c r="DN107" s="49">
        <f>DM107-Forecasts!DN40+DN112</f>
        <v>10267425.996443989</v>
      </c>
      <c r="DO107" s="49">
        <f>DN107-Forecasts!DO40+DO112</f>
        <v>10605415.714015443</v>
      </c>
      <c r="DP107" s="49">
        <f>DO107-Forecasts!DP40+DP112</f>
        <v>10926968.326922832</v>
      </c>
      <c r="DQ107" s="165">
        <f>DP107</f>
        <v>10926968.326922832</v>
      </c>
      <c r="DR107" s="49">
        <f>DQ107-Forecasts!DR40+DR112</f>
        <v>11233093.455788163</v>
      </c>
      <c r="DS107" s="49">
        <f>DR107-Forecasts!DS40+DS112</f>
        <v>11525044.274936209</v>
      </c>
      <c r="DT107" s="49">
        <f>DS107-Forecasts!DT40+DT112</f>
        <v>11804140.779006494</v>
      </c>
      <c r="DU107" s="49">
        <f>DT107-Forecasts!DU40+DU112</f>
        <v>12071679.818070838</v>
      </c>
      <c r="DV107" s="165">
        <f>DU107</f>
        <v>12071679.818070838</v>
      </c>
      <c r="DW107" s="49">
        <f>DV107-Forecasts!DW40+DW112</f>
        <v>12328891.057583869</v>
      </c>
      <c r="DX107" s="49">
        <f>DW107-Forecasts!DX40+DX112</f>
        <v>12576917.879947564</v>
      </c>
      <c r="DY107" s="49">
        <f>DX107-Forecasts!DY40+DY112</f>
        <v>12816811.594715217</v>
      </c>
      <c r="DZ107" s="49">
        <f>DY107-Forecasts!DZ40+DZ112</f>
        <v>13049532.559549935</v>
      </c>
      <c r="EA107" s="165">
        <f>DZ107</f>
        <v>13049532.559549935</v>
      </c>
      <c r="EB107" s="49">
        <f>EA107-Forecasts!EB40+EB112</f>
        <v>13275954.710067891</v>
      </c>
      <c r="EC107" s="49">
        <f>EB107-Forecasts!EC40+EC112</f>
        <v>13496871.598125506</v>
      </c>
      <c r="ED107" s="49">
        <f>EC107-Forecasts!ED40+ED112</f>
        <v>13713002.922061326</v>
      </c>
      <c r="EE107" s="49">
        <f>ED107-Forecasts!EE40+EE112</f>
        <v>13925001.018910039</v>
      </c>
      <c r="EF107" s="165">
        <f>EE107</f>
        <v>13925001.018910039</v>
      </c>
    </row>
    <row r="108" spans="1:136" ht="12" customHeight="1">
      <c r="A108" s="9" t="s">
        <v>215</v>
      </c>
      <c r="B108" s="140"/>
      <c r="C108" s="140"/>
      <c r="D108" s="140"/>
      <c r="E108" s="140"/>
      <c r="F108" s="26">
        <f>E108</f>
        <v>0</v>
      </c>
      <c r="G108" s="140"/>
      <c r="H108" s="140"/>
      <c r="I108" s="140"/>
      <c r="J108" s="140"/>
      <c r="K108" s="26">
        <f>J108</f>
        <v>0</v>
      </c>
      <c r="L108" s="140"/>
      <c r="M108" s="140"/>
      <c r="N108" s="140"/>
      <c r="O108" s="140"/>
      <c r="P108" s="26">
        <f>O108</f>
        <v>0</v>
      </c>
      <c r="Q108" s="140"/>
      <c r="R108" s="140"/>
      <c r="S108" s="140"/>
      <c r="T108" s="140"/>
      <c r="U108" s="26">
        <f>T108</f>
        <v>0</v>
      </c>
      <c r="V108" s="140"/>
      <c r="W108" s="140"/>
      <c r="X108" s="140"/>
      <c r="Y108" s="140"/>
      <c r="Z108" s="26">
        <f>Y108</f>
        <v>0</v>
      </c>
      <c r="AA108" s="140"/>
      <c r="AB108" s="140"/>
      <c r="AC108" s="140"/>
      <c r="AD108" s="140"/>
      <c r="AE108" s="26">
        <f>AD108</f>
        <v>0</v>
      </c>
      <c r="AF108" s="140"/>
      <c r="AG108" s="140"/>
      <c r="AH108" s="140"/>
      <c r="AI108" s="291"/>
      <c r="AJ108" s="165">
        <f>AI108</f>
        <v>0</v>
      </c>
      <c r="AK108" s="140"/>
      <c r="AL108" s="140"/>
      <c r="AM108" s="140"/>
      <c r="AN108" s="291"/>
      <c r="AO108" s="165">
        <f>AN108</f>
        <v>0</v>
      </c>
      <c r="AP108" s="140"/>
      <c r="AQ108" s="140"/>
      <c r="AR108" s="140"/>
      <c r="AS108" s="291"/>
      <c r="AT108" s="165">
        <f>AS108</f>
        <v>0</v>
      </c>
      <c r="AU108" s="140"/>
      <c r="AV108" s="140"/>
      <c r="AW108" s="140"/>
      <c r="AX108" s="291"/>
      <c r="AY108" s="165">
        <f>AX108</f>
        <v>0</v>
      </c>
      <c r="AZ108" s="140"/>
      <c r="BA108" s="140"/>
      <c r="BB108" s="140"/>
      <c r="BC108" s="94">
        <v>-419086</v>
      </c>
      <c r="BD108" s="165">
        <f>BC108</f>
        <v>-419086</v>
      </c>
      <c r="BE108" s="140"/>
      <c r="BF108" s="140"/>
      <c r="BG108" s="140"/>
      <c r="BH108" s="94">
        <v>-533549</v>
      </c>
      <c r="BI108" s="165">
        <f>BH108</f>
        <v>-533549</v>
      </c>
      <c r="BJ108" s="140"/>
      <c r="BK108" s="140"/>
      <c r="BL108" s="140"/>
      <c r="BM108" s="94">
        <v>-539361</v>
      </c>
      <c r="BN108" s="165">
        <f>BM108</f>
        <v>-539361</v>
      </c>
      <c r="BO108" s="140"/>
      <c r="BP108" s="140"/>
      <c r="BQ108" s="140"/>
      <c r="BR108" s="94">
        <v>-549170</v>
      </c>
      <c r="BS108" s="165">
        <f>BR108</f>
        <v>-549170</v>
      </c>
      <c r="BT108" s="140"/>
      <c r="BU108" s="140"/>
      <c r="BV108" s="140"/>
      <c r="BW108" s="94">
        <v>-552148</v>
      </c>
      <c r="BX108" s="165">
        <f>BW108</f>
        <v>-552148</v>
      </c>
      <c r="BY108" s="140"/>
      <c r="BZ108" s="140"/>
      <c r="CA108" s="140"/>
      <c r="CB108" s="94">
        <v>-434256</v>
      </c>
      <c r="CC108" s="165">
        <f>CB108</f>
        <v>-434256</v>
      </c>
      <c r="CD108" s="140">
        <v>-425573</v>
      </c>
      <c r="CE108" s="140">
        <v>-409471</v>
      </c>
      <c r="CF108" s="140">
        <v>-432510</v>
      </c>
      <c r="CG108" s="94">
        <v>-475106</v>
      </c>
      <c r="CH108" s="165">
        <f>CG108</f>
        <v>-475106</v>
      </c>
      <c r="CI108" s="140">
        <v>-608581</v>
      </c>
      <c r="CJ108" s="140">
        <v>-735781</v>
      </c>
      <c r="CK108" s="140">
        <v>-872072</v>
      </c>
      <c r="CL108" s="94">
        <v>-949761</v>
      </c>
      <c r="CM108" s="165">
        <f>CL108</f>
        <v>-949761</v>
      </c>
      <c r="CN108" s="140">
        <v>-1101334</v>
      </c>
      <c r="CO108" s="140">
        <v>-1227463</v>
      </c>
      <c r="CP108" s="140">
        <v>-1343940</v>
      </c>
      <c r="CQ108" s="94">
        <v>-1426532</v>
      </c>
      <c r="CR108" s="165">
        <f>CQ108</f>
        <v>-1426532</v>
      </c>
      <c r="CS108" s="140">
        <v>-1691437</v>
      </c>
      <c r="CT108" s="140">
        <v>-1885672</v>
      </c>
      <c r="CU108" s="140">
        <v>-1996732</v>
      </c>
      <c r="CV108" s="94">
        <v>-2032161</v>
      </c>
      <c r="CW108" s="165">
        <f>CV108</f>
        <v>-2032161</v>
      </c>
      <c r="CX108" s="140">
        <v>-2404100</v>
      </c>
      <c r="CY108" s="140">
        <v>-2769753</v>
      </c>
      <c r="CZ108" s="140">
        <v>-2950257</v>
      </c>
      <c r="DA108" s="94">
        <v>-3150416</v>
      </c>
      <c r="DB108" s="165">
        <f>DA108</f>
        <v>-3150416</v>
      </c>
      <c r="DC108" s="140">
        <v>-3656268</v>
      </c>
      <c r="DD108" s="140">
        <v>-4123959</v>
      </c>
      <c r="DE108" s="140">
        <v>-4355125</v>
      </c>
      <c r="DF108" s="94">
        <v>-4420540</v>
      </c>
      <c r="DG108" s="165">
        <f>DF108</f>
        <v>-4420540</v>
      </c>
      <c r="DH108" s="140">
        <v>-4834309</v>
      </c>
      <c r="DI108" s="140">
        <v>-4988360</v>
      </c>
      <c r="DJ108" s="49">
        <f>DI108+DJ114+Forecasts!DJ40*(1-'Income Statement'!DJ71)</f>
        <v>-5239376.1671551969</v>
      </c>
      <c r="DK108" s="49">
        <f>DJ108+DK114+Forecasts!DK40*(1-'Income Statement'!DK71)</f>
        <v>-5442083.9026092384</v>
      </c>
      <c r="DL108" s="165">
        <f>DK108</f>
        <v>-5442083.9026092384</v>
      </c>
      <c r="DM108" s="49">
        <f>DL108+DM114+Forecasts!DM40*(1-'Income Statement'!DM71)</f>
        <v>-5686310.6274839686</v>
      </c>
      <c r="DN108" s="49">
        <f>DM108+DN114+Forecasts!DN40*(1-'Income Statement'!DN71)</f>
        <v>-5921060.1468196493</v>
      </c>
      <c r="DO108" s="49">
        <f>DN108+DO114+Forecasts!DO40*(1-'Income Statement'!DO71)</f>
        <v>-6149004.3423624188</v>
      </c>
      <c r="DP108" s="49">
        <f>DO108+DP114+Forecasts!DP40*(1-'Income Statement'!DP71)</f>
        <v>-6365974.9572041184</v>
      </c>
      <c r="DQ108" s="165">
        <f>DP108</f>
        <v>-6365974.9572041184</v>
      </c>
      <c r="DR108" s="49">
        <f>DQ108+DR114+Forecasts!DR40*(1-'Income Statement'!DR71)</f>
        <v>-6576977.0629959973</v>
      </c>
      <c r="DS108" s="49">
        <f>DR108+DS114+Forecasts!DS40*(1-'Income Statement'!DS71)</f>
        <v>-6778235.0590446042</v>
      </c>
      <c r="DT108" s="49">
        <f>DS108+DT114+Forecasts!DT40*(1-'Income Statement'!DT71)</f>
        <v>-6970588.5126145147</v>
      </c>
      <c r="DU108" s="49">
        <f>DT108+DU114+Forecasts!DU40*(1-'Income Statement'!DU71)</f>
        <v>-7154865.009719451</v>
      </c>
      <c r="DV108" s="165">
        <f>DU108</f>
        <v>-7154865.009719451</v>
      </c>
      <c r="DW108" s="49">
        <f>DV108+DW114+Forecasts!DW40*(1-'Income Statement'!DW71)</f>
        <v>-7331852.9472772721</v>
      </c>
      <c r="DX108" s="49">
        <f>DW108+DX114+Forecasts!DX40*(1-'Income Statement'!DX71)</f>
        <v>-7502289.346217012</v>
      </c>
      <c r="DY108" s="49">
        <f>DX108+DY114+Forecasts!DY40*(1-'Income Statement'!DY71)</f>
        <v>-7666855.7663782835</v>
      </c>
      <c r="DZ108" s="49">
        <f>DY108+DZ114+Forecasts!DZ40*(1-'Income Statement'!DZ71)</f>
        <v>-7826178.4930102555</v>
      </c>
      <c r="EA108" s="165">
        <f>DZ108</f>
        <v>-7826178.4930102555</v>
      </c>
      <c r="EB108" s="49">
        <f>EA108+EB114+Forecasts!EB40*(1-'Income Statement'!EB71)</f>
        <v>-7980830.8822622951</v>
      </c>
      <c r="EC108" s="49">
        <f>EB108+EC114+Forecasts!EC40*(1-'Income Statement'!EC71)</f>
        <v>-8131336.7079437682</v>
      </c>
      <c r="ED108" s="49">
        <f>EC108+ED114+Forecasts!ED40*(1-'Income Statement'!ED71)</f>
        <v>-8278173.882050788</v>
      </c>
      <c r="EE108" s="49">
        <f>ED108+EE114+Forecasts!EE40*(1-'Income Statement'!EE71)</f>
        <v>-8421778.2154357489</v>
      </c>
      <c r="EF108" s="165">
        <f>EE108</f>
        <v>-8421778.2154357489</v>
      </c>
    </row>
    <row r="109" spans="1:136" s="3" customFormat="1" ht="12" customHeight="1">
      <c r="A109" s="15" t="s">
        <v>216</v>
      </c>
      <c r="B109" s="166">
        <f>B107+B108</f>
        <v>0</v>
      </c>
      <c r="C109" s="166">
        <f>C107+C108</f>
        <v>0</v>
      </c>
      <c r="D109" s="166">
        <f>D107+D108</f>
        <v>0</v>
      </c>
      <c r="E109" s="166">
        <f>E107+E108</f>
        <v>0</v>
      </c>
      <c r="F109" s="167">
        <f>E109</f>
        <v>0</v>
      </c>
      <c r="G109" s="166">
        <f>G107+G108</f>
        <v>0</v>
      </c>
      <c r="H109" s="166">
        <f>H107+H108</f>
        <v>0</v>
      </c>
      <c r="I109" s="166">
        <f>I107+I108</f>
        <v>0</v>
      </c>
      <c r="J109" s="166">
        <f>J107+J108</f>
        <v>0</v>
      </c>
      <c r="K109" s="167">
        <f>J109</f>
        <v>0</v>
      </c>
      <c r="L109" s="166">
        <f>L107+L108</f>
        <v>0</v>
      </c>
      <c r="M109" s="166">
        <f>M107+M108</f>
        <v>0</v>
      </c>
      <c r="N109" s="166">
        <f>N107+N108</f>
        <v>0</v>
      </c>
      <c r="O109" s="166">
        <f>O107+O108</f>
        <v>0</v>
      </c>
      <c r="P109" s="167">
        <f>O109</f>
        <v>0</v>
      </c>
      <c r="Q109" s="166">
        <f>Q107+Q108</f>
        <v>0</v>
      </c>
      <c r="R109" s="166">
        <f>R107+R108</f>
        <v>0</v>
      </c>
      <c r="S109" s="166">
        <f>S107+S108</f>
        <v>0</v>
      </c>
      <c r="T109" s="166">
        <f>T107+T108</f>
        <v>0</v>
      </c>
      <c r="U109" s="167">
        <f>T109</f>
        <v>0</v>
      </c>
      <c r="V109" s="166">
        <f>V107+V108</f>
        <v>0</v>
      </c>
      <c r="W109" s="166">
        <f>W107+W108</f>
        <v>0</v>
      </c>
      <c r="X109" s="166">
        <f>X107+X108</f>
        <v>0</v>
      </c>
      <c r="Y109" s="166">
        <f>Y107+Y108</f>
        <v>0</v>
      </c>
      <c r="Z109" s="167">
        <f>Y109</f>
        <v>0</v>
      </c>
      <c r="AA109" s="166">
        <f>AA107+AA108</f>
        <v>0</v>
      </c>
      <c r="AB109" s="166">
        <f>AB107+AB108</f>
        <v>0</v>
      </c>
      <c r="AC109" s="166">
        <f>AC107+AC108</f>
        <v>0</v>
      </c>
      <c r="AD109" s="166">
        <f>AD107+AD108</f>
        <v>0</v>
      </c>
      <c r="AE109" s="167">
        <f>AD109</f>
        <v>0</v>
      </c>
      <c r="AF109" s="166">
        <f>AF107+AF108</f>
        <v>0</v>
      </c>
      <c r="AG109" s="166">
        <f>AG107+AG108</f>
        <v>0</v>
      </c>
      <c r="AH109" s="166">
        <f>AH107+AH108</f>
        <v>0</v>
      </c>
      <c r="AI109" s="166">
        <f>AI107+AI108</f>
        <v>0</v>
      </c>
      <c r="AJ109" s="167">
        <f>AI109</f>
        <v>0</v>
      </c>
      <c r="AK109" s="166">
        <f>AK107+AK108</f>
        <v>0</v>
      </c>
      <c r="AL109" s="166">
        <f>AL107+AL108</f>
        <v>0</v>
      </c>
      <c r="AM109" s="166">
        <f>AM107+AM108</f>
        <v>0</v>
      </c>
      <c r="AN109" s="166">
        <f>AN107+AN108</f>
        <v>0</v>
      </c>
      <c r="AO109" s="167">
        <f>AN109</f>
        <v>0</v>
      </c>
      <c r="AP109" s="166">
        <f>AP107+AP108</f>
        <v>0</v>
      </c>
      <c r="AQ109" s="166">
        <f>AQ107+AQ108</f>
        <v>0</v>
      </c>
      <c r="AR109" s="166">
        <f>AR107+AR108</f>
        <v>0</v>
      </c>
      <c r="AS109" s="166">
        <f>AS107+AS108</f>
        <v>0</v>
      </c>
      <c r="AT109" s="167">
        <f>AS109</f>
        <v>0</v>
      </c>
      <c r="AU109" s="166">
        <f>AU107+AU108</f>
        <v>0</v>
      </c>
      <c r="AV109" s="166">
        <f>AV107+AV108</f>
        <v>0</v>
      </c>
      <c r="AW109" s="166">
        <f>AW107+AW108</f>
        <v>0</v>
      </c>
      <c r="AX109" s="166">
        <f>AX107+AX108</f>
        <v>0</v>
      </c>
      <c r="AY109" s="167">
        <f>AX109</f>
        <v>0</v>
      </c>
      <c r="AZ109" s="166">
        <f>AZ107+AZ108</f>
        <v>0</v>
      </c>
      <c r="BA109" s="166">
        <f>BA107+BA108</f>
        <v>0</v>
      </c>
      <c r="BB109" s="166">
        <f>BB107+BB108</f>
        <v>0</v>
      </c>
      <c r="BC109" s="166">
        <f>BC107+BC108</f>
        <v>288832</v>
      </c>
      <c r="BD109" s="167">
        <f>BC109</f>
        <v>288832</v>
      </c>
      <c r="BE109" s="166">
        <f>BE107+BE108</f>
        <v>0</v>
      </c>
      <c r="BF109" s="166">
        <f>BF107+BF108</f>
        <v>0</v>
      </c>
      <c r="BG109" s="166">
        <f>BG107+BG108</f>
        <v>0</v>
      </c>
      <c r="BH109" s="166">
        <f>BH107+BH108</f>
        <v>183658</v>
      </c>
      <c r="BI109" s="167">
        <f>BH109</f>
        <v>183658</v>
      </c>
      <c r="BJ109" s="166">
        <f>BJ107+BJ108</f>
        <v>0</v>
      </c>
      <c r="BK109" s="166">
        <f>BK107+BK108</f>
        <v>0</v>
      </c>
      <c r="BL109" s="166">
        <f>BL107+BL108</f>
        <v>0</v>
      </c>
      <c r="BM109" s="166">
        <f>BM107+BM108</f>
        <v>329258</v>
      </c>
      <c r="BN109" s="167">
        <f>BM109</f>
        <v>329258</v>
      </c>
      <c r="BO109" s="166">
        <f>BO107+BO108</f>
        <v>0</v>
      </c>
      <c r="BP109" s="166">
        <f>BP107+BP108</f>
        <v>0</v>
      </c>
      <c r="BQ109" s="166">
        <f>BQ107+BQ108</f>
        <v>0</v>
      </c>
      <c r="BR109" s="166">
        <f>BR107+BR108</f>
        <v>185282</v>
      </c>
      <c r="BS109" s="167">
        <f>BR109</f>
        <v>185282</v>
      </c>
      <c r="BT109" s="166">
        <f>BT107+BT108</f>
        <v>0</v>
      </c>
      <c r="BU109" s="166">
        <f>BU107+BU108</f>
        <v>0</v>
      </c>
      <c r="BV109" s="166">
        <f>BV107+BV108</f>
        <v>0</v>
      </c>
      <c r="BW109" s="166">
        <f>BW107+BW108</f>
        <v>136936</v>
      </c>
      <c r="BX109" s="167">
        <f>BW109</f>
        <v>136936</v>
      </c>
      <c r="BY109" s="166">
        <f>BY107+BY108</f>
        <v>0</v>
      </c>
      <c r="BZ109" s="166">
        <f>BZ107+BZ108</f>
        <v>0</v>
      </c>
      <c r="CA109" s="166">
        <f>CA107+CA108</f>
        <v>0</v>
      </c>
      <c r="CB109" s="166">
        <f>CB107+CB108</f>
        <v>236163</v>
      </c>
      <c r="CC109" s="167">
        <f>CB109</f>
        <v>236163</v>
      </c>
      <c r="CD109" s="166">
        <f>CD107+CD108</f>
        <v>216360</v>
      </c>
      <c r="CE109" s="166">
        <f>CE107+CE108</f>
        <v>240100</v>
      </c>
      <c r="CF109" s="166">
        <f>CF107+CF108</f>
        <v>293568</v>
      </c>
      <c r="CG109" s="166">
        <f>CG107+CG108</f>
        <v>303444</v>
      </c>
      <c r="CH109" s="167">
        <f>CG109</f>
        <v>303444</v>
      </c>
      <c r="CI109" s="166">
        <f>CI107+CI108</f>
        <v>364050</v>
      </c>
      <c r="CJ109" s="166">
        <f>CJ107+CJ108</f>
        <v>436510</v>
      </c>
      <c r="CK109" s="166">
        <f>CK107+CK108</f>
        <v>555021</v>
      </c>
      <c r="CL109" s="166">
        <f>CL107+CL108</f>
        <v>610255</v>
      </c>
      <c r="CM109" s="167">
        <f>CL109</f>
        <v>610255</v>
      </c>
      <c r="CN109" s="166">
        <f>CN107+CN108</f>
        <v>725037</v>
      </c>
      <c r="CO109" s="166">
        <f>CO107+CO108</f>
        <v>837175</v>
      </c>
      <c r="CP109" s="166">
        <f>CP107+CP108</f>
        <v>978265</v>
      </c>
      <c r="CQ109" s="166">
        <f>CQ107+CQ108</f>
        <v>1027867</v>
      </c>
      <c r="CR109" s="167">
        <f>CQ109</f>
        <v>1027867</v>
      </c>
      <c r="CS109" s="166">
        <f>CS107+CS108</f>
        <v>1222996</v>
      </c>
      <c r="CT109" s="166">
        <f>CT107+CT108</f>
        <v>1360124</v>
      </c>
      <c r="CU109" s="166">
        <f>CU107+CU108</f>
        <v>1442401</v>
      </c>
      <c r="CV109" s="166">
        <f>CV107+CV108</f>
        <v>1469756</v>
      </c>
      <c r="CW109" s="167">
        <f>CV109</f>
        <v>1469756</v>
      </c>
      <c r="CX109" s="166">
        <f>CX107+CX108</f>
        <v>1749306</v>
      </c>
      <c r="CY109" s="166">
        <f>CY107+CY108</f>
        <v>2068177</v>
      </c>
      <c r="CZ109" s="166">
        <f>CZ107+CZ108</f>
        <v>2253386</v>
      </c>
      <c r="DA109" s="166">
        <f>DA107+DA108</f>
        <v>2414881</v>
      </c>
      <c r="DB109" s="167">
        <f>DA109</f>
        <v>2414881</v>
      </c>
      <c r="DC109" s="166">
        <f>DC107+DC108</f>
        <v>2774180</v>
      </c>
      <c r="DD109" s="166">
        <f>DD107+DD108</f>
        <v>3160057</v>
      </c>
      <c r="DE109" s="166">
        <f>DE107+DE108</f>
        <v>3346002</v>
      </c>
      <c r="DF109" s="166">
        <f>DF107+DF108</f>
        <v>3381735</v>
      </c>
      <c r="DG109" s="167">
        <f>DF109</f>
        <v>3381735</v>
      </c>
      <c r="DH109" s="166">
        <f>DH107+DH108</f>
        <v>3637591</v>
      </c>
      <c r="DI109" s="166">
        <f>DI107+DI108</f>
        <v>3842913</v>
      </c>
      <c r="DJ109" s="166">
        <f>DJ107+DJ108</f>
        <v>3990962.4321055785</v>
      </c>
      <c r="DK109" s="166">
        <f>DK107+DK108</f>
        <v>4101333.4627585951</v>
      </c>
      <c r="DL109" s="167">
        <f>DK109</f>
        <v>4101333.4627585951</v>
      </c>
      <c r="DM109" s="166">
        <f>DM107+DM108</f>
        <v>4226174.1029552361</v>
      </c>
      <c r="DN109" s="166">
        <f>DN107+DN108</f>
        <v>4346365.8496243395</v>
      </c>
      <c r="DO109" s="166">
        <f>DO107+DO108</f>
        <v>4456411.3716530241</v>
      </c>
      <c r="DP109" s="166">
        <f>DP107+DP108</f>
        <v>4560993.3697187137</v>
      </c>
      <c r="DQ109" s="167">
        <f>DP109</f>
        <v>4560993.3697187137</v>
      </c>
      <c r="DR109" s="166">
        <f>DR107+DR108</f>
        <v>4656116.3927921662</v>
      </c>
      <c r="DS109" s="166">
        <f>DS107+DS108</f>
        <v>4746809.2158916043</v>
      </c>
      <c r="DT109" s="166">
        <f>DT107+DT108</f>
        <v>4833552.2663919795</v>
      </c>
      <c r="DU109" s="166">
        <f>DU107+DU108</f>
        <v>4916814.8083513873</v>
      </c>
      <c r="DV109" s="167">
        <f>DU109</f>
        <v>4916814.8083513873</v>
      </c>
      <c r="DW109" s="166">
        <f>DW107+DW108</f>
        <v>4997038.1103065964</v>
      </c>
      <c r="DX109" s="166">
        <f>DX107+DX108</f>
        <v>5074628.5337305516</v>
      </c>
      <c r="DY109" s="166">
        <f>DY107+DY108</f>
        <v>5149955.8283369336</v>
      </c>
      <c r="DZ109" s="166">
        <f>DZ107+DZ108</f>
        <v>5223354.0665396797</v>
      </c>
      <c r="EA109" s="167">
        <f>DZ109</f>
        <v>5223354.0665396797</v>
      </c>
      <c r="EB109" s="166">
        <f>EB107+EB108</f>
        <v>5295123.8278055955</v>
      </c>
      <c r="EC109" s="166">
        <f>EC107+EC108</f>
        <v>5365534.890181738</v>
      </c>
      <c r="ED109" s="166">
        <f>ED107+ED108</f>
        <v>5434829.040010538</v>
      </c>
      <c r="EE109" s="166">
        <f>EE107+EE108</f>
        <v>5503222.8034742903</v>
      </c>
      <c r="EF109" s="167">
        <f>EE109</f>
        <v>5503222.8034742903</v>
      </c>
    </row>
    <row r="110" spans="1:136" s="33" customFormat="1" ht="12" customHeight="1">
      <c r="A110" s="33" t="s">
        <v>120</v>
      </c>
      <c r="B110" s="168" t="e">
        <f t="shared" ref="B110:K110" si="262">(B109)/B107</f>
        <v>#DIV/0!</v>
      </c>
      <c r="C110" s="168" t="e">
        <f t="shared" si="262"/>
        <v>#DIV/0!</v>
      </c>
      <c r="D110" s="168" t="e">
        <f t="shared" si="262"/>
        <v>#DIV/0!</v>
      </c>
      <c r="E110" s="168" t="e">
        <f>(E109)/E107</f>
        <v>#DIV/0!</v>
      </c>
      <c r="F110" s="169" t="e">
        <f t="shared" si="262"/>
        <v>#DIV/0!</v>
      </c>
      <c r="G110" s="168" t="e">
        <f t="shared" si="262"/>
        <v>#DIV/0!</v>
      </c>
      <c r="H110" s="168" t="e">
        <f t="shared" si="262"/>
        <v>#DIV/0!</v>
      </c>
      <c r="I110" s="168" t="e">
        <f t="shared" si="262"/>
        <v>#DIV/0!</v>
      </c>
      <c r="J110" s="168" t="e">
        <f t="shared" si="262"/>
        <v>#DIV/0!</v>
      </c>
      <c r="K110" s="169" t="e">
        <f t="shared" si="262"/>
        <v>#DIV/0!</v>
      </c>
      <c r="L110" s="168" t="e">
        <f t="shared" ref="L110:BN110" si="263">(L109)/L107</f>
        <v>#DIV/0!</v>
      </c>
      <c r="M110" s="168" t="e">
        <f t="shared" si="263"/>
        <v>#DIV/0!</v>
      </c>
      <c r="N110" s="168" t="e">
        <f t="shared" si="263"/>
        <v>#DIV/0!</v>
      </c>
      <c r="O110" s="168" t="e">
        <f t="shared" si="263"/>
        <v>#DIV/0!</v>
      </c>
      <c r="P110" s="169" t="e">
        <f t="shared" si="263"/>
        <v>#DIV/0!</v>
      </c>
      <c r="Q110" s="168" t="e">
        <f t="shared" si="263"/>
        <v>#DIV/0!</v>
      </c>
      <c r="R110" s="168" t="e">
        <f t="shared" si="263"/>
        <v>#DIV/0!</v>
      </c>
      <c r="S110" s="168" t="e">
        <f t="shared" si="263"/>
        <v>#DIV/0!</v>
      </c>
      <c r="T110" s="168" t="e">
        <f t="shared" si="263"/>
        <v>#DIV/0!</v>
      </c>
      <c r="U110" s="169" t="e">
        <f t="shared" si="263"/>
        <v>#DIV/0!</v>
      </c>
      <c r="V110" s="168" t="e">
        <f t="shared" si="263"/>
        <v>#DIV/0!</v>
      </c>
      <c r="W110" s="168" t="e">
        <f t="shared" si="263"/>
        <v>#DIV/0!</v>
      </c>
      <c r="X110" s="168" t="e">
        <f t="shared" si="263"/>
        <v>#DIV/0!</v>
      </c>
      <c r="Y110" s="168" t="e">
        <f t="shared" si="263"/>
        <v>#DIV/0!</v>
      </c>
      <c r="Z110" s="169" t="e">
        <f t="shared" si="263"/>
        <v>#DIV/0!</v>
      </c>
      <c r="AA110" s="168" t="e">
        <f t="shared" si="263"/>
        <v>#DIV/0!</v>
      </c>
      <c r="AB110" s="168" t="e">
        <f t="shared" si="263"/>
        <v>#DIV/0!</v>
      </c>
      <c r="AC110" s="168" t="e">
        <f t="shared" si="263"/>
        <v>#DIV/0!</v>
      </c>
      <c r="AD110" s="168" t="e">
        <f t="shared" si="263"/>
        <v>#DIV/0!</v>
      </c>
      <c r="AE110" s="169" t="e">
        <f t="shared" si="263"/>
        <v>#DIV/0!</v>
      </c>
      <c r="AF110" s="168" t="e">
        <f t="shared" si="263"/>
        <v>#DIV/0!</v>
      </c>
      <c r="AG110" s="168" t="e">
        <f t="shared" si="263"/>
        <v>#DIV/0!</v>
      </c>
      <c r="AH110" s="168" t="e">
        <f t="shared" si="263"/>
        <v>#DIV/0!</v>
      </c>
      <c r="AI110" s="168" t="e">
        <f t="shared" si="263"/>
        <v>#DIV/0!</v>
      </c>
      <c r="AJ110" s="169" t="e">
        <f t="shared" si="263"/>
        <v>#DIV/0!</v>
      </c>
      <c r="AK110" s="168" t="e">
        <f t="shared" si="263"/>
        <v>#DIV/0!</v>
      </c>
      <c r="AL110" s="168" t="e">
        <f t="shared" si="263"/>
        <v>#DIV/0!</v>
      </c>
      <c r="AM110" s="168" t="e">
        <f t="shared" si="263"/>
        <v>#DIV/0!</v>
      </c>
      <c r="AN110" s="168" t="e">
        <f t="shared" si="263"/>
        <v>#DIV/0!</v>
      </c>
      <c r="AO110" s="169" t="e">
        <f t="shared" si="263"/>
        <v>#DIV/0!</v>
      </c>
      <c r="AP110" s="168" t="e">
        <f t="shared" si="263"/>
        <v>#DIV/0!</v>
      </c>
      <c r="AQ110" s="168" t="e">
        <f t="shared" si="263"/>
        <v>#DIV/0!</v>
      </c>
      <c r="AR110" s="168" t="e">
        <f t="shared" si="263"/>
        <v>#DIV/0!</v>
      </c>
      <c r="AS110" s="168" t="e">
        <f t="shared" si="263"/>
        <v>#DIV/0!</v>
      </c>
      <c r="AT110" s="169" t="e">
        <f t="shared" si="263"/>
        <v>#DIV/0!</v>
      </c>
      <c r="AU110" s="168" t="e">
        <f t="shared" si="263"/>
        <v>#DIV/0!</v>
      </c>
      <c r="AV110" s="168" t="e">
        <f t="shared" si="263"/>
        <v>#DIV/0!</v>
      </c>
      <c r="AW110" s="168" t="e">
        <f t="shared" si="263"/>
        <v>#DIV/0!</v>
      </c>
      <c r="AX110" s="168" t="e">
        <f t="shared" si="263"/>
        <v>#DIV/0!</v>
      </c>
      <c r="AY110" s="169" t="e">
        <f t="shared" si="263"/>
        <v>#DIV/0!</v>
      </c>
      <c r="AZ110" s="168" t="e">
        <f t="shared" si="263"/>
        <v>#DIV/0!</v>
      </c>
      <c r="BA110" s="168" t="e">
        <f t="shared" si="263"/>
        <v>#DIV/0!</v>
      </c>
      <c r="BB110" s="168" t="e">
        <f t="shared" si="263"/>
        <v>#DIV/0!</v>
      </c>
      <c r="BC110" s="168">
        <f t="shared" si="263"/>
        <v>0.40800205673538459</v>
      </c>
      <c r="BD110" s="169">
        <f t="shared" si="263"/>
        <v>0.40800205673538459</v>
      </c>
      <c r="BE110" s="168" t="e">
        <f t="shared" si="263"/>
        <v>#DIV/0!</v>
      </c>
      <c r="BF110" s="168" t="e">
        <f t="shared" si="263"/>
        <v>#DIV/0!</v>
      </c>
      <c r="BG110" s="168" t="e">
        <f t="shared" si="263"/>
        <v>#DIV/0!</v>
      </c>
      <c r="BH110" s="168">
        <f t="shared" si="263"/>
        <v>0.25607390892726928</v>
      </c>
      <c r="BI110" s="169">
        <f t="shared" si="263"/>
        <v>0.25607390892726928</v>
      </c>
      <c r="BJ110" s="168" t="e">
        <f t="shared" si="263"/>
        <v>#DIV/0!</v>
      </c>
      <c r="BK110" s="168" t="e">
        <f t="shared" si="263"/>
        <v>#DIV/0!</v>
      </c>
      <c r="BL110" s="168" t="e">
        <f t="shared" si="263"/>
        <v>#DIV/0!</v>
      </c>
      <c r="BM110" s="168">
        <f t="shared" si="263"/>
        <v>0.37905917323936039</v>
      </c>
      <c r="BN110" s="169">
        <f t="shared" si="263"/>
        <v>0.37905917323936039</v>
      </c>
      <c r="BO110" s="168" t="e">
        <f t="shared" ref="BO110:BX110" si="264">(BO109)/BO107</f>
        <v>#DIV/0!</v>
      </c>
      <c r="BP110" s="168" t="e">
        <f t="shared" si="264"/>
        <v>#DIV/0!</v>
      </c>
      <c r="BQ110" s="168" t="e">
        <f t="shared" si="264"/>
        <v>#DIV/0!</v>
      </c>
      <c r="BR110" s="168">
        <f t="shared" si="264"/>
        <v>0.25227244258304149</v>
      </c>
      <c r="BS110" s="169">
        <f t="shared" si="264"/>
        <v>0.25227244258304149</v>
      </c>
      <c r="BT110" s="168" t="e">
        <f t="shared" si="264"/>
        <v>#DIV/0!</v>
      </c>
      <c r="BU110" s="168" t="e">
        <f t="shared" si="264"/>
        <v>#DIV/0!</v>
      </c>
      <c r="BV110" s="168" t="e">
        <f t="shared" si="264"/>
        <v>#DIV/0!</v>
      </c>
      <c r="BW110" s="168">
        <f t="shared" si="264"/>
        <v>0.19872178137933838</v>
      </c>
      <c r="BX110" s="169">
        <f t="shared" si="264"/>
        <v>0.19872178137933838</v>
      </c>
      <c r="BY110" s="168" t="e">
        <f t="shared" ref="BY110:CE110" si="265">(BY109)/BY107</f>
        <v>#DIV/0!</v>
      </c>
      <c r="BZ110" s="168" t="e">
        <f t="shared" si="265"/>
        <v>#DIV/0!</v>
      </c>
      <c r="CA110" s="168" t="e">
        <f t="shared" si="265"/>
        <v>#DIV/0!</v>
      </c>
      <c r="CB110" s="168">
        <f t="shared" si="265"/>
        <v>0.35226179448971462</v>
      </c>
      <c r="CC110" s="169">
        <f t="shared" si="265"/>
        <v>0.35226179448971462</v>
      </c>
      <c r="CD110" s="168">
        <f t="shared" si="265"/>
        <v>0.33704452022251541</v>
      </c>
      <c r="CE110" s="168">
        <f t="shared" si="265"/>
        <v>0.36962857024097445</v>
      </c>
      <c r="CF110" s="168">
        <f t="shared" ref="CF110:DK110" si="266">(CF109)/CF107</f>
        <v>0.4043201970036277</v>
      </c>
      <c r="CG110" s="168">
        <f t="shared" si="266"/>
        <v>0.38975531436645044</v>
      </c>
      <c r="CH110" s="169">
        <f t="shared" si="266"/>
        <v>0.38975531436645044</v>
      </c>
      <c r="CI110" s="168">
        <f t="shared" si="266"/>
        <v>0.37429405396291093</v>
      </c>
      <c r="CJ110" s="168">
        <f t="shared" si="266"/>
        <v>0.37235635179319809</v>
      </c>
      <c r="CK110" s="168">
        <f t="shared" si="266"/>
        <v>0.38891719040034534</v>
      </c>
      <c r="CL110" s="168">
        <f t="shared" si="266"/>
        <v>0.39118509040932914</v>
      </c>
      <c r="CM110" s="169">
        <f t="shared" si="266"/>
        <v>0.39118509040932914</v>
      </c>
      <c r="CN110" s="168">
        <f t="shared" si="266"/>
        <v>0.39698232177361553</v>
      </c>
      <c r="CO110" s="168">
        <f t="shared" si="266"/>
        <v>0.40548270447410151</v>
      </c>
      <c r="CP110" s="168">
        <f t="shared" si="266"/>
        <v>0.42126556440968821</v>
      </c>
      <c r="CQ110" s="168">
        <f t="shared" si="266"/>
        <v>0.41878561717145418</v>
      </c>
      <c r="CR110" s="169">
        <f t="shared" si="266"/>
        <v>0.41878561717145418</v>
      </c>
      <c r="CS110" s="168">
        <f t="shared" si="266"/>
        <v>0.41963428220858051</v>
      </c>
      <c r="CT110" s="168">
        <f t="shared" si="266"/>
        <v>0.41904173891396751</v>
      </c>
      <c r="CU110" s="168">
        <f t="shared" si="266"/>
        <v>0.41940832180668791</v>
      </c>
      <c r="CV110" s="168">
        <f t="shared" si="266"/>
        <v>0.41970040980411588</v>
      </c>
      <c r="CW110" s="169">
        <f t="shared" si="266"/>
        <v>0.41970040980411588</v>
      </c>
      <c r="CX110" s="168">
        <f t="shared" si="266"/>
        <v>0.42117385105140215</v>
      </c>
      <c r="CY110" s="168">
        <f t="shared" si="266"/>
        <v>0.42749212989853097</v>
      </c>
      <c r="CZ110" s="168">
        <f t="shared" si="266"/>
        <v>0.43304008364908969</v>
      </c>
      <c r="DA110" s="168">
        <f t="shared" si="266"/>
        <v>0.43391772263007705</v>
      </c>
      <c r="DB110" s="169">
        <f t="shared" si="266"/>
        <v>0.43391772263007705</v>
      </c>
      <c r="DC110" s="168">
        <f t="shared" si="266"/>
        <v>0.43141317681132013</v>
      </c>
      <c r="DD110" s="168">
        <f t="shared" si="266"/>
        <v>0.43383443968272445</v>
      </c>
      <c r="DE110" s="168">
        <f t="shared" ref="DE110:DF110" si="267">(DE109)/DE107</f>
        <v>0.43448212190241764</v>
      </c>
      <c r="DF110" s="168">
        <f t="shared" si="267"/>
        <v>0.43342935233633778</v>
      </c>
      <c r="DG110" s="169">
        <f t="shared" si="266"/>
        <v>0.43342935233633778</v>
      </c>
      <c r="DH110" s="168">
        <f t="shared" ref="DH110:DI110" si="268">(DH109)/DH107</f>
        <v>0.42937133346710893</v>
      </c>
      <c r="DI110" s="168">
        <f t="shared" si="268"/>
        <v>0.43514825099393939</v>
      </c>
      <c r="DJ110" s="168">
        <f t="shared" si="266"/>
        <v>0.43237443450072355</v>
      </c>
      <c r="DK110" s="168">
        <f t="shared" si="266"/>
        <v>0.42975522349488243</v>
      </c>
      <c r="DL110" s="169">
        <f t="shared" ref="DL110:EF110" si="269">(DL109)/DL107</f>
        <v>0.42975522349488243</v>
      </c>
      <c r="DM110" s="168">
        <f t="shared" si="269"/>
        <v>0.426348611663181</v>
      </c>
      <c r="DN110" s="168">
        <f t="shared" si="269"/>
        <v>0.42331601426975524</v>
      </c>
      <c r="DO110" s="168">
        <f t="shared" si="269"/>
        <v>0.42020147930304269</v>
      </c>
      <c r="DP110" s="168">
        <f t="shared" si="269"/>
        <v>0.41740702757240855</v>
      </c>
      <c r="DQ110" s="169">
        <f t="shared" si="269"/>
        <v>0.41740702757240855</v>
      </c>
      <c r="DR110" s="168">
        <f t="shared" si="269"/>
        <v>0.4144999248085996</v>
      </c>
      <c r="DS110" s="168">
        <f t="shared" si="269"/>
        <v>0.41186906554577013</v>
      </c>
      <c r="DT110" s="168">
        <f t="shared" si="269"/>
        <v>0.40947938159026259</v>
      </c>
      <c r="DU110" s="168">
        <f t="shared" si="269"/>
        <v>0.40730162516331037</v>
      </c>
      <c r="DV110" s="169">
        <f t="shared" si="269"/>
        <v>0.40730162516331037</v>
      </c>
      <c r="DW110" s="168">
        <f t="shared" si="269"/>
        <v>0.40531123902119076</v>
      </c>
      <c r="DX110" s="168">
        <f t="shared" si="269"/>
        <v>0.40348745075464459</v>
      </c>
      <c r="DY110" s="168">
        <f t="shared" si="269"/>
        <v>0.40181255613216832</v>
      </c>
      <c r="DZ110" s="168">
        <f t="shared" si="269"/>
        <v>0.40027135398938979</v>
      </c>
      <c r="EA110" s="169">
        <f t="shared" si="269"/>
        <v>0.40027135398938979</v>
      </c>
      <c r="EB110" s="168">
        <f t="shared" si="269"/>
        <v>0.39885069988902644</v>
      </c>
      <c r="EC110" s="168">
        <f t="shared" si="269"/>
        <v>0.39753915203038032</v>
      </c>
      <c r="ED110" s="168">
        <f t="shared" si="269"/>
        <v>0.39632668868370513</v>
      </c>
      <c r="EE110" s="168">
        <f t="shared" si="269"/>
        <v>0.39520448120621021</v>
      </c>
      <c r="EF110" s="169">
        <f t="shared" si="269"/>
        <v>0.39520448120621021</v>
      </c>
    </row>
    <row r="111" spans="1:136" ht="12" customHeight="1" outlineLevel="1">
      <c r="A111" s="1" t="s">
        <v>121</v>
      </c>
      <c r="B111" s="52"/>
      <c r="C111" s="52"/>
      <c r="D111" s="52"/>
      <c r="E111" s="52"/>
      <c r="F111" s="26"/>
      <c r="G111" s="52"/>
      <c r="H111" s="52"/>
      <c r="I111" s="52"/>
      <c r="J111" s="52"/>
      <c r="K111" s="26"/>
      <c r="L111" s="52"/>
      <c r="M111" s="52"/>
      <c r="N111" s="52"/>
      <c r="O111" s="52"/>
      <c r="P111" s="26"/>
      <c r="Q111" s="52"/>
      <c r="R111" s="52"/>
      <c r="S111" s="52"/>
      <c r="T111" s="52"/>
      <c r="U111" s="26"/>
      <c r="V111" s="52"/>
      <c r="W111" s="52"/>
      <c r="X111" s="52"/>
      <c r="Y111" s="52"/>
      <c r="Z111" s="26"/>
      <c r="AA111" s="52"/>
      <c r="AB111" s="52"/>
      <c r="AC111" s="52"/>
      <c r="AD111" s="52"/>
      <c r="AE111" s="26"/>
      <c r="AF111" s="49">
        <f>AE107-Forecasts!AF40</f>
        <v>0</v>
      </c>
      <c r="AG111" s="49">
        <f>AF107-Forecasts!AG40</f>
        <v>0</v>
      </c>
      <c r="AH111" s="49">
        <f>AG107-Forecasts!AH40</f>
        <v>0</v>
      </c>
      <c r="AI111" s="49">
        <f>AH107-Forecasts!AI40</f>
        <v>0</v>
      </c>
      <c r="AJ111" s="26">
        <f>AI111</f>
        <v>0</v>
      </c>
      <c r="AK111" s="49">
        <f>AJ107-Forecasts!AK40</f>
        <v>0</v>
      </c>
      <c r="AL111" s="49">
        <f>AK107-Forecasts!AL40</f>
        <v>0</v>
      </c>
      <c r="AM111" s="49">
        <f>AL107-Forecasts!AM40</f>
        <v>0</v>
      </c>
      <c r="AN111" s="49">
        <f>AM107-Forecasts!AN40</f>
        <v>0</v>
      </c>
      <c r="AO111" s="26">
        <f>AN111</f>
        <v>0</v>
      </c>
      <c r="AP111" s="49">
        <f>AO107-Forecasts!AP40</f>
        <v>0</v>
      </c>
      <c r="AQ111" s="49">
        <f>AP107-Forecasts!AQ40</f>
        <v>0</v>
      </c>
      <c r="AR111" s="49">
        <f>AQ107-Forecasts!AR40</f>
        <v>0</v>
      </c>
      <c r="AS111" s="49">
        <f>AR107-Forecasts!AS40</f>
        <v>0</v>
      </c>
      <c r="AT111" s="26">
        <f>AS111</f>
        <v>0</v>
      </c>
      <c r="AU111" s="49">
        <f>AT107-Forecasts!AU40</f>
        <v>0</v>
      </c>
      <c r="AV111" s="49">
        <f>AU107-Forecasts!AV40</f>
        <v>0</v>
      </c>
      <c r="AW111" s="49">
        <f>AV107-Forecasts!AW40</f>
        <v>0</v>
      </c>
      <c r="AX111" s="49">
        <f>AW107-Forecasts!AX40</f>
        <v>0</v>
      </c>
      <c r="AY111" s="26">
        <f>AX111</f>
        <v>0</v>
      </c>
      <c r="AZ111" s="49">
        <f>AY107-Forecasts!AZ40</f>
        <v>0</v>
      </c>
      <c r="BA111" s="49">
        <f>AZ107-Forecasts!BA40</f>
        <v>0</v>
      </c>
      <c r="BB111" s="49">
        <f>BA107-Forecasts!BB40</f>
        <v>0</v>
      </c>
      <c r="BC111" s="49">
        <f>BB107-Forecasts!BC40</f>
        <v>0</v>
      </c>
      <c r="BD111" s="26">
        <f>BC111</f>
        <v>0</v>
      </c>
      <c r="BE111" s="49">
        <f>BD107-Forecasts!BE40</f>
        <v>530938.5</v>
      </c>
      <c r="BF111" s="49">
        <f>BE107-Forecasts!BF40</f>
        <v>0</v>
      </c>
      <c r="BG111" s="49">
        <f>BF107-Forecasts!BG40</f>
        <v>0</v>
      </c>
      <c r="BH111" s="49">
        <f>BG107-Forecasts!BH40</f>
        <v>0</v>
      </c>
      <c r="BI111" s="26">
        <f>BH111</f>
        <v>0</v>
      </c>
      <c r="BJ111" s="49">
        <f>BI107-Forecasts!BJ40</f>
        <v>537905.25</v>
      </c>
      <c r="BK111" s="49">
        <f>BJ107-Forecasts!BK40</f>
        <v>0</v>
      </c>
      <c r="BL111" s="49">
        <f>BK107-Forecasts!BL40</f>
        <v>0</v>
      </c>
      <c r="BM111" s="49">
        <f>BL107-Forecasts!BM40</f>
        <v>0</v>
      </c>
      <c r="BN111" s="26">
        <f>BM111</f>
        <v>0</v>
      </c>
      <c r="BO111" s="49">
        <f>BN107-Forecasts!BO40</f>
        <v>651464.25</v>
      </c>
      <c r="BP111" s="49">
        <f>BO107-Forecasts!BP40</f>
        <v>0</v>
      </c>
      <c r="BQ111" s="49">
        <f>BP107-Forecasts!BQ40</f>
        <v>0</v>
      </c>
      <c r="BR111" s="49">
        <f>BQ107-Forecasts!BR40</f>
        <v>0</v>
      </c>
      <c r="BS111" s="26">
        <f>BR111</f>
        <v>0</v>
      </c>
      <c r="BT111" s="49">
        <f>BS107-Forecasts!BT40</f>
        <v>550839</v>
      </c>
      <c r="BU111" s="49">
        <f>BT107-Forecasts!BU40</f>
        <v>0</v>
      </c>
      <c r="BV111" s="49">
        <f>BU107-Forecasts!BV40</f>
        <v>0</v>
      </c>
      <c r="BW111" s="49">
        <f>BV107-Forecasts!BW40</f>
        <v>0</v>
      </c>
      <c r="BX111" s="26">
        <f>BW111</f>
        <v>0</v>
      </c>
      <c r="BY111" s="49">
        <f>BX107-Forecasts!BY40</f>
        <v>551267.19999999995</v>
      </c>
      <c r="BZ111" s="49">
        <f>BY107-Forecasts!BZ40</f>
        <v>0</v>
      </c>
      <c r="CA111" s="49">
        <f>BZ107-Forecasts!CA40</f>
        <v>0</v>
      </c>
      <c r="CB111" s="49">
        <f>CA107-Forecasts!CB40</f>
        <v>0</v>
      </c>
      <c r="CC111" s="26">
        <f>CB111</f>
        <v>0</v>
      </c>
      <c r="CD111" s="49">
        <f>CC107-Forecasts!CD40</f>
        <v>536335.19999999995</v>
      </c>
      <c r="CE111" s="49">
        <f>CD107-Forecasts!CE40</f>
        <v>513546.4</v>
      </c>
      <c r="CF111" s="49">
        <f>CE107-Forecasts!CF40</f>
        <v>519656.8</v>
      </c>
      <c r="CG111" s="49">
        <f>CF107-Forecasts!CG40</f>
        <v>580862.4</v>
      </c>
      <c r="CH111" s="26">
        <f>CG111</f>
        <v>580862.4</v>
      </c>
      <c r="CI111" s="49">
        <f>CH107-Forecasts!CI40</f>
        <v>661767.5</v>
      </c>
      <c r="CJ111" s="49">
        <f>CI107-Forecasts!CJ40</f>
        <v>826736.35</v>
      </c>
      <c r="CK111" s="49">
        <f>CJ107-Forecasts!CK40</f>
        <v>996447.35</v>
      </c>
      <c r="CL111" s="49">
        <f>CK107-Forecasts!CL40</f>
        <v>1213029.05</v>
      </c>
      <c r="CM111" s="26">
        <f>CL111</f>
        <v>1213029.05</v>
      </c>
      <c r="CN111" s="49">
        <f>CM107-Forecasts!CN40</f>
        <v>1404014.4</v>
      </c>
      <c r="CO111" s="49">
        <f>CN107-Forecasts!CO40</f>
        <v>1643733.9</v>
      </c>
      <c r="CP111" s="49">
        <f>CO107-Forecasts!CP40</f>
        <v>1858174.2</v>
      </c>
      <c r="CQ111" s="49">
        <f>CP107-Forecasts!CQ40</f>
        <v>2089984.5</v>
      </c>
      <c r="CR111" s="26">
        <f>CQ111</f>
        <v>2089984.5</v>
      </c>
      <c r="CS111" s="49">
        <f>CR107-Forecasts!CS40</f>
        <v>2208959.1</v>
      </c>
      <c r="CT111" s="49">
        <f>CS107-Forecasts!CT40</f>
        <v>2622989.7000000002</v>
      </c>
      <c r="CU111" s="49">
        <f>CT107-Forecasts!CU40</f>
        <v>2921216.4</v>
      </c>
      <c r="CV111" s="49">
        <f>CU107-Forecasts!CV40</f>
        <v>3095219.7</v>
      </c>
      <c r="CW111" s="26">
        <f>CV111</f>
        <v>3095219.7</v>
      </c>
      <c r="CX111" s="49">
        <f>CW107-Forecasts!CX40</f>
        <v>3151725.3</v>
      </c>
      <c r="CY111" s="49">
        <f>CX107-Forecasts!CY40</f>
        <v>3738065.4</v>
      </c>
      <c r="CZ111" s="49">
        <f>CY107-Forecasts!CZ40</f>
        <v>4354137</v>
      </c>
      <c r="DA111" s="49">
        <f>CZ107-Forecasts!DA40</f>
        <v>4683278.7</v>
      </c>
      <c r="DB111" s="26">
        <f>DA111</f>
        <v>4683278.7</v>
      </c>
      <c r="DC111" s="49">
        <f>DB107-Forecasts!DC40</f>
        <v>5008767.3</v>
      </c>
      <c r="DD111" s="49">
        <f>DC107-Forecasts!DD40</f>
        <v>5787403.2000000002</v>
      </c>
      <c r="DE111" s="49">
        <f>DD107-Forecasts!DE40</f>
        <v>6555614.4000000004</v>
      </c>
      <c r="DF111" s="49">
        <f>DE107-Forecasts!DF40</f>
        <v>6931014.2999999998</v>
      </c>
      <c r="DG111" s="26">
        <f>DF111</f>
        <v>6931014.2999999998</v>
      </c>
      <c r="DH111" s="49">
        <f>DG107-Forecasts!DH40</f>
        <v>7022047.5</v>
      </c>
      <c r="DI111" s="49">
        <f>DH107-Forecasts!DI40</f>
        <v>7624710</v>
      </c>
      <c r="DJ111" s="49">
        <f>DI107-Forecasts!DJ40</f>
        <v>7948145.7000000002</v>
      </c>
      <c r="DK111" s="49">
        <f>DJ107-Forecasts!DK40</f>
        <v>8307304.7393346978</v>
      </c>
      <c r="DL111" s="26">
        <f>DK111</f>
        <v>8307304.7393346978</v>
      </c>
      <c r="DM111" s="49">
        <f>DL107-Forecasts!DM40</f>
        <v>8589075.6288310494</v>
      </c>
      <c r="DN111" s="49">
        <f>DM107-Forecasts!DN40</f>
        <v>8921236.2573952843</v>
      </c>
      <c r="DO111" s="49">
        <f>DN107-Forecasts!DO40</f>
        <v>9240683.3967995904</v>
      </c>
      <c r="DP111" s="49">
        <f>DO107-Forecasts!DP40</f>
        <v>9544874.142613899</v>
      </c>
      <c r="DQ111" s="26">
        <f>DP111</f>
        <v>9544874.142613899</v>
      </c>
      <c r="DR111" s="49">
        <f>DQ107-Forecasts!DR40</f>
        <v>9834271.4942305498</v>
      </c>
      <c r="DS111" s="49">
        <f>DR107-Forecasts!DS40</f>
        <v>10109784.110209348</v>
      </c>
      <c r="DT111" s="49">
        <f>DS107-Forecasts!DT40</f>
        <v>10372539.847442588</v>
      </c>
      <c r="DU111" s="49">
        <f>DT107-Forecasts!DU40</f>
        <v>10623726.701105844</v>
      </c>
      <c r="DV111" s="26">
        <f>DU111</f>
        <v>10623726.701105844</v>
      </c>
      <c r="DW111" s="49">
        <f>DV107-Forecasts!DW40</f>
        <v>10864511.836263753</v>
      </c>
      <c r="DX111" s="49">
        <f>DW107-Forecasts!DX40</f>
        <v>11096001.951825481</v>
      </c>
      <c r="DY111" s="49">
        <f>DX107-Forecasts!DY40</f>
        <v>11319226.091952808</v>
      </c>
      <c r="DZ111" s="49">
        <f>DY107-Forecasts!DZ40</f>
        <v>11535130.435243696</v>
      </c>
      <c r="EA111" s="26">
        <f>DZ111</f>
        <v>11535130.435243696</v>
      </c>
      <c r="EB111" s="49">
        <f>EA107-Forecasts!EB40</f>
        <v>11744579.303594941</v>
      </c>
      <c r="EC111" s="49">
        <f>EB107-Forecasts!EC40</f>
        <v>11948359.239061102</v>
      </c>
      <c r="ED111" s="49">
        <f>EC107-Forecasts!ED40</f>
        <v>12147184.438312955</v>
      </c>
      <c r="EE111" s="49">
        <f>ED107-Forecasts!EE40</f>
        <v>12341702.629855193</v>
      </c>
      <c r="EF111" s="26">
        <f>EE111</f>
        <v>12341702.629855193</v>
      </c>
    </row>
    <row r="112" spans="1:136" s="92" customFormat="1" ht="12" customHeight="1" outlineLevel="1">
      <c r="A112" s="274" t="s">
        <v>217</v>
      </c>
      <c r="B112" s="170"/>
      <c r="C112" s="170"/>
      <c r="D112" s="170"/>
      <c r="E112" s="170"/>
      <c r="F112" s="135"/>
      <c r="G112" s="170"/>
      <c r="H112" s="170"/>
      <c r="I112" s="170"/>
      <c r="J112" s="170"/>
      <c r="K112" s="135"/>
      <c r="L112" s="170"/>
      <c r="M112" s="170"/>
      <c r="N112" s="170"/>
      <c r="O112" s="170"/>
      <c r="P112" s="135"/>
      <c r="Q112" s="170"/>
      <c r="R112" s="170"/>
      <c r="S112" s="170"/>
      <c r="T112" s="170"/>
      <c r="U112" s="135"/>
      <c r="V112" s="170"/>
      <c r="W112" s="170"/>
      <c r="X112" s="170"/>
      <c r="Y112" s="170"/>
      <c r="Z112" s="135"/>
      <c r="AA112" s="170"/>
      <c r="AB112" s="170"/>
      <c r="AC112" s="170"/>
      <c r="AD112" s="170"/>
      <c r="AE112" s="135"/>
      <c r="AF112" s="170">
        <f t="shared" ref="AF112:BM112" si="270">AF107-AF111</f>
        <v>0</v>
      </c>
      <c r="AG112" s="170">
        <f t="shared" si="270"/>
        <v>0</v>
      </c>
      <c r="AH112" s="170">
        <f t="shared" si="270"/>
        <v>0</v>
      </c>
      <c r="AI112" s="170">
        <f t="shared" si="270"/>
        <v>0</v>
      </c>
      <c r="AJ112" s="135">
        <f>SUM(AF112:AI112)</f>
        <v>0</v>
      </c>
      <c r="AK112" s="170">
        <f t="shared" si="270"/>
        <v>0</v>
      </c>
      <c r="AL112" s="170">
        <f t="shared" si="270"/>
        <v>0</v>
      </c>
      <c r="AM112" s="170">
        <f t="shared" si="270"/>
        <v>0</v>
      </c>
      <c r="AN112" s="170">
        <f t="shared" si="270"/>
        <v>0</v>
      </c>
      <c r="AO112" s="135">
        <f>SUM(AK112:AN112)</f>
        <v>0</v>
      </c>
      <c r="AP112" s="170">
        <f t="shared" si="270"/>
        <v>0</v>
      </c>
      <c r="AQ112" s="170">
        <f t="shared" si="270"/>
        <v>0</v>
      </c>
      <c r="AR112" s="170">
        <f t="shared" si="270"/>
        <v>0</v>
      </c>
      <c r="AS112" s="170">
        <f t="shared" si="270"/>
        <v>0</v>
      </c>
      <c r="AT112" s="135">
        <f>SUM(AP112:AS112)</f>
        <v>0</v>
      </c>
      <c r="AU112" s="170">
        <f t="shared" si="270"/>
        <v>0</v>
      </c>
      <c r="AV112" s="170">
        <f t="shared" si="270"/>
        <v>0</v>
      </c>
      <c r="AW112" s="170">
        <f t="shared" si="270"/>
        <v>0</v>
      </c>
      <c r="AX112" s="170">
        <f t="shared" si="270"/>
        <v>0</v>
      </c>
      <c r="AY112" s="135">
        <f>SUM(AU112:AX112)</f>
        <v>0</v>
      </c>
      <c r="AZ112" s="170">
        <f t="shared" si="270"/>
        <v>0</v>
      </c>
      <c r="BA112" s="170">
        <f t="shared" si="270"/>
        <v>0</v>
      </c>
      <c r="BB112" s="170">
        <f t="shared" si="270"/>
        <v>0</v>
      </c>
      <c r="BC112" s="170">
        <f t="shared" si="270"/>
        <v>707918</v>
      </c>
      <c r="BD112" s="135">
        <f>SUM(AZ112:BC112)</f>
        <v>707918</v>
      </c>
      <c r="BE112" s="170">
        <f t="shared" si="270"/>
        <v>-530938.5</v>
      </c>
      <c r="BF112" s="170">
        <f t="shared" si="270"/>
        <v>0</v>
      </c>
      <c r="BG112" s="170">
        <f t="shared" si="270"/>
        <v>0</v>
      </c>
      <c r="BH112" s="170">
        <f t="shared" si="270"/>
        <v>717207</v>
      </c>
      <c r="BI112" s="135">
        <f>SUM(BE112:BH112)</f>
        <v>186268.5</v>
      </c>
      <c r="BJ112" s="170">
        <f t="shared" si="270"/>
        <v>-537905.25</v>
      </c>
      <c r="BK112" s="170">
        <f t="shared" si="270"/>
        <v>0</v>
      </c>
      <c r="BL112" s="170">
        <f t="shared" si="270"/>
        <v>0</v>
      </c>
      <c r="BM112" s="170">
        <f t="shared" si="270"/>
        <v>868619</v>
      </c>
      <c r="BN112" s="135">
        <f>SUM(BJ112:BM112)</f>
        <v>330713.75</v>
      </c>
      <c r="BO112" s="170">
        <f>BO107-BO111</f>
        <v>-651464.25</v>
      </c>
      <c r="BP112" s="170">
        <f>BP107-BP111</f>
        <v>0</v>
      </c>
      <c r="BQ112" s="170">
        <f>BQ107-BQ111</f>
        <v>0</v>
      </c>
      <c r="BR112" s="170">
        <f>BR107-BR111</f>
        <v>734452</v>
      </c>
      <c r="BS112" s="135">
        <f>SUM(BO112:BR112)</f>
        <v>82987.75</v>
      </c>
      <c r="BT112" s="170">
        <f>BT107-BT111</f>
        <v>-550839</v>
      </c>
      <c r="BU112" s="170">
        <f>BU107-BU111</f>
        <v>0</v>
      </c>
      <c r="BV112" s="170">
        <f>BV107-BV111</f>
        <v>0</v>
      </c>
      <c r="BW112" s="170">
        <f>BW107-BW111</f>
        <v>689084</v>
      </c>
      <c r="BX112" s="135">
        <f>SUM(BT112:BW112)</f>
        <v>138245</v>
      </c>
      <c r="BY112" s="170">
        <f>BY107-BY111</f>
        <v>-551267.19999999995</v>
      </c>
      <c r="BZ112" s="170">
        <f>BZ107-BZ111</f>
        <v>0</v>
      </c>
      <c r="CA112" s="170">
        <f>CA107-CA111</f>
        <v>0</v>
      </c>
      <c r="CB112" s="170">
        <f>CB107-CB111</f>
        <v>670419</v>
      </c>
      <c r="CC112" s="135">
        <f>SUM(BY112:CB112)</f>
        <v>119151.80000000005</v>
      </c>
      <c r="CD112" s="170">
        <f>CD107-CD111</f>
        <v>105597.80000000005</v>
      </c>
      <c r="CE112" s="170">
        <f>CE107-CE111</f>
        <v>136024.59999999998</v>
      </c>
      <c r="CF112" s="170">
        <f>CF107-CF111</f>
        <v>206421.2</v>
      </c>
      <c r="CG112" s="170">
        <f>CG107-CG111</f>
        <v>197687.59999999998</v>
      </c>
      <c r="CH112" s="135">
        <f>SUM(CD112:CG112)</f>
        <v>645731.19999999995</v>
      </c>
      <c r="CI112" s="170">
        <f>CI107-CI111</f>
        <v>310863.5</v>
      </c>
      <c r="CJ112" s="170">
        <f>CJ107-CJ111</f>
        <v>345554.65</v>
      </c>
      <c r="CK112" s="170">
        <f>CK107-CK111</f>
        <v>430645.65</v>
      </c>
      <c r="CL112" s="170">
        <f>CL107-CL111</f>
        <v>346986.94999999995</v>
      </c>
      <c r="CM112" s="135">
        <f>SUM(CI112:CL112)</f>
        <v>1434050.75</v>
      </c>
      <c r="CN112" s="170">
        <f>CN107-CN111</f>
        <v>422356.60000000009</v>
      </c>
      <c r="CO112" s="170">
        <f>CO107-CO111</f>
        <v>420904.10000000009</v>
      </c>
      <c r="CP112" s="170">
        <f>CP107-CP111</f>
        <v>464030.80000000005</v>
      </c>
      <c r="CQ112" s="170">
        <f>CQ107-CQ111</f>
        <v>364414.5</v>
      </c>
      <c r="CR112" s="135">
        <f>SUM(CN112:CQ112)</f>
        <v>1671706.0000000002</v>
      </c>
      <c r="CS112" s="170">
        <f>CS107-CS111</f>
        <v>705473.89999999991</v>
      </c>
      <c r="CT112" s="170">
        <f>CT107-CT111</f>
        <v>622806.29999999981</v>
      </c>
      <c r="CU112" s="170">
        <f>CU107-CU111</f>
        <v>517916.60000000009</v>
      </c>
      <c r="CV112" s="170">
        <f>CV107-CV111</f>
        <v>406697.29999999981</v>
      </c>
      <c r="CW112" s="135">
        <f>SUM(CS112:CV112)</f>
        <v>2252894.0999999996</v>
      </c>
      <c r="CX112" s="170">
        <f>CX107-CX111</f>
        <v>1001680.7000000002</v>
      </c>
      <c r="CY112" s="170">
        <f>CY107-CY111</f>
        <v>1099864.6000000001</v>
      </c>
      <c r="CZ112" s="170">
        <f>CZ107-CZ111</f>
        <v>849506</v>
      </c>
      <c r="DA112" s="170">
        <f>DA107-DA111</f>
        <v>882018.29999999981</v>
      </c>
      <c r="DB112" s="135">
        <f>SUM(CX112:DA112)</f>
        <v>3833069.6</v>
      </c>
      <c r="DC112" s="170">
        <f>DC107-DC111</f>
        <v>1421680.7000000002</v>
      </c>
      <c r="DD112" s="170">
        <f>DD107-DD111</f>
        <v>1496612.7999999998</v>
      </c>
      <c r="DE112" s="170">
        <f>DE107-DE111</f>
        <v>1145512.5999999996</v>
      </c>
      <c r="DF112" s="170">
        <f>DF107-DF111</f>
        <v>871260.70000000019</v>
      </c>
      <c r="DG112" s="135">
        <f>SUM(DC112:DF112)</f>
        <v>4935066.8</v>
      </c>
      <c r="DH112" s="170">
        <f>DH107-DH111</f>
        <v>1449852.5</v>
      </c>
      <c r="DI112" s="170">
        <f>DI107-DI111</f>
        <v>1206563</v>
      </c>
      <c r="DJ112" s="297">
        <f>Forecasts!DJ9-Forecasts!DJ38</f>
        <v>1282192.8992607752</v>
      </c>
      <c r="DK112" s="297">
        <f>Forecasts!DK9-Forecasts!DK38</f>
        <v>1236112.6260331366</v>
      </c>
      <c r="DL112" s="135">
        <f>SUM(DH112:DK112)</f>
        <v>5174721.0252939118</v>
      </c>
      <c r="DM112" s="297">
        <f>Forecasts!DM9-Forecasts!DM38</f>
        <v>1323409.1016081548</v>
      </c>
      <c r="DN112" s="297">
        <f>Forecasts!DN9-Forecasts!DN38</f>
        <v>1346189.7390487043</v>
      </c>
      <c r="DO112" s="297">
        <f>Forecasts!DO9-Forecasts!DO38</f>
        <v>1364732.3172158515</v>
      </c>
      <c r="DP112" s="297">
        <f>Forecasts!DP9-Forecasts!DP38</f>
        <v>1382094.1843089338</v>
      </c>
      <c r="DQ112" s="135">
        <f>SUM(DM112:DP112)</f>
        <v>5416425.3421816444</v>
      </c>
      <c r="DR112" s="297">
        <f>Forecasts!DR9-Forecasts!DR38</f>
        <v>1398821.9615576137</v>
      </c>
      <c r="DS112" s="297">
        <f>Forecasts!DS9-Forecasts!DS38</f>
        <v>1415260.1647268613</v>
      </c>
      <c r="DT112" s="297">
        <f>Forecasts!DT9-Forecasts!DT38</f>
        <v>1431600.9315639068</v>
      </c>
      <c r="DU112" s="297">
        <f>Forecasts!DU9-Forecasts!DU38</f>
        <v>1447953.1169649938</v>
      </c>
      <c r="DV112" s="135">
        <f>SUM(DR112:DU112)</f>
        <v>5693636.1748133758</v>
      </c>
      <c r="DW112" s="297">
        <f>Forecasts!DW9-Forecasts!DW38</f>
        <v>1464379.2213201143</v>
      </c>
      <c r="DX112" s="297">
        <f>Forecasts!DX9-Forecasts!DX38</f>
        <v>1480915.9281220834</v>
      </c>
      <c r="DY112" s="297">
        <f>Forecasts!DY9-Forecasts!DY38</f>
        <v>1497585.5027624092</v>
      </c>
      <c r="DZ112" s="297">
        <f>Forecasts!DZ9-Forecasts!DZ38</f>
        <v>1514402.1243062392</v>
      </c>
      <c r="EA112" s="135">
        <f>SUM(DW112:DZ112)</f>
        <v>5957282.7765108459</v>
      </c>
      <c r="EB112" s="297">
        <f>Forecasts!EB9-Forecasts!EB38</f>
        <v>1531375.4064729502</v>
      </c>
      <c r="EC112" s="297">
        <f>Forecasts!EC9-Forecasts!EC38</f>
        <v>1548512.3590644049</v>
      </c>
      <c r="ED112" s="297">
        <f>Forecasts!ED9-Forecasts!ED38</f>
        <v>1565818.483748371</v>
      </c>
      <c r="EE112" s="297">
        <f>Forecasts!EE9-Forecasts!EE38</f>
        <v>1583298.3890548463</v>
      </c>
      <c r="EF112" s="135">
        <f>SUM(EB112:EE112)</f>
        <v>6229004.6383405719</v>
      </c>
    </row>
    <row r="113" spans="1:136" ht="12" customHeight="1" outlineLevel="1">
      <c r="A113" s="1" t="s">
        <v>122</v>
      </c>
      <c r="B113" s="52"/>
      <c r="C113" s="52"/>
      <c r="D113" s="52"/>
      <c r="E113" s="52"/>
      <c r="F113" s="26"/>
      <c r="G113" s="52"/>
      <c r="H113" s="52"/>
      <c r="I113" s="52"/>
      <c r="J113" s="52"/>
      <c r="K113" s="26"/>
      <c r="L113" s="52"/>
      <c r="M113" s="52"/>
      <c r="N113" s="52"/>
      <c r="O113" s="52"/>
      <c r="P113" s="26"/>
      <c r="Q113" s="52"/>
      <c r="R113" s="52"/>
      <c r="S113" s="52"/>
      <c r="T113" s="52"/>
      <c r="U113" s="26"/>
      <c r="V113" s="52"/>
      <c r="W113" s="52"/>
      <c r="X113" s="52"/>
      <c r="Y113" s="52"/>
      <c r="Z113" s="26"/>
      <c r="AA113" s="52"/>
      <c r="AB113" s="52"/>
      <c r="AC113" s="52"/>
      <c r="AD113" s="52"/>
      <c r="AE113" s="26"/>
      <c r="AF113" s="49" t="e">
        <f>AE108+Forecasts!AF40*(1-'Income Statement'!AF71)</f>
        <v>#DIV/0!</v>
      </c>
      <c r="AG113" s="49" t="e">
        <f>AF108+Forecasts!AG40*(1-'Income Statement'!AG71)</f>
        <v>#DIV/0!</v>
      </c>
      <c r="AH113" s="49" t="e">
        <f>AG108+Forecasts!AH40*(1-'Income Statement'!AH71)</f>
        <v>#DIV/0!</v>
      </c>
      <c r="AI113" s="49">
        <f>AH108+Forecasts!AI40*(1-'Income Statement'!AI71)</f>
        <v>0</v>
      </c>
      <c r="AJ113" s="26">
        <f>AI113</f>
        <v>0</v>
      </c>
      <c r="AK113" s="49" t="e">
        <f>AJ108+Forecasts!AK40*(1-'Income Statement'!AK71)</f>
        <v>#DIV/0!</v>
      </c>
      <c r="AL113" s="49" t="e">
        <f>AK108+Forecasts!AL40*(1-'Income Statement'!AL71)</f>
        <v>#DIV/0!</v>
      </c>
      <c r="AM113" s="49" t="e">
        <f>AL108+Forecasts!AM40*(1-'Income Statement'!AM71)</f>
        <v>#DIV/0!</v>
      </c>
      <c r="AN113" s="49">
        <f>AM108+Forecasts!AN40*(1-'Income Statement'!AN71)</f>
        <v>0</v>
      </c>
      <c r="AO113" s="26">
        <f>AN113</f>
        <v>0</v>
      </c>
      <c r="AP113" s="49" t="e">
        <f>AO108+Forecasts!AP40*(1-'Income Statement'!AP71)</f>
        <v>#DIV/0!</v>
      </c>
      <c r="AQ113" s="49" t="e">
        <f>AP108+Forecasts!AQ40*(1-'Income Statement'!AQ71)</f>
        <v>#DIV/0!</v>
      </c>
      <c r="AR113" s="49" t="e">
        <f>AQ108+Forecasts!AR40*(1-'Income Statement'!AR71)</f>
        <v>#DIV/0!</v>
      </c>
      <c r="AS113" s="49">
        <f>AR108+Forecasts!AS40*(1-'Income Statement'!AS71)</f>
        <v>0</v>
      </c>
      <c r="AT113" s="26">
        <f>AS113</f>
        <v>0</v>
      </c>
      <c r="AU113" s="49" t="e">
        <f>AT108+Forecasts!AU40*(1-'Income Statement'!AU71)</f>
        <v>#DIV/0!</v>
      </c>
      <c r="AV113" s="49" t="e">
        <f>AU108+Forecasts!AV40*(1-'Income Statement'!AV71)</f>
        <v>#DIV/0!</v>
      </c>
      <c r="AW113" s="49" t="e">
        <f>AV108+Forecasts!AW40*(1-'Income Statement'!AW71)</f>
        <v>#DIV/0!</v>
      </c>
      <c r="AX113" s="49">
        <f>AW108+Forecasts!AX40*(1-'Income Statement'!AX71)</f>
        <v>0</v>
      </c>
      <c r="AY113" s="26">
        <f>AX113</f>
        <v>0</v>
      </c>
      <c r="AZ113" s="49" t="e">
        <f>AY108+Forecasts!AZ40*(1-'Income Statement'!AZ71)</f>
        <v>#DIV/0!</v>
      </c>
      <c r="BA113" s="49" t="e">
        <f>AZ108+Forecasts!BA40*(1-'Income Statement'!BA71)</f>
        <v>#DIV/0!</v>
      </c>
      <c r="BB113" s="49" t="e">
        <f>BA108+Forecasts!BB40*(1-'Income Statement'!BB71)</f>
        <v>#DIV/0!</v>
      </c>
      <c r="BC113" s="49">
        <f>BB108+Forecasts!BC40*(1-'Income Statement'!BC71)</f>
        <v>0</v>
      </c>
      <c r="BD113" s="26">
        <f>BC113</f>
        <v>0</v>
      </c>
      <c r="BE113" s="49" t="e">
        <f>BD108+Forecasts!BE40*(1-'Income Statement'!BE71)</f>
        <v>#DIV/0!</v>
      </c>
      <c r="BF113" s="49" t="e">
        <f>BE108+Forecasts!BF40*(1-'Income Statement'!BF71)</f>
        <v>#DIV/0!</v>
      </c>
      <c r="BG113" s="49" t="e">
        <f>BF108+Forecasts!BG40*(1-'Income Statement'!BG71)</f>
        <v>#DIV/0!</v>
      </c>
      <c r="BH113" s="49">
        <f>BG108+Forecasts!BH40*(1-'Income Statement'!BH71)</f>
        <v>0</v>
      </c>
      <c r="BI113" s="26">
        <f>BH113</f>
        <v>0</v>
      </c>
      <c r="BJ113" s="49" t="e">
        <f>BI108+Forecasts!BJ40*(1-'Income Statement'!BJ71)</f>
        <v>#DIV/0!</v>
      </c>
      <c r="BK113" s="49" t="e">
        <f>BJ108+Forecasts!BK40*(1-'Income Statement'!BK71)</f>
        <v>#DIV/0!</v>
      </c>
      <c r="BL113" s="49" t="e">
        <f>BK108+Forecasts!BL40*(1-'Income Statement'!BL71)</f>
        <v>#DIV/0!</v>
      </c>
      <c r="BM113" s="49">
        <f>BL108+Forecasts!BM40*(1-'Income Statement'!BM71)</f>
        <v>0</v>
      </c>
      <c r="BN113" s="26">
        <f>BM113</f>
        <v>0</v>
      </c>
      <c r="BO113" s="49" t="e">
        <f>BN108+Forecasts!BO40*(1-'Income Statement'!BO71)</f>
        <v>#DIV/0!</v>
      </c>
      <c r="BP113" s="49" t="e">
        <f>BO108+Forecasts!BP40*(1-'Income Statement'!BP71)</f>
        <v>#DIV/0!</v>
      </c>
      <c r="BQ113" s="49" t="e">
        <f>BP108+Forecasts!BQ40*(1-'Income Statement'!BQ71)</f>
        <v>#DIV/0!</v>
      </c>
      <c r="BR113" s="49">
        <f>BQ108+Forecasts!BR40*(1-'Income Statement'!BR71)</f>
        <v>0</v>
      </c>
      <c r="BS113" s="26">
        <f>BR113</f>
        <v>0</v>
      </c>
      <c r="BT113" s="49" t="e">
        <f>BS108+Forecasts!BT40*(1-'Income Statement'!BT71)</f>
        <v>#DIV/0!</v>
      </c>
      <c r="BU113" s="49" t="e">
        <f>BT108+Forecasts!BU40*(1-'Income Statement'!BU71)</f>
        <v>#DIV/0!</v>
      </c>
      <c r="BV113" s="49" t="e">
        <f>BU108+Forecasts!BV40*(1-'Income Statement'!BV71)</f>
        <v>#DIV/0!</v>
      </c>
      <c r="BW113" s="49">
        <f>BV108+Forecasts!BW40*(1-'Income Statement'!BW71)</f>
        <v>0</v>
      </c>
      <c r="BX113" s="26">
        <f>BW113</f>
        <v>0</v>
      </c>
      <c r="BY113" s="49">
        <f>BX108+Forecasts!BY40*(1-'Income Statement'!BY71)</f>
        <v>-463707.11607880786</v>
      </c>
      <c r="BZ113" s="49">
        <f>BY108+Forecasts!BZ40*(1-'Income Statement'!BZ71)</f>
        <v>0</v>
      </c>
      <c r="CA113" s="49">
        <f>BZ108+Forecasts!CA40*(1-'Income Statement'!CA71)</f>
        <v>0</v>
      </c>
      <c r="CB113" s="49">
        <f>CA108+Forecasts!CB40*(1-'Income Statement'!CB71)</f>
        <v>0</v>
      </c>
      <c r="CC113" s="26">
        <f>CB113</f>
        <v>0</v>
      </c>
      <c r="CD113" s="49">
        <f>CC108+Forecasts!CD40*(1-'Income Statement'!CD71)</f>
        <v>-354516.50148154842</v>
      </c>
      <c r="CE113" s="49">
        <f>CD108+Forecasts!CE40*(1-'Income Statement'!CE71)</f>
        <v>-350010.13659259258</v>
      </c>
      <c r="CF113" s="49">
        <f>CE108+Forecasts!CF40*(1-'Income Statement'!CF71)</f>
        <v>-332893.13976593106</v>
      </c>
      <c r="CG113" s="49">
        <f>CF108+Forecasts!CG40*(1-'Income Statement'!CG71)</f>
        <v>-350119.33619677729</v>
      </c>
      <c r="CH113" s="26">
        <f>CG113</f>
        <v>-350119.33619677729</v>
      </c>
      <c r="CI113" s="49">
        <f>CH108+Forecasts!CI40*(1-'Income Statement'!CI71)</f>
        <v>-403430.3362815227</v>
      </c>
      <c r="CJ113" s="49">
        <f>CI108+Forecasts!CJ40*(1-'Income Statement'!CJ71)</f>
        <v>-519709.74785439868</v>
      </c>
      <c r="CK113" s="49">
        <f>CJ108+Forecasts!CK40*(1-'Income Statement'!CK71)</f>
        <v>-633187.03257145255</v>
      </c>
      <c r="CL113" s="49">
        <f>CK108+Forecasts!CL40*(1-'Income Statement'!CL71)</f>
        <v>-736915.23623157362</v>
      </c>
      <c r="CM113" s="26">
        <f>CL113</f>
        <v>-736915.23623157362</v>
      </c>
      <c r="CN113" s="49">
        <f>CM108+Forecasts!CN40*(1-'Income Statement'!CN71)</f>
        <v>-854547.14239091671</v>
      </c>
      <c r="CO113" s="49">
        <f>CN108+Forecasts!CO40*(1-'Income Statement'!CO71)</f>
        <v>-986646.76427745179</v>
      </c>
      <c r="CP113" s="49">
        <f>CO108+Forecasts!CP40*(1-'Income Statement'!CP71)</f>
        <v>-1103714.1433230944</v>
      </c>
      <c r="CQ113" s="49">
        <f>CP108+Forecasts!CQ40*(1-'Income Statement'!CQ71)</f>
        <v>-1201030.1605661509</v>
      </c>
      <c r="CR113" s="26">
        <f>CQ113</f>
        <v>-1201030.1605661509</v>
      </c>
      <c r="CS113" s="49">
        <f>CR108+Forecasts!CS40*(1-'Income Statement'!CS71)</f>
        <v>-1276649.0491515184</v>
      </c>
      <c r="CT113" s="49">
        <f>CS108+Forecasts!CT40*(1-'Income Statement'!CT71)</f>
        <v>-1514163.6192314792</v>
      </c>
      <c r="CU113" s="49">
        <f>CT108+Forecasts!CU40*(1-'Income Statement'!CU71)</f>
        <v>-1688200.1219979178</v>
      </c>
      <c r="CV113" s="49">
        <f>CU108+Forecasts!CV40*(1-'Income Statement'!CV71)</f>
        <v>-1790849.0730043666</v>
      </c>
      <c r="CW113" s="26">
        <f>CV113</f>
        <v>-1790849.0730043666</v>
      </c>
      <c r="CX113" s="49">
        <f>CW108+Forecasts!CX40*(1-'Income Statement'!CX71)</f>
        <v>-1819458.179070964</v>
      </c>
      <c r="CY113" s="49">
        <f>CX108+Forecasts!CY40*(1-'Income Statement'!CY71)</f>
        <v>-2153870.2548880512</v>
      </c>
      <c r="CZ113" s="49">
        <f>CY108+Forecasts!CZ40*(1-'Income Statement'!CZ71)</f>
        <v>-2481386.4475799049</v>
      </c>
      <c r="DA113" s="49">
        <f>CZ108+Forecasts!DA40*(1-'Income Statement'!DA71)</f>
        <v>-2640559.3147687558</v>
      </c>
      <c r="DB113" s="26">
        <f>DA113</f>
        <v>-2640559.3147687558</v>
      </c>
      <c r="DC113" s="49">
        <f>DB108+Forecasts!DC40*(1-'Income Statement'!DC71)</f>
        <v>-2818213.9914455898</v>
      </c>
      <c r="DD113" s="49">
        <f>DC108+Forecasts!DD40*(1-'Income Statement'!DD71)</f>
        <v>-3277782.3017687364</v>
      </c>
      <c r="DE113" s="49">
        <f>DD108+Forecasts!DE40*(1-'Income Statement'!DE71)</f>
        <v>-3697896.2844275124</v>
      </c>
      <c r="DF113" s="49">
        <f>DE108+Forecasts!DF40*(1-'Income Statement'!DF71)</f>
        <v>-3908766.8721106062</v>
      </c>
      <c r="DG113" s="26">
        <f>DF113</f>
        <v>-3908766.8721106062</v>
      </c>
      <c r="DH113" s="49">
        <f>DG108+Forecasts!DH40*(1-'Income Statement'!DH71)</f>
        <v>-3956177.2893243297</v>
      </c>
      <c r="DI113" s="49">
        <f>DH108+Forecasts!DI40*(1-'Income Statement'!DI71)</f>
        <v>-4335386.8716774127</v>
      </c>
      <c r="DJ113" s="49">
        <f>DI108+Forecasts!DJ40*(1-'Income Statement'!DJ71)</f>
        <v>-4470060.4275987316</v>
      </c>
      <c r="DK113" s="49">
        <f>DJ108+Forecasts!DK40*(1-'Income Statement'!DK71)</f>
        <v>-4700416.3269893564</v>
      </c>
      <c r="DL113" s="26">
        <f>DK113</f>
        <v>-4700416.3269893564</v>
      </c>
      <c r="DM113" s="49">
        <f>DL108+Forecasts!DM40*(1-'Income Statement'!DM71)</f>
        <v>-4879031.0755029945</v>
      </c>
      <c r="DN113" s="49">
        <f>DM108+Forecasts!DN40*(1-'Income Statement'!DN71)</f>
        <v>-5099884.4059999399</v>
      </c>
      <c r="DO113" s="49">
        <f>DN108+Forecasts!DO40*(1-'Income Statement'!DO71)</f>
        <v>-5309693.9672746705</v>
      </c>
      <c r="DP113" s="49">
        <f>DO108+Forecasts!DP40*(1-'Income Statement'!DP71)</f>
        <v>-5515987.0338541232</v>
      </c>
      <c r="DQ113" s="26">
        <f>DP113</f>
        <v>-5515987.0338541232</v>
      </c>
      <c r="DR113" s="49">
        <f>DQ108+Forecasts!DR40*(1-'Income Statement'!DR71)</f>
        <v>-5709707.4468302764</v>
      </c>
      <c r="DS113" s="49">
        <f>DR108+Forecasts!DS40*(1-'Income Statement'!DS71)</f>
        <v>-5900773.7569139507</v>
      </c>
      <c r="DT113" s="49">
        <f>DS108+Forecasts!DT40*(1-'Income Statement'!DT71)</f>
        <v>-6082995.9350448921</v>
      </c>
      <c r="DU113" s="49">
        <f>DT108+Forecasts!DU40*(1-'Income Statement'!DU71)</f>
        <v>-6257134.077201155</v>
      </c>
      <c r="DV113" s="26">
        <f>DU113</f>
        <v>-6257134.077201155</v>
      </c>
      <c r="DW113" s="49">
        <f>DV108+Forecasts!DW40*(1-'Income Statement'!DW71)</f>
        <v>-6423937.830058801</v>
      </c>
      <c r="DX113" s="49">
        <f>DW108+Forecasts!DX40*(1-'Income Statement'!DX71)</f>
        <v>-6584121.4707813207</v>
      </c>
      <c r="DY113" s="49">
        <f>DX108+Forecasts!DY40*(1-'Income Statement'!DY71)</f>
        <v>-6738352.754665589</v>
      </c>
      <c r="DZ113" s="49">
        <f>DY108+Forecasts!DZ40*(1-'Income Statement'!DZ71)</f>
        <v>-6887249.1759403879</v>
      </c>
      <c r="EA113" s="26">
        <f>DZ113</f>
        <v>-6887249.1759403879</v>
      </c>
      <c r="EB113" s="49">
        <f>EA108+Forecasts!EB40*(1-'Income Statement'!EB71)</f>
        <v>-7031378.1302490653</v>
      </c>
      <c r="EC113" s="49">
        <f>EB108+Forecasts!EC40*(1-'Income Statement'!EC71)</f>
        <v>-7171259.0453238366</v>
      </c>
      <c r="ED113" s="49">
        <f>EC108+Forecasts!ED40*(1-'Income Statement'!ED71)</f>
        <v>-7307366.4221267989</v>
      </c>
      <c r="EE113" s="49">
        <f>ED108+Forecasts!EE40*(1-'Income Statement'!EE71)</f>
        <v>-7440133.2142217448</v>
      </c>
      <c r="EF113" s="26">
        <f>EE113</f>
        <v>-7440133.2142217448</v>
      </c>
    </row>
    <row r="114" spans="1:136" s="92" customFormat="1" ht="12" customHeight="1" outlineLevel="1">
      <c r="A114" s="92" t="s">
        <v>218</v>
      </c>
      <c r="B114" s="170"/>
      <c r="C114" s="170"/>
      <c r="D114" s="170"/>
      <c r="E114" s="170"/>
      <c r="F114" s="135"/>
      <c r="G114" s="170"/>
      <c r="H114" s="170"/>
      <c r="I114" s="170"/>
      <c r="J114" s="170"/>
      <c r="K114" s="135"/>
      <c r="L114" s="170"/>
      <c r="M114" s="170"/>
      <c r="N114" s="170"/>
      <c r="O114" s="170"/>
      <c r="P114" s="135"/>
      <c r="Q114" s="170"/>
      <c r="R114" s="170"/>
      <c r="S114" s="170"/>
      <c r="T114" s="170"/>
      <c r="U114" s="135"/>
      <c r="V114" s="170"/>
      <c r="W114" s="170"/>
      <c r="X114" s="170"/>
      <c r="Y114" s="170"/>
      <c r="Z114" s="135"/>
      <c r="AA114" s="170"/>
      <c r="AB114" s="170"/>
      <c r="AC114" s="170"/>
      <c r="AD114" s="170"/>
      <c r="AE114" s="135"/>
      <c r="AF114" s="170" t="e">
        <f t="shared" ref="AF114:BM114" si="271">AF108-AF113</f>
        <v>#DIV/0!</v>
      </c>
      <c r="AG114" s="170" t="e">
        <f t="shared" si="271"/>
        <v>#DIV/0!</v>
      </c>
      <c r="AH114" s="170" t="e">
        <f t="shared" si="271"/>
        <v>#DIV/0!</v>
      </c>
      <c r="AI114" s="170">
        <f t="shared" si="271"/>
        <v>0</v>
      </c>
      <c r="AJ114" s="135" t="e">
        <f>SUM(AF114:AI114)</f>
        <v>#DIV/0!</v>
      </c>
      <c r="AK114" s="170" t="e">
        <f t="shared" si="271"/>
        <v>#DIV/0!</v>
      </c>
      <c r="AL114" s="170" t="e">
        <f t="shared" si="271"/>
        <v>#DIV/0!</v>
      </c>
      <c r="AM114" s="170" t="e">
        <f t="shared" si="271"/>
        <v>#DIV/0!</v>
      </c>
      <c r="AN114" s="170">
        <f t="shared" si="271"/>
        <v>0</v>
      </c>
      <c r="AO114" s="135" t="e">
        <f>SUM(AK114:AN114)</f>
        <v>#DIV/0!</v>
      </c>
      <c r="AP114" s="170" t="e">
        <f t="shared" si="271"/>
        <v>#DIV/0!</v>
      </c>
      <c r="AQ114" s="170" t="e">
        <f t="shared" si="271"/>
        <v>#DIV/0!</v>
      </c>
      <c r="AR114" s="170" t="e">
        <f t="shared" si="271"/>
        <v>#DIV/0!</v>
      </c>
      <c r="AS114" s="170">
        <f t="shared" si="271"/>
        <v>0</v>
      </c>
      <c r="AT114" s="135" t="e">
        <f>SUM(AP114:AS114)</f>
        <v>#DIV/0!</v>
      </c>
      <c r="AU114" s="170" t="e">
        <f t="shared" si="271"/>
        <v>#DIV/0!</v>
      </c>
      <c r="AV114" s="170" t="e">
        <f t="shared" si="271"/>
        <v>#DIV/0!</v>
      </c>
      <c r="AW114" s="170" t="e">
        <f t="shared" si="271"/>
        <v>#DIV/0!</v>
      </c>
      <c r="AX114" s="170">
        <f t="shared" si="271"/>
        <v>0</v>
      </c>
      <c r="AY114" s="135" t="e">
        <f>SUM(AU114:AX114)</f>
        <v>#DIV/0!</v>
      </c>
      <c r="AZ114" s="170" t="e">
        <f t="shared" si="271"/>
        <v>#DIV/0!</v>
      </c>
      <c r="BA114" s="170" t="e">
        <f t="shared" si="271"/>
        <v>#DIV/0!</v>
      </c>
      <c r="BB114" s="170" t="e">
        <f t="shared" si="271"/>
        <v>#DIV/0!</v>
      </c>
      <c r="BC114" s="170">
        <f t="shared" si="271"/>
        <v>-419086</v>
      </c>
      <c r="BD114" s="135" t="e">
        <f>SUM(AZ114:BC114)</f>
        <v>#DIV/0!</v>
      </c>
      <c r="BE114" s="170" t="e">
        <f t="shared" si="271"/>
        <v>#DIV/0!</v>
      </c>
      <c r="BF114" s="170" t="e">
        <f t="shared" si="271"/>
        <v>#DIV/0!</v>
      </c>
      <c r="BG114" s="170" t="e">
        <f t="shared" si="271"/>
        <v>#DIV/0!</v>
      </c>
      <c r="BH114" s="170">
        <f t="shared" si="271"/>
        <v>-533549</v>
      </c>
      <c r="BI114" s="135" t="e">
        <f>SUM(BE114:BH114)</f>
        <v>#DIV/0!</v>
      </c>
      <c r="BJ114" s="170" t="e">
        <f t="shared" si="271"/>
        <v>#DIV/0!</v>
      </c>
      <c r="BK114" s="170" t="e">
        <f t="shared" si="271"/>
        <v>#DIV/0!</v>
      </c>
      <c r="BL114" s="170" t="e">
        <f t="shared" si="271"/>
        <v>#DIV/0!</v>
      </c>
      <c r="BM114" s="170">
        <f t="shared" si="271"/>
        <v>-539361</v>
      </c>
      <c r="BN114" s="135" t="e">
        <f>SUM(BJ114:BM114)</f>
        <v>#DIV/0!</v>
      </c>
      <c r="BO114" s="170" t="e">
        <f>BO108-BO113</f>
        <v>#DIV/0!</v>
      </c>
      <c r="BP114" s="170" t="e">
        <f>BP108-BP113</f>
        <v>#DIV/0!</v>
      </c>
      <c r="BQ114" s="170" t="e">
        <f>BQ108-BQ113</f>
        <v>#DIV/0!</v>
      </c>
      <c r="BR114" s="170">
        <f>BR108-BR113</f>
        <v>-549170</v>
      </c>
      <c r="BS114" s="135" t="e">
        <f>SUM(BO114:BR114)</f>
        <v>#DIV/0!</v>
      </c>
      <c r="BT114" s="170" t="e">
        <f>BT108-BT113</f>
        <v>#DIV/0!</v>
      </c>
      <c r="BU114" s="170" t="e">
        <f>BU108-BU113</f>
        <v>#DIV/0!</v>
      </c>
      <c r="BV114" s="170" t="e">
        <f>BV108-BV113</f>
        <v>#DIV/0!</v>
      </c>
      <c r="BW114" s="170">
        <f>BW108-BW113</f>
        <v>-552148</v>
      </c>
      <c r="BX114" s="135" t="e">
        <f>SUM(BT114:BW114)</f>
        <v>#DIV/0!</v>
      </c>
      <c r="BY114" s="170">
        <f>BY108-BY113</f>
        <v>463707.11607880786</v>
      </c>
      <c r="BZ114" s="170">
        <f>BZ108-BZ113</f>
        <v>0</v>
      </c>
      <c r="CA114" s="170">
        <f>CA108-CA113</f>
        <v>0</v>
      </c>
      <c r="CB114" s="170">
        <f>CB108-CB113</f>
        <v>-434256</v>
      </c>
      <c r="CC114" s="135">
        <f>SUM(BY114:CB114)</f>
        <v>29451.116078807856</v>
      </c>
      <c r="CD114" s="170">
        <f>CD108-CD113</f>
        <v>-71056.498518451583</v>
      </c>
      <c r="CE114" s="170">
        <f>CE108-CE113</f>
        <v>-59460.863407407422</v>
      </c>
      <c r="CF114" s="170">
        <f>CF108-CF113</f>
        <v>-99616.860234068939</v>
      </c>
      <c r="CG114" s="170">
        <f>CG108-CG113</f>
        <v>-124986.66380322271</v>
      </c>
      <c r="CH114" s="135">
        <f>SUM(CD114:CG114)</f>
        <v>-355120.88596315065</v>
      </c>
      <c r="CI114" s="170">
        <f>CI108-CI113</f>
        <v>-205150.6637184773</v>
      </c>
      <c r="CJ114" s="170">
        <f>CJ108-CJ113</f>
        <v>-216071.25214560132</v>
      </c>
      <c r="CK114" s="170">
        <f>CK108-CK113</f>
        <v>-238884.96742854745</v>
      </c>
      <c r="CL114" s="170">
        <f>CL108-CL113</f>
        <v>-212845.76376842638</v>
      </c>
      <c r="CM114" s="135">
        <f>SUM(CI114:CL114)</f>
        <v>-872952.6470610525</v>
      </c>
      <c r="CN114" s="170">
        <f>CN108-CN113</f>
        <v>-246786.85760908329</v>
      </c>
      <c r="CO114" s="170">
        <f>CO108-CO113</f>
        <v>-240816.23572254821</v>
      </c>
      <c r="CP114" s="170">
        <f>CP108-CP113</f>
        <v>-240225.85667690565</v>
      </c>
      <c r="CQ114" s="170">
        <f>CQ108-CQ113</f>
        <v>-225501.83943384909</v>
      </c>
      <c r="CR114" s="135">
        <f>SUM(CN114:CQ114)</f>
        <v>-953330.78944238625</v>
      </c>
      <c r="CS114" s="170">
        <f>CS108-CS113</f>
        <v>-414787.95084848162</v>
      </c>
      <c r="CT114" s="170">
        <f>CT108-CT113</f>
        <v>-371508.38076852076</v>
      </c>
      <c r="CU114" s="170">
        <f>CU108-CU113</f>
        <v>-308531.87800208223</v>
      </c>
      <c r="CV114" s="170">
        <f>CV108-CV113</f>
        <v>-241311.9269956334</v>
      </c>
      <c r="CW114" s="135">
        <f>SUM(CS114:CV114)</f>
        <v>-1336140.136614718</v>
      </c>
      <c r="CX114" s="170">
        <f>CX108-CX113</f>
        <v>-584641.82092903601</v>
      </c>
      <c r="CY114" s="170">
        <f>CY108-CY113</f>
        <v>-615882.74511194881</v>
      </c>
      <c r="CZ114" s="170">
        <f>CZ108-CZ113</f>
        <v>-468870.55242009507</v>
      </c>
      <c r="DA114" s="170">
        <f>DA108-DA113</f>
        <v>-509856.68523124419</v>
      </c>
      <c r="DB114" s="135">
        <f>SUM(CX114:DA114)</f>
        <v>-2179251.8036923241</v>
      </c>
      <c r="DC114" s="170">
        <f>DC108-DC113</f>
        <v>-838054.00855441019</v>
      </c>
      <c r="DD114" s="170">
        <f>DD108-DD113</f>
        <v>-846176.69823126355</v>
      </c>
      <c r="DE114" s="170">
        <f>DE108-DE113</f>
        <v>-657228.71557248756</v>
      </c>
      <c r="DF114" s="170">
        <f>DF108-DF113</f>
        <v>-511773.12788939383</v>
      </c>
      <c r="DG114" s="135">
        <f>SUM(DC114:DF114)</f>
        <v>-2853232.5502475551</v>
      </c>
      <c r="DH114" s="170">
        <f>DH108-DH113</f>
        <v>-878131.7106756703</v>
      </c>
      <c r="DI114" s="170">
        <f>DI108-DI113</f>
        <v>-652973.12832258735</v>
      </c>
      <c r="DJ114" s="297">
        <f>DJ116-DJ112</f>
        <v>-769315.73955646507</v>
      </c>
      <c r="DK114" s="297">
        <f>DK116-DK112</f>
        <v>-741667.57561988197</v>
      </c>
      <c r="DL114" s="135">
        <f>SUM(DH114:DK114)</f>
        <v>-3042088.1541746045</v>
      </c>
      <c r="DM114" s="297">
        <f>DM116-DM112</f>
        <v>-807279.55198097439</v>
      </c>
      <c r="DN114" s="297">
        <f>DN116-DN112</f>
        <v>-821175.74081970961</v>
      </c>
      <c r="DO114" s="297">
        <f>DO116-DO112</f>
        <v>-839310.37508774863</v>
      </c>
      <c r="DP114" s="297">
        <f>DP116-DP112</f>
        <v>-849987.92334999423</v>
      </c>
      <c r="DQ114" s="135">
        <f>SUM(DM114:DP114)</f>
        <v>-3317753.591238427</v>
      </c>
      <c r="DR114" s="297">
        <f>DR116-DR112</f>
        <v>-867269.61616572051</v>
      </c>
      <c r="DS114" s="297">
        <f>DS116-DS112</f>
        <v>-877461.30213065399</v>
      </c>
      <c r="DT114" s="297">
        <f>DT116-DT112</f>
        <v>-887592.5775696222</v>
      </c>
      <c r="DU114" s="297">
        <f>DU116-DU112</f>
        <v>-897730.93251829618</v>
      </c>
      <c r="DV114" s="135">
        <f>SUM(DR114:DU114)</f>
        <v>-3530054.4283842929</v>
      </c>
      <c r="DW114" s="297">
        <f>DW116-DW112</f>
        <v>-907915.1172184709</v>
      </c>
      <c r="DX114" s="297">
        <f>DX116-DX112</f>
        <v>-918167.87543569168</v>
      </c>
      <c r="DY114" s="297">
        <f>DY116-DY112</f>
        <v>-928503.01171269373</v>
      </c>
      <c r="DZ114" s="297">
        <f>DZ116-DZ112</f>
        <v>-938929.31706986832</v>
      </c>
      <c r="EA114" s="135">
        <f>SUM(DW114:DZ114)</f>
        <v>-3693515.3214367246</v>
      </c>
      <c r="EB114" s="297">
        <f>EB116-EB112</f>
        <v>-949452.75201322918</v>
      </c>
      <c r="EC114" s="297">
        <f>EC116-EC112</f>
        <v>-960077.66261993104</v>
      </c>
      <c r="ED114" s="297">
        <f>ED116-ED112</f>
        <v>-970807.45992399007</v>
      </c>
      <c r="EE114" s="297">
        <f>EE116-EE112</f>
        <v>-981645.0012140047</v>
      </c>
      <c r="EF114" s="135">
        <f>SUM(EB114:EE114)</f>
        <v>-3861982.8757711551</v>
      </c>
    </row>
    <row r="115" spans="1:136" ht="12" customHeight="1" outlineLevel="1">
      <c r="A115" s="1" t="s">
        <v>219</v>
      </c>
      <c r="B115" s="52"/>
      <c r="C115" s="52"/>
      <c r="D115" s="52"/>
      <c r="E115" s="52"/>
      <c r="F115" s="26"/>
      <c r="G115" s="52"/>
      <c r="H115" s="52"/>
      <c r="I115" s="52"/>
      <c r="J115" s="52"/>
      <c r="K115" s="26"/>
      <c r="L115" s="52"/>
      <c r="M115" s="52"/>
      <c r="N115" s="52"/>
      <c r="O115" s="52"/>
      <c r="P115" s="26"/>
      <c r="Q115" s="52"/>
      <c r="R115" s="52"/>
      <c r="S115" s="52"/>
      <c r="T115" s="52"/>
      <c r="U115" s="26"/>
      <c r="V115" s="52"/>
      <c r="W115" s="52"/>
      <c r="X115" s="52"/>
      <c r="Y115" s="52"/>
      <c r="Z115" s="26"/>
      <c r="AA115" s="52"/>
      <c r="AB115" s="52"/>
      <c r="AC115" s="52"/>
      <c r="AD115" s="52"/>
      <c r="AE115" s="26"/>
      <c r="AF115" s="52" t="e">
        <f t="shared" ref="AF115:AI116" si="272">AF111+AF113</f>
        <v>#DIV/0!</v>
      </c>
      <c r="AG115" s="52" t="e">
        <f t="shared" si="272"/>
        <v>#DIV/0!</v>
      </c>
      <c r="AH115" s="52" t="e">
        <f t="shared" si="272"/>
        <v>#DIV/0!</v>
      </c>
      <c r="AI115" s="52">
        <f t="shared" si="272"/>
        <v>0</v>
      </c>
      <c r="AJ115" s="26">
        <f>AI115</f>
        <v>0</v>
      </c>
      <c r="AK115" s="52" t="e">
        <f t="shared" ref="AK115:AN116" si="273">AK111+AK113</f>
        <v>#DIV/0!</v>
      </c>
      <c r="AL115" s="52" t="e">
        <f t="shared" si="273"/>
        <v>#DIV/0!</v>
      </c>
      <c r="AM115" s="52" t="e">
        <f t="shared" si="273"/>
        <v>#DIV/0!</v>
      </c>
      <c r="AN115" s="52">
        <f t="shared" si="273"/>
        <v>0</v>
      </c>
      <c r="AO115" s="26">
        <f>AN115</f>
        <v>0</v>
      </c>
      <c r="AP115" s="52" t="e">
        <f t="shared" ref="AP115:AS116" si="274">AP111+AP113</f>
        <v>#DIV/0!</v>
      </c>
      <c r="AQ115" s="52" t="e">
        <f t="shared" si="274"/>
        <v>#DIV/0!</v>
      </c>
      <c r="AR115" s="52" t="e">
        <f t="shared" si="274"/>
        <v>#DIV/0!</v>
      </c>
      <c r="AS115" s="52">
        <f t="shared" si="274"/>
        <v>0</v>
      </c>
      <c r="AT115" s="26">
        <f>AS115</f>
        <v>0</v>
      </c>
      <c r="AU115" s="52" t="e">
        <f t="shared" ref="AU115:AX116" si="275">AU111+AU113</f>
        <v>#DIV/0!</v>
      </c>
      <c r="AV115" s="52" t="e">
        <f t="shared" si="275"/>
        <v>#DIV/0!</v>
      </c>
      <c r="AW115" s="52" t="e">
        <f t="shared" si="275"/>
        <v>#DIV/0!</v>
      </c>
      <c r="AX115" s="52">
        <f t="shared" si="275"/>
        <v>0</v>
      </c>
      <c r="AY115" s="26">
        <f>AX115</f>
        <v>0</v>
      </c>
      <c r="AZ115" s="52" t="e">
        <f t="shared" ref="AZ115:BC116" si="276">AZ111+AZ113</f>
        <v>#DIV/0!</v>
      </c>
      <c r="BA115" s="52" t="e">
        <f t="shared" si="276"/>
        <v>#DIV/0!</v>
      </c>
      <c r="BB115" s="52" t="e">
        <f t="shared" si="276"/>
        <v>#DIV/0!</v>
      </c>
      <c r="BC115" s="52">
        <f t="shared" si="276"/>
        <v>0</v>
      </c>
      <c r="BD115" s="26">
        <f>BC115</f>
        <v>0</v>
      </c>
      <c r="BE115" s="52" t="e">
        <f t="shared" ref="BE115:BH116" si="277">BE111+BE113</f>
        <v>#DIV/0!</v>
      </c>
      <c r="BF115" s="52" t="e">
        <f t="shared" si="277"/>
        <v>#DIV/0!</v>
      </c>
      <c r="BG115" s="52" t="e">
        <f t="shared" si="277"/>
        <v>#DIV/0!</v>
      </c>
      <c r="BH115" s="52">
        <f t="shared" si="277"/>
        <v>0</v>
      </c>
      <c r="BI115" s="26">
        <f>BH115</f>
        <v>0</v>
      </c>
      <c r="BJ115" s="52" t="e">
        <f t="shared" ref="BJ115:BM116" si="278">BJ111+BJ113</f>
        <v>#DIV/0!</v>
      </c>
      <c r="BK115" s="52" t="e">
        <f t="shared" si="278"/>
        <v>#DIV/0!</v>
      </c>
      <c r="BL115" s="52" t="e">
        <f t="shared" si="278"/>
        <v>#DIV/0!</v>
      </c>
      <c r="BM115" s="52">
        <f t="shared" si="278"/>
        <v>0</v>
      </c>
      <c r="BN115" s="26">
        <f>BM115</f>
        <v>0</v>
      </c>
      <c r="BO115" s="52" t="e">
        <f t="shared" ref="BO115:BR116" si="279">BO111+BO113</f>
        <v>#DIV/0!</v>
      </c>
      <c r="BP115" s="52" t="e">
        <f t="shared" si="279"/>
        <v>#DIV/0!</v>
      </c>
      <c r="BQ115" s="52" t="e">
        <f t="shared" si="279"/>
        <v>#DIV/0!</v>
      </c>
      <c r="BR115" s="52">
        <f t="shared" si="279"/>
        <v>0</v>
      </c>
      <c r="BS115" s="26">
        <f>BR115</f>
        <v>0</v>
      </c>
      <c r="BT115" s="52" t="e">
        <f t="shared" ref="BT115:BW116" si="280">BT111+BT113</f>
        <v>#DIV/0!</v>
      </c>
      <c r="BU115" s="52" t="e">
        <f t="shared" si="280"/>
        <v>#DIV/0!</v>
      </c>
      <c r="BV115" s="52" t="e">
        <f t="shared" si="280"/>
        <v>#DIV/0!</v>
      </c>
      <c r="BW115" s="52">
        <f t="shared" si="280"/>
        <v>0</v>
      </c>
      <c r="BX115" s="26">
        <f>BW115</f>
        <v>0</v>
      </c>
      <c r="BY115" s="52">
        <f t="shared" ref="BY115:CB116" si="281">BY111+BY113</f>
        <v>87560.083921192097</v>
      </c>
      <c r="BZ115" s="52">
        <f t="shared" si="281"/>
        <v>0</v>
      </c>
      <c r="CA115" s="52">
        <f t="shared" si="281"/>
        <v>0</v>
      </c>
      <c r="CB115" s="52">
        <f t="shared" si="281"/>
        <v>0</v>
      </c>
      <c r="CC115" s="26">
        <f>CB115</f>
        <v>0</v>
      </c>
      <c r="CD115" s="52">
        <f t="shared" ref="CD115:CG116" si="282">CD111+CD113</f>
        <v>181818.69851845154</v>
      </c>
      <c r="CE115" s="52">
        <f t="shared" si="282"/>
        <v>163536.26340740744</v>
      </c>
      <c r="CF115" s="52">
        <f t="shared" si="282"/>
        <v>186763.66023406893</v>
      </c>
      <c r="CG115" s="52">
        <f t="shared" si="282"/>
        <v>230743.06380322273</v>
      </c>
      <c r="CH115" s="26">
        <f>CG115</f>
        <v>230743.06380322273</v>
      </c>
      <c r="CI115" s="52">
        <f t="shared" ref="CI115:CL116" si="283">CI111+CI113</f>
        <v>258337.1637184773</v>
      </c>
      <c r="CJ115" s="52">
        <f t="shared" si="283"/>
        <v>307026.6021456013</v>
      </c>
      <c r="CK115" s="52">
        <f t="shared" si="283"/>
        <v>363260.31742854742</v>
      </c>
      <c r="CL115" s="52">
        <f t="shared" si="283"/>
        <v>476113.81376842642</v>
      </c>
      <c r="CM115" s="26">
        <f>CL115</f>
        <v>476113.81376842642</v>
      </c>
      <c r="CN115" s="52">
        <f t="shared" ref="CN115:CQ116" si="284">CN111+CN113</f>
        <v>549467.2576090832</v>
      </c>
      <c r="CO115" s="52">
        <f t="shared" si="284"/>
        <v>657087.13572254812</v>
      </c>
      <c r="CP115" s="52">
        <f t="shared" si="284"/>
        <v>754460.0566769056</v>
      </c>
      <c r="CQ115" s="52">
        <f t="shared" si="284"/>
        <v>888954.33943384909</v>
      </c>
      <c r="CR115" s="26">
        <f>CQ115</f>
        <v>888954.33943384909</v>
      </c>
      <c r="CS115" s="52">
        <f t="shared" ref="CS115:CV116" si="285">CS111+CS113</f>
        <v>932310.05084848171</v>
      </c>
      <c r="CT115" s="52">
        <f t="shared" si="285"/>
        <v>1108826.0807685209</v>
      </c>
      <c r="CU115" s="52">
        <f t="shared" si="285"/>
        <v>1233016.2780020821</v>
      </c>
      <c r="CV115" s="52">
        <f t="shared" si="285"/>
        <v>1304370.6269956336</v>
      </c>
      <c r="CW115" s="26">
        <f>CV115</f>
        <v>1304370.6269956336</v>
      </c>
      <c r="CX115" s="52">
        <f t="shared" ref="CX115:DA116" si="286">CX111+CX113</f>
        <v>1332267.1209290358</v>
      </c>
      <c r="CY115" s="52">
        <f t="shared" si="286"/>
        <v>1584195.1451119487</v>
      </c>
      <c r="CZ115" s="52">
        <f t="shared" si="286"/>
        <v>1872750.5524200951</v>
      </c>
      <c r="DA115" s="52">
        <f t="shared" si="286"/>
        <v>2042719.3852312444</v>
      </c>
      <c r="DB115" s="26">
        <f>DA115</f>
        <v>2042719.3852312444</v>
      </c>
      <c r="DC115" s="52">
        <f>DC111+DC113</f>
        <v>2190553.30855441</v>
      </c>
      <c r="DD115" s="52">
        <f>DD111+DD113</f>
        <v>2509620.8982312637</v>
      </c>
      <c r="DE115" s="52">
        <f t="shared" ref="DE115:DF115" si="287">DE111+DE113</f>
        <v>2857718.1155724879</v>
      </c>
      <c r="DF115" s="52">
        <f t="shared" si="287"/>
        <v>3022247.4278893936</v>
      </c>
      <c r="DG115" s="26">
        <f>DF115</f>
        <v>3022247.4278893936</v>
      </c>
      <c r="DH115" s="52">
        <f>DH111+DH113</f>
        <v>3065870.2106756703</v>
      </c>
      <c r="DI115" s="52">
        <f>DI111+DI113</f>
        <v>3289323.1283225873</v>
      </c>
      <c r="DJ115" s="52">
        <f>DJ111+DJ113</f>
        <v>3478085.2724012686</v>
      </c>
      <c r="DK115" s="52">
        <f>DK111+DK113</f>
        <v>3606888.4123453414</v>
      </c>
      <c r="DL115" s="26">
        <f>DK115</f>
        <v>3606888.4123453414</v>
      </c>
      <c r="DM115" s="52">
        <f>DM111+DM113</f>
        <v>3710044.553328055</v>
      </c>
      <c r="DN115" s="52">
        <f>DN111+DN113</f>
        <v>3821351.8513953444</v>
      </c>
      <c r="DO115" s="52">
        <f>DO111+DO113</f>
        <v>3930989.4295249199</v>
      </c>
      <c r="DP115" s="52">
        <f>DP111+DP113</f>
        <v>4028887.1087597758</v>
      </c>
      <c r="DQ115" s="26">
        <f>DP115</f>
        <v>4028887.1087597758</v>
      </c>
      <c r="DR115" s="52">
        <f>DR111+DR113</f>
        <v>4124564.0474002734</v>
      </c>
      <c r="DS115" s="52">
        <f>DS111+DS113</f>
        <v>4209010.353295397</v>
      </c>
      <c r="DT115" s="52">
        <f>DT111+DT113</f>
        <v>4289543.9123976957</v>
      </c>
      <c r="DU115" s="52">
        <f>DU111+DU113</f>
        <v>4366592.6239046892</v>
      </c>
      <c r="DV115" s="26">
        <f>DU115</f>
        <v>4366592.6239046892</v>
      </c>
      <c r="DW115" s="52">
        <f>DW111+DW113</f>
        <v>4440574.0062049525</v>
      </c>
      <c r="DX115" s="52">
        <f>DX111+DX113</f>
        <v>4511880.4810441602</v>
      </c>
      <c r="DY115" s="52">
        <f>DY111+DY113</f>
        <v>4580873.3372872192</v>
      </c>
      <c r="DZ115" s="52">
        <f>DZ111+DZ113</f>
        <v>4647881.2593033081</v>
      </c>
      <c r="EA115" s="26">
        <f>DZ115</f>
        <v>4647881.2593033081</v>
      </c>
      <c r="EB115" s="52">
        <f>EB111+EB113</f>
        <v>4713201.1733458759</v>
      </c>
      <c r="EC115" s="52">
        <f>EC111+EC113</f>
        <v>4777100.1937372657</v>
      </c>
      <c r="ED115" s="52">
        <f>ED111+ED113</f>
        <v>4839818.0161861563</v>
      </c>
      <c r="EE115" s="52">
        <f>EE111+EE113</f>
        <v>4901569.4156334484</v>
      </c>
      <c r="EF115" s="26">
        <f>EE115</f>
        <v>4901569.4156334484</v>
      </c>
    </row>
    <row r="116" spans="1:136" s="92" customFormat="1" ht="12" customHeight="1" outlineLevel="1">
      <c r="A116" s="92" t="s">
        <v>220</v>
      </c>
      <c r="B116" s="170"/>
      <c r="C116" s="170"/>
      <c r="D116" s="170"/>
      <c r="E116" s="170"/>
      <c r="F116" s="135"/>
      <c r="G116" s="170"/>
      <c r="H116" s="170"/>
      <c r="I116" s="170"/>
      <c r="J116" s="170"/>
      <c r="K116" s="135"/>
      <c r="L116" s="170"/>
      <c r="M116" s="170"/>
      <c r="N116" s="170"/>
      <c r="O116" s="170"/>
      <c r="P116" s="135"/>
      <c r="Q116" s="170"/>
      <c r="R116" s="170"/>
      <c r="S116" s="170"/>
      <c r="T116" s="170"/>
      <c r="U116" s="135"/>
      <c r="V116" s="170"/>
      <c r="W116" s="170"/>
      <c r="X116" s="170"/>
      <c r="Y116" s="170"/>
      <c r="Z116" s="135"/>
      <c r="AA116" s="170"/>
      <c r="AB116" s="170"/>
      <c r="AC116" s="170"/>
      <c r="AD116" s="170"/>
      <c r="AE116" s="135"/>
      <c r="AF116" s="170" t="e">
        <f t="shared" si="272"/>
        <v>#DIV/0!</v>
      </c>
      <c r="AG116" s="170" t="e">
        <f t="shared" si="272"/>
        <v>#DIV/0!</v>
      </c>
      <c r="AH116" s="170" t="e">
        <f t="shared" si="272"/>
        <v>#DIV/0!</v>
      </c>
      <c r="AI116" s="170">
        <f t="shared" si="272"/>
        <v>0</v>
      </c>
      <c r="AJ116" s="135" t="e">
        <f>SUM(AF116:AI116)</f>
        <v>#DIV/0!</v>
      </c>
      <c r="AK116" s="170" t="e">
        <f t="shared" si="273"/>
        <v>#DIV/0!</v>
      </c>
      <c r="AL116" s="170" t="e">
        <f t="shared" si="273"/>
        <v>#DIV/0!</v>
      </c>
      <c r="AM116" s="170" t="e">
        <f t="shared" si="273"/>
        <v>#DIV/0!</v>
      </c>
      <c r="AN116" s="170">
        <f t="shared" si="273"/>
        <v>0</v>
      </c>
      <c r="AO116" s="135" t="e">
        <f>SUM(AK116:AN116)</f>
        <v>#DIV/0!</v>
      </c>
      <c r="AP116" s="170" t="e">
        <f t="shared" si="274"/>
        <v>#DIV/0!</v>
      </c>
      <c r="AQ116" s="170" t="e">
        <f t="shared" si="274"/>
        <v>#DIV/0!</v>
      </c>
      <c r="AR116" s="170" t="e">
        <f t="shared" si="274"/>
        <v>#DIV/0!</v>
      </c>
      <c r="AS116" s="170">
        <f t="shared" si="274"/>
        <v>0</v>
      </c>
      <c r="AT116" s="135" t="e">
        <f>SUM(AP116:AS116)</f>
        <v>#DIV/0!</v>
      </c>
      <c r="AU116" s="170" t="e">
        <f t="shared" si="275"/>
        <v>#DIV/0!</v>
      </c>
      <c r="AV116" s="170" t="e">
        <f t="shared" si="275"/>
        <v>#DIV/0!</v>
      </c>
      <c r="AW116" s="170" t="e">
        <f t="shared" si="275"/>
        <v>#DIV/0!</v>
      </c>
      <c r="AX116" s="170">
        <f t="shared" si="275"/>
        <v>0</v>
      </c>
      <c r="AY116" s="135" t="e">
        <f>SUM(AU116:AX116)</f>
        <v>#DIV/0!</v>
      </c>
      <c r="AZ116" s="170" t="e">
        <f t="shared" si="276"/>
        <v>#DIV/0!</v>
      </c>
      <c r="BA116" s="170" t="e">
        <f t="shared" si="276"/>
        <v>#DIV/0!</v>
      </c>
      <c r="BB116" s="170" t="e">
        <f t="shared" si="276"/>
        <v>#DIV/0!</v>
      </c>
      <c r="BC116" s="170">
        <f t="shared" si="276"/>
        <v>288832</v>
      </c>
      <c r="BD116" s="135" t="e">
        <f>SUM(AZ116:BC116)</f>
        <v>#DIV/0!</v>
      </c>
      <c r="BE116" s="170" t="e">
        <f t="shared" si="277"/>
        <v>#DIV/0!</v>
      </c>
      <c r="BF116" s="170" t="e">
        <f t="shared" si="277"/>
        <v>#DIV/0!</v>
      </c>
      <c r="BG116" s="170" t="e">
        <f t="shared" si="277"/>
        <v>#DIV/0!</v>
      </c>
      <c r="BH116" s="170">
        <f t="shared" si="277"/>
        <v>183658</v>
      </c>
      <c r="BI116" s="135" t="e">
        <f>SUM(BE116:BH116)</f>
        <v>#DIV/0!</v>
      </c>
      <c r="BJ116" s="170" t="e">
        <f t="shared" si="278"/>
        <v>#DIV/0!</v>
      </c>
      <c r="BK116" s="170" t="e">
        <f t="shared" si="278"/>
        <v>#DIV/0!</v>
      </c>
      <c r="BL116" s="170" t="e">
        <f t="shared" si="278"/>
        <v>#DIV/0!</v>
      </c>
      <c r="BM116" s="170">
        <f t="shared" si="278"/>
        <v>329258</v>
      </c>
      <c r="BN116" s="135" t="e">
        <f>SUM(BJ116:BM116)</f>
        <v>#DIV/0!</v>
      </c>
      <c r="BO116" s="170" t="e">
        <f t="shared" si="279"/>
        <v>#DIV/0!</v>
      </c>
      <c r="BP116" s="170" t="e">
        <f t="shared" si="279"/>
        <v>#DIV/0!</v>
      </c>
      <c r="BQ116" s="170" t="e">
        <f t="shared" si="279"/>
        <v>#DIV/0!</v>
      </c>
      <c r="BR116" s="170">
        <f t="shared" si="279"/>
        <v>185282</v>
      </c>
      <c r="BS116" s="135" t="e">
        <f>SUM(BO116:BR116)</f>
        <v>#DIV/0!</v>
      </c>
      <c r="BT116" s="170" t="e">
        <f t="shared" si="280"/>
        <v>#DIV/0!</v>
      </c>
      <c r="BU116" s="170" t="e">
        <f t="shared" si="280"/>
        <v>#DIV/0!</v>
      </c>
      <c r="BV116" s="170" t="e">
        <f t="shared" si="280"/>
        <v>#DIV/0!</v>
      </c>
      <c r="BW116" s="170">
        <f t="shared" si="280"/>
        <v>136936</v>
      </c>
      <c r="BX116" s="135" t="e">
        <f>SUM(BT116:BW116)</f>
        <v>#DIV/0!</v>
      </c>
      <c r="BY116" s="170">
        <f t="shared" si="281"/>
        <v>-87560.083921192097</v>
      </c>
      <c r="BZ116" s="170">
        <f>BZ112+BZ114</f>
        <v>0</v>
      </c>
      <c r="CA116" s="170">
        <f>CA112+CA114</f>
        <v>0</v>
      </c>
      <c r="CB116" s="170">
        <f>CB112+CB114</f>
        <v>236163</v>
      </c>
      <c r="CC116" s="135">
        <f>SUM(BY116:CB116)</f>
        <v>148602.9160788079</v>
      </c>
      <c r="CD116" s="170">
        <f t="shared" si="282"/>
        <v>34541.301481548464</v>
      </c>
      <c r="CE116" s="170">
        <f t="shared" si="282"/>
        <v>76563.736592592555</v>
      </c>
      <c r="CF116" s="170">
        <f t="shared" si="282"/>
        <v>106804.33976593107</v>
      </c>
      <c r="CG116" s="170">
        <f t="shared" si="282"/>
        <v>72700.936196777271</v>
      </c>
      <c r="CH116" s="135">
        <f>SUM(CD116:CG116)</f>
        <v>290610.31403684936</v>
      </c>
      <c r="CI116" s="170">
        <f t="shared" si="283"/>
        <v>105712.8362815227</v>
      </c>
      <c r="CJ116" s="170">
        <f>CJ112+CJ114</f>
        <v>129483.3978543987</v>
      </c>
      <c r="CK116" s="170">
        <f>CK112+CK114</f>
        <v>191760.68257145258</v>
      </c>
      <c r="CL116" s="170">
        <f t="shared" si="283"/>
        <v>134141.18623157358</v>
      </c>
      <c r="CM116" s="135">
        <f>SUM(CI116:CL116)</f>
        <v>561098.1029389475</v>
      </c>
      <c r="CN116" s="170">
        <f t="shared" si="284"/>
        <v>175569.7423909168</v>
      </c>
      <c r="CO116" s="170">
        <f t="shared" si="284"/>
        <v>180087.86427745188</v>
      </c>
      <c r="CP116" s="170">
        <f t="shared" si="284"/>
        <v>223804.9433230944</v>
      </c>
      <c r="CQ116" s="170">
        <f t="shared" si="284"/>
        <v>138912.66056615091</v>
      </c>
      <c r="CR116" s="135">
        <f>SUM(CN116:CQ116)</f>
        <v>718375.21055761399</v>
      </c>
      <c r="CS116" s="170">
        <f t="shared" si="285"/>
        <v>290685.94915151829</v>
      </c>
      <c r="CT116" s="170">
        <f t="shared" si="285"/>
        <v>251297.91923147906</v>
      </c>
      <c r="CU116" s="170">
        <f t="shared" si="285"/>
        <v>209384.72199791786</v>
      </c>
      <c r="CV116" s="170">
        <f t="shared" si="285"/>
        <v>165385.37300436641</v>
      </c>
      <c r="CW116" s="135">
        <f>SUM(CS116:CV116)</f>
        <v>916753.96338528162</v>
      </c>
      <c r="CX116" s="170">
        <f t="shared" si="286"/>
        <v>417038.87907096418</v>
      </c>
      <c r="CY116" s="170">
        <f t="shared" si="286"/>
        <v>483981.85488805128</v>
      </c>
      <c r="CZ116" s="170">
        <f t="shared" si="286"/>
        <v>380635.44757990493</v>
      </c>
      <c r="DA116" s="170">
        <f t="shared" si="286"/>
        <v>372161.61476875562</v>
      </c>
      <c r="DB116" s="135">
        <f>SUM(CX116:DA116)</f>
        <v>1653817.796307676</v>
      </c>
      <c r="DC116" s="170">
        <f>DC112+DC114</f>
        <v>583626.69144559</v>
      </c>
      <c r="DD116" s="170">
        <f>DD112+DD114</f>
        <v>650436.10176873626</v>
      </c>
      <c r="DE116" s="170">
        <f t="shared" ref="DE116:DF116" si="288">DE112+DE114</f>
        <v>488283.88442751206</v>
      </c>
      <c r="DF116" s="170">
        <f t="shared" si="288"/>
        <v>359487.57211060636</v>
      </c>
      <c r="DG116" s="135">
        <f>SUM(DC116:DF116)</f>
        <v>2081834.2497524447</v>
      </c>
      <c r="DH116" s="170">
        <f>DH112+DH114</f>
        <v>571720.7893243297</v>
      </c>
      <c r="DI116" s="170">
        <f>DI112+DI114</f>
        <v>553589.87167741265</v>
      </c>
      <c r="DJ116" s="170">
        <f>DJ118*DJ112</f>
        <v>512877.15970431012</v>
      </c>
      <c r="DK116" s="170">
        <f>DK118*DK112</f>
        <v>494445.05041325465</v>
      </c>
      <c r="DL116" s="135">
        <f>SUM(DH116:DK116)</f>
        <v>2132632.8711193074</v>
      </c>
      <c r="DM116" s="170">
        <f>DM118*DM112</f>
        <v>516129.54962718039</v>
      </c>
      <c r="DN116" s="170">
        <f>DN118*DN112</f>
        <v>525013.99822899466</v>
      </c>
      <c r="DO116" s="170">
        <f>DO118*DO112</f>
        <v>525421.94212810288</v>
      </c>
      <c r="DP116" s="170">
        <f>DP118*DP112</f>
        <v>532106.26095893956</v>
      </c>
      <c r="DQ116" s="135">
        <f>SUM(DM116:DP116)</f>
        <v>2098671.7509432174</v>
      </c>
      <c r="DR116" s="170">
        <f>DR118*DR112</f>
        <v>531552.34539189318</v>
      </c>
      <c r="DS116" s="170">
        <f>DS118*DS112</f>
        <v>537798.8625962073</v>
      </c>
      <c r="DT116" s="170">
        <f>DT118*DT112</f>
        <v>544008.35399428464</v>
      </c>
      <c r="DU116" s="170">
        <f>DU118*DU112</f>
        <v>550222.18444669759</v>
      </c>
      <c r="DV116" s="135">
        <f>SUM(DR116:DU116)</f>
        <v>2163581.7464290829</v>
      </c>
      <c r="DW116" s="170">
        <f>DW118*DW112</f>
        <v>556464.10410164343</v>
      </c>
      <c r="DX116" s="170">
        <f>DX118*DX112</f>
        <v>562748.05268639175</v>
      </c>
      <c r="DY116" s="170">
        <f>DY118*DY112</f>
        <v>569082.49104971543</v>
      </c>
      <c r="DZ116" s="170">
        <f>DZ118*DZ112</f>
        <v>575472.80723637086</v>
      </c>
      <c r="EA116" s="135">
        <f>SUM(DW116:DZ116)</f>
        <v>2263767.4550741212</v>
      </c>
      <c r="EB116" s="170">
        <f>EB118*EB112</f>
        <v>581922.65445972106</v>
      </c>
      <c r="EC116" s="170">
        <f>EC118*EC112</f>
        <v>588434.69644447381</v>
      </c>
      <c r="ED116" s="170">
        <f>ED118*ED112</f>
        <v>595011.02382438094</v>
      </c>
      <c r="EE116" s="170">
        <f>EE118*EE112</f>
        <v>601653.38784084155</v>
      </c>
      <c r="EF116" s="135">
        <f>SUM(EB116:EE116)</f>
        <v>2367021.7625694172</v>
      </c>
    </row>
    <row r="117" spans="1:136" ht="12" customHeight="1" outlineLevel="1">
      <c r="A117" s="1" t="s">
        <v>123</v>
      </c>
      <c r="B117" s="60"/>
      <c r="C117" s="60"/>
      <c r="D117" s="60"/>
      <c r="E117" s="60"/>
      <c r="F117" s="48"/>
      <c r="G117" s="60"/>
      <c r="H117" s="60"/>
      <c r="I117" s="60"/>
      <c r="J117" s="60"/>
      <c r="K117" s="48"/>
      <c r="L117" s="60"/>
      <c r="M117" s="60"/>
      <c r="N117" s="60"/>
      <c r="O117" s="60"/>
      <c r="P117" s="48"/>
      <c r="Q117" s="60"/>
      <c r="R117" s="60"/>
      <c r="S117" s="60"/>
      <c r="T117" s="60"/>
      <c r="U117" s="48"/>
      <c r="V117" s="60"/>
      <c r="W117" s="60"/>
      <c r="X117" s="60"/>
      <c r="Y117" s="60"/>
      <c r="Z117" s="48"/>
      <c r="AA117" s="60"/>
      <c r="AB117" s="60"/>
      <c r="AC117" s="60"/>
      <c r="AD117" s="60"/>
      <c r="AE117" s="48"/>
      <c r="AF117" s="60" t="e">
        <f t="shared" ref="AF117:BN117" si="289">AF115/AF111</f>
        <v>#DIV/0!</v>
      </c>
      <c r="AG117" s="60" t="e">
        <f t="shared" si="289"/>
        <v>#DIV/0!</v>
      </c>
      <c r="AH117" s="60" t="e">
        <f t="shared" si="289"/>
        <v>#DIV/0!</v>
      </c>
      <c r="AI117" s="60" t="e">
        <f t="shared" si="289"/>
        <v>#DIV/0!</v>
      </c>
      <c r="AJ117" s="48" t="e">
        <f t="shared" si="289"/>
        <v>#DIV/0!</v>
      </c>
      <c r="AK117" s="60" t="e">
        <f t="shared" si="289"/>
        <v>#DIV/0!</v>
      </c>
      <c r="AL117" s="60" t="e">
        <f t="shared" si="289"/>
        <v>#DIV/0!</v>
      </c>
      <c r="AM117" s="60" t="e">
        <f t="shared" si="289"/>
        <v>#DIV/0!</v>
      </c>
      <c r="AN117" s="60" t="e">
        <f t="shared" si="289"/>
        <v>#DIV/0!</v>
      </c>
      <c r="AO117" s="48" t="e">
        <f t="shared" si="289"/>
        <v>#DIV/0!</v>
      </c>
      <c r="AP117" s="60" t="e">
        <f t="shared" si="289"/>
        <v>#DIV/0!</v>
      </c>
      <c r="AQ117" s="60" t="e">
        <f t="shared" si="289"/>
        <v>#DIV/0!</v>
      </c>
      <c r="AR117" s="60" t="e">
        <f t="shared" si="289"/>
        <v>#DIV/0!</v>
      </c>
      <c r="AS117" s="60" t="e">
        <f t="shared" si="289"/>
        <v>#DIV/0!</v>
      </c>
      <c r="AT117" s="48" t="e">
        <f t="shared" si="289"/>
        <v>#DIV/0!</v>
      </c>
      <c r="AU117" s="60" t="e">
        <f t="shared" si="289"/>
        <v>#DIV/0!</v>
      </c>
      <c r="AV117" s="60" t="e">
        <f t="shared" si="289"/>
        <v>#DIV/0!</v>
      </c>
      <c r="AW117" s="60" t="e">
        <f t="shared" si="289"/>
        <v>#DIV/0!</v>
      </c>
      <c r="AX117" s="60" t="e">
        <f t="shared" si="289"/>
        <v>#DIV/0!</v>
      </c>
      <c r="AY117" s="48" t="e">
        <f t="shared" si="289"/>
        <v>#DIV/0!</v>
      </c>
      <c r="AZ117" s="60" t="e">
        <f t="shared" si="289"/>
        <v>#DIV/0!</v>
      </c>
      <c r="BA117" s="60" t="e">
        <f t="shared" si="289"/>
        <v>#DIV/0!</v>
      </c>
      <c r="BB117" s="60" t="e">
        <f t="shared" si="289"/>
        <v>#DIV/0!</v>
      </c>
      <c r="BC117" s="60" t="e">
        <f t="shared" si="289"/>
        <v>#DIV/0!</v>
      </c>
      <c r="BD117" s="48" t="e">
        <f t="shared" si="289"/>
        <v>#DIV/0!</v>
      </c>
      <c r="BE117" s="60" t="e">
        <f t="shared" si="289"/>
        <v>#DIV/0!</v>
      </c>
      <c r="BF117" s="60" t="e">
        <f t="shared" si="289"/>
        <v>#DIV/0!</v>
      </c>
      <c r="BG117" s="60" t="e">
        <f t="shared" si="289"/>
        <v>#DIV/0!</v>
      </c>
      <c r="BH117" s="60" t="e">
        <f t="shared" si="289"/>
        <v>#DIV/0!</v>
      </c>
      <c r="BI117" s="48" t="e">
        <f t="shared" si="289"/>
        <v>#DIV/0!</v>
      </c>
      <c r="BJ117" s="60" t="e">
        <f t="shared" si="289"/>
        <v>#DIV/0!</v>
      </c>
      <c r="BK117" s="60" t="e">
        <f t="shared" si="289"/>
        <v>#DIV/0!</v>
      </c>
      <c r="BL117" s="60" t="e">
        <f t="shared" si="289"/>
        <v>#DIV/0!</v>
      </c>
      <c r="BM117" s="60" t="e">
        <f t="shared" si="289"/>
        <v>#DIV/0!</v>
      </c>
      <c r="BN117" s="48" t="e">
        <f t="shared" si="289"/>
        <v>#DIV/0!</v>
      </c>
      <c r="BO117" s="60" t="e">
        <f t="shared" ref="BO117:CT117" si="290">BO115/BO111</f>
        <v>#DIV/0!</v>
      </c>
      <c r="BP117" s="60" t="e">
        <f t="shared" si="290"/>
        <v>#DIV/0!</v>
      </c>
      <c r="BQ117" s="60" t="e">
        <f t="shared" si="290"/>
        <v>#DIV/0!</v>
      </c>
      <c r="BR117" s="60" t="e">
        <f t="shared" si="290"/>
        <v>#DIV/0!</v>
      </c>
      <c r="BS117" s="48" t="e">
        <f t="shared" si="290"/>
        <v>#DIV/0!</v>
      </c>
      <c r="BT117" s="60" t="e">
        <f t="shared" si="290"/>
        <v>#DIV/0!</v>
      </c>
      <c r="BU117" s="60" t="e">
        <f t="shared" si="290"/>
        <v>#DIV/0!</v>
      </c>
      <c r="BV117" s="60" t="e">
        <f t="shared" si="290"/>
        <v>#DIV/0!</v>
      </c>
      <c r="BW117" s="60" t="e">
        <f t="shared" si="290"/>
        <v>#DIV/0!</v>
      </c>
      <c r="BX117" s="48" t="e">
        <f t="shared" si="290"/>
        <v>#DIV/0!</v>
      </c>
      <c r="BY117" s="60">
        <f t="shared" si="290"/>
        <v>0.1588341985904333</v>
      </c>
      <c r="BZ117" s="60" t="e">
        <f t="shared" si="290"/>
        <v>#DIV/0!</v>
      </c>
      <c r="CA117" s="60" t="e">
        <f t="shared" si="290"/>
        <v>#DIV/0!</v>
      </c>
      <c r="CB117" s="60" t="e">
        <f t="shared" si="290"/>
        <v>#DIV/0!</v>
      </c>
      <c r="CC117" s="48" t="e">
        <f t="shared" si="290"/>
        <v>#DIV/0!</v>
      </c>
      <c r="CD117" s="60">
        <f t="shared" si="290"/>
        <v>0.33900198703805295</v>
      </c>
      <c r="CE117" s="60">
        <f t="shared" si="290"/>
        <v>0.31844496117080645</v>
      </c>
      <c r="CF117" s="60">
        <f t="shared" si="290"/>
        <v>0.35939808780346749</v>
      </c>
      <c r="CG117" s="60">
        <f t="shared" si="290"/>
        <v>0.39724221055317527</v>
      </c>
      <c r="CH117" s="48">
        <f t="shared" si="290"/>
        <v>0.39724221055317527</v>
      </c>
      <c r="CI117" s="60">
        <f t="shared" si="290"/>
        <v>0.39037451025998904</v>
      </c>
      <c r="CJ117" s="60">
        <f t="shared" si="290"/>
        <v>0.37137184320684741</v>
      </c>
      <c r="CK117" s="60">
        <f t="shared" si="290"/>
        <v>0.36455545536705719</v>
      </c>
      <c r="CL117" s="60">
        <f t="shared" si="290"/>
        <v>0.39249992716038118</v>
      </c>
      <c r="CM117" s="48">
        <f t="shared" si="290"/>
        <v>0.39249992716038118</v>
      </c>
      <c r="CN117" s="60">
        <f t="shared" si="290"/>
        <v>0.39135443169890793</v>
      </c>
      <c r="CO117" s="60">
        <f t="shared" si="290"/>
        <v>0.3997527432649215</v>
      </c>
      <c r="CP117" s="60">
        <f t="shared" si="290"/>
        <v>0.40602224305821577</v>
      </c>
      <c r="CQ117" s="60">
        <f t="shared" si="290"/>
        <v>0.4253401589503889</v>
      </c>
      <c r="CR117" s="48">
        <f t="shared" si="290"/>
        <v>0.4253401589503889</v>
      </c>
      <c r="CS117" s="60">
        <f t="shared" si="290"/>
        <v>0.42205853917733543</v>
      </c>
      <c r="CT117" s="60">
        <f t="shared" si="290"/>
        <v>0.42273367705886183</v>
      </c>
      <c r="CU117" s="60">
        <f t="shared" ref="CU117:DZ117" si="291">CU115/CU111</f>
        <v>0.42209001633774279</v>
      </c>
      <c r="CV117" s="60">
        <f t="shared" si="291"/>
        <v>0.42141455322077248</v>
      </c>
      <c r="CW117" s="48">
        <f t="shared" si="291"/>
        <v>0.42141455322077248</v>
      </c>
      <c r="CX117" s="60">
        <f t="shared" si="291"/>
        <v>0.42271041861707803</v>
      </c>
      <c r="CY117" s="60">
        <f t="shared" si="291"/>
        <v>0.42380081020303945</v>
      </c>
      <c r="CZ117" s="60">
        <f t="shared" si="291"/>
        <v>0.43010832052829184</v>
      </c>
      <c r="DA117" s="60">
        <f t="shared" si="291"/>
        <v>0.43617292842965855</v>
      </c>
      <c r="DB117" s="48">
        <f t="shared" si="291"/>
        <v>0.43617292842965855</v>
      </c>
      <c r="DC117" s="60">
        <f t="shared" si="291"/>
        <v>0.43734379685684543</v>
      </c>
      <c r="DD117" s="60">
        <f t="shared" si="291"/>
        <v>0.43363505384094608</v>
      </c>
      <c r="DE117" s="60">
        <f t="shared" ref="DE117:DF117" si="292">DE115/DE111</f>
        <v>0.4359191894466044</v>
      </c>
      <c r="DF117" s="60">
        <f t="shared" si="292"/>
        <v>0.43604691854255645</v>
      </c>
      <c r="DG117" s="48">
        <f t="shared" si="291"/>
        <v>0.43604691854255645</v>
      </c>
      <c r="DH117" s="60">
        <f t="shared" ref="DH117:DI117" si="293">DH115/DH111</f>
        <v>0.43660630473884865</v>
      </c>
      <c r="DI117" s="60">
        <f t="shared" si="293"/>
        <v>0.43140304724016881</v>
      </c>
      <c r="DJ117" s="60">
        <f t="shared" si="291"/>
        <v>0.43759707027027306</v>
      </c>
      <c r="DK117" s="60">
        <f t="shared" si="291"/>
        <v>0.43418274946227675</v>
      </c>
      <c r="DL117" s="48">
        <f t="shared" si="291"/>
        <v>0.43418274946227675</v>
      </c>
      <c r="DM117" s="60">
        <f t="shared" si="291"/>
        <v>0.43194922406719827</v>
      </c>
      <c r="DN117" s="60">
        <f t="shared" si="291"/>
        <v>0.42834330816288202</v>
      </c>
      <c r="DO117" s="60">
        <f t="shared" si="291"/>
        <v>0.42540029354174985</v>
      </c>
      <c r="DP117" s="60">
        <f t="shared" si="291"/>
        <v>0.42209955297078966</v>
      </c>
      <c r="DQ117" s="48">
        <f t="shared" si="291"/>
        <v>0.42209955297078966</v>
      </c>
      <c r="DR117" s="60">
        <f t="shared" si="291"/>
        <v>0.41940717721897575</v>
      </c>
      <c r="DS117" s="60">
        <f t="shared" si="291"/>
        <v>0.4163303891964355</v>
      </c>
      <c r="DT117" s="60">
        <f t="shared" si="291"/>
        <v>0.41354807747066002</v>
      </c>
      <c r="DU117" s="60">
        <f t="shared" si="291"/>
        <v>0.41102268034155681</v>
      </c>
      <c r="DV117" s="48">
        <f t="shared" si="291"/>
        <v>0.41102268034155681</v>
      </c>
      <c r="DW117" s="60">
        <f t="shared" si="291"/>
        <v>0.40872282833574985</v>
      </c>
      <c r="DX117" s="60">
        <f t="shared" si="291"/>
        <v>0.40662217802709372</v>
      </c>
      <c r="DY117" s="60">
        <f t="shared" si="291"/>
        <v>0.40469845730388804</v>
      </c>
      <c r="DZ117" s="60">
        <f t="shared" si="291"/>
        <v>0.4029327007089985</v>
      </c>
      <c r="EA117" s="48">
        <f t="shared" ref="EA117:EF117" si="294">EA115/EA111</f>
        <v>0.4029327007089985</v>
      </c>
      <c r="EB117" s="60">
        <f t="shared" si="294"/>
        <v>0.40130864218381962</v>
      </c>
      <c r="EC117" s="60">
        <f t="shared" si="294"/>
        <v>0.39981223347555195</v>
      </c>
      <c r="ED117" s="60">
        <f t="shared" si="294"/>
        <v>0.39843126123293865</v>
      </c>
      <c r="EE117" s="60">
        <f t="shared" si="294"/>
        <v>0.397155041134787</v>
      </c>
      <c r="EF117" s="48">
        <f t="shared" si="294"/>
        <v>0.397155041134787</v>
      </c>
    </row>
    <row r="118" spans="1:136" s="92" customFormat="1" ht="12" customHeight="1" outlineLevel="1">
      <c r="A118" s="92" t="s">
        <v>221</v>
      </c>
      <c r="B118" s="105"/>
      <c r="C118" s="105"/>
      <c r="D118" s="105"/>
      <c r="E118" s="105"/>
      <c r="F118" s="104"/>
      <c r="G118" s="105"/>
      <c r="H118" s="105"/>
      <c r="I118" s="105"/>
      <c r="J118" s="105"/>
      <c r="K118" s="104"/>
      <c r="L118" s="105"/>
      <c r="M118" s="105"/>
      <c r="N118" s="105"/>
      <c r="O118" s="105"/>
      <c r="P118" s="104"/>
      <c r="Q118" s="105"/>
      <c r="R118" s="105"/>
      <c r="S118" s="105"/>
      <c r="T118" s="105"/>
      <c r="U118" s="104"/>
      <c r="V118" s="105"/>
      <c r="W118" s="105"/>
      <c r="X118" s="105"/>
      <c r="Y118" s="105"/>
      <c r="Z118" s="104"/>
      <c r="AA118" s="105"/>
      <c r="AB118" s="105"/>
      <c r="AC118" s="105"/>
      <c r="AD118" s="105"/>
      <c r="AE118" s="104"/>
      <c r="AF118" s="105" t="e">
        <f t="shared" ref="AF118:BN118" si="295">AF116/AF112</f>
        <v>#DIV/0!</v>
      </c>
      <c r="AG118" s="105" t="e">
        <f t="shared" si="295"/>
        <v>#DIV/0!</v>
      </c>
      <c r="AH118" s="105" t="e">
        <f t="shared" si="295"/>
        <v>#DIV/0!</v>
      </c>
      <c r="AI118" s="105" t="e">
        <f t="shared" si="295"/>
        <v>#DIV/0!</v>
      </c>
      <c r="AJ118" s="104" t="e">
        <f t="shared" si="295"/>
        <v>#DIV/0!</v>
      </c>
      <c r="AK118" s="105" t="e">
        <f t="shared" si="295"/>
        <v>#DIV/0!</v>
      </c>
      <c r="AL118" s="105" t="e">
        <f t="shared" si="295"/>
        <v>#DIV/0!</v>
      </c>
      <c r="AM118" s="105" t="e">
        <f t="shared" si="295"/>
        <v>#DIV/0!</v>
      </c>
      <c r="AN118" s="105" t="e">
        <f t="shared" si="295"/>
        <v>#DIV/0!</v>
      </c>
      <c r="AO118" s="104" t="e">
        <f t="shared" si="295"/>
        <v>#DIV/0!</v>
      </c>
      <c r="AP118" s="105" t="e">
        <f t="shared" si="295"/>
        <v>#DIV/0!</v>
      </c>
      <c r="AQ118" s="105" t="e">
        <f t="shared" si="295"/>
        <v>#DIV/0!</v>
      </c>
      <c r="AR118" s="105" t="e">
        <f t="shared" si="295"/>
        <v>#DIV/0!</v>
      </c>
      <c r="AS118" s="105" t="e">
        <f t="shared" si="295"/>
        <v>#DIV/0!</v>
      </c>
      <c r="AT118" s="104" t="e">
        <f t="shared" si="295"/>
        <v>#DIV/0!</v>
      </c>
      <c r="AU118" s="105" t="e">
        <f t="shared" si="295"/>
        <v>#DIV/0!</v>
      </c>
      <c r="AV118" s="105" t="e">
        <f t="shared" si="295"/>
        <v>#DIV/0!</v>
      </c>
      <c r="AW118" s="105" t="e">
        <f t="shared" si="295"/>
        <v>#DIV/0!</v>
      </c>
      <c r="AX118" s="105" t="e">
        <f t="shared" si="295"/>
        <v>#DIV/0!</v>
      </c>
      <c r="AY118" s="104" t="e">
        <f t="shared" si="295"/>
        <v>#DIV/0!</v>
      </c>
      <c r="AZ118" s="105" t="e">
        <f t="shared" si="295"/>
        <v>#DIV/0!</v>
      </c>
      <c r="BA118" s="105" t="e">
        <f t="shared" si="295"/>
        <v>#DIV/0!</v>
      </c>
      <c r="BB118" s="105" t="e">
        <f t="shared" si="295"/>
        <v>#DIV/0!</v>
      </c>
      <c r="BC118" s="105">
        <f t="shared" si="295"/>
        <v>0.40800205673538459</v>
      </c>
      <c r="BD118" s="104" t="e">
        <f t="shared" si="295"/>
        <v>#DIV/0!</v>
      </c>
      <c r="BE118" s="105" t="e">
        <f t="shared" si="295"/>
        <v>#DIV/0!</v>
      </c>
      <c r="BF118" s="105" t="e">
        <f t="shared" si="295"/>
        <v>#DIV/0!</v>
      </c>
      <c r="BG118" s="105" t="e">
        <f t="shared" si="295"/>
        <v>#DIV/0!</v>
      </c>
      <c r="BH118" s="105">
        <f t="shared" si="295"/>
        <v>0.25607390892726928</v>
      </c>
      <c r="BI118" s="104" t="e">
        <f t="shared" si="295"/>
        <v>#DIV/0!</v>
      </c>
      <c r="BJ118" s="105" t="e">
        <f t="shared" si="295"/>
        <v>#DIV/0!</v>
      </c>
      <c r="BK118" s="105" t="e">
        <f t="shared" si="295"/>
        <v>#DIV/0!</v>
      </c>
      <c r="BL118" s="105" t="e">
        <f t="shared" si="295"/>
        <v>#DIV/0!</v>
      </c>
      <c r="BM118" s="105">
        <f t="shared" si="295"/>
        <v>0.37905917323936039</v>
      </c>
      <c r="BN118" s="104" t="e">
        <f t="shared" si="295"/>
        <v>#DIV/0!</v>
      </c>
      <c r="BO118" s="105" t="e">
        <f t="shared" ref="BO118:CQ118" si="296">BO116/BO112</f>
        <v>#DIV/0!</v>
      </c>
      <c r="BP118" s="105" t="e">
        <f t="shared" si="296"/>
        <v>#DIV/0!</v>
      </c>
      <c r="BQ118" s="105" t="e">
        <f t="shared" si="296"/>
        <v>#DIV/0!</v>
      </c>
      <c r="BR118" s="105">
        <f t="shared" si="296"/>
        <v>0.25227244258304149</v>
      </c>
      <c r="BS118" s="104" t="e">
        <f t="shared" si="296"/>
        <v>#DIV/0!</v>
      </c>
      <c r="BT118" s="105" t="e">
        <f t="shared" si="296"/>
        <v>#DIV/0!</v>
      </c>
      <c r="BU118" s="105" t="e">
        <f t="shared" si="296"/>
        <v>#DIV/0!</v>
      </c>
      <c r="BV118" s="105" t="e">
        <f t="shared" si="296"/>
        <v>#DIV/0!</v>
      </c>
      <c r="BW118" s="105">
        <f t="shared" si="296"/>
        <v>0.19872178137933838</v>
      </c>
      <c r="BX118" s="104" t="e">
        <f t="shared" si="296"/>
        <v>#DIV/0!</v>
      </c>
      <c r="BY118" s="105">
        <f t="shared" si="296"/>
        <v>0.1588341985904333</v>
      </c>
      <c r="BZ118" s="105" t="e">
        <f t="shared" si="296"/>
        <v>#DIV/0!</v>
      </c>
      <c r="CA118" s="105" t="e">
        <f t="shared" si="296"/>
        <v>#DIV/0!</v>
      </c>
      <c r="CB118" s="105">
        <f t="shared" si="296"/>
        <v>0.35226179448971462</v>
      </c>
      <c r="CC118" s="104">
        <f t="shared" si="296"/>
        <v>1.2471730689658724</v>
      </c>
      <c r="CD118" s="105">
        <f t="shared" si="296"/>
        <v>0.32710247260405473</v>
      </c>
      <c r="CE118" s="105">
        <f t="shared" si="296"/>
        <v>0.5628668387379383</v>
      </c>
      <c r="CF118" s="105">
        <f t="shared" si="296"/>
        <v>0.5174097416637975</v>
      </c>
      <c r="CG118" s="105">
        <f t="shared" si="296"/>
        <v>0.36775668376153731</v>
      </c>
      <c r="CH118" s="104">
        <f t="shared" si="296"/>
        <v>0.45004843197424776</v>
      </c>
      <c r="CI118" s="105">
        <f t="shared" si="296"/>
        <v>0.34006191232332744</v>
      </c>
      <c r="CJ118" s="105">
        <f t="shared" si="296"/>
        <v>0.37471177961112284</v>
      </c>
      <c r="CK118" s="105">
        <f t="shared" si="296"/>
        <v>0.44528647293070894</v>
      </c>
      <c r="CL118" s="105">
        <f t="shared" si="296"/>
        <v>0.38658856257151342</v>
      </c>
      <c r="CM118" s="104">
        <f t="shared" si="296"/>
        <v>0.39126795403785219</v>
      </c>
      <c r="CN118" s="105">
        <f t="shared" si="296"/>
        <v>0.41569077502498308</v>
      </c>
      <c r="CO118" s="105">
        <f t="shared" si="296"/>
        <v>0.42785961048479176</v>
      </c>
      <c r="CP118" s="105">
        <f t="shared" si="296"/>
        <v>0.48230622476588703</v>
      </c>
      <c r="CQ118" s="105">
        <f t="shared" si="296"/>
        <v>0.38119410881331811</v>
      </c>
      <c r="CR118" s="104">
        <f t="shared" ref="CR118:DG118" si="297">CR116/CR112</f>
        <v>0.42972580738336397</v>
      </c>
      <c r="CS118" s="105">
        <f t="shared" si="297"/>
        <v>0.41204352018057411</v>
      </c>
      <c r="CT118" s="105">
        <f t="shared" si="297"/>
        <v>0.40349289856489751</v>
      </c>
      <c r="CU118" s="105">
        <f>CU116/CU112</f>
        <v>0.40428270111040626</v>
      </c>
      <c r="CV118" s="105">
        <f>CV116/CV112</f>
        <v>0.40665471102062023</v>
      </c>
      <c r="CW118" s="104">
        <f t="shared" si="297"/>
        <v>0.40692279472225606</v>
      </c>
      <c r="CX118" s="105">
        <f>CX116/CX112</f>
        <v>0.41633913788192595</v>
      </c>
      <c r="CY118" s="105">
        <f>CY116/CY112</f>
        <v>0.44003766908040431</v>
      </c>
      <c r="CZ118" s="105">
        <f>CZ116/CZ112</f>
        <v>0.44806681480755278</v>
      </c>
      <c r="DA118" s="105">
        <f>DA116/DA112</f>
        <v>0.42194318957866939</v>
      </c>
      <c r="DB118" s="104">
        <f t="shared" si="297"/>
        <v>0.43146041394804729</v>
      </c>
      <c r="DC118" s="105">
        <f t="shared" si="297"/>
        <v>0.41051882567273362</v>
      </c>
      <c r="DD118" s="105">
        <f t="shared" si="297"/>
        <v>0.43460546493303837</v>
      </c>
      <c r="DE118" s="105">
        <f>DE116/DE112</f>
        <v>0.42625797780619107</v>
      </c>
      <c r="DF118" s="105">
        <f>DF116/DF112</f>
        <v>0.41260620628315531</v>
      </c>
      <c r="DG118" s="104">
        <f t="shared" si="297"/>
        <v>0.42184520172096651</v>
      </c>
      <c r="DH118" s="105">
        <f t="shared" ref="DH118:DI118" si="298">DH116/DH112</f>
        <v>0.39433031244511402</v>
      </c>
      <c r="DI118" s="105">
        <f t="shared" si="298"/>
        <v>0.45881555432862819</v>
      </c>
      <c r="DJ118" s="106">
        <v>0.4</v>
      </c>
      <c r="DK118" s="106">
        <v>0.4</v>
      </c>
      <c r="DL118" s="104">
        <f>DL116/DL112</f>
        <v>0.41212518717338564</v>
      </c>
      <c r="DM118" s="106">
        <v>0.39</v>
      </c>
      <c r="DN118" s="106">
        <v>0.39</v>
      </c>
      <c r="DO118" s="106">
        <v>0.38500000000000001</v>
      </c>
      <c r="DP118" s="106">
        <v>0.38500000000000001</v>
      </c>
      <c r="DQ118" s="104">
        <f>DQ116/DQ112</f>
        <v>0.38746435487614567</v>
      </c>
      <c r="DR118" s="106">
        <v>0.38</v>
      </c>
      <c r="DS118" s="106">
        <f>DR118</f>
        <v>0.38</v>
      </c>
      <c r="DT118" s="106">
        <f>DS118</f>
        <v>0.38</v>
      </c>
      <c r="DU118" s="106">
        <f>DT118</f>
        <v>0.38</v>
      </c>
      <c r="DV118" s="104">
        <f>DV116/DV112</f>
        <v>0.38</v>
      </c>
      <c r="DW118" s="106">
        <f>DU118</f>
        <v>0.38</v>
      </c>
      <c r="DX118" s="106">
        <f>DW118</f>
        <v>0.38</v>
      </c>
      <c r="DY118" s="106">
        <f>DX118</f>
        <v>0.38</v>
      </c>
      <c r="DZ118" s="106">
        <f>DY118</f>
        <v>0.38</v>
      </c>
      <c r="EA118" s="104">
        <f>EA116/EA112</f>
        <v>0.37999999999999995</v>
      </c>
      <c r="EB118" s="106">
        <f>DZ118</f>
        <v>0.38</v>
      </c>
      <c r="EC118" s="106">
        <f>EB118</f>
        <v>0.38</v>
      </c>
      <c r="ED118" s="106">
        <f>EC118</f>
        <v>0.38</v>
      </c>
      <c r="EE118" s="106">
        <f>ED118</f>
        <v>0.38</v>
      </c>
      <c r="EF118" s="104">
        <f>EF116/EF112</f>
        <v>0.38</v>
      </c>
    </row>
    <row r="119" spans="1:136" ht="12" customHeight="1"/>
    <row r="120" spans="1:136" s="3" customFormat="1" ht="12" customHeight="1">
      <c r="A120" s="15" t="s">
        <v>152</v>
      </c>
      <c r="B120" s="151"/>
      <c r="C120" s="151"/>
      <c r="D120" s="151"/>
      <c r="E120" s="151"/>
      <c r="F120" s="152"/>
      <c r="G120" s="151"/>
      <c r="H120" s="151"/>
      <c r="I120" s="151"/>
      <c r="J120" s="151"/>
      <c r="K120" s="152"/>
      <c r="L120" s="151"/>
      <c r="M120" s="151"/>
      <c r="N120" s="151"/>
      <c r="O120" s="151"/>
      <c r="P120" s="152"/>
      <c r="Q120" s="151"/>
      <c r="R120" s="151"/>
      <c r="S120" s="151"/>
      <c r="T120" s="151"/>
      <c r="U120" s="152"/>
      <c r="V120" s="151"/>
      <c r="W120" s="151"/>
      <c r="X120" s="151"/>
      <c r="Y120" s="151"/>
      <c r="Z120" s="152"/>
      <c r="AA120" s="151"/>
      <c r="AB120" s="151"/>
      <c r="AC120" s="151"/>
      <c r="AD120" s="151"/>
      <c r="AE120" s="152"/>
      <c r="AF120" s="151">
        <f t="shared" ref="AF120:BN120" si="299">AF43-(AF12-AF34-AF35)</f>
        <v>0</v>
      </c>
      <c r="AG120" s="151">
        <f t="shared" si="299"/>
        <v>0</v>
      </c>
      <c r="AH120" s="151">
        <f t="shared" si="299"/>
        <v>0</v>
      </c>
      <c r="AI120" s="151">
        <f t="shared" si="299"/>
        <v>153320.39000000001</v>
      </c>
      <c r="AJ120" s="152">
        <f t="shared" si="299"/>
        <v>153320.39000000001</v>
      </c>
      <c r="AK120" s="151">
        <f t="shared" si="299"/>
        <v>0</v>
      </c>
      <c r="AL120" s="151">
        <f t="shared" si="299"/>
        <v>0</v>
      </c>
      <c r="AM120" s="151">
        <f t="shared" si="299"/>
        <v>0</v>
      </c>
      <c r="AN120" s="151">
        <f t="shared" si="299"/>
        <v>226565.66999999998</v>
      </c>
      <c r="AO120" s="152">
        <f t="shared" si="299"/>
        <v>226565.66999999998</v>
      </c>
      <c r="AP120" s="151">
        <f t="shared" si="299"/>
        <v>0</v>
      </c>
      <c r="AQ120" s="151">
        <f t="shared" si="299"/>
        <v>0</v>
      </c>
      <c r="AR120" s="151">
        <f t="shared" si="299"/>
        <v>0</v>
      </c>
      <c r="AS120" s="151">
        <f t="shared" si="299"/>
        <v>370552.74099999998</v>
      </c>
      <c r="AT120" s="152">
        <f t="shared" si="299"/>
        <v>370552.74099999998</v>
      </c>
      <c r="AU120" s="151">
        <f t="shared" si="299"/>
        <v>0</v>
      </c>
      <c r="AV120" s="151">
        <f t="shared" si="299"/>
        <v>0</v>
      </c>
      <c r="AW120" s="151">
        <f t="shared" si="299"/>
        <v>0</v>
      </c>
      <c r="AX120" s="151">
        <f t="shared" si="299"/>
        <v>353134</v>
      </c>
      <c r="AY120" s="152">
        <f t="shared" si="299"/>
        <v>353134</v>
      </c>
      <c r="AZ120" s="151">
        <f t="shared" si="299"/>
        <v>0</v>
      </c>
      <c r="BA120" s="151">
        <f t="shared" si="299"/>
        <v>0</v>
      </c>
      <c r="BB120" s="151">
        <f t="shared" si="299"/>
        <v>0</v>
      </c>
      <c r="BC120" s="151">
        <f t="shared" si="299"/>
        <v>350046</v>
      </c>
      <c r="BD120" s="152">
        <f t="shared" si="299"/>
        <v>350046</v>
      </c>
      <c r="BE120" s="151">
        <f t="shared" si="299"/>
        <v>0</v>
      </c>
      <c r="BF120" s="151">
        <f t="shared" si="299"/>
        <v>0</v>
      </c>
      <c r="BG120" s="151">
        <f t="shared" si="299"/>
        <v>0</v>
      </c>
      <c r="BH120" s="151">
        <f t="shared" si="299"/>
        <v>289779</v>
      </c>
      <c r="BI120" s="152">
        <f t="shared" si="299"/>
        <v>289779</v>
      </c>
      <c r="BJ120" s="151">
        <f t="shared" si="299"/>
        <v>0</v>
      </c>
      <c r="BK120" s="151">
        <f t="shared" si="299"/>
        <v>0</v>
      </c>
      <c r="BL120" s="151">
        <f t="shared" si="299"/>
        <v>0</v>
      </c>
      <c r="BM120" s="151">
        <f t="shared" si="299"/>
        <v>254065</v>
      </c>
      <c r="BN120" s="152">
        <f t="shared" si="299"/>
        <v>254065</v>
      </c>
      <c r="BO120" s="151">
        <f t="shared" ref="BO120:CC120" si="300">BO43-(BO12-BO34-BO35)</f>
        <v>0</v>
      </c>
      <c r="BP120" s="151">
        <f t="shared" si="300"/>
        <v>0</v>
      </c>
      <c r="BQ120" s="151">
        <f t="shared" si="300"/>
        <v>0</v>
      </c>
      <c r="BR120" s="151">
        <f t="shared" si="300"/>
        <v>446847</v>
      </c>
      <c r="BS120" s="152">
        <f t="shared" si="300"/>
        <v>446847</v>
      </c>
      <c r="BT120" s="151">
        <f t="shared" si="300"/>
        <v>0</v>
      </c>
      <c r="BU120" s="151">
        <f>BU43-(BU12-BU34-BU35)</f>
        <v>0</v>
      </c>
      <c r="BV120" s="151">
        <f t="shared" si="300"/>
        <v>0</v>
      </c>
      <c r="BW120" s="151">
        <f>BW43-(BW12-BW34-BW35)</f>
        <v>284354</v>
      </c>
      <c r="BX120" s="152">
        <f t="shared" si="300"/>
        <v>284354</v>
      </c>
      <c r="BY120" s="151">
        <f t="shared" si="300"/>
        <v>0</v>
      </c>
      <c r="BZ120" s="151">
        <f t="shared" si="300"/>
        <v>0</v>
      </c>
      <c r="CA120" s="151">
        <f>CA43-(CA12-CA34-CA35)</f>
        <v>0</v>
      </c>
      <c r="CB120" s="151">
        <f t="shared" si="300"/>
        <v>436863</v>
      </c>
      <c r="CC120" s="152">
        <f t="shared" si="300"/>
        <v>436863</v>
      </c>
      <c r="CD120" s="151">
        <f>CD43-(CD12-CD34-CD35)</f>
        <v>345806</v>
      </c>
      <c r="CE120" s="151">
        <f>CE43-(CE12-CE34-CE35)</f>
        <v>505980</v>
      </c>
      <c r="CF120" s="151">
        <f t="shared" ref="CF120:DG120" si="301">CF43-(CF12-CF34-CF35)</f>
        <v>829776</v>
      </c>
      <c r="CG120" s="151">
        <f t="shared" si="301"/>
        <v>888846</v>
      </c>
      <c r="CH120" s="152">
        <f t="shared" si="301"/>
        <v>888846</v>
      </c>
      <c r="CI120" s="151">
        <f t="shared" si="301"/>
        <v>1017136</v>
      </c>
      <c r="CJ120" s="151">
        <f t="shared" si="301"/>
        <v>1093979</v>
      </c>
      <c r="CK120" s="151">
        <f t="shared" si="301"/>
        <v>1245792</v>
      </c>
      <c r="CL120" s="151">
        <f t="shared" si="301"/>
        <v>1458822</v>
      </c>
      <c r="CM120" s="152">
        <f t="shared" si="301"/>
        <v>1458822</v>
      </c>
      <c r="CN120" s="151">
        <f>CN43-(CN12-CN34-CN35)</f>
        <v>1882621</v>
      </c>
      <c r="CO120" s="151">
        <f>CO43-(CO12-CO34-CO35)</f>
        <v>1714366</v>
      </c>
      <c r="CP120" s="151">
        <f>CP43-(CP12-CP34-CP35)</f>
        <v>1689496</v>
      </c>
      <c r="CQ120" s="151">
        <f>CQ43-(CQ12-CQ34-CQ35)</f>
        <v>1497648</v>
      </c>
      <c r="CR120" s="152">
        <f t="shared" si="301"/>
        <v>1497648</v>
      </c>
      <c r="CS120" s="151">
        <f t="shared" si="301"/>
        <v>1432811</v>
      </c>
      <c r="CT120" s="151">
        <f t="shared" si="301"/>
        <v>1613123</v>
      </c>
      <c r="CU120" s="151">
        <f>CU43-(CU12-CU34-CU35)</f>
        <v>1582556</v>
      </c>
      <c r="CV120" s="151">
        <f>CV43-(CV12-CV34-CV35)</f>
        <v>1494888</v>
      </c>
      <c r="CW120" s="152">
        <f t="shared" si="301"/>
        <v>1494888</v>
      </c>
      <c r="CX120" s="151">
        <f>CX43-(CX12-CX34-CX35)</f>
        <v>1703375</v>
      </c>
      <c r="CY120" s="151">
        <f>CY43-(CY12-CY34-CY35)</f>
        <v>1688975</v>
      </c>
      <c r="CZ120" s="151">
        <f>CZ43-(CZ12-CZ34-CZ35)</f>
        <v>1813525</v>
      </c>
      <c r="DA120" s="151">
        <f>DA43-(DA12-DA34-DA35)</f>
        <v>1808720</v>
      </c>
      <c r="DB120" s="152">
        <f t="shared" si="301"/>
        <v>1808720</v>
      </c>
      <c r="DC120" s="151">
        <f t="shared" si="301"/>
        <v>2103723</v>
      </c>
      <c r="DD120" s="151">
        <f t="shared" si="301"/>
        <v>2380877</v>
      </c>
      <c r="DE120" s="151">
        <f t="shared" si="301"/>
        <v>2502178</v>
      </c>
      <c r="DF120" s="151">
        <f t="shared" si="301"/>
        <v>2467258</v>
      </c>
      <c r="DG120" s="152">
        <f t="shared" si="301"/>
        <v>2467258</v>
      </c>
      <c r="DH120" s="151">
        <f t="shared" ref="DH120" si="302">DH43-(DH12-DH34-DH35)</f>
        <v>2697983</v>
      </c>
      <c r="DI120" s="151">
        <f t="shared" ref="DI120:EF120" si="303">DI43-(DI12-DI34-DI35)</f>
        <v>2959408</v>
      </c>
      <c r="DJ120" s="151">
        <f t="shared" ca="1" si="303"/>
        <v>3117353.4938865965</v>
      </c>
      <c r="DK120" s="151">
        <f t="shared" ca="1" si="303"/>
        <v>3240589.9363665977</v>
      </c>
      <c r="DL120" s="152">
        <f t="shared" ca="1" si="303"/>
        <v>3240589.9363665977</v>
      </c>
      <c r="DM120" s="151">
        <f t="shared" ca="1" si="303"/>
        <v>3476008.5638290145</v>
      </c>
      <c r="DN120" s="151">
        <f t="shared" ca="1" si="303"/>
        <v>3645815.3405746841</v>
      </c>
      <c r="DO120" s="151">
        <f t="shared" ca="1" si="303"/>
        <v>3809904.346113157</v>
      </c>
      <c r="DP120" s="151">
        <f t="shared" ca="1" si="303"/>
        <v>3977922.6849251976</v>
      </c>
      <c r="DQ120" s="152">
        <f t="shared" ca="1" si="303"/>
        <v>3977922.6849251976</v>
      </c>
      <c r="DR120" s="151">
        <f t="shared" ca="1" si="303"/>
        <v>3191866.5858378634</v>
      </c>
      <c r="DS120" s="151">
        <f t="shared" ca="1" si="303"/>
        <v>3627456.9545086026</v>
      </c>
      <c r="DT120" s="151">
        <f t="shared" ca="1" si="303"/>
        <v>4076800.8234654288</v>
      </c>
      <c r="DU120" s="151">
        <f t="shared" ca="1" si="303"/>
        <v>4542658.9441890325</v>
      </c>
      <c r="DV120" s="152">
        <f t="shared" ca="1" si="303"/>
        <v>4542658.9441890325</v>
      </c>
      <c r="DW120" s="151">
        <f t="shared" ca="1" si="303"/>
        <v>3468678.7623712057</v>
      </c>
      <c r="DX120" s="151">
        <f t="shared" ca="1" si="303"/>
        <v>3923319.0149011412</v>
      </c>
      <c r="DY120" s="151">
        <f t="shared" ca="1" si="303"/>
        <v>4394381.3618742237</v>
      </c>
      <c r="DZ120" s="151">
        <f t="shared" ca="1" si="303"/>
        <v>4882415.3809386641</v>
      </c>
      <c r="EA120" s="152">
        <f t="shared" ca="1" si="303"/>
        <v>4882415.3809386641</v>
      </c>
      <c r="EB120" s="151">
        <f t="shared" ca="1" si="303"/>
        <v>3747607.0872374545</v>
      </c>
      <c r="EC120" s="151">
        <f t="shared" ca="1" si="303"/>
        <v>4216928.0558038615</v>
      </c>
      <c r="ED120" s="151">
        <f t="shared" ca="1" si="303"/>
        <v>4697819.5348712103</v>
      </c>
      <c r="EE120" s="151">
        <f t="shared" ca="1" si="303"/>
        <v>5190669.2968062572</v>
      </c>
      <c r="EF120" s="152">
        <f t="shared" ca="1" si="303"/>
        <v>5190669.2968062572</v>
      </c>
    </row>
    <row r="121" spans="1:136" ht="12" customHeight="1">
      <c r="A121" s="15" t="s">
        <v>153</v>
      </c>
      <c r="B121" s="151"/>
      <c r="C121" s="151"/>
      <c r="D121" s="151"/>
      <c r="E121" s="151"/>
      <c r="F121" s="152"/>
      <c r="G121" s="151"/>
      <c r="H121" s="151"/>
      <c r="I121" s="151"/>
      <c r="J121" s="151"/>
      <c r="K121" s="152"/>
      <c r="L121" s="151"/>
      <c r="M121" s="151"/>
      <c r="N121" s="151"/>
      <c r="O121" s="151"/>
      <c r="P121" s="152"/>
      <c r="Q121" s="151"/>
      <c r="R121" s="151"/>
      <c r="S121" s="151"/>
      <c r="T121" s="151"/>
      <c r="U121" s="152"/>
      <c r="V121" s="151"/>
      <c r="W121" s="151"/>
      <c r="X121" s="151"/>
      <c r="Y121" s="151"/>
      <c r="Z121" s="152"/>
      <c r="AA121" s="151"/>
      <c r="AB121" s="151"/>
      <c r="AC121" s="151"/>
      <c r="AD121" s="151"/>
      <c r="AE121" s="152"/>
      <c r="AF121" s="151" t="e">
        <f t="shared" ref="AF121:BN121" si="304">AF43+AF109*(1-4%)*(1-AF42/AF43)</f>
        <v>#DIV/0!</v>
      </c>
      <c r="AG121" s="151" t="e">
        <f t="shared" si="304"/>
        <v>#DIV/0!</v>
      </c>
      <c r="AH121" s="151" t="e">
        <f t="shared" si="304"/>
        <v>#DIV/0!</v>
      </c>
      <c r="AI121" s="151">
        <f t="shared" si="304"/>
        <v>120484.13400000001</v>
      </c>
      <c r="AJ121" s="152">
        <f t="shared" si="304"/>
        <v>120484.13400000001</v>
      </c>
      <c r="AK121" s="151" t="e">
        <f t="shared" si="304"/>
        <v>#DIV/0!</v>
      </c>
      <c r="AL121" s="151" t="e">
        <f t="shared" si="304"/>
        <v>#DIV/0!</v>
      </c>
      <c r="AM121" s="151" t="e">
        <f t="shared" si="304"/>
        <v>#DIV/0!</v>
      </c>
      <c r="AN121" s="151">
        <f t="shared" si="304"/>
        <v>189163.09599999999</v>
      </c>
      <c r="AO121" s="152">
        <f t="shared" si="304"/>
        <v>189163.09599999999</v>
      </c>
      <c r="AP121" s="151" t="e">
        <f t="shared" si="304"/>
        <v>#DIV/0!</v>
      </c>
      <c r="AQ121" s="151" t="e">
        <f t="shared" si="304"/>
        <v>#DIV/0!</v>
      </c>
      <c r="AR121" s="151" t="e">
        <f t="shared" si="304"/>
        <v>#DIV/0!</v>
      </c>
      <c r="AS121" s="151">
        <f t="shared" si="304"/>
        <v>250225</v>
      </c>
      <c r="AT121" s="152">
        <f t="shared" si="304"/>
        <v>250225</v>
      </c>
      <c r="AU121" s="151" t="e">
        <f t="shared" si="304"/>
        <v>#DIV/0!</v>
      </c>
      <c r="AV121" s="151" t="e">
        <f t="shared" si="304"/>
        <v>#DIV/0!</v>
      </c>
      <c r="AW121" s="151" t="e">
        <f t="shared" si="304"/>
        <v>#DIV/0!</v>
      </c>
      <c r="AX121" s="151">
        <f t="shared" si="304"/>
        <v>293155</v>
      </c>
      <c r="AY121" s="152">
        <f t="shared" si="304"/>
        <v>293155</v>
      </c>
      <c r="AZ121" s="151" t="e">
        <f t="shared" si="304"/>
        <v>#DIV/0!</v>
      </c>
      <c r="BA121" s="151" t="e">
        <f t="shared" si="304"/>
        <v>#DIV/0!</v>
      </c>
      <c r="BB121" s="151" t="e">
        <f t="shared" si="304"/>
        <v>#DIV/0!</v>
      </c>
      <c r="BC121" s="151">
        <f t="shared" si="304"/>
        <v>552299.65622523462</v>
      </c>
      <c r="BD121" s="152">
        <f t="shared" si="304"/>
        <v>552299.65622523462</v>
      </c>
      <c r="BE121" s="151" t="e">
        <f t="shared" si="304"/>
        <v>#DIV/0!</v>
      </c>
      <c r="BF121" s="151" t="e">
        <f t="shared" si="304"/>
        <v>#DIV/0!</v>
      </c>
      <c r="BG121" s="151" t="e">
        <f t="shared" si="304"/>
        <v>#DIV/0!</v>
      </c>
      <c r="BH121" s="151">
        <f t="shared" si="304"/>
        <v>374074.07161211921</v>
      </c>
      <c r="BI121" s="152">
        <f t="shared" si="304"/>
        <v>374074.07161211921</v>
      </c>
      <c r="BJ121" s="151" t="e">
        <f t="shared" si="304"/>
        <v>#DIV/0!</v>
      </c>
      <c r="BK121" s="151" t="e">
        <f t="shared" si="304"/>
        <v>#DIV/0!</v>
      </c>
      <c r="BL121" s="151" t="e">
        <f t="shared" si="304"/>
        <v>#DIV/0!</v>
      </c>
      <c r="BM121" s="151">
        <f t="shared" si="304"/>
        <v>275287.40531254432</v>
      </c>
      <c r="BN121" s="152">
        <f t="shared" si="304"/>
        <v>275287.40531254432</v>
      </c>
      <c r="BO121" s="151" t="e">
        <f t="shared" ref="BO121:CC121" si="305">BO43+BO109*(1-4%)*(1-BO42/BO43)</f>
        <v>#DIV/0!</v>
      </c>
      <c r="BP121" s="151" t="e">
        <f t="shared" si="305"/>
        <v>#DIV/0!</v>
      </c>
      <c r="BQ121" s="151" t="e">
        <f t="shared" si="305"/>
        <v>#DIV/0!</v>
      </c>
      <c r="BR121" s="151">
        <f t="shared" si="305"/>
        <v>285605.71860290167</v>
      </c>
      <c r="BS121" s="152">
        <f t="shared" si="305"/>
        <v>285605.71860290167</v>
      </c>
      <c r="BT121" s="151" t="e">
        <f t="shared" si="305"/>
        <v>#DIV/0!</v>
      </c>
      <c r="BU121" s="151" t="e">
        <f>BU43+BU109*(1-4%)*(1-BU42/BU43)</f>
        <v>#DIV/0!</v>
      </c>
      <c r="BV121" s="151" t="e">
        <f t="shared" si="305"/>
        <v>#DIV/0!</v>
      </c>
      <c r="BW121" s="151">
        <f>BW43+BW109*(1-4%)*(1-BW42/BW43)</f>
        <v>261740.21174842518</v>
      </c>
      <c r="BX121" s="152">
        <f t="shared" si="305"/>
        <v>261740.21174842518</v>
      </c>
      <c r="BY121" s="151" t="e">
        <f t="shared" si="305"/>
        <v>#DIV/0!</v>
      </c>
      <c r="BZ121" s="151" t="e">
        <f t="shared" si="305"/>
        <v>#DIV/0!</v>
      </c>
      <c r="CA121" s="151" t="e">
        <f>CA43+CA109*(1-4%)*(1-CA42/CA43)</f>
        <v>#DIV/0!</v>
      </c>
      <c r="CB121" s="151">
        <f t="shared" si="305"/>
        <v>280938.48606530437</v>
      </c>
      <c r="CC121" s="152">
        <f t="shared" si="305"/>
        <v>280938.48606530437</v>
      </c>
      <c r="CD121" s="151">
        <f>CD43+CD109*(1-4%)*(1-CD42/CD43)</f>
        <v>281076.10410241969</v>
      </c>
      <c r="CE121" s="151">
        <f>CE43+CE109*(1-4%)*(1-CE42/CE43)</f>
        <v>341765.13836477988</v>
      </c>
      <c r="CF121" s="151">
        <f t="shared" ref="CF121:DG121" si="306">CF43+CF109*(1-4%)*(1-CF42/CF43)</f>
        <v>636714.6980320958</v>
      </c>
      <c r="CG121" s="151">
        <f t="shared" si="306"/>
        <v>689757.57279767259</v>
      </c>
      <c r="CH121" s="152">
        <f t="shared" si="306"/>
        <v>689757.57279767259</v>
      </c>
      <c r="CI121" s="151">
        <f t="shared" si="306"/>
        <v>789008.73092943453</v>
      </c>
      <c r="CJ121" s="151">
        <f t="shared" si="306"/>
        <v>844067.2081459132</v>
      </c>
      <c r="CK121" s="151">
        <f t="shared" si="306"/>
        <v>1011451.2653474365</v>
      </c>
      <c r="CL121" s="151">
        <f t="shared" si="306"/>
        <v>1031021.2609252611</v>
      </c>
      <c r="CM121" s="152">
        <f t="shared" si="306"/>
        <v>1031021.2609252611</v>
      </c>
      <c r="CN121" s="151">
        <f>CN43+CN109*(1-4%)*(1-CN42/CN43)</f>
        <v>1189455.9078770019</v>
      </c>
      <c r="CO121" s="151">
        <f>CO43+CO109*(1-4%)*(1-CO42/CO43)</f>
        <v>1268904.3669674969</v>
      </c>
      <c r="CP121" s="151">
        <f>CP43+CP109*(1-4%)*(1-CP42/CP43)</f>
        <v>1506941.3740820806</v>
      </c>
      <c r="CQ121" s="151">
        <f>CQ43+CQ109*(1-4%)*(1-CQ42/CQ43)</f>
        <v>1573083.5376645289</v>
      </c>
      <c r="CR121" s="152">
        <f t="shared" si="306"/>
        <v>1573083.5376645289</v>
      </c>
      <c r="CS121" s="151">
        <f t="shared" si="306"/>
        <v>1842206.1196404872</v>
      </c>
      <c r="CT121" s="151">
        <f t="shared" si="306"/>
        <v>2084584.1975329937</v>
      </c>
      <c r="CU121" s="151">
        <f>CU43+CU109*(1-4%)*(1-CU42/CU43)</f>
        <v>2108415.6130103045</v>
      </c>
      <c r="CV121" s="151">
        <f>CV43+CV109*(1-4%)*(1-CV42/CV43)</f>
        <v>2060582.5727249079</v>
      </c>
      <c r="CW121" s="152">
        <f t="shared" si="306"/>
        <v>2060582.5727249079</v>
      </c>
      <c r="CX121" s="151">
        <f>CX43+CX109*(1-4%)*(1-CX42/CX43)</f>
        <v>2431461.5152992532</v>
      </c>
      <c r="CY121" s="151">
        <f>CY43+CY109*(1-4%)*(1-CY42/CY43)</f>
        <v>2595653.583155477</v>
      </c>
      <c r="CZ121" s="151">
        <f>CZ43+CZ109*(1-4%)*(1-CZ42/CZ43)</f>
        <v>2949343.2820894001</v>
      </c>
      <c r="DA121" s="151">
        <f>DA43+DA109*(1-4%)*(1-DA42/DA43)</f>
        <v>2960732.7521974677</v>
      </c>
      <c r="DB121" s="152">
        <f t="shared" si="306"/>
        <v>2960732.7521974677</v>
      </c>
      <c r="DC121" s="151">
        <f t="shared" si="306"/>
        <v>3262753.7704401887</v>
      </c>
      <c r="DD121" s="151">
        <f t="shared" si="306"/>
        <v>3797191.5412056828</v>
      </c>
      <c r="DE121" s="151">
        <f t="shared" si="306"/>
        <v>4001643.9768686439</v>
      </c>
      <c r="DF121" s="151">
        <f t="shared" si="306"/>
        <v>3969464.0760920197</v>
      </c>
      <c r="DG121" s="152">
        <f t="shared" si="306"/>
        <v>3969464.0760920197</v>
      </c>
      <c r="DH121" s="151">
        <f t="shared" ref="DH121" si="307">DH43+DH109*(1-4%)*(1-DH42/DH43)</f>
        <v>4251238.9700094201</v>
      </c>
      <c r="DI121" s="151">
        <f t="shared" ref="DI121:EF121" si="308">DI43+DI109*(1-4%)*(1-DI42/DI43)</f>
        <v>4466367.1738460343</v>
      </c>
      <c r="DJ121" s="151">
        <f t="shared" ca="1" si="308"/>
        <v>4704642.7410271429</v>
      </c>
      <c r="DK121" s="151">
        <f t="shared" ca="1" si="308"/>
        <v>4951939.873554307</v>
      </c>
      <c r="DL121" s="152">
        <f t="shared" ca="1" si="308"/>
        <v>4951939.873554307</v>
      </c>
      <c r="DM121" s="151">
        <f t="shared" ca="1" si="308"/>
        <v>5183010.5883795219</v>
      </c>
      <c r="DN121" s="151">
        <f t="shared" ca="1" si="308"/>
        <v>5424285.3867082316</v>
      </c>
      <c r="DO121" s="151">
        <f t="shared" ca="1" si="308"/>
        <v>5659614.6763679292</v>
      </c>
      <c r="DP121" s="151">
        <f t="shared" ca="1" si="308"/>
        <v>5903886.3908191249</v>
      </c>
      <c r="DQ121" s="152">
        <f t="shared" ca="1" si="308"/>
        <v>5903886.3908191249</v>
      </c>
      <c r="DR121" s="151">
        <f t="shared" ca="1" si="308"/>
        <v>4646969.4471831769</v>
      </c>
      <c r="DS121" s="151">
        <f t="shared" ca="1" si="308"/>
        <v>5375374.3932741806</v>
      </c>
      <c r="DT121" s="151">
        <f t="shared" ca="1" si="308"/>
        <v>6041960.0668591969</v>
      </c>
      <c r="DU121" s="151">
        <f t="shared" ca="1" si="308"/>
        <v>6681212.3439798038</v>
      </c>
      <c r="DV121" s="152">
        <f t="shared" ca="1" si="308"/>
        <v>6681212.3439798038</v>
      </c>
      <c r="DW121" s="151">
        <f t="shared" ca="1" si="308"/>
        <v>5002002.7543333154</v>
      </c>
      <c r="DX121" s="151">
        <f t="shared" ca="1" si="308"/>
        <v>5752949.943778025</v>
      </c>
      <c r="DY121" s="151">
        <f t="shared" ca="1" si="308"/>
        <v>6446237.1384999324</v>
      </c>
      <c r="DZ121" s="151">
        <f t="shared" ca="1" si="308"/>
        <v>7110474.0206198674</v>
      </c>
      <c r="EA121" s="152">
        <f t="shared" ca="1" si="308"/>
        <v>7110474.0206198674</v>
      </c>
      <c r="EB121" s="151">
        <f t="shared" ca="1" si="308"/>
        <v>5315563.7326867757</v>
      </c>
      <c r="EC121" s="151">
        <f t="shared" ca="1" si="308"/>
        <v>6092742.6819211319</v>
      </c>
      <c r="ED121" s="151">
        <f t="shared" ca="1" si="308"/>
        <v>6812072.3093901901</v>
      </c>
      <c r="EE121" s="151">
        <f t="shared" ca="1" si="308"/>
        <v>7501444.2219110504</v>
      </c>
      <c r="EF121" s="152">
        <f t="shared" ca="1" si="308"/>
        <v>7501444.2219110504</v>
      </c>
    </row>
    <row r="122" spans="1:136" ht="12" customHeight="1">
      <c r="A122" s="15" t="s">
        <v>260</v>
      </c>
      <c r="B122" s="151">
        <f t="shared" ref="B122:K122" si="309">B52+B42+B53</f>
        <v>0</v>
      </c>
      <c r="C122" s="151">
        <f t="shared" si="309"/>
        <v>0</v>
      </c>
      <c r="D122" s="151">
        <f t="shared" si="309"/>
        <v>0</v>
      </c>
      <c r="E122" s="151">
        <f t="shared" si="309"/>
        <v>0</v>
      </c>
      <c r="F122" s="152">
        <f t="shared" si="309"/>
        <v>0</v>
      </c>
      <c r="G122" s="151">
        <f t="shared" si="309"/>
        <v>0</v>
      </c>
      <c r="H122" s="151">
        <f t="shared" si="309"/>
        <v>0</v>
      </c>
      <c r="I122" s="151">
        <f t="shared" si="309"/>
        <v>0</v>
      </c>
      <c r="J122" s="151">
        <f t="shared" si="309"/>
        <v>0</v>
      </c>
      <c r="K122" s="152">
        <f t="shared" si="309"/>
        <v>0</v>
      </c>
      <c r="L122" s="151">
        <f t="shared" ref="L122:BN122" si="310">L52+L42+L53</f>
        <v>0</v>
      </c>
      <c r="M122" s="151">
        <f t="shared" si="310"/>
        <v>0</v>
      </c>
      <c r="N122" s="151">
        <f t="shared" si="310"/>
        <v>0</v>
      </c>
      <c r="O122" s="151">
        <f t="shared" si="310"/>
        <v>0</v>
      </c>
      <c r="P122" s="152">
        <f t="shared" si="310"/>
        <v>0</v>
      </c>
      <c r="Q122" s="151">
        <f t="shared" si="310"/>
        <v>0</v>
      </c>
      <c r="R122" s="151">
        <f t="shared" si="310"/>
        <v>0</v>
      </c>
      <c r="S122" s="151">
        <f t="shared" si="310"/>
        <v>0</v>
      </c>
      <c r="T122" s="151">
        <f t="shared" si="310"/>
        <v>0</v>
      </c>
      <c r="U122" s="152">
        <f t="shared" si="310"/>
        <v>0</v>
      </c>
      <c r="V122" s="151">
        <f t="shared" si="310"/>
        <v>0</v>
      </c>
      <c r="W122" s="151">
        <f t="shared" si="310"/>
        <v>0</v>
      </c>
      <c r="X122" s="151">
        <f t="shared" si="310"/>
        <v>0</v>
      </c>
      <c r="Y122" s="151">
        <f t="shared" si="310"/>
        <v>0</v>
      </c>
      <c r="Z122" s="152">
        <f t="shared" si="310"/>
        <v>0</v>
      </c>
      <c r="AA122" s="151">
        <f t="shared" si="310"/>
        <v>0</v>
      </c>
      <c r="AB122" s="151">
        <f t="shared" si="310"/>
        <v>0</v>
      </c>
      <c r="AC122" s="151">
        <f t="shared" si="310"/>
        <v>0</v>
      </c>
      <c r="AD122" s="151">
        <f t="shared" si="310"/>
        <v>0</v>
      </c>
      <c r="AE122" s="152">
        <f t="shared" si="310"/>
        <v>0</v>
      </c>
      <c r="AF122" s="151">
        <f t="shared" si="310"/>
        <v>0</v>
      </c>
      <c r="AG122" s="151">
        <f t="shared" si="310"/>
        <v>0</v>
      </c>
      <c r="AH122" s="151">
        <f t="shared" si="310"/>
        <v>0</v>
      </c>
      <c r="AI122" s="151">
        <f t="shared" si="310"/>
        <v>194472.26</v>
      </c>
      <c r="AJ122" s="152">
        <f t="shared" si="310"/>
        <v>194472.26</v>
      </c>
      <c r="AK122" s="151">
        <f t="shared" si="310"/>
        <v>0</v>
      </c>
      <c r="AL122" s="151">
        <f t="shared" si="310"/>
        <v>0</v>
      </c>
      <c r="AM122" s="151">
        <f t="shared" si="310"/>
        <v>0</v>
      </c>
      <c r="AN122" s="151">
        <f t="shared" si="310"/>
        <v>291704.93200000003</v>
      </c>
      <c r="AO122" s="152">
        <f t="shared" si="310"/>
        <v>291704.93200000003</v>
      </c>
      <c r="AP122" s="151">
        <f t="shared" si="310"/>
        <v>0</v>
      </c>
      <c r="AQ122" s="151">
        <f t="shared" si="310"/>
        <v>0</v>
      </c>
      <c r="AR122" s="151">
        <f t="shared" si="310"/>
        <v>0</v>
      </c>
      <c r="AS122" s="151">
        <f t="shared" si="310"/>
        <v>435559.609</v>
      </c>
      <c r="AT122" s="152">
        <f t="shared" si="310"/>
        <v>435559.609</v>
      </c>
      <c r="AU122" s="151">
        <f t="shared" si="310"/>
        <v>0</v>
      </c>
      <c r="AV122" s="151">
        <f t="shared" si="310"/>
        <v>0</v>
      </c>
      <c r="AW122" s="151">
        <f t="shared" si="310"/>
        <v>0</v>
      </c>
      <c r="AX122" s="151">
        <f t="shared" si="310"/>
        <v>591210</v>
      </c>
      <c r="AY122" s="152">
        <f t="shared" si="310"/>
        <v>591210</v>
      </c>
      <c r="AZ122" s="151">
        <f t="shared" si="310"/>
        <v>0</v>
      </c>
      <c r="BA122" s="151">
        <f t="shared" si="310"/>
        <v>0</v>
      </c>
      <c r="BB122" s="151">
        <f t="shared" si="310"/>
        <v>0</v>
      </c>
      <c r="BC122" s="151">
        <f t="shared" si="310"/>
        <v>702269</v>
      </c>
      <c r="BD122" s="152">
        <f t="shared" si="310"/>
        <v>702269</v>
      </c>
      <c r="BE122" s="151">
        <f t="shared" si="310"/>
        <v>0</v>
      </c>
      <c r="BF122" s="151">
        <f t="shared" si="310"/>
        <v>0</v>
      </c>
      <c r="BG122" s="151">
        <f t="shared" si="310"/>
        <v>0</v>
      </c>
      <c r="BH122" s="151">
        <f t="shared" si="310"/>
        <v>607399</v>
      </c>
      <c r="BI122" s="152">
        <f t="shared" si="310"/>
        <v>607399</v>
      </c>
      <c r="BJ122" s="151">
        <f t="shared" si="310"/>
        <v>0</v>
      </c>
      <c r="BK122" s="151">
        <f t="shared" si="310"/>
        <v>0</v>
      </c>
      <c r="BL122" s="151">
        <f t="shared" si="310"/>
        <v>0</v>
      </c>
      <c r="BM122" s="151">
        <f t="shared" si="310"/>
        <v>448510</v>
      </c>
      <c r="BN122" s="152">
        <f t="shared" si="310"/>
        <v>448510</v>
      </c>
      <c r="BO122" s="151">
        <f t="shared" ref="BO122:CC122" si="311">BO52+BO42+BO53</f>
        <v>0</v>
      </c>
      <c r="BP122" s="151">
        <f t="shared" si="311"/>
        <v>0</v>
      </c>
      <c r="BQ122" s="151">
        <f t="shared" si="311"/>
        <v>0</v>
      </c>
      <c r="BR122" s="151">
        <f t="shared" si="311"/>
        <v>484063</v>
      </c>
      <c r="BS122" s="152">
        <f t="shared" si="311"/>
        <v>484063</v>
      </c>
      <c r="BT122" s="151">
        <f t="shared" si="311"/>
        <v>0</v>
      </c>
      <c r="BU122" s="151">
        <f>BU52+BU42+BU53</f>
        <v>0</v>
      </c>
      <c r="BV122" s="151">
        <f t="shared" si="311"/>
        <v>0</v>
      </c>
      <c r="BW122" s="151">
        <f>BW52+BW42+BW53</f>
        <v>522941</v>
      </c>
      <c r="BX122" s="152">
        <f t="shared" si="311"/>
        <v>522941</v>
      </c>
      <c r="BY122" s="151">
        <f t="shared" si="311"/>
        <v>0</v>
      </c>
      <c r="BZ122" s="151">
        <f t="shared" si="311"/>
        <v>0</v>
      </c>
      <c r="CA122" s="151">
        <f>CA52+CA42+CA53</f>
        <v>0</v>
      </c>
      <c r="CB122" s="151">
        <f t="shared" si="311"/>
        <v>518879</v>
      </c>
      <c r="CC122" s="152">
        <f t="shared" si="311"/>
        <v>518879</v>
      </c>
      <c r="CD122" s="151">
        <f>CD52+CD42+CD53</f>
        <v>528582</v>
      </c>
      <c r="CE122" s="151">
        <f>CE52+CE42+CE53</f>
        <v>513383</v>
      </c>
      <c r="CF122" s="151">
        <f t="shared" ref="CF122:DG122" si="312">CF52+CF42+CF53</f>
        <v>505564</v>
      </c>
      <c r="CG122" s="151">
        <f t="shared" si="312"/>
        <v>648636</v>
      </c>
      <c r="CH122" s="152">
        <f t="shared" si="312"/>
        <v>648636</v>
      </c>
      <c r="CI122" s="151">
        <f t="shared" si="312"/>
        <v>692860</v>
      </c>
      <c r="CJ122" s="151">
        <f t="shared" si="312"/>
        <v>620567</v>
      </c>
      <c r="CK122" s="151">
        <f t="shared" si="312"/>
        <v>741775</v>
      </c>
      <c r="CL122" s="151">
        <f t="shared" si="312"/>
        <v>682299</v>
      </c>
      <c r="CM122" s="152">
        <f t="shared" si="312"/>
        <v>682299</v>
      </c>
      <c r="CN122" s="151">
        <f>CN52+CN42+CN53</f>
        <v>724471</v>
      </c>
      <c r="CO122" s="151">
        <f>CO52+CO42+CO53</f>
        <v>663059</v>
      </c>
      <c r="CP122" s="151">
        <f>CP52+CP42+CP53</f>
        <v>827479</v>
      </c>
      <c r="CQ122" s="151">
        <f>CQ52+CQ42+CQ53</f>
        <v>695321</v>
      </c>
      <c r="CR122" s="152">
        <f t="shared" si="312"/>
        <v>695321</v>
      </c>
      <c r="CS122" s="151">
        <f t="shared" si="312"/>
        <v>840414</v>
      </c>
      <c r="CT122" s="151">
        <f t="shared" si="312"/>
        <v>904232</v>
      </c>
      <c r="CU122" s="151">
        <f>CU52+CU42+CU53</f>
        <v>725793</v>
      </c>
      <c r="CV122" s="151">
        <f>CV52+CV42+CV53</f>
        <v>750078</v>
      </c>
      <c r="CW122" s="152">
        <f t="shared" si="312"/>
        <v>750078</v>
      </c>
      <c r="CX122" s="151">
        <f>CX52+CX42+CX53</f>
        <v>900900</v>
      </c>
      <c r="CY122" s="151">
        <f>CY52+CY42+CY53</f>
        <v>715205</v>
      </c>
      <c r="CZ122" s="151">
        <f>CZ52+CZ42+CZ53</f>
        <v>1059926</v>
      </c>
      <c r="DA122" s="151">
        <f>DA52+DA42+DA53</f>
        <v>1093754</v>
      </c>
      <c r="DB122" s="152">
        <f t="shared" si="312"/>
        <v>1093754</v>
      </c>
      <c r="DC122" s="151">
        <f t="shared" si="312"/>
        <v>1328028</v>
      </c>
      <c r="DD122" s="151">
        <f t="shared" si="312"/>
        <v>1598857</v>
      </c>
      <c r="DE122" s="151">
        <f t="shared" si="312"/>
        <v>1448820</v>
      </c>
      <c r="DF122" s="151">
        <f t="shared" si="312"/>
        <v>1626352</v>
      </c>
      <c r="DG122" s="152">
        <f t="shared" si="312"/>
        <v>1626352</v>
      </c>
      <c r="DH122" s="151">
        <f t="shared" ref="DH122" si="313">DH52+DH42+DH53</f>
        <v>1832473</v>
      </c>
      <c r="DI122" s="151">
        <f t="shared" ref="DI122:EF122" si="314">DI52+DI42+DI53</f>
        <v>2152107</v>
      </c>
      <c r="DJ122" s="151">
        <f t="shared" ca="1" si="314"/>
        <v>2308642.9282355215</v>
      </c>
      <c r="DK122" s="151">
        <f t="shared" ca="1" si="314"/>
        <v>2432566.7768759015</v>
      </c>
      <c r="DL122" s="152">
        <f t="shared" ca="1" si="314"/>
        <v>2432566.7768759015</v>
      </c>
      <c r="DM122" s="151">
        <f t="shared" ca="1" si="314"/>
        <v>2338239.8719504932</v>
      </c>
      <c r="DN122" s="151">
        <f t="shared" ca="1" si="314"/>
        <v>2440315.8389184005</v>
      </c>
      <c r="DO122" s="151">
        <f t="shared" ca="1" si="314"/>
        <v>2534863.0410331655</v>
      </c>
      <c r="DP122" s="151">
        <f t="shared" ca="1" si="314"/>
        <v>2383376.6251940411</v>
      </c>
      <c r="DQ122" s="152">
        <f t="shared" ca="1" si="314"/>
        <v>2383376.6251940411</v>
      </c>
      <c r="DR122" s="151">
        <f t="shared" ca="1" si="314"/>
        <v>2469363.3753561601</v>
      </c>
      <c r="DS122" s="151">
        <f t="shared" ca="1" si="314"/>
        <v>2806064.9539396409</v>
      </c>
      <c r="DT122" s="151">
        <f t="shared" ca="1" si="314"/>
        <v>2890127.9583279118</v>
      </c>
      <c r="DU122" s="151">
        <f t="shared" ca="1" si="314"/>
        <v>2973475.4339071056</v>
      </c>
      <c r="DV122" s="152">
        <f t="shared" ca="1" si="314"/>
        <v>2973475.4339071056</v>
      </c>
      <c r="DW122" s="151">
        <f t="shared" ca="1" si="314"/>
        <v>3056147.6009960365</v>
      </c>
      <c r="DX122" s="151">
        <f t="shared" ca="1" si="314"/>
        <v>3139112.765385624</v>
      </c>
      <c r="DY122" s="151">
        <f t="shared" ca="1" si="314"/>
        <v>3221622.0388396634</v>
      </c>
      <c r="DZ122" s="151">
        <f t="shared" ca="1" si="314"/>
        <v>3303689.2771618608</v>
      </c>
      <c r="EA122" s="152">
        <f t="shared" ca="1" si="314"/>
        <v>3303689.2771618608</v>
      </c>
      <c r="EB122" s="151">
        <f t="shared" ca="1" si="314"/>
        <v>3385673.2595318705</v>
      </c>
      <c r="EC122" s="151">
        <f t="shared" ca="1" si="314"/>
        <v>3472514.1671725763</v>
      </c>
      <c r="ED122" s="151">
        <f t="shared" ca="1" si="314"/>
        <v>3564437.6478511151</v>
      </c>
      <c r="EE122" s="151">
        <f t="shared" ca="1" si="314"/>
        <v>3661489.9210333172</v>
      </c>
      <c r="EF122" s="152">
        <f t="shared" ca="1" si="314"/>
        <v>3661489.9210333172</v>
      </c>
    </row>
    <row r="123" spans="1:136">
      <c r="A123" s="1" t="s">
        <v>269</v>
      </c>
      <c r="AJ123" s="69">
        <f>('Income Statement'!AJ57+'Income Statement'!AJ64)/AVERAGE(AF122:AI122)</f>
        <v>1.0151485666901805</v>
      </c>
      <c r="AO123" s="69">
        <f>('Income Statement'!AO57+'Income Statement'!AO64)/AVERAGE(AK122:AN122)</f>
        <v>1.1085612909691904</v>
      </c>
      <c r="AT123" s="69">
        <f>('Income Statement'!AT57+'Income Statement'!AT64)/AVERAGE(AP122:AS122)</f>
        <v>0.92568395156218441</v>
      </c>
      <c r="AY123" s="69">
        <f>('Income Statement'!AY57+'Income Statement'!AY64)/AVERAGE(AU122:AX122)</f>
        <v>1.1248665414996362</v>
      </c>
      <c r="BD123" s="69">
        <f>('Income Statement'!BD57+'Income Statement'!BD64)/AVERAGE(AZ122:BC122)</f>
        <v>0.96070309240476226</v>
      </c>
      <c r="BI123" s="69">
        <f>('Income Statement'!BI57+'Income Statement'!BI64)/AVERAGE(BE122:BH122)</f>
        <v>1.0380721733160574</v>
      </c>
      <c r="BN123" s="69">
        <f>('Income Statement'!BN57+'Income Statement'!BN64)/AVERAGE(BJ122:BM122)</f>
        <v>1.0453992107199395</v>
      </c>
      <c r="BS123" s="69">
        <f>('Income Statement'!BS57+'Income Statement'!BS64)/AVERAGE(BO122:BR122)</f>
        <v>1.0776613787874718</v>
      </c>
      <c r="BX123" s="69">
        <f>('Income Statement'!BX57+'Income Statement'!BX64)/AVERAGE(BT122:BW122)</f>
        <v>1.433936141935706</v>
      </c>
      <c r="CC123" s="69">
        <f>('Income Statement'!CC57+'Income Statement'!CC64)/AVERAGE(BY122:CB122)</f>
        <v>1.6983535660529718</v>
      </c>
      <c r="CH123" s="69">
        <f>('Income Statement'!CH57+'Income Statement'!CH64)/AVERAGE(CD122:CG122)</f>
        <v>0.36547891438029473</v>
      </c>
      <c r="CM123" s="69">
        <f>('Income Statement'!CM57+'Income Statement'!CM64)/AVERAGE(CI122:CL122)</f>
        <v>0.4974507771869307</v>
      </c>
      <c r="CR123" s="69">
        <f>('Income Statement'!CR57+'Income Statement'!CR64)/AVERAGE(CN122:CQ122)</f>
        <v>0.516480261688537</v>
      </c>
      <c r="CW123" s="69">
        <f>('Income Statement'!CW57+'Income Statement'!CW64)/AVERAGE(CS122:CV122)</f>
        <v>0.63820684691308882</v>
      </c>
      <c r="DB123" s="69">
        <f>('Income Statement'!DB57+'Income Statement'!DB64)/AVERAGE(CX122:DA122)</f>
        <v>0.77428076136968027</v>
      </c>
      <c r="DG123" s="69">
        <f>('Income Statement'!DG57+'Income Statement'!DG64)/AVERAGE(DC122:DF122)</f>
        <v>0.75587419446366466</v>
      </c>
      <c r="DL123" s="69">
        <f ca="1">('Income Statement'!DL57+'Income Statement'!DL64)/AVERAGE(DH122:DK122)</f>
        <v>0.68299964741539188</v>
      </c>
      <c r="DQ123" s="69">
        <f ca="1">('Income Statement'!DQ57+'Income Statement'!DQ64)/AVERAGE(DM122:DP122)</f>
        <v>0.71385417875556445</v>
      </c>
      <c r="DV123" s="69">
        <f ca="1">('Income Statement'!DV57+'Income Statement'!DV64)/AVERAGE(DR122:DU122)</f>
        <v>0.6661300563636442</v>
      </c>
      <c r="EA123" s="69">
        <f ca="1">('Income Statement'!EA57+'Income Statement'!EA64)/AVERAGE(DW122:DZ122)</f>
        <v>0.62051161267334254</v>
      </c>
      <c r="EF123" s="69">
        <f ca="1">('Income Statement'!EF57+'Income Statement'!EF64)/AVERAGE(EB122:EE122)</f>
        <v>0.59053699491370193</v>
      </c>
    </row>
    <row r="124" spans="1:136" hidden="1"/>
    <row r="125" spans="1:136" hidden="1"/>
    <row r="126" spans="1:136" hidden="1"/>
    <row r="127" spans="1:136" hidden="1"/>
    <row r="128" spans="1:136" hidden="1"/>
    <row r="130" spans="1:136" s="8" customFormat="1" ht="12" customHeight="1" thickBot="1">
      <c r="A130" s="4" t="s">
        <v>278</v>
      </c>
      <c r="B130" s="30" t="str">
        <f>Macro!B$9</f>
        <v>1Q04</v>
      </c>
      <c r="C130" s="30" t="str">
        <f>Macro!C$9</f>
        <v>2Q04</v>
      </c>
      <c r="D130" s="30" t="str">
        <f>Macro!D$9</f>
        <v>3Q04</v>
      </c>
      <c r="E130" s="31" t="str">
        <f>Macro!E$9</f>
        <v>4Q04</v>
      </c>
      <c r="F130" s="29" t="str">
        <f>Macro!F$9</f>
        <v>2004</v>
      </c>
      <c r="G130" s="30" t="str">
        <f>Macro!G$9</f>
        <v>1Q05</v>
      </c>
      <c r="H130" s="30" t="str">
        <f>Macro!H$9</f>
        <v>2Q05</v>
      </c>
      <c r="I130" s="30" t="str">
        <f>Macro!I$9</f>
        <v>3Q05</v>
      </c>
      <c r="J130" s="31" t="str">
        <f>Macro!J$9</f>
        <v>4Q05</v>
      </c>
      <c r="K130" s="29" t="str">
        <f>Macro!K$9</f>
        <v>2005</v>
      </c>
      <c r="L130" s="30" t="str">
        <f>Macro!L$9</f>
        <v>1Q06</v>
      </c>
      <c r="M130" s="30" t="str">
        <f>Macro!M$9</f>
        <v>2Q06</v>
      </c>
      <c r="N130" s="30" t="str">
        <f>Macro!N$9</f>
        <v>3Q06</v>
      </c>
      <c r="O130" s="31" t="str">
        <f>Macro!O$9</f>
        <v>4Q06</v>
      </c>
      <c r="P130" s="29" t="str">
        <f>Macro!P$9</f>
        <v>2006</v>
      </c>
      <c r="Q130" s="30" t="str">
        <f>Macro!Q$9</f>
        <v>1Q07</v>
      </c>
      <c r="R130" s="30" t="str">
        <f>Macro!R$9</f>
        <v>2Q07</v>
      </c>
      <c r="S130" s="30" t="str">
        <f>Macro!S$9</f>
        <v>3Q07</v>
      </c>
      <c r="T130" s="31" t="str">
        <f>Macro!T$9</f>
        <v>4Q07</v>
      </c>
      <c r="U130" s="29" t="str">
        <f>Macro!U$9</f>
        <v>2007</v>
      </c>
      <c r="V130" s="30" t="str">
        <f>Macro!V$9</f>
        <v>1Q08</v>
      </c>
      <c r="W130" s="30" t="str">
        <f>Macro!W$9</f>
        <v>2Q08</v>
      </c>
      <c r="X130" s="30" t="str">
        <f>Macro!X$9</f>
        <v>3Q08</v>
      </c>
      <c r="Y130" s="31" t="str">
        <f>Macro!Y$9</f>
        <v>4Q08</v>
      </c>
      <c r="Z130" s="29" t="str">
        <f>Macro!Z$9</f>
        <v>2008</v>
      </c>
      <c r="AA130" s="30" t="str">
        <f>Macro!AA$9</f>
        <v>1Q09</v>
      </c>
      <c r="AB130" s="30" t="str">
        <f>Macro!AB$9</f>
        <v>2Q09</v>
      </c>
      <c r="AC130" s="30" t="str">
        <f>Macro!AC$9</f>
        <v>3Q09</v>
      </c>
      <c r="AD130" s="31" t="str">
        <f>Macro!AD$9</f>
        <v>4Q09</v>
      </c>
      <c r="AE130" s="29" t="str">
        <f>Macro!AE$9</f>
        <v>2009</v>
      </c>
      <c r="AF130" s="30" t="str">
        <f>Macro!AF$9</f>
        <v>1Q10</v>
      </c>
      <c r="AG130" s="30" t="str">
        <f>Macro!AG$9</f>
        <v>2Q10</v>
      </c>
      <c r="AH130" s="30" t="str">
        <f>Macro!AH$9</f>
        <v>3Q10</v>
      </c>
      <c r="AI130" s="31" t="str">
        <f>Macro!AI$9</f>
        <v>4Q10</v>
      </c>
      <c r="AJ130" s="29" t="str">
        <f>Macro!AJ$9</f>
        <v>2010</v>
      </c>
      <c r="AK130" s="30" t="str">
        <f>Macro!AK$9</f>
        <v>1Q11</v>
      </c>
      <c r="AL130" s="30" t="str">
        <f>Macro!AL$9</f>
        <v>2Q11</v>
      </c>
      <c r="AM130" s="30" t="str">
        <f>Macro!AM$9</f>
        <v>3Q11</v>
      </c>
      <c r="AN130" s="31" t="str">
        <f>Macro!AN$9</f>
        <v>4Q11</v>
      </c>
      <c r="AO130" s="29" t="str">
        <f>Macro!AO$9</f>
        <v>2011</v>
      </c>
      <c r="AP130" s="30" t="str">
        <f>Macro!AP$9</f>
        <v>1Q12</v>
      </c>
      <c r="AQ130" s="30" t="str">
        <f>Macro!AQ$9</f>
        <v>2Q12</v>
      </c>
      <c r="AR130" s="30" t="str">
        <f>Macro!AR$9</f>
        <v>3Q12</v>
      </c>
      <c r="AS130" s="31" t="str">
        <f>Macro!AS$9</f>
        <v>4Q12</v>
      </c>
      <c r="AT130" s="29" t="str">
        <f>Macro!AT$9</f>
        <v>2012</v>
      </c>
      <c r="AU130" s="30" t="str">
        <f>Macro!AU$9</f>
        <v>1Q13</v>
      </c>
      <c r="AV130" s="30" t="str">
        <f>Macro!AV$9</f>
        <v>2Q13</v>
      </c>
      <c r="AW130" s="30" t="str">
        <f>Macro!AW$9</f>
        <v>3Q13</v>
      </c>
      <c r="AX130" s="31" t="str">
        <f>Macro!AX$9</f>
        <v>4Q13</v>
      </c>
      <c r="AY130" s="29" t="str">
        <f>Macro!AY$9</f>
        <v>2013</v>
      </c>
      <c r="AZ130" s="30" t="str">
        <f>Macro!AZ$9</f>
        <v>1Q14</v>
      </c>
      <c r="BA130" s="30" t="str">
        <f>Macro!BA$9</f>
        <v>2Q14</v>
      </c>
      <c r="BB130" s="30" t="str">
        <f>Macro!BB$9</f>
        <v>3Q14</v>
      </c>
      <c r="BC130" s="31" t="str">
        <f>Macro!BC$9</f>
        <v>4Q14</v>
      </c>
      <c r="BD130" s="29" t="str">
        <f>Macro!BD$9</f>
        <v>2014</v>
      </c>
      <c r="BE130" s="30" t="str">
        <f>Macro!BE$9</f>
        <v>1Q15</v>
      </c>
      <c r="BF130" s="30" t="str">
        <f>Macro!BF$9</f>
        <v>2Q15</v>
      </c>
      <c r="BG130" s="30" t="str">
        <f>Macro!BG$9</f>
        <v>3Q15</v>
      </c>
      <c r="BH130" s="31" t="str">
        <f>Macro!BH$9</f>
        <v>4Q15</v>
      </c>
      <c r="BI130" s="29" t="str">
        <f>Macro!BI$9</f>
        <v>2015</v>
      </c>
      <c r="BJ130" s="30" t="str">
        <f>Macro!BJ$9</f>
        <v>1Q16</v>
      </c>
      <c r="BK130" s="30" t="str">
        <f>Macro!BK$9</f>
        <v>2Q16</v>
      </c>
      <c r="BL130" s="30" t="str">
        <f>Macro!BL$9</f>
        <v>3Q16</v>
      </c>
      <c r="BM130" s="31" t="str">
        <f>Macro!BM$9</f>
        <v>4Q16</v>
      </c>
      <c r="BN130" s="29" t="str">
        <f>Macro!BN$9</f>
        <v>2016</v>
      </c>
      <c r="BO130" s="30" t="str">
        <f>Macro!BO$9</f>
        <v>1Q17</v>
      </c>
      <c r="BP130" s="30" t="str">
        <f>Macro!BP$9</f>
        <v>2Q17</v>
      </c>
      <c r="BQ130" s="30" t="str">
        <f>Macro!BQ$9</f>
        <v>3Q17</v>
      </c>
      <c r="BR130" s="31" t="str">
        <f>Macro!BR$9</f>
        <v>4Q17</v>
      </c>
      <c r="BS130" s="29" t="str">
        <f>Macro!BS$9</f>
        <v>2017</v>
      </c>
      <c r="BT130" s="30" t="str">
        <f>Macro!BT$9</f>
        <v>1Q18</v>
      </c>
      <c r="BU130" s="30" t="str">
        <f>Macro!BU$9</f>
        <v>2Q18</v>
      </c>
      <c r="BV130" s="30" t="str">
        <f>Macro!BV$9</f>
        <v>3Q18</v>
      </c>
      <c r="BW130" s="31" t="str">
        <f>Macro!BW$9</f>
        <v>4Q18</v>
      </c>
      <c r="BX130" s="29" t="str">
        <f>Macro!BX$9</f>
        <v>2018</v>
      </c>
      <c r="BY130" s="30" t="str">
        <f>Macro!BY$9</f>
        <v>1Q19</v>
      </c>
      <c r="BZ130" s="30" t="str">
        <f>Macro!BZ$9</f>
        <v>2Q19</v>
      </c>
      <c r="CA130" s="30" t="str">
        <f>Macro!CA$9</f>
        <v>3Q19</v>
      </c>
      <c r="CB130" s="31" t="str">
        <f>Macro!CB$9</f>
        <v>4Q19</v>
      </c>
      <c r="CC130" s="29" t="str">
        <f>Macro!CC$9</f>
        <v>2019</v>
      </c>
      <c r="CD130" s="30" t="str">
        <f>Macro!CD$9</f>
        <v>1Q20</v>
      </c>
      <c r="CE130" s="30" t="str">
        <f>Macro!CE$9</f>
        <v>2Q20</v>
      </c>
      <c r="CF130" s="30" t="str">
        <f>Macro!CF$9</f>
        <v>3Q20</v>
      </c>
      <c r="CG130" s="31" t="str">
        <f>Macro!CG$9</f>
        <v>4Q20</v>
      </c>
      <c r="CH130" s="29" t="str">
        <f>Macro!CH$9</f>
        <v>2020</v>
      </c>
      <c r="CI130" s="30" t="str">
        <f>Macro!CI$9</f>
        <v>1Q21</v>
      </c>
      <c r="CJ130" s="30" t="str">
        <f>Macro!CJ$9</f>
        <v>2Q21</v>
      </c>
      <c r="CK130" s="30" t="str">
        <f>Macro!CK$9</f>
        <v>3Q21</v>
      </c>
      <c r="CL130" s="31" t="str">
        <f>Macro!CL$9</f>
        <v>4Q21</v>
      </c>
      <c r="CM130" s="29" t="str">
        <f>Macro!CM$9</f>
        <v>2021</v>
      </c>
      <c r="CN130" s="30" t="str">
        <f>Macro!CN$9</f>
        <v>1Q22</v>
      </c>
      <c r="CO130" s="30" t="str">
        <f>Macro!CO$9</f>
        <v>2Q22</v>
      </c>
      <c r="CP130" s="30" t="str">
        <f>Macro!CP$9</f>
        <v>3Q22</v>
      </c>
      <c r="CQ130" s="31" t="str">
        <f>Macro!CQ$9</f>
        <v>4Q22</v>
      </c>
      <c r="CR130" s="29" t="str">
        <f>Macro!CR$9</f>
        <v>2022</v>
      </c>
      <c r="CS130" s="30" t="str">
        <f>Macro!CS$9</f>
        <v>1Q23</v>
      </c>
      <c r="CT130" s="30" t="str">
        <f>Macro!CT$9</f>
        <v>2Q23</v>
      </c>
      <c r="CU130" s="30" t="str">
        <f>Macro!CU$9</f>
        <v>3Q23</v>
      </c>
      <c r="CV130" s="31" t="str">
        <f>Macro!CV$9</f>
        <v>4Q23</v>
      </c>
      <c r="CW130" s="29" t="str">
        <f>Macro!CW$9</f>
        <v>2023</v>
      </c>
      <c r="CX130" s="30" t="str">
        <f>Macro!CX$9</f>
        <v>1Q24</v>
      </c>
      <c r="CY130" s="30" t="str">
        <f>Macro!CY$9</f>
        <v>2Q24</v>
      </c>
      <c r="CZ130" s="30" t="str">
        <f>Macro!CZ$9</f>
        <v>3Q24</v>
      </c>
      <c r="DA130" s="31" t="str">
        <f>Macro!DA$9</f>
        <v>4Q24</v>
      </c>
      <c r="DB130" s="29" t="str">
        <f>Macro!DB$9</f>
        <v>2024</v>
      </c>
      <c r="DC130" s="30" t="str">
        <f>Macro!DC$9</f>
        <v>1Q25</v>
      </c>
      <c r="DD130" s="30" t="str">
        <f>Macro!DD$9</f>
        <v>2Q25</v>
      </c>
      <c r="DE130" s="30" t="str">
        <f>Macro!DE$9</f>
        <v>3Q25</v>
      </c>
      <c r="DF130" s="31" t="str">
        <f>Macro!DF$9</f>
        <v>4Q25</v>
      </c>
      <c r="DG130" s="29" t="str">
        <f>Macro!DG$9</f>
        <v>2025</v>
      </c>
      <c r="DH130" s="30" t="str">
        <f>Macro!DH$9</f>
        <v>1Q26</v>
      </c>
      <c r="DI130" s="30" t="str">
        <f>Macro!DI$9</f>
        <v>2Q26</v>
      </c>
      <c r="DJ130" s="30" t="str">
        <f>Macro!DJ$9</f>
        <v>3Q26E</v>
      </c>
      <c r="DK130" s="31" t="str">
        <f>Macro!DK$9</f>
        <v>4Q26E</v>
      </c>
      <c r="DL130" s="29" t="str">
        <f>Macro!DL$9</f>
        <v>2026E</v>
      </c>
      <c r="DM130" s="30" t="str">
        <f>Macro!DM$9</f>
        <v>1Q27E</v>
      </c>
      <c r="DN130" s="30" t="str">
        <f>Macro!DN$9</f>
        <v>2Q27E</v>
      </c>
      <c r="DO130" s="30" t="str">
        <f>Macro!DO$9</f>
        <v>3Q27E</v>
      </c>
      <c r="DP130" s="31" t="str">
        <f>Macro!DP$9</f>
        <v>4Q27E</v>
      </c>
      <c r="DQ130" s="29" t="str">
        <f>Macro!DQ$9</f>
        <v>2027E</v>
      </c>
      <c r="DR130" s="30" t="str">
        <f>Macro!DR$9</f>
        <v>1Q28E</v>
      </c>
      <c r="DS130" s="30" t="str">
        <f>Macro!DS$9</f>
        <v>2Q28E</v>
      </c>
      <c r="DT130" s="30" t="str">
        <f>Macro!DT$9</f>
        <v>3Q28E</v>
      </c>
      <c r="DU130" s="31" t="str">
        <f>Macro!DU$9</f>
        <v>4Q28E</v>
      </c>
      <c r="DV130" s="29" t="str">
        <f>Macro!DV$9</f>
        <v>2028E</v>
      </c>
      <c r="DW130" s="30" t="str">
        <f>Macro!DW$9</f>
        <v>1Q29E</v>
      </c>
      <c r="DX130" s="30" t="str">
        <f>Macro!DX$9</f>
        <v>2Q29E</v>
      </c>
      <c r="DY130" s="30" t="str">
        <f>Macro!DY$9</f>
        <v>3Q29E</v>
      </c>
      <c r="DZ130" s="31" t="str">
        <f>Macro!DZ$9</f>
        <v>4Q29E</v>
      </c>
      <c r="EA130" s="29" t="str">
        <f>Macro!EA$9</f>
        <v>2029E</v>
      </c>
      <c r="EB130" s="30" t="str">
        <f>Macro!EB$9</f>
        <v>1Q30E</v>
      </c>
      <c r="EC130" s="30" t="str">
        <f>Macro!EC$9</f>
        <v>2Q30E</v>
      </c>
      <c r="ED130" s="30" t="str">
        <f>Macro!ED$9</f>
        <v>3Q30E</v>
      </c>
      <c r="EE130" s="31" t="str">
        <f>Macro!EE$9</f>
        <v>4Q30E</v>
      </c>
      <c r="EF130" s="29" t="str">
        <f>Macro!EF$9</f>
        <v>2030E</v>
      </c>
    </row>
    <row r="131" spans="1:136" hidden="1"/>
    <row r="132" spans="1:136">
      <c r="A132" s="1" t="s">
        <v>163</v>
      </c>
      <c r="AF132" s="114"/>
      <c r="AG132" s="114"/>
      <c r="AH132" s="114"/>
      <c r="AI132" s="114"/>
      <c r="AJ132" s="67">
        <f>AI132</f>
        <v>0</v>
      </c>
      <c r="AK132" s="114"/>
      <c r="AL132" s="114"/>
      <c r="AM132" s="114"/>
      <c r="AN132" s="114"/>
      <c r="AO132" s="67">
        <f>AN132</f>
        <v>0</v>
      </c>
      <c r="AP132" s="114"/>
      <c r="AQ132" s="114"/>
      <c r="AR132" s="114"/>
      <c r="AS132" s="114"/>
      <c r="AT132" s="67">
        <f>AS132</f>
        <v>0</v>
      </c>
      <c r="AU132" s="114"/>
      <c r="AV132" s="114"/>
      <c r="AW132" s="114"/>
      <c r="AX132" s="114"/>
      <c r="AY132" s="67">
        <f>AX132</f>
        <v>0</v>
      </c>
      <c r="AZ132" s="114"/>
      <c r="BA132" s="114"/>
      <c r="BB132" s="114"/>
      <c r="BC132" s="114"/>
      <c r="BD132" s="67">
        <f>BC132</f>
        <v>0</v>
      </c>
      <c r="BE132" s="114"/>
      <c r="BF132" s="114"/>
      <c r="BG132" s="114"/>
      <c r="BH132" s="114"/>
      <c r="BI132" s="67">
        <f>BH132</f>
        <v>0</v>
      </c>
      <c r="BJ132" s="114"/>
      <c r="BK132" s="114"/>
      <c r="BL132" s="114"/>
      <c r="BM132" s="114"/>
      <c r="BN132" s="67">
        <f>BM132</f>
        <v>0</v>
      </c>
      <c r="BO132" s="114"/>
      <c r="BP132" s="114"/>
      <c r="BQ132" s="114"/>
      <c r="BR132" s="114"/>
      <c r="BS132" s="67">
        <f>BR132</f>
        <v>0</v>
      </c>
      <c r="BT132" s="114"/>
      <c r="BU132" s="114"/>
      <c r="BV132" s="114"/>
      <c r="BW132" s="114"/>
      <c r="BX132" s="67">
        <f>BW132</f>
        <v>0</v>
      </c>
      <c r="BY132" s="114"/>
      <c r="BZ132" s="114"/>
      <c r="CA132" s="114"/>
      <c r="CB132" s="114"/>
      <c r="CC132" s="67">
        <f>CB132</f>
        <v>0</v>
      </c>
      <c r="CD132" s="114"/>
      <c r="CE132" s="114"/>
      <c r="CF132" s="114"/>
      <c r="CG132" s="114"/>
      <c r="CH132" s="67">
        <f>CG132</f>
        <v>0</v>
      </c>
      <c r="CI132" s="114"/>
      <c r="CJ132" s="114"/>
      <c r="CK132" s="114"/>
      <c r="CL132" s="114"/>
      <c r="CM132" s="67">
        <f>CL132</f>
        <v>0</v>
      </c>
      <c r="CN132" s="114"/>
      <c r="CO132" s="114"/>
      <c r="CP132" s="114"/>
      <c r="CQ132" s="114"/>
      <c r="CR132" s="67">
        <f>CQ132</f>
        <v>0</v>
      </c>
      <c r="CS132" s="114"/>
      <c r="CT132" s="114"/>
      <c r="CU132" s="114"/>
      <c r="CV132" s="114"/>
      <c r="CW132" s="67">
        <f>CV132</f>
        <v>0</v>
      </c>
      <c r="CX132" s="114"/>
      <c r="CY132" s="114"/>
      <c r="CZ132" s="114"/>
      <c r="DA132" s="114"/>
      <c r="DB132" s="67">
        <f>DA132</f>
        <v>0</v>
      </c>
      <c r="DC132" s="114"/>
      <c r="DD132" s="114"/>
      <c r="DE132" s="114"/>
      <c r="DF132" s="114"/>
      <c r="DG132" s="67">
        <f>DF132</f>
        <v>0</v>
      </c>
      <c r="DH132" s="114"/>
      <c r="DI132" s="114"/>
      <c r="DJ132" s="52">
        <f>DJ21</f>
        <v>0</v>
      </c>
      <c r="DK132" s="52">
        <f>DK21</f>
        <v>0</v>
      </c>
      <c r="DL132" s="67">
        <f>DK132</f>
        <v>0</v>
      </c>
      <c r="DM132" s="52">
        <f>DM21</f>
        <v>0</v>
      </c>
      <c r="DN132" s="52">
        <f>DN21</f>
        <v>0</v>
      </c>
      <c r="DO132" s="52">
        <f>DO21</f>
        <v>0</v>
      </c>
      <c r="DP132" s="52">
        <f>DP21</f>
        <v>0</v>
      </c>
      <c r="DQ132" s="67">
        <f>DP132</f>
        <v>0</v>
      </c>
      <c r="DR132" s="52">
        <f>DR21</f>
        <v>0</v>
      </c>
      <c r="DS132" s="52">
        <f>DS21</f>
        <v>0</v>
      </c>
      <c r="DT132" s="52">
        <f>DT21</f>
        <v>0</v>
      </c>
      <c r="DU132" s="52">
        <f>DU21</f>
        <v>0</v>
      </c>
      <c r="DV132" s="67">
        <f>DU132</f>
        <v>0</v>
      </c>
      <c r="DW132" s="52">
        <f>DW21</f>
        <v>0</v>
      </c>
      <c r="DX132" s="52">
        <f>DX21</f>
        <v>0</v>
      </c>
      <c r="DY132" s="52">
        <f>DY21</f>
        <v>0</v>
      </c>
      <c r="DZ132" s="52">
        <f>DZ21</f>
        <v>0</v>
      </c>
      <c r="EA132" s="67">
        <f>DZ132</f>
        <v>0</v>
      </c>
      <c r="EB132" s="52">
        <f>EB21</f>
        <v>0</v>
      </c>
      <c r="EC132" s="52">
        <f>EC21</f>
        <v>0</v>
      </c>
      <c r="ED132" s="52">
        <f>ED21</f>
        <v>0</v>
      </c>
      <c r="EE132" s="52">
        <f>EE21</f>
        <v>0</v>
      </c>
      <c r="EF132" s="67">
        <f>EE132</f>
        <v>0</v>
      </c>
    </row>
    <row r="133" spans="1:136">
      <c r="A133" s="1" t="s">
        <v>253</v>
      </c>
      <c r="AF133" s="114"/>
      <c r="AG133" s="114"/>
      <c r="AH133" s="114"/>
      <c r="AI133" s="114"/>
      <c r="AJ133" s="67">
        <f>AI133</f>
        <v>0</v>
      </c>
      <c r="AK133" s="114"/>
      <c r="AL133" s="114"/>
      <c r="AM133" s="114"/>
      <c r="AN133" s="114"/>
      <c r="AO133" s="67">
        <f>AN133</f>
        <v>0</v>
      </c>
      <c r="AP133" s="114"/>
      <c r="AQ133" s="114"/>
      <c r="AR133" s="114"/>
      <c r="AS133" s="114"/>
      <c r="AT133" s="67">
        <f>AS133</f>
        <v>0</v>
      </c>
      <c r="AU133" s="114"/>
      <c r="AV133" s="114"/>
      <c r="AW133" s="114"/>
      <c r="AX133" s="114"/>
      <c r="AY133" s="67">
        <f>AX133</f>
        <v>0</v>
      </c>
      <c r="AZ133" s="114"/>
      <c r="BA133" s="114"/>
      <c r="BB133" s="114"/>
      <c r="BC133" s="114"/>
      <c r="BD133" s="67">
        <f>BC133</f>
        <v>0</v>
      </c>
      <c r="BE133" s="114"/>
      <c r="BF133" s="114"/>
      <c r="BG133" s="114"/>
      <c r="BH133" s="114"/>
      <c r="BI133" s="67">
        <f>BH133</f>
        <v>0</v>
      </c>
      <c r="BJ133" s="114"/>
      <c r="BK133" s="114"/>
      <c r="BL133" s="114"/>
      <c r="BM133" s="114"/>
      <c r="BN133" s="67">
        <f>BM133</f>
        <v>0</v>
      </c>
      <c r="BO133" s="114"/>
      <c r="BP133" s="114"/>
      <c r="BQ133" s="114"/>
      <c r="BR133" s="49">
        <v>0</v>
      </c>
      <c r="BS133" s="67">
        <f>BR133</f>
        <v>0</v>
      </c>
      <c r="BT133" s="114"/>
      <c r="BU133" s="114"/>
      <c r="BV133" s="114"/>
      <c r="BW133" s="49">
        <v>0</v>
      </c>
      <c r="BX133" s="67">
        <f>BW133</f>
        <v>0</v>
      </c>
      <c r="BY133" s="114"/>
      <c r="BZ133" s="114"/>
      <c r="CA133" s="114"/>
      <c r="CB133" s="49">
        <v>0</v>
      </c>
      <c r="CC133" s="67">
        <f>CB133</f>
        <v>0</v>
      </c>
      <c r="CD133" s="49">
        <v>0</v>
      </c>
      <c r="CE133" s="49">
        <v>0</v>
      </c>
      <c r="CF133" s="49">
        <v>0</v>
      </c>
      <c r="CG133" s="49">
        <v>0</v>
      </c>
      <c r="CH133" s="67">
        <f>CG133</f>
        <v>0</v>
      </c>
      <c r="CI133" s="49">
        <v>0</v>
      </c>
      <c r="CJ133" s="49">
        <v>0</v>
      </c>
      <c r="CK133" s="49">
        <v>0</v>
      </c>
      <c r="CL133" s="49">
        <v>0</v>
      </c>
      <c r="CM133" s="67">
        <f>CL133</f>
        <v>0</v>
      </c>
      <c r="CN133" s="49">
        <v>0</v>
      </c>
      <c r="CO133" s="49">
        <v>0</v>
      </c>
      <c r="CP133" s="49">
        <v>0</v>
      </c>
      <c r="CQ133" s="49">
        <v>0</v>
      </c>
      <c r="CR133" s="67">
        <f>CQ133</f>
        <v>0</v>
      </c>
      <c r="CS133" s="49">
        <v>0</v>
      </c>
      <c r="CT133" s="49">
        <v>0</v>
      </c>
      <c r="CU133" s="49">
        <v>0</v>
      </c>
      <c r="CV133" s="49">
        <v>0</v>
      </c>
      <c r="CW133" s="67">
        <f>CV133</f>
        <v>0</v>
      </c>
      <c r="CX133" s="49">
        <v>0</v>
      </c>
      <c r="CY133" s="49">
        <v>0</v>
      </c>
      <c r="CZ133" s="49">
        <v>0</v>
      </c>
      <c r="DA133" s="49">
        <v>0</v>
      </c>
      <c r="DB133" s="67">
        <f>DA133</f>
        <v>0</v>
      </c>
      <c r="DC133" s="49">
        <v>0</v>
      </c>
      <c r="DD133" s="49">
        <v>0</v>
      </c>
      <c r="DE133" s="49">
        <v>0</v>
      </c>
      <c r="DF133" s="49">
        <v>0</v>
      </c>
      <c r="DG133" s="67">
        <f>DF133</f>
        <v>0</v>
      </c>
      <c r="DH133" s="49">
        <v>0</v>
      </c>
      <c r="DI133" s="49">
        <v>0</v>
      </c>
      <c r="DJ133" s="52">
        <f>DI133+'Income Statement'!DJ14+'Income Statement'!DJ84</f>
        <v>16452.87854846863</v>
      </c>
      <c r="DK133" s="52">
        <f>DJ133+'Income Statement'!DK14+'Income Statement'!DK84</f>
        <v>31351.721056360067</v>
      </c>
      <c r="DL133" s="67">
        <f>DK133</f>
        <v>31351.721056360067</v>
      </c>
      <c r="DM133" s="52">
        <f>DK133+'Income Statement'!DM14+'Income Statement'!DM84</f>
        <v>46716.914253126059</v>
      </c>
      <c r="DN133" s="52">
        <f>DM133+'Income Statement'!DN14+'Income Statement'!DN84</f>
        <v>57082.77790370406</v>
      </c>
      <c r="DO133" s="52">
        <f>DN133+'Income Statement'!DO14+'Income Statement'!DO84</f>
        <v>64574.55386741391</v>
      </c>
      <c r="DP133" s="52">
        <f>DO133+'Income Statement'!DP14+'Income Statement'!DP84</f>
        <v>70188.82173911485</v>
      </c>
      <c r="DQ133" s="67">
        <f>DP133</f>
        <v>70188.82173911485</v>
      </c>
      <c r="DR133" s="52">
        <f>DP133+'Income Statement'!DR14+'Income Statement'!DR84</f>
        <v>70173.073633590771</v>
      </c>
      <c r="DS133" s="52">
        <f>DR133+'Income Statement'!DS14+'Income Statement'!DS84</f>
        <v>70846.393017084207</v>
      </c>
      <c r="DT133" s="52">
        <f>DS133+'Income Statement'!DT14+'Income Statement'!DT84</f>
        <v>71926.221093914472</v>
      </c>
      <c r="DU133" s="52">
        <f>DT133+'Income Statement'!DU14+'Income Statement'!DU84</f>
        <v>73237.267400892801</v>
      </c>
      <c r="DV133" s="67">
        <f>DU133</f>
        <v>73237.267400892801</v>
      </c>
      <c r="DW133" s="52">
        <f>DU133+'Income Statement'!DW14+'Income Statement'!DW84</f>
        <v>74671.429832341586</v>
      </c>
      <c r="DX133" s="52">
        <f>DW133+'Income Statement'!DX14+'Income Statement'!DX84</f>
        <v>76162.716652619463</v>
      </c>
      <c r="DY133" s="52">
        <f>DX133+'Income Statement'!DY14+'Income Statement'!DY84</f>
        <v>77671.527171732829</v>
      </c>
      <c r="DZ133" s="52">
        <f>DY133+'Income Statement'!DZ14+'Income Statement'!DZ84</f>
        <v>79174.77802900644</v>
      </c>
      <c r="EA133" s="67">
        <f>DZ133</f>
        <v>79174.77802900644</v>
      </c>
      <c r="EB133" s="52">
        <f>DZ133+'Income Statement'!EB14+'Income Statement'!EB84</f>
        <v>80659.689399160459</v>
      </c>
      <c r="EC133" s="52">
        <f>EB133+'Income Statement'!EC14+'Income Statement'!EC84</f>
        <v>82119.868890164915</v>
      </c>
      <c r="ED133" s="52">
        <f>EC133+'Income Statement'!ED14+'Income Statement'!ED84</f>
        <v>83552.841812505983</v>
      </c>
      <c r="EE133" s="52">
        <f>ED133+'Income Statement'!EE14+'Income Statement'!EE84</f>
        <v>84958.494163756375</v>
      </c>
      <c r="EF133" s="67">
        <f>EE133</f>
        <v>84958.494163756375</v>
      </c>
    </row>
    <row r="134" spans="1:136">
      <c r="A134" s="1" t="s">
        <v>254</v>
      </c>
      <c r="AF134" s="114"/>
      <c r="AG134" s="114"/>
      <c r="AH134" s="114"/>
      <c r="AI134" s="114"/>
      <c r="AJ134" s="67">
        <f>AI134</f>
        <v>0</v>
      </c>
      <c r="AK134" s="114"/>
      <c r="AL134" s="114"/>
      <c r="AM134" s="114"/>
      <c r="AN134" s="114"/>
      <c r="AO134" s="67">
        <f>AN134</f>
        <v>0</v>
      </c>
      <c r="AP134" s="114"/>
      <c r="AQ134" s="114"/>
      <c r="AR134" s="114"/>
      <c r="AS134" s="114"/>
      <c r="AT134" s="67">
        <f>AS134</f>
        <v>0</v>
      </c>
      <c r="AU134" s="114"/>
      <c r="AV134" s="114"/>
      <c r="AW134" s="114"/>
      <c r="AX134" s="114"/>
      <c r="AY134" s="67">
        <f>AX134</f>
        <v>0</v>
      </c>
      <c r="AZ134" s="114"/>
      <c r="BA134" s="114"/>
      <c r="BB134" s="114"/>
      <c r="BC134" s="114"/>
      <c r="BD134" s="67">
        <f>BC134</f>
        <v>0</v>
      </c>
      <c r="BE134" s="114"/>
      <c r="BF134" s="114"/>
      <c r="BG134" s="114"/>
      <c r="BH134" s="114"/>
      <c r="BI134" s="67">
        <f>BH134</f>
        <v>0</v>
      </c>
      <c r="BJ134" s="114"/>
      <c r="BK134" s="114"/>
      <c r="BL134" s="114"/>
      <c r="BM134" s="114">
        <v>5921</v>
      </c>
      <c r="BN134" s="67">
        <f>BM134</f>
        <v>5921</v>
      </c>
      <c r="BO134" s="114"/>
      <c r="BP134" s="114"/>
      <c r="BQ134" s="114"/>
      <c r="BR134" s="114">
        <v>5376</v>
      </c>
      <c r="BS134" s="67">
        <f>BR134</f>
        <v>5376</v>
      </c>
      <c r="BT134" s="114"/>
      <c r="BU134" s="114"/>
      <c r="BV134" s="114"/>
      <c r="BW134" s="114">
        <v>4629</v>
      </c>
      <c r="BX134" s="67">
        <f>BW134</f>
        <v>4629</v>
      </c>
      <c r="BY134" s="114"/>
      <c r="BZ134" s="114"/>
      <c r="CA134" s="114"/>
      <c r="CB134" s="114">
        <v>9193</v>
      </c>
      <c r="CC134" s="67">
        <f>CB134</f>
        <v>9193</v>
      </c>
      <c r="CD134" s="114">
        <v>10176</v>
      </c>
      <c r="CE134" s="114">
        <v>10763</v>
      </c>
      <c r="CF134" s="114">
        <v>11603</v>
      </c>
      <c r="CG134" s="114">
        <v>13013</v>
      </c>
      <c r="CH134" s="67">
        <f>CG134</f>
        <v>13013</v>
      </c>
      <c r="CI134" s="114">
        <v>13047</v>
      </c>
      <c r="CJ134" s="114">
        <v>18703</v>
      </c>
      <c r="CK134" s="114">
        <v>20413</v>
      </c>
      <c r="CL134" s="114">
        <v>20412</v>
      </c>
      <c r="CM134" s="67">
        <f>CL134</f>
        <v>20412</v>
      </c>
      <c r="CN134" s="114">
        <v>19430</v>
      </c>
      <c r="CO134" s="114">
        <v>18067</v>
      </c>
      <c r="CP134" s="114">
        <v>18193</v>
      </c>
      <c r="CQ134" s="114">
        <v>18972</v>
      </c>
      <c r="CR134" s="67">
        <f>CQ134</f>
        <v>18972</v>
      </c>
      <c r="CS134" s="114">
        <v>19430</v>
      </c>
      <c r="CT134" s="114">
        <v>27760</v>
      </c>
      <c r="CU134" s="114">
        <v>28425</v>
      </c>
      <c r="CV134" s="114">
        <v>30447</v>
      </c>
      <c r="CW134" s="67">
        <f>CV134</f>
        <v>30447</v>
      </c>
      <c r="CX134" s="114">
        <v>33096</v>
      </c>
      <c r="CY134" s="114">
        <v>33932</v>
      </c>
      <c r="CZ134" s="114">
        <v>37301</v>
      </c>
      <c r="DA134" s="114">
        <v>39595</v>
      </c>
      <c r="DB134" s="67">
        <f>DA134</f>
        <v>39595</v>
      </c>
      <c r="DC134" s="114">
        <v>39841</v>
      </c>
      <c r="DD134" s="114">
        <v>38012</v>
      </c>
      <c r="DE134" s="114">
        <v>38278</v>
      </c>
      <c r="DF134" s="114">
        <v>39187</v>
      </c>
      <c r="DG134" s="67">
        <f>DF134</f>
        <v>39187</v>
      </c>
      <c r="DH134" s="114">
        <v>44503</v>
      </c>
      <c r="DI134" s="114">
        <v>49383</v>
      </c>
      <c r="DJ134" s="52">
        <f>DI134*DJ22/DI22</f>
        <v>49636.022250016176</v>
      </c>
      <c r="DK134" s="52">
        <f>DJ134*DK22/DJ22</f>
        <v>49890.340902822849</v>
      </c>
      <c r="DL134" s="67">
        <f>DK134</f>
        <v>49890.340902822849</v>
      </c>
      <c r="DM134" s="52">
        <f>DL134*DM22/DL22</f>
        <v>50145.962600761537</v>
      </c>
      <c r="DN134" s="52">
        <f>DM134*DN22/DM22</f>
        <v>50402.894020206921</v>
      </c>
      <c r="DO134" s="52">
        <f>DN134*DO22/DN22</f>
        <v>50661.141871741245</v>
      </c>
      <c r="DP134" s="52">
        <f>DO134*DP22/DO22</f>
        <v>50920.712900329556</v>
      </c>
      <c r="DQ134" s="67">
        <f>DP134</f>
        <v>50920.712900329556</v>
      </c>
      <c r="DR134" s="52">
        <f>DQ134*DR22/DQ22</f>
        <v>51181.613885495892</v>
      </c>
      <c r="DS134" s="52">
        <f>DR134*DS22/DR22</f>
        <v>51443.851641500332</v>
      </c>
      <c r="DT134" s="52">
        <f>DS134*DT22/DS22</f>
        <v>51707.433017516989</v>
      </c>
      <c r="DU134" s="52">
        <f>DT134*DU22/DT22</f>
        <v>51972.364897812899</v>
      </c>
      <c r="DV134" s="67">
        <f>DU134</f>
        <v>51972.364897812899</v>
      </c>
      <c r="DW134" s="52">
        <f>DV134*DW22/DV22</f>
        <v>52238.654201927799</v>
      </c>
      <c r="DX134" s="52">
        <f>DW134*DX22/DW22</f>
        <v>52506.30788485489</v>
      </c>
      <c r="DY134" s="52">
        <f>DX134*DY22/DX22</f>
        <v>52775.332937222462</v>
      </c>
      <c r="DZ134" s="52">
        <f>DY134*DZ22/DY22</f>
        <v>53045.736385476492</v>
      </c>
      <c r="EA134" s="67">
        <f>DZ134</f>
        <v>53045.736385476492</v>
      </c>
      <c r="EB134" s="52">
        <f>EA134*EB22/EA22</f>
        <v>53317.525292064136</v>
      </c>
      <c r="EC134" s="52">
        <f>EB134*EC22/EB22</f>
        <v>53590.706755618245</v>
      </c>
      <c r="ED134" s="52">
        <f>EC134*ED22/EC22</f>
        <v>53865.287911142674</v>
      </c>
      <c r="EE134" s="52">
        <f>ED134*EE22/ED22</f>
        <v>54141.275930198753</v>
      </c>
      <c r="EF134" s="67">
        <f>EE134</f>
        <v>54141.275930198753</v>
      </c>
    </row>
    <row r="135" spans="1:136" hidden="1" outlineLevel="1">
      <c r="AF135" s="114"/>
      <c r="AG135" s="114"/>
      <c r="AH135" s="114"/>
      <c r="AI135" s="114"/>
      <c r="AJ135" s="67"/>
      <c r="AK135" s="114"/>
      <c r="AL135" s="114"/>
      <c r="AM135" s="114"/>
      <c r="AN135" s="114"/>
      <c r="AO135" s="67"/>
      <c r="AP135" s="114"/>
      <c r="AQ135" s="114"/>
      <c r="AR135" s="114"/>
      <c r="AS135" s="114"/>
      <c r="AT135" s="67"/>
      <c r="AU135" s="114"/>
      <c r="AV135" s="114"/>
      <c r="AW135" s="114"/>
      <c r="AX135" s="114"/>
      <c r="AY135" s="67"/>
      <c r="AZ135" s="114"/>
      <c r="BA135" s="114"/>
      <c r="BB135" s="114"/>
      <c r="BC135" s="114"/>
      <c r="BD135" s="67"/>
      <c r="BE135" s="114"/>
      <c r="BF135" s="114"/>
      <c r="BG135" s="114"/>
      <c r="BH135" s="114"/>
      <c r="BI135" s="67"/>
      <c r="BJ135" s="114"/>
      <c r="BK135" s="114"/>
      <c r="BL135" s="114"/>
      <c r="BM135" s="114"/>
      <c r="BN135" s="67"/>
      <c r="BO135" s="114"/>
      <c r="BP135" s="114"/>
      <c r="BQ135" s="114"/>
      <c r="BR135" s="114"/>
      <c r="BS135" s="67"/>
      <c r="BT135" s="114"/>
      <c r="BU135" s="114"/>
      <c r="BV135" s="114"/>
      <c r="BW135" s="114"/>
      <c r="BX135" s="67"/>
      <c r="BY135" s="114"/>
      <c r="BZ135" s="114"/>
      <c r="CA135" s="114"/>
      <c r="CB135" s="242"/>
      <c r="CC135" s="67"/>
      <c r="CD135" s="114"/>
      <c r="CE135" s="114"/>
      <c r="CF135" s="52"/>
      <c r="CG135" s="242"/>
      <c r="CH135" s="67"/>
      <c r="CI135" s="114"/>
      <c r="CJ135" s="114"/>
      <c r="CK135" s="52"/>
      <c r="CL135" s="52"/>
      <c r="CM135" s="67"/>
      <c r="CN135" s="114"/>
      <c r="CO135" s="114"/>
      <c r="CP135" s="52"/>
      <c r="CQ135" s="52"/>
      <c r="CR135" s="67"/>
      <c r="CS135" s="114"/>
      <c r="CT135" s="114"/>
      <c r="CU135" s="114"/>
      <c r="CV135" s="52"/>
      <c r="CW135" s="67"/>
      <c r="CX135" s="114"/>
      <c r="CY135" s="114"/>
      <c r="CZ135" s="114"/>
      <c r="DA135" s="52"/>
      <c r="DB135" s="67"/>
      <c r="DC135" s="114"/>
      <c r="DD135" s="114"/>
      <c r="DE135" s="52"/>
      <c r="DF135" s="52"/>
      <c r="DG135" s="67"/>
      <c r="DH135" s="114"/>
      <c r="DI135" s="52"/>
      <c r="DJ135" s="52"/>
      <c r="DK135" s="52"/>
      <c r="DL135" s="67"/>
      <c r="DM135" s="52"/>
      <c r="DN135" s="52"/>
      <c r="DO135" s="52"/>
      <c r="DP135" s="52"/>
      <c r="DQ135" s="67"/>
      <c r="DR135" s="52"/>
      <c r="DS135" s="52"/>
      <c r="DT135" s="52"/>
      <c r="DU135" s="52"/>
      <c r="DV135" s="67"/>
      <c r="DW135" s="52"/>
      <c r="DX135" s="52"/>
      <c r="DY135" s="52"/>
      <c r="DZ135" s="52"/>
      <c r="EA135" s="67"/>
      <c r="EB135" s="52"/>
      <c r="EC135" s="52"/>
      <c r="ED135" s="52"/>
      <c r="EE135" s="52"/>
      <c r="EF135" s="67"/>
    </row>
    <row r="136" spans="1:136" collapsed="1">
      <c r="B136" s="52"/>
      <c r="C136" s="52"/>
      <c r="D136" s="52"/>
      <c r="E136" s="52"/>
      <c r="F136" s="67"/>
      <c r="G136" s="52"/>
      <c r="H136" s="52"/>
      <c r="I136" s="52"/>
      <c r="J136" s="52"/>
      <c r="K136" s="67"/>
      <c r="L136" s="52"/>
      <c r="M136" s="52"/>
      <c r="N136" s="52"/>
      <c r="O136" s="52"/>
      <c r="P136" s="67"/>
      <c r="Q136" s="52"/>
      <c r="R136" s="52"/>
      <c r="S136" s="52"/>
      <c r="T136" s="52"/>
      <c r="U136" s="67"/>
      <c r="V136" s="52"/>
      <c r="W136" s="52"/>
      <c r="X136" s="52"/>
      <c r="Y136" s="52"/>
      <c r="Z136" s="67"/>
      <c r="AA136" s="52"/>
      <c r="AB136" s="52"/>
      <c r="AC136" s="52"/>
      <c r="AD136" s="52"/>
      <c r="AE136" s="67"/>
      <c r="AF136" s="52"/>
      <c r="AG136" s="52"/>
      <c r="AH136" s="52"/>
      <c r="AI136" s="52"/>
      <c r="AJ136" s="43"/>
      <c r="AK136" s="52"/>
      <c r="AL136" s="52"/>
      <c r="AM136" s="52"/>
      <c r="AN136" s="52"/>
      <c r="AO136" s="43"/>
      <c r="AP136" s="52"/>
      <c r="AQ136" s="52"/>
      <c r="AR136" s="52"/>
      <c r="AS136" s="52"/>
      <c r="AT136" s="43"/>
      <c r="AU136" s="52"/>
      <c r="AV136" s="52"/>
      <c r="AW136" s="52"/>
      <c r="AX136" s="52"/>
      <c r="AY136" s="43"/>
      <c r="AZ136" s="52"/>
      <c r="BA136" s="52"/>
      <c r="BB136" s="52"/>
      <c r="BC136" s="52"/>
      <c r="BD136" s="43"/>
      <c r="BE136" s="52"/>
      <c r="BF136" s="52"/>
      <c r="BG136" s="52"/>
      <c r="BH136" s="52"/>
      <c r="BI136" s="43"/>
      <c r="BJ136" s="52"/>
      <c r="BK136" s="52"/>
      <c r="BL136" s="52"/>
      <c r="BM136" s="52"/>
      <c r="BN136" s="43"/>
      <c r="BO136" s="52"/>
      <c r="BP136" s="52"/>
      <c r="BQ136" s="52"/>
      <c r="BR136" s="52"/>
      <c r="BS136" s="43"/>
      <c r="BT136" s="52"/>
      <c r="BU136" s="52"/>
      <c r="BV136" s="52"/>
      <c r="BW136" s="52"/>
      <c r="BX136" s="43"/>
      <c r="BY136" s="52"/>
      <c r="BZ136" s="52"/>
      <c r="CA136" s="52"/>
      <c r="CB136" s="52"/>
      <c r="CC136" s="43"/>
      <c r="CD136" s="52"/>
      <c r="CE136" s="52"/>
      <c r="CF136" s="52"/>
      <c r="CG136" s="52"/>
      <c r="CH136" s="43"/>
      <c r="CI136" s="52"/>
      <c r="CJ136" s="52"/>
      <c r="CK136" s="52"/>
      <c r="CL136" s="52"/>
      <c r="CM136" s="43"/>
      <c r="CN136" s="52"/>
      <c r="CO136" s="52"/>
      <c r="CP136" s="52"/>
      <c r="CQ136" s="52"/>
      <c r="CR136" s="43"/>
      <c r="CS136" s="52"/>
      <c r="CT136" s="52"/>
      <c r="CU136" s="52"/>
      <c r="CV136" s="52"/>
      <c r="CW136" s="43"/>
      <c r="CX136" s="52"/>
      <c r="CY136" s="52"/>
      <c r="CZ136" s="52"/>
      <c r="DA136" s="52"/>
      <c r="DB136" s="43"/>
      <c r="DC136" s="52"/>
      <c r="DD136" s="52"/>
      <c r="DE136" s="52"/>
      <c r="DF136" s="52"/>
      <c r="DG136" s="43"/>
      <c r="DH136" s="52"/>
      <c r="DI136" s="52"/>
      <c r="DJ136" s="52"/>
      <c r="DK136" s="52"/>
      <c r="DL136" s="43"/>
      <c r="DM136" s="52"/>
      <c r="DN136" s="52"/>
      <c r="DO136" s="52"/>
      <c r="DP136" s="52"/>
      <c r="DQ136" s="43"/>
      <c r="DR136" s="52"/>
      <c r="DS136" s="52"/>
      <c r="DT136" s="52"/>
      <c r="DU136" s="52"/>
      <c r="DV136" s="43"/>
      <c r="DW136" s="52"/>
      <c r="DX136" s="52"/>
      <c r="DY136" s="52"/>
      <c r="DZ136" s="52"/>
      <c r="EA136" s="43"/>
      <c r="EB136" s="52"/>
      <c r="EC136" s="52"/>
      <c r="ED136" s="52"/>
      <c r="EE136" s="52"/>
      <c r="EF136" s="43"/>
    </row>
    <row r="138" spans="1:136">
      <c r="A138" s="1" t="s">
        <v>255</v>
      </c>
      <c r="B138" s="52" t="e">
        <f t="shared" ref="B138:K138" si="315">SUM(B139:B144)</f>
        <v>#REF!</v>
      </c>
      <c r="C138" s="52" t="e">
        <f t="shared" si="315"/>
        <v>#REF!</v>
      </c>
      <c r="D138" s="52" t="e">
        <f t="shared" si="315"/>
        <v>#REF!</v>
      </c>
      <c r="E138" s="52" t="e">
        <f t="shared" si="315"/>
        <v>#REF!</v>
      </c>
      <c r="F138" s="67" t="e">
        <f t="shared" si="315"/>
        <v>#REF!</v>
      </c>
      <c r="G138" s="52" t="e">
        <f t="shared" si="315"/>
        <v>#REF!</v>
      </c>
      <c r="H138" s="52" t="e">
        <f t="shared" si="315"/>
        <v>#REF!</v>
      </c>
      <c r="I138" s="52" t="e">
        <f t="shared" si="315"/>
        <v>#REF!</v>
      </c>
      <c r="J138" s="52" t="e">
        <f t="shared" si="315"/>
        <v>#REF!</v>
      </c>
      <c r="K138" s="67" t="e">
        <f t="shared" si="315"/>
        <v>#REF!</v>
      </c>
      <c r="L138" s="52" t="e">
        <f t="shared" ref="L138:AE138" si="316">SUM(L139:L144)</f>
        <v>#REF!</v>
      </c>
      <c r="M138" s="52" t="e">
        <f t="shared" si="316"/>
        <v>#REF!</v>
      </c>
      <c r="N138" s="52" t="e">
        <f t="shared" si="316"/>
        <v>#REF!</v>
      </c>
      <c r="O138" s="52" t="e">
        <f t="shared" si="316"/>
        <v>#REF!</v>
      </c>
      <c r="P138" s="67" t="e">
        <f t="shared" si="316"/>
        <v>#REF!</v>
      </c>
      <c r="Q138" s="52" t="e">
        <f t="shared" si="316"/>
        <v>#REF!</v>
      </c>
      <c r="R138" s="52" t="e">
        <f t="shared" si="316"/>
        <v>#REF!</v>
      </c>
      <c r="S138" s="52" t="e">
        <f t="shared" si="316"/>
        <v>#REF!</v>
      </c>
      <c r="T138" s="52" t="e">
        <f t="shared" si="316"/>
        <v>#REF!</v>
      </c>
      <c r="U138" s="67" t="e">
        <f t="shared" si="316"/>
        <v>#REF!</v>
      </c>
      <c r="V138" s="52" t="e">
        <f t="shared" si="316"/>
        <v>#REF!</v>
      </c>
      <c r="W138" s="52" t="e">
        <f t="shared" si="316"/>
        <v>#REF!</v>
      </c>
      <c r="X138" s="52" t="e">
        <f t="shared" si="316"/>
        <v>#REF!</v>
      </c>
      <c r="Y138" s="52" t="e">
        <f t="shared" si="316"/>
        <v>#REF!</v>
      </c>
      <c r="Z138" s="67" t="e">
        <f t="shared" si="316"/>
        <v>#REF!</v>
      </c>
      <c r="AA138" s="52" t="e">
        <f t="shared" si="316"/>
        <v>#REF!</v>
      </c>
      <c r="AB138" s="52" t="e">
        <f t="shared" si="316"/>
        <v>#REF!</v>
      </c>
      <c r="AC138" s="52" t="e">
        <f t="shared" si="316"/>
        <v>#REF!</v>
      </c>
      <c r="AD138" s="52" t="e">
        <f t="shared" si="316"/>
        <v>#REF!</v>
      </c>
      <c r="AE138" s="67" t="e">
        <f t="shared" si="316"/>
        <v>#REF!</v>
      </c>
      <c r="AF138" s="52">
        <f t="shared" ref="AF138:BN138" si="317">SUM(AF139:AF144)</f>
        <v>0</v>
      </c>
      <c r="AG138" s="52">
        <f t="shared" si="317"/>
        <v>0</v>
      </c>
      <c r="AH138" s="52">
        <f t="shared" si="317"/>
        <v>0</v>
      </c>
      <c r="AI138" s="52">
        <f t="shared" si="317"/>
        <v>314859.24300000002</v>
      </c>
      <c r="AJ138" s="43">
        <f t="shared" si="317"/>
        <v>314859.24300000002</v>
      </c>
      <c r="AK138" s="52">
        <f t="shared" si="317"/>
        <v>0</v>
      </c>
      <c r="AL138" s="52">
        <f t="shared" si="317"/>
        <v>0</v>
      </c>
      <c r="AM138" s="52">
        <f t="shared" si="317"/>
        <v>0</v>
      </c>
      <c r="AN138" s="52">
        <f t="shared" si="317"/>
        <v>474448.429</v>
      </c>
      <c r="AO138" s="43">
        <f t="shared" si="317"/>
        <v>474448.429</v>
      </c>
      <c r="AP138" s="52">
        <f t="shared" si="317"/>
        <v>0</v>
      </c>
      <c r="AQ138" s="52">
        <f t="shared" si="317"/>
        <v>0</v>
      </c>
      <c r="AR138" s="52">
        <f t="shared" si="317"/>
        <v>0</v>
      </c>
      <c r="AS138" s="52">
        <f t="shared" si="317"/>
        <v>700141.09900000016</v>
      </c>
      <c r="AT138" s="43">
        <f t="shared" si="317"/>
        <v>700141.09900000016</v>
      </c>
      <c r="AU138" s="52">
        <f t="shared" si="317"/>
        <v>0</v>
      </c>
      <c r="AV138" s="52">
        <f t="shared" si="317"/>
        <v>0</v>
      </c>
      <c r="AW138" s="52">
        <f t="shared" si="317"/>
        <v>0</v>
      </c>
      <c r="AX138" s="52">
        <f t="shared" si="317"/>
        <v>732510</v>
      </c>
      <c r="AY138" s="43">
        <f t="shared" si="317"/>
        <v>732510</v>
      </c>
      <c r="AZ138" s="52">
        <f t="shared" si="317"/>
        <v>0</v>
      </c>
      <c r="BA138" s="52">
        <f t="shared" si="317"/>
        <v>0</v>
      </c>
      <c r="BB138" s="52">
        <f t="shared" si="317"/>
        <v>0</v>
      </c>
      <c r="BC138" s="52">
        <f t="shared" si="317"/>
        <v>962587</v>
      </c>
      <c r="BD138" s="43">
        <f t="shared" si="317"/>
        <v>962587</v>
      </c>
      <c r="BE138" s="52">
        <f t="shared" si="317"/>
        <v>0</v>
      </c>
      <c r="BF138" s="52">
        <f t="shared" si="317"/>
        <v>0</v>
      </c>
      <c r="BG138" s="52">
        <f t="shared" si="317"/>
        <v>0</v>
      </c>
      <c r="BH138" s="52">
        <f t="shared" si="317"/>
        <v>1097601</v>
      </c>
      <c r="BI138" s="43">
        <f t="shared" si="317"/>
        <v>1097601</v>
      </c>
      <c r="BJ138" s="52">
        <f t="shared" si="317"/>
        <v>0</v>
      </c>
      <c r="BK138" s="52">
        <f t="shared" si="317"/>
        <v>0</v>
      </c>
      <c r="BL138" s="52">
        <f t="shared" si="317"/>
        <v>0</v>
      </c>
      <c r="BM138" s="52">
        <f t="shared" si="317"/>
        <v>1101774</v>
      </c>
      <c r="BN138" s="43">
        <f t="shared" si="317"/>
        <v>1101774</v>
      </c>
      <c r="BO138" s="52">
        <f t="shared" ref="BO138:CC138" si="318">SUM(BO139:BO144)</f>
        <v>0</v>
      </c>
      <c r="BP138" s="52">
        <f t="shared" si="318"/>
        <v>0</v>
      </c>
      <c r="BQ138" s="52">
        <f t="shared" si="318"/>
        <v>0</v>
      </c>
      <c r="BR138" s="52">
        <f t="shared" si="318"/>
        <v>1270320</v>
      </c>
      <c r="BS138" s="43">
        <f t="shared" si="318"/>
        <v>1270320</v>
      </c>
      <c r="BT138" s="52">
        <f t="shared" si="318"/>
        <v>0</v>
      </c>
      <c r="BU138" s="52">
        <f>SUM(BU139:BU144)</f>
        <v>0</v>
      </c>
      <c r="BV138" s="52">
        <f t="shared" si="318"/>
        <v>0</v>
      </c>
      <c r="BW138" s="52">
        <f>SUM(BW139:BW144)</f>
        <v>1124888</v>
      </c>
      <c r="BX138" s="43">
        <f t="shared" si="318"/>
        <v>1124888</v>
      </c>
      <c r="BY138" s="52">
        <f t="shared" si="318"/>
        <v>0</v>
      </c>
      <c r="BZ138" s="52">
        <f t="shared" si="318"/>
        <v>0</v>
      </c>
      <c r="CA138" s="52">
        <f t="shared" si="318"/>
        <v>0</v>
      </c>
      <c r="CB138" s="52">
        <f>SUM(CB139:CB144)</f>
        <v>1278805</v>
      </c>
      <c r="CC138" s="43">
        <f t="shared" si="318"/>
        <v>1278805</v>
      </c>
      <c r="CD138" s="52">
        <f>SUM(CD139:CD144)</f>
        <v>1253699</v>
      </c>
      <c r="CE138" s="52">
        <f>SUM(CE139:CE144)</f>
        <v>1419404</v>
      </c>
      <c r="CF138" s="52">
        <f t="shared" ref="CF138:DG138" si="319">SUM(CF139:CF144)</f>
        <v>1783629</v>
      </c>
      <c r="CG138" s="52">
        <f>SUM(CG139:CG144)</f>
        <v>1631699</v>
      </c>
      <c r="CH138" s="43">
        <f t="shared" si="319"/>
        <v>1631699</v>
      </c>
      <c r="CI138" s="52">
        <f t="shared" si="319"/>
        <v>1905250</v>
      </c>
      <c r="CJ138" s="52">
        <f t="shared" si="319"/>
        <v>2013867</v>
      </c>
      <c r="CK138" s="52">
        <f>SUM(CK139:CK144)</f>
        <v>2156798</v>
      </c>
      <c r="CL138" s="52">
        <f>SUM(CL139:CL144)</f>
        <v>2577510</v>
      </c>
      <c r="CM138" s="43">
        <f t="shared" si="319"/>
        <v>2577510</v>
      </c>
      <c r="CN138" s="52">
        <f>SUM(CN139:CN144)</f>
        <v>2914479</v>
      </c>
      <c r="CO138" s="52">
        <f>SUM(CO139:CO144)</f>
        <v>2899564</v>
      </c>
      <c r="CP138" s="52">
        <f>SUM(CP139:CP144)</f>
        <v>2766660</v>
      </c>
      <c r="CQ138" s="52">
        <f t="shared" si="319"/>
        <v>2779459</v>
      </c>
      <c r="CR138" s="43">
        <f t="shared" si="319"/>
        <v>2779459</v>
      </c>
      <c r="CS138" s="52">
        <f t="shared" si="319"/>
        <v>2714406</v>
      </c>
      <c r="CT138" s="52">
        <f t="shared" si="319"/>
        <v>2808890</v>
      </c>
      <c r="CU138" s="52">
        <f>SUM(CU139:CU144)</f>
        <v>3122187</v>
      </c>
      <c r="CV138" s="52">
        <f>SUM(CV139:CV144)</f>
        <v>3061576</v>
      </c>
      <c r="CW138" s="43">
        <f t="shared" si="319"/>
        <v>3061576</v>
      </c>
      <c r="CX138" s="52">
        <f>SUM(CX139:CX144)</f>
        <v>3379381</v>
      </c>
      <c r="CY138" s="52">
        <f>SUM(CY139:CY144)</f>
        <v>3949739</v>
      </c>
      <c r="CZ138" s="52">
        <f>SUM(CZ139:CZ144)</f>
        <v>3919991</v>
      </c>
      <c r="DA138" s="52">
        <f>SUM(DA139:DA144)</f>
        <v>4299700</v>
      </c>
      <c r="DB138" s="43">
        <f t="shared" si="319"/>
        <v>4299700</v>
      </c>
      <c r="DC138" s="52">
        <f t="shared" si="319"/>
        <v>4831127</v>
      </c>
      <c r="DD138" s="52">
        <f t="shared" si="319"/>
        <v>5145952</v>
      </c>
      <c r="DE138" s="52">
        <f t="shared" si="319"/>
        <v>5593719</v>
      </c>
      <c r="DF138" s="52">
        <f t="shared" si="319"/>
        <v>5615208</v>
      </c>
      <c r="DG138" s="43">
        <f t="shared" si="319"/>
        <v>5615208</v>
      </c>
      <c r="DH138" s="52">
        <f t="shared" ref="DH138" si="320">SUM(DH139:DH144)</f>
        <v>6150984</v>
      </c>
      <c r="DI138" s="52">
        <f t="shared" ref="DI138:EF138" si="321">SUM(DI139:DI144)</f>
        <v>6229126</v>
      </c>
      <c r="DJ138" s="52">
        <f t="shared" ca="1" si="321"/>
        <v>6532561.1902371347</v>
      </c>
      <c r="DK138" s="52">
        <f t="shared" ca="1" si="321"/>
        <v>6745065.0445150239</v>
      </c>
      <c r="DL138" s="43">
        <f t="shared" ca="1" si="321"/>
        <v>6745065.0445150239</v>
      </c>
      <c r="DM138" s="52">
        <f t="shared" ca="1" si="321"/>
        <v>6988910.1072850656</v>
      </c>
      <c r="DN138" s="52">
        <f t="shared" ca="1" si="321"/>
        <v>7236212.0914541455</v>
      </c>
      <c r="DO138" s="52">
        <f t="shared" ca="1" si="321"/>
        <v>7472742.6856098184</v>
      </c>
      <c r="DP138" s="52">
        <f t="shared" ca="1" si="321"/>
        <v>7958075.1190785905</v>
      </c>
      <c r="DQ138" s="43">
        <f t="shared" ca="1" si="321"/>
        <v>7958075.1190785905</v>
      </c>
      <c r="DR138" s="52">
        <f t="shared" ca="1" si="321"/>
        <v>7243004.1408195263</v>
      </c>
      <c r="DS138" s="52">
        <f t="shared" ca="1" si="321"/>
        <v>7496866.0510298517</v>
      </c>
      <c r="DT138" s="52">
        <f t="shared" ca="1" si="321"/>
        <v>8011778.0451155044</v>
      </c>
      <c r="DU138" s="52">
        <f t="shared" ca="1" si="321"/>
        <v>8542188.35364528</v>
      </c>
      <c r="DV138" s="43">
        <f t="shared" ca="1" si="321"/>
        <v>8542188.35364528</v>
      </c>
      <c r="DW138" s="52">
        <f t="shared" ca="1" si="321"/>
        <v>7532177.59092981</v>
      </c>
      <c r="DX138" s="52">
        <f t="shared" ca="1" si="321"/>
        <v>8050581.4251283826</v>
      </c>
      <c r="DY138" s="52">
        <f t="shared" ca="1" si="321"/>
        <v>8585365.2246806826</v>
      </c>
      <c r="DZ138" s="52">
        <f t="shared" ca="1" si="321"/>
        <v>9137292.7229771763</v>
      </c>
      <c r="EA138" s="43">
        <f t="shared" ca="1" si="321"/>
        <v>9137292.7229771763</v>
      </c>
      <c r="EB138" s="52">
        <f t="shared" ca="1" si="321"/>
        <v>8066688.7418230753</v>
      </c>
      <c r="EC138" s="52">
        <f t="shared" ca="1" si="321"/>
        <v>8576080.6050600056</v>
      </c>
      <c r="ED138" s="52">
        <f t="shared" ca="1" si="321"/>
        <v>9072764.3042226806</v>
      </c>
      <c r="EE138" s="52">
        <f t="shared" ca="1" si="321"/>
        <v>9556991.4348489661</v>
      </c>
      <c r="EF138" s="43">
        <f t="shared" ca="1" si="321"/>
        <v>9556991.4348489661</v>
      </c>
    </row>
    <row r="139" spans="1:136">
      <c r="A139" s="1" t="s">
        <v>14</v>
      </c>
      <c r="B139" s="52">
        <f t="shared" ref="B139:AE139" si="322">B6</f>
        <v>0</v>
      </c>
      <c r="C139" s="52">
        <f t="shared" si="322"/>
        <v>0</v>
      </c>
      <c r="D139" s="52">
        <f t="shared" si="322"/>
        <v>0</v>
      </c>
      <c r="E139" s="52">
        <f t="shared" si="322"/>
        <v>0</v>
      </c>
      <c r="F139" s="67">
        <f t="shared" si="322"/>
        <v>0</v>
      </c>
      <c r="G139" s="52">
        <f t="shared" si="322"/>
        <v>0</v>
      </c>
      <c r="H139" s="52">
        <f t="shared" si="322"/>
        <v>0</v>
      </c>
      <c r="I139" s="52">
        <f t="shared" si="322"/>
        <v>0</v>
      </c>
      <c r="J139" s="52">
        <f t="shared" si="322"/>
        <v>0</v>
      </c>
      <c r="K139" s="67">
        <f t="shared" si="322"/>
        <v>0</v>
      </c>
      <c r="L139" s="52">
        <f t="shared" si="322"/>
        <v>0</v>
      </c>
      <c r="M139" s="52">
        <f t="shared" si="322"/>
        <v>0</v>
      </c>
      <c r="N139" s="52">
        <f t="shared" si="322"/>
        <v>0</v>
      </c>
      <c r="O139" s="52">
        <f t="shared" si="322"/>
        <v>0</v>
      </c>
      <c r="P139" s="67">
        <f t="shared" si="322"/>
        <v>0</v>
      </c>
      <c r="Q139" s="52">
        <f t="shared" si="322"/>
        <v>0</v>
      </c>
      <c r="R139" s="52">
        <f t="shared" si="322"/>
        <v>0</v>
      </c>
      <c r="S139" s="52">
        <f t="shared" si="322"/>
        <v>0</v>
      </c>
      <c r="T139" s="52">
        <f t="shared" si="322"/>
        <v>0</v>
      </c>
      <c r="U139" s="67">
        <f t="shared" si="322"/>
        <v>0</v>
      </c>
      <c r="V139" s="52">
        <f t="shared" si="322"/>
        <v>0</v>
      </c>
      <c r="W139" s="52">
        <f t="shared" si="322"/>
        <v>0</v>
      </c>
      <c r="X139" s="52">
        <f t="shared" si="322"/>
        <v>0</v>
      </c>
      <c r="Y139" s="52">
        <f t="shared" si="322"/>
        <v>0</v>
      </c>
      <c r="Z139" s="67">
        <f t="shared" si="322"/>
        <v>0</v>
      </c>
      <c r="AA139" s="52">
        <f t="shared" si="322"/>
        <v>0</v>
      </c>
      <c r="AB139" s="52">
        <f t="shared" si="322"/>
        <v>0</v>
      </c>
      <c r="AC139" s="52">
        <f t="shared" si="322"/>
        <v>0</v>
      </c>
      <c r="AD139" s="52">
        <f t="shared" si="322"/>
        <v>0</v>
      </c>
      <c r="AE139" s="67">
        <f t="shared" si="322"/>
        <v>0</v>
      </c>
      <c r="AF139" s="52">
        <f t="shared" ref="AF139:BN139" si="323">AF6</f>
        <v>0</v>
      </c>
      <c r="AG139" s="52">
        <f t="shared" si="323"/>
        <v>0</v>
      </c>
      <c r="AH139" s="52">
        <f t="shared" si="323"/>
        <v>0</v>
      </c>
      <c r="AI139" s="52">
        <f t="shared" si="323"/>
        <v>22154.918000000001</v>
      </c>
      <c r="AJ139" s="43">
        <f t="shared" si="323"/>
        <v>22154.918000000001</v>
      </c>
      <c r="AK139" s="52">
        <f t="shared" si="323"/>
        <v>0</v>
      </c>
      <c r="AL139" s="52">
        <f t="shared" si="323"/>
        <v>0</v>
      </c>
      <c r="AM139" s="52">
        <f t="shared" si="323"/>
        <v>0</v>
      </c>
      <c r="AN139" s="52">
        <f t="shared" si="323"/>
        <v>50296.697999999997</v>
      </c>
      <c r="AO139" s="43">
        <f t="shared" si="323"/>
        <v>50296.697999999997</v>
      </c>
      <c r="AP139" s="52">
        <f t="shared" si="323"/>
        <v>0</v>
      </c>
      <c r="AQ139" s="52">
        <f t="shared" si="323"/>
        <v>0</v>
      </c>
      <c r="AR139" s="52">
        <f t="shared" si="323"/>
        <v>0</v>
      </c>
      <c r="AS139" s="52">
        <f t="shared" si="323"/>
        <v>81383.578999999998</v>
      </c>
      <c r="AT139" s="43">
        <f t="shared" si="323"/>
        <v>81383.578999999998</v>
      </c>
      <c r="AU139" s="52">
        <f t="shared" si="323"/>
        <v>0</v>
      </c>
      <c r="AV139" s="52">
        <f t="shared" si="323"/>
        <v>0</v>
      </c>
      <c r="AW139" s="52">
        <f t="shared" si="323"/>
        <v>0</v>
      </c>
      <c r="AX139" s="52">
        <f t="shared" si="323"/>
        <v>85862</v>
      </c>
      <c r="AY139" s="43">
        <f t="shared" si="323"/>
        <v>85862</v>
      </c>
      <c r="AZ139" s="52">
        <f t="shared" si="323"/>
        <v>0</v>
      </c>
      <c r="BA139" s="52">
        <f t="shared" si="323"/>
        <v>0</v>
      </c>
      <c r="BB139" s="52">
        <f t="shared" si="323"/>
        <v>0</v>
      </c>
      <c r="BC139" s="52">
        <f t="shared" si="323"/>
        <v>142139</v>
      </c>
      <c r="BD139" s="43">
        <f t="shared" si="323"/>
        <v>142139</v>
      </c>
      <c r="BE139" s="52">
        <f t="shared" si="323"/>
        <v>0</v>
      </c>
      <c r="BF139" s="52">
        <f t="shared" si="323"/>
        <v>0</v>
      </c>
      <c r="BG139" s="52">
        <f t="shared" si="323"/>
        <v>0</v>
      </c>
      <c r="BH139" s="52">
        <f t="shared" si="323"/>
        <v>152522</v>
      </c>
      <c r="BI139" s="43">
        <f t="shared" si="323"/>
        <v>152522</v>
      </c>
      <c r="BJ139" s="52">
        <f t="shared" si="323"/>
        <v>0</v>
      </c>
      <c r="BK139" s="52">
        <f t="shared" si="323"/>
        <v>0</v>
      </c>
      <c r="BL139" s="52">
        <f t="shared" si="323"/>
        <v>0</v>
      </c>
      <c r="BM139" s="52">
        <f t="shared" si="323"/>
        <v>161739</v>
      </c>
      <c r="BN139" s="43">
        <f t="shared" si="323"/>
        <v>161739</v>
      </c>
      <c r="BO139" s="52">
        <f t="shared" ref="BO139:DG139" si="324">BO6</f>
        <v>0</v>
      </c>
      <c r="BP139" s="52">
        <f t="shared" si="324"/>
        <v>0</v>
      </c>
      <c r="BQ139" s="52">
        <f t="shared" si="324"/>
        <v>0</v>
      </c>
      <c r="BR139" s="52">
        <f t="shared" si="324"/>
        <v>198506</v>
      </c>
      <c r="BS139" s="43">
        <f t="shared" si="324"/>
        <v>198506</v>
      </c>
      <c r="BT139" s="52">
        <f t="shared" si="324"/>
        <v>0</v>
      </c>
      <c r="BU139" s="52">
        <f t="shared" si="324"/>
        <v>0</v>
      </c>
      <c r="BV139" s="52">
        <f t="shared" si="324"/>
        <v>0</v>
      </c>
      <c r="BW139" s="52">
        <f t="shared" si="324"/>
        <v>250961</v>
      </c>
      <c r="BX139" s="43">
        <f t="shared" si="324"/>
        <v>250961</v>
      </c>
      <c r="BY139" s="52">
        <f t="shared" si="324"/>
        <v>0</v>
      </c>
      <c r="BZ139" s="52">
        <f t="shared" si="324"/>
        <v>0</v>
      </c>
      <c r="CA139" s="52">
        <f t="shared" si="324"/>
        <v>0</v>
      </c>
      <c r="CB139" s="52">
        <f>CB6</f>
        <v>314343</v>
      </c>
      <c r="CC139" s="43">
        <f t="shared" si="324"/>
        <v>314343</v>
      </c>
      <c r="CD139" s="52">
        <f>CD6</f>
        <v>325528</v>
      </c>
      <c r="CE139" s="52">
        <f>CE6</f>
        <v>425847</v>
      </c>
      <c r="CF139" s="52">
        <f t="shared" si="324"/>
        <v>609849</v>
      </c>
      <c r="CG139" s="52">
        <f>CG6</f>
        <v>430898</v>
      </c>
      <c r="CH139" s="43">
        <f t="shared" si="324"/>
        <v>430898</v>
      </c>
      <c r="CI139" s="52">
        <f t="shared" si="324"/>
        <v>436644</v>
      </c>
      <c r="CJ139" s="52">
        <f t="shared" si="324"/>
        <v>491987</v>
      </c>
      <c r="CK139" s="52">
        <f>CK6</f>
        <v>554927</v>
      </c>
      <c r="CL139" s="52">
        <f>CL6</f>
        <v>594487</v>
      </c>
      <c r="CM139" s="43">
        <f t="shared" si="324"/>
        <v>594487</v>
      </c>
      <c r="CN139" s="52">
        <f>CN6</f>
        <v>602568</v>
      </c>
      <c r="CO139" s="52">
        <f>CO6</f>
        <v>679977</v>
      </c>
      <c r="CP139" s="52">
        <f>CP6</f>
        <v>634908</v>
      </c>
      <c r="CQ139" s="52">
        <f t="shared" si="324"/>
        <v>789426</v>
      </c>
      <c r="CR139" s="43">
        <f t="shared" si="324"/>
        <v>789426</v>
      </c>
      <c r="CS139" s="52">
        <f t="shared" si="324"/>
        <v>729823</v>
      </c>
      <c r="CT139" s="52">
        <f t="shared" si="324"/>
        <v>835390</v>
      </c>
      <c r="CU139" s="52">
        <f>CU6</f>
        <v>1109075</v>
      </c>
      <c r="CV139" s="52">
        <f>CV6</f>
        <v>992269</v>
      </c>
      <c r="CW139" s="43">
        <f t="shared" si="324"/>
        <v>992269</v>
      </c>
      <c r="CX139" s="52">
        <f>CX6</f>
        <v>1011668</v>
      </c>
      <c r="CY139" s="52">
        <f>CY6</f>
        <v>1558020</v>
      </c>
      <c r="CZ139" s="52">
        <f>CZ6</f>
        <v>1425215</v>
      </c>
      <c r="DA139" s="52">
        <f>DA6</f>
        <v>1416236</v>
      </c>
      <c r="DB139" s="43">
        <f t="shared" si="324"/>
        <v>1416236</v>
      </c>
      <c r="DC139" s="52">
        <f t="shared" si="324"/>
        <v>1543806</v>
      </c>
      <c r="DD139" s="52">
        <f t="shared" si="324"/>
        <v>1530875</v>
      </c>
      <c r="DE139" s="52">
        <f t="shared" si="324"/>
        <v>1773203</v>
      </c>
      <c r="DF139" s="52">
        <f t="shared" si="324"/>
        <v>1790937</v>
      </c>
      <c r="DG139" s="43">
        <f t="shared" si="324"/>
        <v>1790937</v>
      </c>
      <c r="DH139" s="52">
        <f t="shared" ref="DH139" si="325">DH6</f>
        <v>1757310</v>
      </c>
      <c r="DI139" s="52">
        <f t="shared" ref="DI139:EF139" si="326">DI6</f>
        <v>1633706</v>
      </c>
      <c r="DJ139" s="52">
        <f t="shared" ca="1" si="326"/>
        <v>1691727.5989267784</v>
      </c>
      <c r="DK139" s="52">
        <f t="shared" ca="1" si="326"/>
        <v>1791988.9697218041</v>
      </c>
      <c r="DL139" s="43">
        <f t="shared" ca="1" si="326"/>
        <v>1791988.9697218041</v>
      </c>
      <c r="DM139" s="52">
        <f t="shared" ca="1" si="326"/>
        <v>2038905.4849619931</v>
      </c>
      <c r="DN139" s="52">
        <f t="shared" ca="1" si="326"/>
        <v>2153963.4872123585</v>
      </c>
      <c r="DO139" s="52">
        <f t="shared" ca="1" si="326"/>
        <v>2274940.9808937958</v>
      </c>
      <c r="DP139" s="52">
        <f t="shared" ca="1" si="326"/>
        <v>2652247.6903838427</v>
      </c>
      <c r="DQ139" s="43">
        <f t="shared" ca="1" si="326"/>
        <v>2652247.6903838427</v>
      </c>
      <c r="DR139" s="52">
        <f t="shared" ca="1" si="326"/>
        <v>1828617.9699997469</v>
      </c>
      <c r="DS139" s="52">
        <f t="shared" ca="1" si="326"/>
        <v>1977213.1490133</v>
      </c>
      <c r="DT139" s="52">
        <f t="shared" ca="1" si="326"/>
        <v>2392684.5791084031</v>
      </c>
      <c r="DU139" s="52">
        <f t="shared" ca="1" si="326"/>
        <v>2827051.6671570493</v>
      </c>
      <c r="DV139" s="43">
        <f t="shared" ca="1" si="326"/>
        <v>2827051.6671570493</v>
      </c>
      <c r="DW139" s="52">
        <f t="shared" ca="1" si="326"/>
        <v>1723768.01818244</v>
      </c>
      <c r="DX139" s="52">
        <f t="shared" ca="1" si="326"/>
        <v>2149816.1739923279</v>
      </c>
      <c r="DY139" s="52">
        <f t="shared" ca="1" si="326"/>
        <v>2594364.9941424616</v>
      </c>
      <c r="DZ139" s="52">
        <f t="shared" ca="1" si="326"/>
        <v>3057868.0773153142</v>
      </c>
      <c r="EA139" s="43">
        <f t="shared" ca="1" si="326"/>
        <v>3057868.0773153142</v>
      </c>
      <c r="EB139" s="52">
        <f t="shared" ca="1" si="326"/>
        <v>1900429.8634106587</v>
      </c>
      <c r="EC139" s="52">
        <f t="shared" ca="1" si="326"/>
        <v>2348955.6248460161</v>
      </c>
      <c r="ED139" s="52">
        <f t="shared" ca="1" si="326"/>
        <v>2810830.2001529974</v>
      </c>
      <c r="EE139" s="52">
        <f t="shared" ca="1" si="326"/>
        <v>3286395.5029418501</v>
      </c>
      <c r="EF139" s="43">
        <f t="shared" ca="1" si="326"/>
        <v>3286395.5029418501</v>
      </c>
    </row>
    <row r="140" spans="1:136">
      <c r="A140" s="1" t="s">
        <v>48</v>
      </c>
      <c r="B140" s="52">
        <f t="shared" ref="B140:AE140" si="327">B8</f>
        <v>0</v>
      </c>
      <c r="C140" s="52">
        <f t="shared" si="327"/>
        <v>0</v>
      </c>
      <c r="D140" s="52">
        <f t="shared" si="327"/>
        <v>0</v>
      </c>
      <c r="E140" s="52">
        <f t="shared" si="327"/>
        <v>0</v>
      </c>
      <c r="F140" s="67">
        <f t="shared" si="327"/>
        <v>0</v>
      </c>
      <c r="G140" s="52">
        <f t="shared" si="327"/>
        <v>0</v>
      </c>
      <c r="H140" s="52">
        <f t="shared" si="327"/>
        <v>0</v>
      </c>
      <c r="I140" s="52">
        <f t="shared" si="327"/>
        <v>0</v>
      </c>
      <c r="J140" s="52">
        <f t="shared" si="327"/>
        <v>0</v>
      </c>
      <c r="K140" s="67">
        <f t="shared" si="327"/>
        <v>0</v>
      </c>
      <c r="L140" s="52">
        <f t="shared" si="327"/>
        <v>0</v>
      </c>
      <c r="M140" s="52">
        <f t="shared" si="327"/>
        <v>0</v>
      </c>
      <c r="N140" s="52">
        <f t="shared" si="327"/>
        <v>0</v>
      </c>
      <c r="O140" s="52">
        <f t="shared" si="327"/>
        <v>0</v>
      </c>
      <c r="P140" s="67">
        <f t="shared" si="327"/>
        <v>0</v>
      </c>
      <c r="Q140" s="52">
        <f t="shared" si="327"/>
        <v>0</v>
      </c>
      <c r="R140" s="52">
        <f t="shared" si="327"/>
        <v>0</v>
      </c>
      <c r="S140" s="52">
        <f t="shared" si="327"/>
        <v>0</v>
      </c>
      <c r="T140" s="52">
        <f t="shared" si="327"/>
        <v>0</v>
      </c>
      <c r="U140" s="67">
        <f t="shared" si="327"/>
        <v>0</v>
      </c>
      <c r="V140" s="52">
        <f t="shared" si="327"/>
        <v>0</v>
      </c>
      <c r="W140" s="52">
        <f t="shared" si="327"/>
        <v>0</v>
      </c>
      <c r="X140" s="52">
        <f t="shared" si="327"/>
        <v>0</v>
      </c>
      <c r="Y140" s="52">
        <f t="shared" si="327"/>
        <v>0</v>
      </c>
      <c r="Z140" s="67">
        <f t="shared" si="327"/>
        <v>0</v>
      </c>
      <c r="AA140" s="52">
        <f t="shared" si="327"/>
        <v>0</v>
      </c>
      <c r="AB140" s="52">
        <f t="shared" si="327"/>
        <v>0</v>
      </c>
      <c r="AC140" s="52">
        <f t="shared" si="327"/>
        <v>0</v>
      </c>
      <c r="AD140" s="52">
        <f t="shared" si="327"/>
        <v>0</v>
      </c>
      <c r="AE140" s="67">
        <f t="shared" si="327"/>
        <v>0</v>
      </c>
      <c r="AF140" s="52">
        <f t="shared" ref="AF140:BN140" si="328">AF8</f>
        <v>0</v>
      </c>
      <c r="AG140" s="52">
        <f t="shared" si="328"/>
        <v>0</v>
      </c>
      <c r="AH140" s="52">
        <f t="shared" si="328"/>
        <v>0</v>
      </c>
      <c r="AI140" s="52">
        <f t="shared" si="328"/>
        <v>234127.86300000001</v>
      </c>
      <c r="AJ140" s="43">
        <f t="shared" si="328"/>
        <v>234127.86300000001</v>
      </c>
      <c r="AK140" s="52">
        <f t="shared" si="328"/>
        <v>0</v>
      </c>
      <c r="AL140" s="52">
        <f t="shared" si="328"/>
        <v>0</v>
      </c>
      <c r="AM140" s="52">
        <f t="shared" si="328"/>
        <v>0</v>
      </c>
      <c r="AN140" s="52">
        <f t="shared" si="328"/>
        <v>314764.64900000003</v>
      </c>
      <c r="AO140" s="43">
        <f t="shared" si="328"/>
        <v>314764.64900000003</v>
      </c>
      <c r="AP140" s="52">
        <f t="shared" si="328"/>
        <v>0</v>
      </c>
      <c r="AQ140" s="52">
        <f t="shared" si="328"/>
        <v>0</v>
      </c>
      <c r="AR140" s="52">
        <f t="shared" si="328"/>
        <v>0</v>
      </c>
      <c r="AS140" s="52">
        <f t="shared" si="328"/>
        <v>369786.71299999999</v>
      </c>
      <c r="AT140" s="43">
        <f t="shared" si="328"/>
        <v>369786.71299999999</v>
      </c>
      <c r="AU140" s="52">
        <f t="shared" si="328"/>
        <v>0</v>
      </c>
      <c r="AV140" s="52">
        <f t="shared" si="328"/>
        <v>0</v>
      </c>
      <c r="AW140" s="52">
        <f t="shared" si="328"/>
        <v>0</v>
      </c>
      <c r="AX140" s="52">
        <f t="shared" si="328"/>
        <v>448262</v>
      </c>
      <c r="AY140" s="43">
        <f t="shared" si="328"/>
        <v>448262</v>
      </c>
      <c r="AZ140" s="52">
        <f t="shared" si="328"/>
        <v>0</v>
      </c>
      <c r="BA140" s="52">
        <f t="shared" si="328"/>
        <v>0</v>
      </c>
      <c r="BB140" s="52">
        <f t="shared" si="328"/>
        <v>0</v>
      </c>
      <c r="BC140" s="52">
        <f t="shared" si="328"/>
        <v>520928</v>
      </c>
      <c r="BD140" s="43">
        <f t="shared" si="328"/>
        <v>520928</v>
      </c>
      <c r="BE140" s="52">
        <f t="shared" si="328"/>
        <v>0</v>
      </c>
      <c r="BF140" s="52">
        <f t="shared" si="328"/>
        <v>0</v>
      </c>
      <c r="BG140" s="52">
        <f t="shared" si="328"/>
        <v>0</v>
      </c>
      <c r="BH140" s="52">
        <f t="shared" si="328"/>
        <v>611522</v>
      </c>
      <c r="BI140" s="43">
        <f t="shared" si="328"/>
        <v>611522</v>
      </c>
      <c r="BJ140" s="52">
        <f t="shared" si="328"/>
        <v>0</v>
      </c>
      <c r="BK140" s="52">
        <f t="shared" si="328"/>
        <v>0</v>
      </c>
      <c r="BL140" s="52">
        <f t="shared" si="328"/>
        <v>0</v>
      </c>
      <c r="BM140" s="52">
        <f t="shared" si="328"/>
        <v>649226</v>
      </c>
      <c r="BN140" s="43">
        <f t="shared" si="328"/>
        <v>649226</v>
      </c>
      <c r="BO140" s="52">
        <f t="shared" ref="BO140:DG140" si="329">BO8</f>
        <v>0</v>
      </c>
      <c r="BP140" s="52">
        <f t="shared" si="329"/>
        <v>0</v>
      </c>
      <c r="BQ140" s="52">
        <f t="shared" si="329"/>
        <v>0</v>
      </c>
      <c r="BR140" s="52">
        <f t="shared" si="329"/>
        <v>765298</v>
      </c>
      <c r="BS140" s="43">
        <f t="shared" si="329"/>
        <v>765298</v>
      </c>
      <c r="BT140" s="52">
        <f t="shared" si="329"/>
        <v>0</v>
      </c>
      <c r="BU140" s="52">
        <f t="shared" si="329"/>
        <v>0</v>
      </c>
      <c r="BV140" s="52">
        <f t="shared" si="329"/>
        <v>0</v>
      </c>
      <c r="BW140" s="52">
        <f t="shared" si="329"/>
        <v>557065</v>
      </c>
      <c r="BX140" s="43">
        <f t="shared" si="329"/>
        <v>557065</v>
      </c>
      <c r="BY140" s="52">
        <f t="shared" si="329"/>
        <v>0</v>
      </c>
      <c r="BZ140" s="52">
        <f t="shared" si="329"/>
        <v>0</v>
      </c>
      <c r="CA140" s="52">
        <f t="shared" si="329"/>
        <v>0</v>
      </c>
      <c r="CB140" s="52">
        <f>CB8</f>
        <v>659335</v>
      </c>
      <c r="CC140" s="43">
        <f t="shared" si="329"/>
        <v>659335</v>
      </c>
      <c r="CD140" s="52">
        <f>CD8</f>
        <v>605454</v>
      </c>
      <c r="CE140" s="52">
        <f>CE8</f>
        <v>685673</v>
      </c>
      <c r="CF140" s="52">
        <f t="shared" si="329"/>
        <v>831054</v>
      </c>
      <c r="CG140" s="52">
        <f>CG8</f>
        <v>799322</v>
      </c>
      <c r="CH140" s="43">
        <f t="shared" si="329"/>
        <v>799322</v>
      </c>
      <c r="CI140" s="52">
        <f t="shared" si="329"/>
        <v>938013</v>
      </c>
      <c r="CJ140" s="52">
        <f t="shared" si="329"/>
        <v>1049124</v>
      </c>
      <c r="CK140" s="52">
        <f>CK8</f>
        <v>1106282</v>
      </c>
      <c r="CL140" s="52">
        <f>CL8</f>
        <v>1277665</v>
      </c>
      <c r="CM140" s="43">
        <f t="shared" si="329"/>
        <v>1277665</v>
      </c>
      <c r="CN140" s="52">
        <f>CN8</f>
        <v>1630579</v>
      </c>
      <c r="CO140" s="52">
        <f>CO8</f>
        <v>1556792</v>
      </c>
      <c r="CP140" s="52">
        <f>CP8</f>
        <v>1399701</v>
      </c>
      <c r="CQ140" s="52">
        <f t="shared" si="329"/>
        <v>1179262</v>
      </c>
      <c r="CR140" s="43">
        <f t="shared" si="329"/>
        <v>1179262</v>
      </c>
      <c r="CS140" s="52">
        <f t="shared" si="329"/>
        <v>1050636</v>
      </c>
      <c r="CT140" s="52">
        <f t="shared" si="329"/>
        <v>1085689</v>
      </c>
      <c r="CU140" s="52">
        <f>CU8</f>
        <v>1080391</v>
      </c>
      <c r="CV140" s="52">
        <f>CV8</f>
        <v>1090801</v>
      </c>
      <c r="CW140" s="43">
        <f t="shared" si="329"/>
        <v>1090801</v>
      </c>
      <c r="CX140" s="52">
        <f>CX8</f>
        <v>1285208</v>
      </c>
      <c r="CY140" s="52">
        <f>CY8</f>
        <v>1379252</v>
      </c>
      <c r="CZ140" s="52">
        <f>CZ8</f>
        <v>1454230</v>
      </c>
      <c r="DA140" s="52">
        <f>DA8</f>
        <v>1437237</v>
      </c>
      <c r="DB140" s="43">
        <f t="shared" si="329"/>
        <v>1437237</v>
      </c>
      <c r="DC140" s="52">
        <f t="shared" si="329"/>
        <v>1896708</v>
      </c>
      <c r="DD140" s="52">
        <f t="shared" si="329"/>
        <v>2133707</v>
      </c>
      <c r="DE140" s="52">
        <f t="shared" si="329"/>
        <v>2198778</v>
      </c>
      <c r="DF140" s="52">
        <f t="shared" si="329"/>
        <v>2157943</v>
      </c>
      <c r="DG140" s="43">
        <f t="shared" si="329"/>
        <v>2157943</v>
      </c>
      <c r="DH140" s="52">
        <f t="shared" ref="DH140" si="330">DH8</f>
        <v>2549380</v>
      </c>
      <c r="DI140" s="52">
        <f t="shared" ref="DI140:EF140" si="331">DI8</f>
        <v>2722340</v>
      </c>
      <c r="DJ140" s="52">
        <f t="shared" si="331"/>
        <v>2817694.3696391871</v>
      </c>
      <c r="DK140" s="52">
        <f t="shared" si="331"/>
        <v>2949442.073139322</v>
      </c>
      <c r="DL140" s="43">
        <f t="shared" si="331"/>
        <v>2949442.073139322</v>
      </c>
      <c r="DM140" s="52">
        <f t="shared" si="331"/>
        <v>2909130.1804664577</v>
      </c>
      <c r="DN140" s="52">
        <f t="shared" si="331"/>
        <v>3004927.6449103588</v>
      </c>
      <c r="DO140" s="52">
        <f t="shared" si="331"/>
        <v>3086197.4850974437</v>
      </c>
      <c r="DP140" s="52">
        <f t="shared" si="331"/>
        <v>3161214.4047849858</v>
      </c>
      <c r="DQ140" s="43">
        <f t="shared" si="331"/>
        <v>3161214.4047849858</v>
      </c>
      <c r="DR140" s="52">
        <f t="shared" si="331"/>
        <v>3231611.6426382125</v>
      </c>
      <c r="DS140" s="52">
        <f t="shared" si="331"/>
        <v>3298522.5122645828</v>
      </c>
      <c r="DT140" s="52">
        <f t="shared" si="331"/>
        <v>3362683.485792038</v>
      </c>
      <c r="DU140" s="52">
        <f t="shared" si="331"/>
        <v>3424603.9521148964</v>
      </c>
      <c r="DV140" s="43">
        <f t="shared" si="331"/>
        <v>3424603.9521148964</v>
      </c>
      <c r="DW140" s="52">
        <f t="shared" si="331"/>
        <v>3484657.6341529507</v>
      </c>
      <c r="DX140" s="52">
        <f t="shared" si="331"/>
        <v>3543134.3497378239</v>
      </c>
      <c r="DY140" s="52">
        <f t="shared" si="331"/>
        <v>3600269.5597952786</v>
      </c>
      <c r="DZ140" s="52">
        <f t="shared" si="331"/>
        <v>3656261.5208573993</v>
      </c>
      <c r="EA140" s="43">
        <f t="shared" si="331"/>
        <v>3656261.5208573993</v>
      </c>
      <c r="EB140" s="52">
        <f t="shared" si="331"/>
        <v>3711281.4890116402</v>
      </c>
      <c r="EC140" s="52">
        <f t="shared" si="331"/>
        <v>3765480.0031962851</v>
      </c>
      <c r="ED140" s="52">
        <f t="shared" si="331"/>
        <v>3818990.9334288505</v>
      </c>
      <c r="EE140" s="52">
        <f t="shared" si="331"/>
        <v>3871934.2345938412</v>
      </c>
      <c r="EF140" s="43">
        <f t="shared" si="331"/>
        <v>3871934.2345938412</v>
      </c>
    </row>
    <row r="141" spans="1:136">
      <c r="A141" s="1" t="s">
        <v>159</v>
      </c>
      <c r="B141" s="52">
        <f t="shared" ref="B141:AE141" si="332">B11-B133</f>
        <v>0</v>
      </c>
      <c r="C141" s="52">
        <f t="shared" si="332"/>
        <v>0</v>
      </c>
      <c r="D141" s="52">
        <f t="shared" si="332"/>
        <v>0</v>
      </c>
      <c r="E141" s="52">
        <f t="shared" si="332"/>
        <v>0</v>
      </c>
      <c r="F141" s="67">
        <f t="shared" si="332"/>
        <v>0</v>
      </c>
      <c r="G141" s="52">
        <f t="shared" si="332"/>
        <v>0</v>
      </c>
      <c r="H141" s="52">
        <f t="shared" si="332"/>
        <v>0</v>
      </c>
      <c r="I141" s="52">
        <f t="shared" si="332"/>
        <v>0</v>
      </c>
      <c r="J141" s="52">
        <f t="shared" si="332"/>
        <v>0</v>
      </c>
      <c r="K141" s="67">
        <f t="shared" si="332"/>
        <v>0</v>
      </c>
      <c r="L141" s="52">
        <f t="shared" si="332"/>
        <v>0</v>
      </c>
      <c r="M141" s="52">
        <f t="shared" si="332"/>
        <v>0</v>
      </c>
      <c r="N141" s="52">
        <f t="shared" si="332"/>
        <v>0</v>
      </c>
      <c r="O141" s="52">
        <f t="shared" si="332"/>
        <v>0</v>
      </c>
      <c r="P141" s="67">
        <f t="shared" si="332"/>
        <v>0</v>
      </c>
      <c r="Q141" s="52">
        <f t="shared" si="332"/>
        <v>0</v>
      </c>
      <c r="R141" s="52">
        <f t="shared" si="332"/>
        <v>0</v>
      </c>
      <c r="S141" s="52">
        <f t="shared" si="332"/>
        <v>0</v>
      </c>
      <c r="T141" s="52">
        <f t="shared" si="332"/>
        <v>0</v>
      </c>
      <c r="U141" s="67">
        <f t="shared" si="332"/>
        <v>0</v>
      </c>
      <c r="V141" s="52">
        <f t="shared" si="332"/>
        <v>0</v>
      </c>
      <c r="W141" s="52">
        <f t="shared" si="332"/>
        <v>0</v>
      </c>
      <c r="X141" s="52">
        <f t="shared" si="332"/>
        <v>0</v>
      </c>
      <c r="Y141" s="52">
        <f t="shared" si="332"/>
        <v>0</v>
      </c>
      <c r="Z141" s="67">
        <f t="shared" si="332"/>
        <v>0</v>
      </c>
      <c r="AA141" s="52">
        <f t="shared" si="332"/>
        <v>0</v>
      </c>
      <c r="AB141" s="52">
        <f t="shared" si="332"/>
        <v>0</v>
      </c>
      <c r="AC141" s="52">
        <f t="shared" si="332"/>
        <v>0</v>
      </c>
      <c r="AD141" s="52">
        <f t="shared" si="332"/>
        <v>0</v>
      </c>
      <c r="AE141" s="67">
        <f t="shared" si="332"/>
        <v>0</v>
      </c>
      <c r="AF141" s="52">
        <f t="shared" ref="AF141:BN141" si="333">AF11-AF133</f>
        <v>0</v>
      </c>
      <c r="AG141" s="52">
        <f t="shared" si="333"/>
        <v>0</v>
      </c>
      <c r="AH141" s="52">
        <f t="shared" si="333"/>
        <v>0</v>
      </c>
      <c r="AI141" s="52">
        <f t="shared" si="333"/>
        <v>24299.129000000001</v>
      </c>
      <c r="AJ141" s="43">
        <f t="shared" si="333"/>
        <v>24299.129000000001</v>
      </c>
      <c r="AK141" s="52">
        <f t="shared" si="333"/>
        <v>0</v>
      </c>
      <c r="AL141" s="52">
        <f t="shared" si="333"/>
        <v>0</v>
      </c>
      <c r="AM141" s="52">
        <f t="shared" si="333"/>
        <v>0</v>
      </c>
      <c r="AN141" s="52">
        <f t="shared" si="333"/>
        <v>68050.569000000003</v>
      </c>
      <c r="AO141" s="43">
        <f t="shared" si="333"/>
        <v>68050.569000000003</v>
      </c>
      <c r="AP141" s="52">
        <f t="shared" si="333"/>
        <v>0</v>
      </c>
      <c r="AQ141" s="52">
        <f t="shared" si="333"/>
        <v>0</v>
      </c>
      <c r="AR141" s="52">
        <f t="shared" si="333"/>
        <v>0</v>
      </c>
      <c r="AS141" s="52">
        <f t="shared" si="333"/>
        <v>175651.45699999999</v>
      </c>
      <c r="AT141" s="43">
        <f t="shared" si="333"/>
        <v>175651.45699999999</v>
      </c>
      <c r="AU141" s="52">
        <f t="shared" si="333"/>
        <v>0</v>
      </c>
      <c r="AV141" s="52">
        <f t="shared" si="333"/>
        <v>0</v>
      </c>
      <c r="AW141" s="52">
        <f t="shared" si="333"/>
        <v>0</v>
      </c>
      <c r="AX141" s="52">
        <f t="shared" si="333"/>
        <v>153972</v>
      </c>
      <c r="AY141" s="43">
        <f t="shared" si="333"/>
        <v>153972</v>
      </c>
      <c r="AZ141" s="52">
        <f t="shared" si="333"/>
        <v>0</v>
      </c>
      <c r="BA141" s="52">
        <f t="shared" si="333"/>
        <v>0</v>
      </c>
      <c r="BB141" s="52">
        <f t="shared" si="333"/>
        <v>0</v>
      </c>
      <c r="BC141" s="52">
        <f t="shared" si="333"/>
        <v>256240</v>
      </c>
      <c r="BD141" s="43">
        <f t="shared" si="333"/>
        <v>256240</v>
      </c>
      <c r="BE141" s="52">
        <f t="shared" si="333"/>
        <v>0</v>
      </c>
      <c r="BF141" s="52">
        <f t="shared" si="333"/>
        <v>0</v>
      </c>
      <c r="BG141" s="52">
        <f t="shared" si="333"/>
        <v>0</v>
      </c>
      <c r="BH141" s="52">
        <f t="shared" si="333"/>
        <v>285355</v>
      </c>
      <c r="BI141" s="43">
        <f t="shared" si="333"/>
        <v>285355</v>
      </c>
      <c r="BJ141" s="52">
        <f t="shared" si="333"/>
        <v>0</v>
      </c>
      <c r="BK141" s="52">
        <f t="shared" si="333"/>
        <v>0</v>
      </c>
      <c r="BL141" s="52">
        <f t="shared" si="333"/>
        <v>0</v>
      </c>
      <c r="BM141" s="52">
        <f t="shared" si="333"/>
        <v>253854</v>
      </c>
      <c r="BN141" s="43">
        <f t="shared" si="333"/>
        <v>253854</v>
      </c>
      <c r="BO141" s="52">
        <f t="shared" ref="BO141:DG141" si="334">BO11-BO133</f>
        <v>0</v>
      </c>
      <c r="BP141" s="52">
        <f t="shared" si="334"/>
        <v>0</v>
      </c>
      <c r="BQ141" s="52">
        <f t="shared" si="334"/>
        <v>0</v>
      </c>
      <c r="BR141" s="52">
        <f t="shared" si="334"/>
        <v>249149</v>
      </c>
      <c r="BS141" s="43">
        <f t="shared" si="334"/>
        <v>249149</v>
      </c>
      <c r="BT141" s="52">
        <f t="shared" si="334"/>
        <v>0</v>
      </c>
      <c r="BU141" s="52">
        <f t="shared" si="334"/>
        <v>0</v>
      </c>
      <c r="BV141" s="52">
        <f t="shared" si="334"/>
        <v>0</v>
      </c>
      <c r="BW141" s="52">
        <f t="shared" si="334"/>
        <v>241079</v>
      </c>
      <c r="BX141" s="43">
        <f t="shared" si="334"/>
        <v>241079</v>
      </c>
      <c r="BY141" s="52">
        <f t="shared" si="334"/>
        <v>0</v>
      </c>
      <c r="BZ141" s="52">
        <f t="shared" si="334"/>
        <v>0</v>
      </c>
      <c r="CA141" s="52">
        <f t="shared" si="334"/>
        <v>0</v>
      </c>
      <c r="CB141" s="52">
        <f>CB11-CB133</f>
        <v>198799</v>
      </c>
      <c r="CC141" s="43">
        <f t="shared" si="334"/>
        <v>198799</v>
      </c>
      <c r="CD141" s="52">
        <f>CD11-CD133</f>
        <v>210689</v>
      </c>
      <c r="CE141" s="52">
        <f>CE11-CE133</f>
        <v>190026</v>
      </c>
      <c r="CF141" s="52">
        <f t="shared" si="334"/>
        <v>226704</v>
      </c>
      <c r="CG141" s="52">
        <f>CG11-CG133</f>
        <v>296258</v>
      </c>
      <c r="CH141" s="43">
        <f t="shared" si="334"/>
        <v>296258</v>
      </c>
      <c r="CI141" s="52">
        <f t="shared" si="334"/>
        <v>419485</v>
      </c>
      <c r="CJ141" s="52">
        <f t="shared" si="334"/>
        <v>365678</v>
      </c>
      <c r="CK141" s="52">
        <f>CK11-CK133</f>
        <v>381628</v>
      </c>
      <c r="CL141" s="52">
        <f>CL11-CL133</f>
        <v>532708</v>
      </c>
      <c r="CM141" s="43">
        <f t="shared" si="334"/>
        <v>532708</v>
      </c>
      <c r="CN141" s="52">
        <f>CN11-CN133</f>
        <v>500791</v>
      </c>
      <c r="CO141" s="52">
        <f>CO11-CO133</f>
        <v>470587</v>
      </c>
      <c r="CP141" s="52">
        <f>CP11-CP133</f>
        <v>528140</v>
      </c>
      <c r="CQ141" s="52">
        <f t="shared" si="334"/>
        <v>604089</v>
      </c>
      <c r="CR141" s="43">
        <f t="shared" si="334"/>
        <v>604089</v>
      </c>
      <c r="CS141" s="52">
        <f t="shared" si="334"/>
        <v>712498</v>
      </c>
      <c r="CT141" s="52">
        <f t="shared" si="334"/>
        <v>657603</v>
      </c>
      <c r="CU141" s="52">
        <f>CU11-CU133</f>
        <v>689025</v>
      </c>
      <c r="CV141" s="52">
        <f>CV11-CV133</f>
        <v>717548</v>
      </c>
      <c r="CW141" s="43">
        <f t="shared" si="334"/>
        <v>717548</v>
      </c>
      <c r="CX141" s="52">
        <f>CX11-CX133</f>
        <v>811385</v>
      </c>
      <c r="CY141" s="52">
        <f>CY11-CY133</f>
        <v>766051</v>
      </c>
      <c r="CZ141" s="52">
        <f>CZ11-CZ133</f>
        <v>791617</v>
      </c>
      <c r="DA141" s="52">
        <f>DA11-DA133</f>
        <v>1193128</v>
      </c>
      <c r="DB141" s="43">
        <f t="shared" si="334"/>
        <v>1193128</v>
      </c>
      <c r="DC141" s="52">
        <f t="shared" si="334"/>
        <v>1134943</v>
      </c>
      <c r="DD141" s="52">
        <f t="shared" si="334"/>
        <v>1183857</v>
      </c>
      <c r="DE141" s="52">
        <f t="shared" si="334"/>
        <v>1316855</v>
      </c>
      <c r="DF141" s="52">
        <f t="shared" si="334"/>
        <v>1348649</v>
      </c>
      <c r="DG141" s="43">
        <f t="shared" si="334"/>
        <v>1348649</v>
      </c>
      <c r="DH141" s="52">
        <f t="shared" ref="DH141" si="335">DH11-DH133</f>
        <v>1521588</v>
      </c>
      <c r="DI141" s="52">
        <f t="shared" ref="DI141:EF141" si="336">DI11-DI133</f>
        <v>1530119</v>
      </c>
      <c r="DJ141" s="52">
        <f t="shared" si="336"/>
        <v>1677832.7785546775</v>
      </c>
      <c r="DK141" s="52">
        <f t="shared" si="336"/>
        <v>1653668.658409724</v>
      </c>
      <c r="DL141" s="43">
        <f t="shared" si="336"/>
        <v>1653668.658409724</v>
      </c>
      <c r="DM141" s="52">
        <f t="shared" si="336"/>
        <v>1689400.3595032149</v>
      </c>
      <c r="DN141" s="52">
        <f t="shared" si="336"/>
        <v>1723112.3314067868</v>
      </c>
      <c r="DO141" s="52">
        <f t="shared" si="336"/>
        <v>1755434.6094379337</v>
      </c>
      <c r="DP141" s="52">
        <f t="shared" si="336"/>
        <v>1787212.0247712494</v>
      </c>
      <c r="DQ141" s="43">
        <f t="shared" si="336"/>
        <v>1787212.0247712494</v>
      </c>
      <c r="DR141" s="52">
        <f t="shared" si="336"/>
        <v>1823676.8082485748</v>
      </c>
      <c r="DS141" s="52">
        <f t="shared" si="336"/>
        <v>1860423.4295144768</v>
      </c>
      <c r="DT141" s="52">
        <f t="shared" si="336"/>
        <v>1894054.5832055137</v>
      </c>
      <c r="DU141" s="52">
        <f t="shared" si="336"/>
        <v>1926616.3765172875</v>
      </c>
      <c r="DV141" s="43">
        <f t="shared" si="336"/>
        <v>1926616.3765172875</v>
      </c>
      <c r="DW141" s="52">
        <f t="shared" si="336"/>
        <v>1958323.7072669391</v>
      </c>
      <c r="DX141" s="52">
        <f t="shared" si="336"/>
        <v>1990658.6035327469</v>
      </c>
      <c r="DY141" s="52">
        <f t="shared" si="336"/>
        <v>2022243.0536419745</v>
      </c>
      <c r="DZ141" s="52">
        <f t="shared" si="336"/>
        <v>2053162.7732625804</v>
      </c>
      <c r="EA141" s="43">
        <f t="shared" si="336"/>
        <v>2053162.7732625804</v>
      </c>
      <c r="EB141" s="52">
        <f t="shared" si="336"/>
        <v>2083486.2819792405</v>
      </c>
      <c r="EC141" s="52">
        <f t="shared" si="336"/>
        <v>2088664.1476058755</v>
      </c>
      <c r="ED141" s="52">
        <f t="shared" si="336"/>
        <v>2068473.2967548876</v>
      </c>
      <c r="EE141" s="52">
        <f t="shared" si="336"/>
        <v>2022682.0169396787</v>
      </c>
      <c r="EF141" s="43">
        <f t="shared" si="336"/>
        <v>2022682.0169396787</v>
      </c>
    </row>
    <row r="142" spans="1:136">
      <c r="A142" s="1" t="s">
        <v>8</v>
      </c>
      <c r="B142" s="52">
        <f t="shared" ref="B142:AE142" si="337">B16+B17</f>
        <v>0</v>
      </c>
      <c r="C142" s="52">
        <f t="shared" si="337"/>
        <v>0</v>
      </c>
      <c r="D142" s="52">
        <f t="shared" si="337"/>
        <v>0</v>
      </c>
      <c r="E142" s="52">
        <f t="shared" si="337"/>
        <v>0</v>
      </c>
      <c r="F142" s="67">
        <f t="shared" si="337"/>
        <v>0</v>
      </c>
      <c r="G142" s="52">
        <f t="shared" si="337"/>
        <v>0</v>
      </c>
      <c r="H142" s="52">
        <f t="shared" si="337"/>
        <v>0</v>
      </c>
      <c r="I142" s="52">
        <f t="shared" si="337"/>
        <v>0</v>
      </c>
      <c r="J142" s="52">
        <f t="shared" si="337"/>
        <v>0</v>
      </c>
      <c r="K142" s="67">
        <f t="shared" si="337"/>
        <v>0</v>
      </c>
      <c r="L142" s="52">
        <f t="shared" si="337"/>
        <v>0</v>
      </c>
      <c r="M142" s="52">
        <f t="shared" si="337"/>
        <v>0</v>
      </c>
      <c r="N142" s="52">
        <f t="shared" si="337"/>
        <v>0</v>
      </c>
      <c r="O142" s="52">
        <f t="shared" si="337"/>
        <v>0</v>
      </c>
      <c r="P142" s="67">
        <f t="shared" si="337"/>
        <v>0</v>
      </c>
      <c r="Q142" s="52">
        <f t="shared" si="337"/>
        <v>0</v>
      </c>
      <c r="R142" s="52">
        <f t="shared" si="337"/>
        <v>0</v>
      </c>
      <c r="S142" s="52">
        <f t="shared" si="337"/>
        <v>0</v>
      </c>
      <c r="T142" s="52">
        <f t="shared" si="337"/>
        <v>0</v>
      </c>
      <c r="U142" s="67">
        <f t="shared" si="337"/>
        <v>0</v>
      </c>
      <c r="V142" s="52">
        <f t="shared" si="337"/>
        <v>0</v>
      </c>
      <c r="W142" s="52">
        <f t="shared" si="337"/>
        <v>0</v>
      </c>
      <c r="X142" s="52">
        <f t="shared" si="337"/>
        <v>0</v>
      </c>
      <c r="Y142" s="52">
        <f t="shared" si="337"/>
        <v>0</v>
      </c>
      <c r="Z142" s="67">
        <f t="shared" si="337"/>
        <v>0</v>
      </c>
      <c r="AA142" s="52">
        <f t="shared" si="337"/>
        <v>0</v>
      </c>
      <c r="AB142" s="52">
        <f t="shared" si="337"/>
        <v>0</v>
      </c>
      <c r="AC142" s="52">
        <f t="shared" si="337"/>
        <v>0</v>
      </c>
      <c r="AD142" s="52">
        <f t="shared" si="337"/>
        <v>0</v>
      </c>
      <c r="AE142" s="67">
        <f t="shared" si="337"/>
        <v>0</v>
      </c>
      <c r="AF142" s="52">
        <f t="shared" ref="AF142:BN142" si="338">AF16+AF17</f>
        <v>0</v>
      </c>
      <c r="AG142" s="52">
        <f t="shared" si="338"/>
        <v>0</v>
      </c>
      <c r="AH142" s="52">
        <f t="shared" si="338"/>
        <v>0</v>
      </c>
      <c r="AI142" s="52">
        <f t="shared" si="338"/>
        <v>0</v>
      </c>
      <c r="AJ142" s="43">
        <f t="shared" si="338"/>
        <v>0</v>
      </c>
      <c r="AK142" s="52">
        <f t="shared" si="338"/>
        <v>0</v>
      </c>
      <c r="AL142" s="52">
        <f t="shared" si="338"/>
        <v>0</v>
      </c>
      <c r="AM142" s="52">
        <f t="shared" si="338"/>
        <v>0</v>
      </c>
      <c r="AN142" s="52">
        <f t="shared" si="338"/>
        <v>0</v>
      </c>
      <c r="AO142" s="43">
        <f t="shared" si="338"/>
        <v>0</v>
      </c>
      <c r="AP142" s="52">
        <f t="shared" si="338"/>
        <v>0</v>
      </c>
      <c r="AQ142" s="52">
        <f t="shared" si="338"/>
        <v>0</v>
      </c>
      <c r="AR142" s="52">
        <f t="shared" si="338"/>
        <v>0</v>
      </c>
      <c r="AS142" s="52">
        <f t="shared" si="338"/>
        <v>2660.68</v>
      </c>
      <c r="AT142" s="43">
        <f t="shared" si="338"/>
        <v>2660.68</v>
      </c>
      <c r="AU142" s="52">
        <f t="shared" si="338"/>
        <v>0</v>
      </c>
      <c r="AV142" s="52">
        <f t="shared" si="338"/>
        <v>0</v>
      </c>
      <c r="AW142" s="52">
        <f t="shared" si="338"/>
        <v>0</v>
      </c>
      <c r="AX142" s="52">
        <f t="shared" si="338"/>
        <v>0</v>
      </c>
      <c r="AY142" s="43">
        <f t="shared" si="338"/>
        <v>0</v>
      </c>
      <c r="AZ142" s="52">
        <f t="shared" si="338"/>
        <v>0</v>
      </c>
      <c r="BA142" s="52">
        <f t="shared" si="338"/>
        <v>0</v>
      </c>
      <c r="BB142" s="52">
        <f t="shared" si="338"/>
        <v>0</v>
      </c>
      <c r="BC142" s="52">
        <f t="shared" si="338"/>
        <v>0</v>
      </c>
      <c r="BD142" s="43">
        <f t="shared" si="338"/>
        <v>0</v>
      </c>
      <c r="BE142" s="52">
        <f t="shared" si="338"/>
        <v>0</v>
      </c>
      <c r="BF142" s="52">
        <f t="shared" si="338"/>
        <v>0</v>
      </c>
      <c r="BG142" s="52">
        <f t="shared" si="338"/>
        <v>0</v>
      </c>
      <c r="BH142" s="52">
        <f t="shared" si="338"/>
        <v>0</v>
      </c>
      <c r="BI142" s="43">
        <f t="shared" si="338"/>
        <v>0</v>
      </c>
      <c r="BJ142" s="52">
        <f t="shared" si="338"/>
        <v>0</v>
      </c>
      <c r="BK142" s="52">
        <f t="shared" si="338"/>
        <v>0</v>
      </c>
      <c r="BL142" s="52">
        <f t="shared" si="338"/>
        <v>0</v>
      </c>
      <c r="BM142" s="52">
        <f t="shared" si="338"/>
        <v>0</v>
      </c>
      <c r="BN142" s="43">
        <f t="shared" si="338"/>
        <v>0</v>
      </c>
      <c r="BO142" s="52">
        <f t="shared" ref="BO142:DG142" si="339">BO16+BO17</f>
        <v>0</v>
      </c>
      <c r="BP142" s="52">
        <f t="shared" si="339"/>
        <v>0</v>
      </c>
      <c r="BQ142" s="52">
        <f t="shared" si="339"/>
        <v>0</v>
      </c>
      <c r="BR142" s="52">
        <f t="shared" si="339"/>
        <v>11264</v>
      </c>
      <c r="BS142" s="43">
        <f t="shared" si="339"/>
        <v>11264</v>
      </c>
      <c r="BT142" s="52">
        <f t="shared" si="339"/>
        <v>0</v>
      </c>
      <c r="BU142" s="52">
        <f t="shared" si="339"/>
        <v>0</v>
      </c>
      <c r="BV142" s="52">
        <f t="shared" si="339"/>
        <v>0</v>
      </c>
      <c r="BW142" s="52">
        <f t="shared" si="339"/>
        <v>21229</v>
      </c>
      <c r="BX142" s="43">
        <f t="shared" si="339"/>
        <v>21229</v>
      </c>
      <c r="BY142" s="52">
        <f t="shared" si="339"/>
        <v>0</v>
      </c>
      <c r="BZ142" s="52">
        <f t="shared" si="339"/>
        <v>0</v>
      </c>
      <c r="CA142" s="52">
        <f t="shared" si="339"/>
        <v>0</v>
      </c>
      <c r="CB142" s="52">
        <f>CB16+CB17</f>
        <v>28509</v>
      </c>
      <c r="CC142" s="43">
        <f t="shared" si="339"/>
        <v>28509</v>
      </c>
      <c r="CD142" s="52">
        <f>CD16+CD17</f>
        <v>29049</v>
      </c>
      <c r="CE142" s="52">
        <f>CE16+CE17</f>
        <v>31857</v>
      </c>
      <c r="CF142" s="52">
        <f t="shared" si="339"/>
        <v>34742</v>
      </c>
      <c r="CG142" s="52">
        <f>CG16+CG17</f>
        <v>35795</v>
      </c>
      <c r="CH142" s="43">
        <f t="shared" si="339"/>
        <v>35795</v>
      </c>
      <c r="CI142" s="52">
        <f t="shared" si="339"/>
        <v>35108</v>
      </c>
      <c r="CJ142" s="52">
        <f t="shared" si="339"/>
        <v>35750</v>
      </c>
      <c r="CK142" s="52">
        <f>CK16+CK17</f>
        <v>35795</v>
      </c>
      <c r="CL142" s="52">
        <f>CL16+CL17</f>
        <v>30956</v>
      </c>
      <c r="CM142" s="43">
        <f t="shared" si="339"/>
        <v>30956</v>
      </c>
      <c r="CN142" s="52">
        <f>CN16+CN17</f>
        <v>31947</v>
      </c>
      <c r="CO142" s="52">
        <f>CO16+CO17</f>
        <v>33536</v>
      </c>
      <c r="CP142" s="52">
        <f>CP16+CP17</f>
        <v>34097</v>
      </c>
      <c r="CQ142" s="52">
        <f t="shared" si="339"/>
        <v>32029</v>
      </c>
      <c r="CR142" s="43">
        <f t="shared" si="339"/>
        <v>32029</v>
      </c>
      <c r="CS142" s="52">
        <f t="shared" si="339"/>
        <v>33030</v>
      </c>
      <c r="CT142" s="52">
        <f t="shared" si="339"/>
        <v>34160</v>
      </c>
      <c r="CU142" s="52">
        <f>CU16+CU17</f>
        <v>32888</v>
      </c>
      <c r="CV142" s="52">
        <f>CV16+CV17</f>
        <v>30236</v>
      </c>
      <c r="CW142" s="43">
        <f t="shared" si="339"/>
        <v>30236</v>
      </c>
      <c r="CX142" s="52">
        <f>CX16+CX17</f>
        <v>31224</v>
      </c>
      <c r="CY142" s="52">
        <f>CY16+CY17</f>
        <v>28707</v>
      </c>
      <c r="CZ142" s="52">
        <f>CZ16+CZ17</f>
        <v>29068</v>
      </c>
      <c r="DA142" s="52">
        <f>DA16+DA17</f>
        <v>26391</v>
      </c>
      <c r="DB142" s="43">
        <f t="shared" si="339"/>
        <v>26391</v>
      </c>
      <c r="DC142" s="52">
        <f t="shared" si="339"/>
        <v>27551</v>
      </c>
      <c r="DD142" s="52">
        <f t="shared" si="339"/>
        <v>32719</v>
      </c>
      <c r="DE142" s="52">
        <f t="shared" si="339"/>
        <v>31161</v>
      </c>
      <c r="DF142" s="52">
        <f t="shared" si="339"/>
        <v>26986</v>
      </c>
      <c r="DG142" s="43">
        <f t="shared" si="339"/>
        <v>26986</v>
      </c>
      <c r="DH142" s="52">
        <f t="shared" ref="DH142" si="340">DH16+DH17</f>
        <v>26816</v>
      </c>
      <c r="DI142" s="52">
        <f t="shared" ref="DI142:EF142" si="341">DI16+DI17</f>
        <v>34432</v>
      </c>
      <c r="DJ142" s="52">
        <f t="shared" si="341"/>
        <v>35826.454389154955</v>
      </c>
      <c r="DK142" s="52">
        <f t="shared" si="341"/>
        <v>39040.074306445764</v>
      </c>
      <c r="DL142" s="43">
        <f t="shared" si="341"/>
        <v>39040.074306445764</v>
      </c>
      <c r="DM142" s="52">
        <f t="shared" si="341"/>
        <v>39756.362410921574</v>
      </c>
      <c r="DN142" s="52">
        <f t="shared" si="341"/>
        <v>41432.235425693034</v>
      </c>
      <c r="DO142" s="52">
        <f t="shared" si="341"/>
        <v>42487.996990965614</v>
      </c>
      <c r="DP142" s="52">
        <f t="shared" si="341"/>
        <v>42958.216100608603</v>
      </c>
      <c r="DQ142" s="43">
        <f t="shared" si="341"/>
        <v>42958.216100608603</v>
      </c>
      <c r="DR142" s="52">
        <f t="shared" si="341"/>
        <v>43786.730045627774</v>
      </c>
      <c r="DS142" s="52">
        <f t="shared" si="341"/>
        <v>44536.634652538691</v>
      </c>
      <c r="DT142" s="52">
        <f t="shared" si="341"/>
        <v>45307.828994288029</v>
      </c>
      <c r="DU142" s="52">
        <f t="shared" si="341"/>
        <v>46000.059109483154</v>
      </c>
      <c r="DV142" s="43">
        <f t="shared" si="341"/>
        <v>46000.059109483154</v>
      </c>
      <c r="DW142" s="52">
        <f t="shared" si="341"/>
        <v>46643.46821655181</v>
      </c>
      <c r="DX142" s="52">
        <f t="shared" si="341"/>
        <v>47302.081304781052</v>
      </c>
      <c r="DY142" s="52">
        <f t="shared" si="341"/>
        <v>47927.563316876469</v>
      </c>
      <c r="DZ142" s="52">
        <f t="shared" si="341"/>
        <v>48540.38816378943</v>
      </c>
      <c r="EA142" s="43">
        <f t="shared" si="341"/>
        <v>48540.38816378943</v>
      </c>
      <c r="EB142" s="52">
        <f t="shared" si="341"/>
        <v>49125.035979737113</v>
      </c>
      <c r="EC142" s="52">
        <f t="shared" si="341"/>
        <v>49697.851138425889</v>
      </c>
      <c r="ED142" s="52">
        <f t="shared" si="341"/>
        <v>50258.909166110236</v>
      </c>
      <c r="EE142" s="52">
        <f t="shared" si="341"/>
        <v>50824.937732402454</v>
      </c>
      <c r="EF142" s="43">
        <f t="shared" si="341"/>
        <v>50824.937732402454</v>
      </c>
    </row>
    <row r="143" spans="1:136">
      <c r="A143" s="1" t="s">
        <v>52</v>
      </c>
      <c r="B143" s="52" t="e">
        <f>B19-B132-B134-#REF!</f>
        <v>#REF!</v>
      </c>
      <c r="C143" s="52" t="e">
        <f>C19-C132-C134-#REF!</f>
        <v>#REF!</v>
      </c>
      <c r="D143" s="52" t="e">
        <f>D19-D132-D134-#REF!</f>
        <v>#REF!</v>
      </c>
      <c r="E143" s="52" t="e">
        <f>E19-E132-E134-#REF!</f>
        <v>#REF!</v>
      </c>
      <c r="F143" s="67" t="e">
        <f>F19-F132-F134-#REF!</f>
        <v>#REF!</v>
      </c>
      <c r="G143" s="52" t="e">
        <f>G19-G132-G134-#REF!</f>
        <v>#REF!</v>
      </c>
      <c r="H143" s="52" t="e">
        <f>H19-H132-H134-#REF!</f>
        <v>#REF!</v>
      </c>
      <c r="I143" s="52" t="e">
        <f>I19-I132-I134-#REF!</f>
        <v>#REF!</v>
      </c>
      <c r="J143" s="52" t="e">
        <f>J19-J132-J134-#REF!</f>
        <v>#REF!</v>
      </c>
      <c r="K143" s="67" t="e">
        <f>K19-K132-K134-#REF!</f>
        <v>#REF!</v>
      </c>
      <c r="L143" s="52" t="e">
        <f>L19-L132-L134-#REF!</f>
        <v>#REF!</v>
      </c>
      <c r="M143" s="52" t="e">
        <f>M19-M132-M134-#REF!</f>
        <v>#REF!</v>
      </c>
      <c r="N143" s="52" t="e">
        <f>N19-N132-N134-#REF!</f>
        <v>#REF!</v>
      </c>
      <c r="O143" s="52" t="e">
        <f>O19-O132-O134-#REF!</f>
        <v>#REF!</v>
      </c>
      <c r="P143" s="67" t="e">
        <f>P19-P132-P134-#REF!</f>
        <v>#REF!</v>
      </c>
      <c r="Q143" s="52" t="e">
        <f>Q19-Q132-Q134-#REF!</f>
        <v>#REF!</v>
      </c>
      <c r="R143" s="52" t="e">
        <f>R19-R132-R134-#REF!</f>
        <v>#REF!</v>
      </c>
      <c r="S143" s="52" t="e">
        <f>S19-S132-S134-#REF!</f>
        <v>#REF!</v>
      </c>
      <c r="T143" s="52" t="e">
        <f>T19-T132-T134-#REF!</f>
        <v>#REF!</v>
      </c>
      <c r="U143" s="67" t="e">
        <f>U19-U132-U134-#REF!</f>
        <v>#REF!</v>
      </c>
      <c r="V143" s="52" t="e">
        <f>V19-V132-V134-#REF!</f>
        <v>#REF!</v>
      </c>
      <c r="W143" s="52" t="e">
        <f>W19-W132-W134-#REF!</f>
        <v>#REF!</v>
      </c>
      <c r="X143" s="52" t="e">
        <f>X19-X132-X134-#REF!</f>
        <v>#REF!</v>
      </c>
      <c r="Y143" s="52" t="e">
        <f>Y19-Y132-Y134-#REF!</f>
        <v>#REF!</v>
      </c>
      <c r="Z143" s="67" t="e">
        <f>Z19-Z132-Z134-#REF!</f>
        <v>#REF!</v>
      </c>
      <c r="AA143" s="52" t="e">
        <f>AA19-AA132-AA134-#REF!</f>
        <v>#REF!</v>
      </c>
      <c r="AB143" s="52" t="e">
        <f>AB19-AB132-AB134-#REF!</f>
        <v>#REF!</v>
      </c>
      <c r="AC143" s="52" t="e">
        <f>AC19-AC132-AC134-#REF!</f>
        <v>#REF!</v>
      </c>
      <c r="AD143" s="52" t="e">
        <f>AD19-AD132-AD134-#REF!</f>
        <v>#REF!</v>
      </c>
      <c r="AE143" s="67" t="e">
        <f>AE19-AE132-AE134-#REF!</f>
        <v>#REF!</v>
      </c>
      <c r="AF143" s="52">
        <f t="shared" ref="AF143:BN143" si="342">AF19-AF132-AF134</f>
        <v>0</v>
      </c>
      <c r="AG143" s="52">
        <f t="shared" si="342"/>
        <v>0</v>
      </c>
      <c r="AH143" s="52">
        <f t="shared" si="342"/>
        <v>0</v>
      </c>
      <c r="AI143" s="52">
        <f t="shared" si="342"/>
        <v>5004.6019999999999</v>
      </c>
      <c r="AJ143" s="43">
        <f t="shared" si="342"/>
        <v>5004.6019999999999</v>
      </c>
      <c r="AK143" s="52">
        <f t="shared" si="342"/>
        <v>0</v>
      </c>
      <c r="AL143" s="52">
        <f t="shared" si="342"/>
        <v>0</v>
      </c>
      <c r="AM143" s="52">
        <f t="shared" si="342"/>
        <v>0</v>
      </c>
      <c r="AN143" s="52">
        <f t="shared" si="342"/>
        <v>7148.8159999999998</v>
      </c>
      <c r="AO143" s="43">
        <f t="shared" si="342"/>
        <v>7148.8159999999998</v>
      </c>
      <c r="AP143" s="52">
        <f t="shared" si="342"/>
        <v>0</v>
      </c>
      <c r="AQ143" s="52">
        <f t="shared" si="342"/>
        <v>0</v>
      </c>
      <c r="AR143" s="52">
        <f t="shared" si="342"/>
        <v>0</v>
      </c>
      <c r="AS143" s="52">
        <f t="shared" si="342"/>
        <v>30631.169000000002</v>
      </c>
      <c r="AT143" s="43">
        <f t="shared" si="342"/>
        <v>30631.169000000002</v>
      </c>
      <c r="AU143" s="52">
        <f t="shared" si="342"/>
        <v>0</v>
      </c>
      <c r="AV143" s="52">
        <f t="shared" si="342"/>
        <v>0</v>
      </c>
      <c r="AW143" s="52">
        <f t="shared" si="342"/>
        <v>0</v>
      </c>
      <c r="AX143" s="52">
        <f t="shared" si="342"/>
        <v>16218</v>
      </c>
      <c r="AY143" s="43">
        <f t="shared" si="342"/>
        <v>16218</v>
      </c>
      <c r="AZ143" s="52">
        <f t="shared" si="342"/>
        <v>0</v>
      </c>
      <c r="BA143" s="52">
        <f t="shared" si="342"/>
        <v>0</v>
      </c>
      <c r="BB143" s="52">
        <f t="shared" si="342"/>
        <v>0</v>
      </c>
      <c r="BC143" s="52">
        <f t="shared" si="342"/>
        <v>22170</v>
      </c>
      <c r="BD143" s="43">
        <f t="shared" si="342"/>
        <v>22170</v>
      </c>
      <c r="BE143" s="52">
        <f t="shared" si="342"/>
        <v>0</v>
      </c>
      <c r="BF143" s="52">
        <f t="shared" si="342"/>
        <v>0</v>
      </c>
      <c r="BG143" s="52">
        <f t="shared" si="342"/>
        <v>0</v>
      </c>
      <c r="BH143" s="52">
        <f t="shared" si="342"/>
        <v>10770</v>
      </c>
      <c r="BI143" s="43">
        <f t="shared" si="342"/>
        <v>10770</v>
      </c>
      <c r="BJ143" s="52">
        <f t="shared" si="342"/>
        <v>0</v>
      </c>
      <c r="BK143" s="52">
        <f t="shared" si="342"/>
        <v>0</v>
      </c>
      <c r="BL143" s="52">
        <f t="shared" si="342"/>
        <v>0</v>
      </c>
      <c r="BM143" s="52">
        <f t="shared" si="342"/>
        <v>4705</v>
      </c>
      <c r="BN143" s="43">
        <f t="shared" si="342"/>
        <v>4705</v>
      </c>
      <c r="BO143" s="52">
        <f t="shared" ref="BO143:DG143" si="343">BO19-BO132-BO134</f>
        <v>0</v>
      </c>
      <c r="BP143" s="52">
        <f t="shared" si="343"/>
        <v>0</v>
      </c>
      <c r="BQ143" s="52">
        <f t="shared" si="343"/>
        <v>0</v>
      </c>
      <c r="BR143" s="52">
        <f t="shared" si="343"/>
        <v>19719</v>
      </c>
      <c r="BS143" s="43">
        <f t="shared" si="343"/>
        <v>19719</v>
      </c>
      <c r="BT143" s="52">
        <f t="shared" si="343"/>
        <v>0</v>
      </c>
      <c r="BU143" s="52">
        <f t="shared" si="343"/>
        <v>0</v>
      </c>
      <c r="BV143" s="52">
        <f t="shared" si="343"/>
        <v>0</v>
      </c>
      <c r="BW143" s="52">
        <f t="shared" si="343"/>
        <v>18365</v>
      </c>
      <c r="BX143" s="43">
        <f t="shared" si="343"/>
        <v>18365</v>
      </c>
      <c r="BY143" s="52">
        <f t="shared" si="343"/>
        <v>0</v>
      </c>
      <c r="BZ143" s="52">
        <f t="shared" si="343"/>
        <v>0</v>
      </c>
      <c r="CA143" s="52">
        <f t="shared" si="343"/>
        <v>0</v>
      </c>
      <c r="CB143" s="52">
        <f>CB19-CB132-CB134</f>
        <v>19363</v>
      </c>
      <c r="CC143" s="43">
        <f t="shared" si="343"/>
        <v>19363</v>
      </c>
      <c r="CD143" s="52">
        <f>CD19-CD132-CD134</f>
        <v>20956</v>
      </c>
      <c r="CE143" s="52">
        <f>CE19-CE132-CE134</f>
        <v>26886</v>
      </c>
      <c r="CF143" s="52">
        <f t="shared" si="343"/>
        <v>27681</v>
      </c>
      <c r="CG143" s="52">
        <f>CG19-CG132-CG134</f>
        <v>28604</v>
      </c>
      <c r="CH143" s="43">
        <f t="shared" si="343"/>
        <v>28604</v>
      </c>
      <c r="CI143" s="52">
        <f t="shared" si="343"/>
        <v>35901</v>
      </c>
      <c r="CJ143" s="52">
        <f t="shared" si="343"/>
        <v>37005</v>
      </c>
      <c r="CK143" s="52">
        <f>CK19-CK132-CK134</f>
        <v>34840</v>
      </c>
      <c r="CL143" s="52">
        <f>CL19-CL132-CL134</f>
        <v>98019</v>
      </c>
      <c r="CM143" s="43">
        <f t="shared" si="343"/>
        <v>98019</v>
      </c>
      <c r="CN143" s="52">
        <f>CN19-CN132-CN134</f>
        <v>102127</v>
      </c>
      <c r="CO143" s="52">
        <f>CO19-CO132-CO134</f>
        <v>105720</v>
      </c>
      <c r="CP143" s="52">
        <f>CP19-CP132-CP134</f>
        <v>108371</v>
      </c>
      <c r="CQ143" s="52">
        <f t="shared" si="343"/>
        <v>106557</v>
      </c>
      <c r="CR143" s="43">
        <f t="shared" si="343"/>
        <v>106557</v>
      </c>
      <c r="CS143" s="52">
        <f t="shared" si="343"/>
        <v>112512</v>
      </c>
      <c r="CT143" s="52">
        <f t="shared" si="343"/>
        <v>107435</v>
      </c>
      <c r="CU143" s="52">
        <f>CU19-CU132-CU134</f>
        <v>102633</v>
      </c>
      <c r="CV143" s="52">
        <f>CV19-CV132-CV134</f>
        <v>112866</v>
      </c>
      <c r="CW143" s="43">
        <f t="shared" si="343"/>
        <v>112866</v>
      </c>
      <c r="CX143" s="52">
        <f>CX19-CX132-CX134</f>
        <v>112156</v>
      </c>
      <c r="CY143" s="52">
        <f>CY19-CY132-CY134</f>
        <v>47938</v>
      </c>
      <c r="CZ143" s="52">
        <f>CZ19-CZ132-CZ134</f>
        <v>45342</v>
      </c>
      <c r="DA143" s="52">
        <f>DA19-DA132-DA134</f>
        <v>44250</v>
      </c>
      <c r="DB143" s="43">
        <f t="shared" si="343"/>
        <v>44250</v>
      </c>
      <c r="DC143" s="52">
        <f t="shared" si="343"/>
        <v>42415</v>
      </c>
      <c r="DD143" s="52">
        <f t="shared" si="343"/>
        <v>43104</v>
      </c>
      <c r="DE143" s="52">
        <f t="shared" si="343"/>
        <v>43438</v>
      </c>
      <c r="DF143" s="52">
        <f t="shared" si="343"/>
        <v>43337</v>
      </c>
      <c r="DG143" s="43">
        <f t="shared" si="343"/>
        <v>43337</v>
      </c>
      <c r="DH143" s="52">
        <f t="shared" ref="DH143" si="344">DH19-DH132-DH134</f>
        <v>39627</v>
      </c>
      <c r="DI143" s="52">
        <f t="shared" ref="DI143:EF143" si="345">DI19-DI132-DI134</f>
        <v>32230</v>
      </c>
      <c r="DJ143" s="52">
        <f t="shared" si="345"/>
        <v>32810.343787467922</v>
      </c>
      <c r="DK143" s="52">
        <f t="shared" si="345"/>
        <v>33401.446213151125</v>
      </c>
      <c r="DL143" s="43">
        <f t="shared" si="345"/>
        <v>33401.446213151125</v>
      </c>
      <c r="DM143" s="52">
        <f t="shared" si="345"/>
        <v>34003.508372289369</v>
      </c>
      <c r="DN143" s="52">
        <f t="shared" si="345"/>
        <v>34616.735127434207</v>
      </c>
      <c r="DO143" s="52">
        <f t="shared" si="345"/>
        <v>35241.335179069574</v>
      </c>
      <c r="DP143" s="52">
        <f t="shared" si="345"/>
        <v>35877.521137556381</v>
      </c>
      <c r="DQ143" s="43">
        <f t="shared" si="345"/>
        <v>35877.521137556381</v>
      </c>
      <c r="DR143" s="52">
        <f t="shared" si="345"/>
        <v>36525.509596426076</v>
      </c>
      <c r="DS143" s="52">
        <f t="shared" si="345"/>
        <v>37185.521207048288</v>
      </c>
      <c r="DT143" s="52">
        <f t="shared" si="345"/>
        <v>37857.780754698397</v>
      </c>
      <c r="DU143" s="52">
        <f t="shared" si="345"/>
        <v>38542.517236051404</v>
      </c>
      <c r="DV143" s="43">
        <f t="shared" si="345"/>
        <v>38542.517236051404</v>
      </c>
      <c r="DW143" s="52">
        <f t="shared" si="345"/>
        <v>39239.963938128552</v>
      </c>
      <c r="DX143" s="52">
        <f t="shared" si="345"/>
        <v>39950.358518724257</v>
      </c>
      <c r="DY143" s="52">
        <f t="shared" si="345"/>
        <v>40673.943088340886</v>
      </c>
      <c r="DZ143" s="52">
        <f t="shared" si="345"/>
        <v>41410.964293659716</v>
      </c>
      <c r="EA143" s="43">
        <f t="shared" si="345"/>
        <v>41410.964293659716</v>
      </c>
      <c r="EB143" s="52">
        <f t="shared" si="345"/>
        <v>42161.673402576911</v>
      </c>
      <c r="EC143" s="52">
        <f t="shared" si="345"/>
        <v>42926.326390833856</v>
      </c>
      <c r="ED143" s="52">
        <f t="shared" si="345"/>
        <v>43705.184030271645</v>
      </c>
      <c r="EE143" s="52">
        <f t="shared" si="345"/>
        <v>44498.511978740338</v>
      </c>
      <c r="EF143" s="43">
        <f t="shared" si="345"/>
        <v>44498.511978740338</v>
      </c>
    </row>
    <row r="144" spans="1:136">
      <c r="A144" s="1" t="s">
        <v>256</v>
      </c>
      <c r="B144" s="52">
        <f t="shared" ref="B144:AE144" si="346">B18+B7+B15</f>
        <v>0</v>
      </c>
      <c r="C144" s="52">
        <f t="shared" si="346"/>
        <v>0</v>
      </c>
      <c r="D144" s="52">
        <f t="shared" si="346"/>
        <v>0</v>
      </c>
      <c r="E144" s="52">
        <f t="shared" si="346"/>
        <v>0</v>
      </c>
      <c r="F144" s="67">
        <f t="shared" si="346"/>
        <v>0</v>
      </c>
      <c r="G144" s="52">
        <f t="shared" si="346"/>
        <v>0</v>
      </c>
      <c r="H144" s="52">
        <f t="shared" si="346"/>
        <v>0</v>
      </c>
      <c r="I144" s="52">
        <f t="shared" si="346"/>
        <v>0</v>
      </c>
      <c r="J144" s="52">
        <f t="shared" si="346"/>
        <v>0</v>
      </c>
      <c r="K144" s="67">
        <f t="shared" si="346"/>
        <v>0</v>
      </c>
      <c r="L144" s="52">
        <f t="shared" si="346"/>
        <v>0</v>
      </c>
      <c r="M144" s="52">
        <f t="shared" si="346"/>
        <v>0</v>
      </c>
      <c r="N144" s="52">
        <f t="shared" si="346"/>
        <v>0</v>
      </c>
      <c r="O144" s="52">
        <f t="shared" si="346"/>
        <v>0</v>
      </c>
      <c r="P144" s="67">
        <f t="shared" si="346"/>
        <v>0</v>
      </c>
      <c r="Q144" s="52">
        <f t="shared" si="346"/>
        <v>0</v>
      </c>
      <c r="R144" s="52">
        <f t="shared" si="346"/>
        <v>0</v>
      </c>
      <c r="S144" s="52">
        <f t="shared" si="346"/>
        <v>0</v>
      </c>
      <c r="T144" s="52">
        <f t="shared" si="346"/>
        <v>0</v>
      </c>
      <c r="U144" s="67">
        <f t="shared" si="346"/>
        <v>0</v>
      </c>
      <c r="V144" s="52">
        <f t="shared" si="346"/>
        <v>0</v>
      </c>
      <c r="W144" s="52">
        <f t="shared" si="346"/>
        <v>0</v>
      </c>
      <c r="X144" s="52">
        <f t="shared" si="346"/>
        <v>0</v>
      </c>
      <c r="Y144" s="52">
        <f t="shared" si="346"/>
        <v>0</v>
      </c>
      <c r="Z144" s="67">
        <f t="shared" si="346"/>
        <v>0</v>
      </c>
      <c r="AA144" s="52">
        <f t="shared" si="346"/>
        <v>0</v>
      </c>
      <c r="AB144" s="52">
        <f t="shared" si="346"/>
        <v>0</v>
      </c>
      <c r="AC144" s="52">
        <f t="shared" si="346"/>
        <v>0</v>
      </c>
      <c r="AD144" s="52">
        <f t="shared" si="346"/>
        <v>0</v>
      </c>
      <c r="AE144" s="67">
        <f t="shared" si="346"/>
        <v>0</v>
      </c>
      <c r="AF144" s="52">
        <f t="shared" ref="AF144:BN144" si="347">AF18+AF7+AF15</f>
        <v>0</v>
      </c>
      <c r="AG144" s="52">
        <f t="shared" si="347"/>
        <v>0</v>
      </c>
      <c r="AH144" s="52">
        <f t="shared" si="347"/>
        <v>0</v>
      </c>
      <c r="AI144" s="52">
        <f t="shared" si="347"/>
        <v>29272.731</v>
      </c>
      <c r="AJ144" s="43">
        <f t="shared" si="347"/>
        <v>29272.731</v>
      </c>
      <c r="AK144" s="52">
        <f t="shared" si="347"/>
        <v>0</v>
      </c>
      <c r="AL144" s="52">
        <f t="shared" si="347"/>
        <v>0</v>
      </c>
      <c r="AM144" s="52">
        <f t="shared" si="347"/>
        <v>0</v>
      </c>
      <c r="AN144" s="52">
        <f t="shared" si="347"/>
        <v>34187.697</v>
      </c>
      <c r="AO144" s="43">
        <f t="shared" si="347"/>
        <v>34187.697</v>
      </c>
      <c r="AP144" s="52">
        <f t="shared" si="347"/>
        <v>0</v>
      </c>
      <c r="AQ144" s="52">
        <f t="shared" si="347"/>
        <v>0</v>
      </c>
      <c r="AR144" s="52">
        <f t="shared" si="347"/>
        <v>0</v>
      </c>
      <c r="AS144" s="52">
        <f t="shared" si="347"/>
        <v>40027.500999999997</v>
      </c>
      <c r="AT144" s="43">
        <f t="shared" si="347"/>
        <v>40027.500999999997</v>
      </c>
      <c r="AU144" s="52">
        <f t="shared" si="347"/>
        <v>0</v>
      </c>
      <c r="AV144" s="52">
        <f t="shared" si="347"/>
        <v>0</v>
      </c>
      <c r="AW144" s="52">
        <f t="shared" si="347"/>
        <v>0</v>
      </c>
      <c r="AX144" s="52">
        <f t="shared" si="347"/>
        <v>28196</v>
      </c>
      <c r="AY144" s="43">
        <f t="shared" si="347"/>
        <v>28196</v>
      </c>
      <c r="AZ144" s="52">
        <f t="shared" si="347"/>
        <v>0</v>
      </c>
      <c r="BA144" s="52">
        <f t="shared" si="347"/>
        <v>0</v>
      </c>
      <c r="BB144" s="52">
        <f t="shared" si="347"/>
        <v>0</v>
      </c>
      <c r="BC144" s="52">
        <f t="shared" si="347"/>
        <v>21110</v>
      </c>
      <c r="BD144" s="43">
        <f t="shared" si="347"/>
        <v>21110</v>
      </c>
      <c r="BE144" s="52">
        <f t="shared" si="347"/>
        <v>0</v>
      </c>
      <c r="BF144" s="52">
        <f t="shared" si="347"/>
        <v>0</v>
      </c>
      <c r="BG144" s="52">
        <f t="shared" si="347"/>
        <v>0</v>
      </c>
      <c r="BH144" s="52">
        <f t="shared" si="347"/>
        <v>37432</v>
      </c>
      <c r="BI144" s="43">
        <f t="shared" si="347"/>
        <v>37432</v>
      </c>
      <c r="BJ144" s="52">
        <f t="shared" si="347"/>
        <v>0</v>
      </c>
      <c r="BK144" s="52">
        <f t="shared" si="347"/>
        <v>0</v>
      </c>
      <c r="BL144" s="52">
        <f t="shared" si="347"/>
        <v>0</v>
      </c>
      <c r="BM144" s="52">
        <f t="shared" si="347"/>
        <v>32250</v>
      </c>
      <c r="BN144" s="43">
        <f t="shared" si="347"/>
        <v>32250</v>
      </c>
      <c r="BO144" s="52">
        <f t="shared" ref="BO144:DG144" si="348">BO18+BO7+BO15</f>
        <v>0</v>
      </c>
      <c r="BP144" s="52">
        <f t="shared" si="348"/>
        <v>0</v>
      </c>
      <c r="BQ144" s="52">
        <f t="shared" si="348"/>
        <v>0</v>
      </c>
      <c r="BR144" s="52">
        <f t="shared" si="348"/>
        <v>26384</v>
      </c>
      <c r="BS144" s="43">
        <f t="shared" si="348"/>
        <v>26384</v>
      </c>
      <c r="BT144" s="52">
        <f t="shared" si="348"/>
        <v>0</v>
      </c>
      <c r="BU144" s="52">
        <f t="shared" si="348"/>
        <v>0</v>
      </c>
      <c r="BV144" s="52">
        <f t="shared" si="348"/>
        <v>0</v>
      </c>
      <c r="BW144" s="52">
        <f t="shared" si="348"/>
        <v>36189</v>
      </c>
      <c r="BX144" s="43">
        <f t="shared" si="348"/>
        <v>36189</v>
      </c>
      <c r="BY144" s="52">
        <f t="shared" si="348"/>
        <v>0</v>
      </c>
      <c r="BZ144" s="52">
        <f t="shared" si="348"/>
        <v>0</v>
      </c>
      <c r="CA144" s="52">
        <f t="shared" si="348"/>
        <v>0</v>
      </c>
      <c r="CB144" s="52">
        <f>CB18+CB7+CB15</f>
        <v>58456</v>
      </c>
      <c r="CC144" s="43">
        <f t="shared" si="348"/>
        <v>58456</v>
      </c>
      <c r="CD144" s="52">
        <f>CD18+CD7+CD15</f>
        <v>62023</v>
      </c>
      <c r="CE144" s="52">
        <f>CE18+CE7+CE15</f>
        <v>59115</v>
      </c>
      <c r="CF144" s="52">
        <f t="shared" si="348"/>
        <v>53599</v>
      </c>
      <c r="CG144" s="52">
        <f>CG18+CG7+CG15</f>
        <v>40822</v>
      </c>
      <c r="CH144" s="43">
        <f t="shared" si="348"/>
        <v>40822</v>
      </c>
      <c r="CI144" s="52">
        <f t="shared" si="348"/>
        <v>40099</v>
      </c>
      <c r="CJ144" s="52">
        <f t="shared" si="348"/>
        <v>34323</v>
      </c>
      <c r="CK144" s="52">
        <f>CK18+CK7+CK15</f>
        <v>43326</v>
      </c>
      <c r="CL144" s="52">
        <f>CL18+CL7+CL15</f>
        <v>43675</v>
      </c>
      <c r="CM144" s="43">
        <f t="shared" si="348"/>
        <v>43675</v>
      </c>
      <c r="CN144" s="52">
        <f>CN18+CN7+CN15</f>
        <v>46467</v>
      </c>
      <c r="CO144" s="52">
        <f>CO18+CO7+CO15</f>
        <v>52952</v>
      </c>
      <c r="CP144" s="52">
        <f>CP18+CP7+CP15</f>
        <v>61443</v>
      </c>
      <c r="CQ144" s="52">
        <f t="shared" si="348"/>
        <v>68096</v>
      </c>
      <c r="CR144" s="43">
        <f t="shared" si="348"/>
        <v>68096</v>
      </c>
      <c r="CS144" s="52">
        <f t="shared" si="348"/>
        <v>75907</v>
      </c>
      <c r="CT144" s="52">
        <f t="shared" si="348"/>
        <v>88613</v>
      </c>
      <c r="CU144" s="52">
        <f>CU18+CU7+CU15</f>
        <v>108175</v>
      </c>
      <c r="CV144" s="52">
        <f>CV18+CV7+CV15</f>
        <v>117856</v>
      </c>
      <c r="CW144" s="43">
        <f t="shared" si="348"/>
        <v>117856</v>
      </c>
      <c r="CX144" s="52">
        <f>CX18+CX7+CX15</f>
        <v>127740</v>
      </c>
      <c r="CY144" s="52">
        <f>CY18+CY7+CY15</f>
        <v>169771</v>
      </c>
      <c r="CZ144" s="52">
        <f>CZ18+CZ7+CZ15</f>
        <v>174519</v>
      </c>
      <c r="DA144" s="52">
        <f>DA18+DA7+DA15</f>
        <v>182458</v>
      </c>
      <c r="DB144" s="43">
        <f t="shared" si="348"/>
        <v>182458</v>
      </c>
      <c r="DC144" s="52">
        <f t="shared" si="348"/>
        <v>185704</v>
      </c>
      <c r="DD144" s="52">
        <f t="shared" si="348"/>
        <v>221690</v>
      </c>
      <c r="DE144" s="52">
        <f t="shared" si="348"/>
        <v>230284</v>
      </c>
      <c r="DF144" s="52">
        <f t="shared" si="348"/>
        <v>247356</v>
      </c>
      <c r="DG144" s="43">
        <f t="shared" si="348"/>
        <v>247356</v>
      </c>
      <c r="DH144" s="52">
        <f t="shared" ref="DH144" si="349">DH18+DH7+DH15</f>
        <v>256263</v>
      </c>
      <c r="DI144" s="52">
        <f t="shared" ref="DI144:EF144" si="350">DI18+DI7+DI15</f>
        <v>276299</v>
      </c>
      <c r="DJ144" s="52">
        <f t="shared" si="350"/>
        <v>276669.6449398683</v>
      </c>
      <c r="DK144" s="52">
        <f t="shared" si="350"/>
        <v>277523.82272457576</v>
      </c>
      <c r="DL144" s="43">
        <f t="shared" si="350"/>
        <v>277523.82272457576</v>
      </c>
      <c r="DM144" s="52">
        <f t="shared" si="350"/>
        <v>277714.21157018922</v>
      </c>
      <c r="DN144" s="52">
        <f t="shared" si="350"/>
        <v>278159.6573715132</v>
      </c>
      <c r="DO144" s="52">
        <f t="shared" si="350"/>
        <v>278440.27801060979</v>
      </c>
      <c r="DP144" s="52">
        <f t="shared" si="350"/>
        <v>278565.26190034766</v>
      </c>
      <c r="DQ144" s="43">
        <f t="shared" si="350"/>
        <v>278565.26190034766</v>
      </c>
      <c r="DR144" s="52">
        <f t="shared" si="350"/>
        <v>278785.48029093823</v>
      </c>
      <c r="DS144" s="52">
        <f t="shared" si="350"/>
        <v>278984.80437790527</v>
      </c>
      <c r="DT144" s="52">
        <f t="shared" si="350"/>
        <v>279189.78726056352</v>
      </c>
      <c r="DU144" s="52">
        <f t="shared" si="350"/>
        <v>279373.78151051316</v>
      </c>
      <c r="DV144" s="43">
        <f t="shared" si="350"/>
        <v>279373.78151051316</v>
      </c>
      <c r="DW144" s="52">
        <f t="shared" si="350"/>
        <v>279544.79917280097</v>
      </c>
      <c r="DX144" s="52">
        <f t="shared" si="350"/>
        <v>279719.8580419771</v>
      </c>
      <c r="DY144" s="52">
        <f t="shared" si="350"/>
        <v>279886.1106957497</v>
      </c>
      <c r="DZ144" s="52">
        <f t="shared" si="350"/>
        <v>280048.99908442731</v>
      </c>
      <c r="EA144" s="43">
        <f t="shared" si="350"/>
        <v>280048.99908442731</v>
      </c>
      <c r="EB144" s="52">
        <f t="shared" si="350"/>
        <v>280204.3980392238</v>
      </c>
      <c r="EC144" s="52">
        <f t="shared" si="350"/>
        <v>280356.65188251843</v>
      </c>
      <c r="ED144" s="52">
        <f t="shared" si="350"/>
        <v>280505.78068913339</v>
      </c>
      <c r="EE144" s="52">
        <f t="shared" si="350"/>
        <v>280656.23066121479</v>
      </c>
      <c r="EF144" s="43">
        <f t="shared" si="350"/>
        <v>280656.23066121479</v>
      </c>
    </row>
    <row r="145" spans="1:136">
      <c r="A145" s="1" t="s">
        <v>203</v>
      </c>
      <c r="B145" s="52">
        <f t="shared" ref="B145:K145" si="351">SUM(B146:B149)</f>
        <v>0</v>
      </c>
      <c r="C145" s="52">
        <f t="shared" si="351"/>
        <v>0</v>
      </c>
      <c r="D145" s="52">
        <f t="shared" si="351"/>
        <v>0</v>
      </c>
      <c r="E145" s="52">
        <f t="shared" si="351"/>
        <v>0</v>
      </c>
      <c r="F145" s="67">
        <f t="shared" si="351"/>
        <v>0</v>
      </c>
      <c r="G145" s="52">
        <f t="shared" si="351"/>
        <v>0</v>
      </c>
      <c r="H145" s="52">
        <f t="shared" si="351"/>
        <v>0</v>
      </c>
      <c r="I145" s="52">
        <f t="shared" si="351"/>
        <v>0</v>
      </c>
      <c r="J145" s="52">
        <f t="shared" si="351"/>
        <v>0</v>
      </c>
      <c r="K145" s="67">
        <f t="shared" si="351"/>
        <v>0</v>
      </c>
      <c r="L145" s="52">
        <f t="shared" ref="L145:AE145" si="352">SUM(L146:L149)</f>
        <v>0</v>
      </c>
      <c r="M145" s="52">
        <f t="shared" si="352"/>
        <v>0</v>
      </c>
      <c r="N145" s="52">
        <f t="shared" si="352"/>
        <v>0</v>
      </c>
      <c r="O145" s="52">
        <f t="shared" si="352"/>
        <v>0</v>
      </c>
      <c r="P145" s="67">
        <f t="shared" si="352"/>
        <v>0</v>
      </c>
      <c r="Q145" s="52">
        <f t="shared" si="352"/>
        <v>0</v>
      </c>
      <c r="R145" s="52">
        <f t="shared" si="352"/>
        <v>0</v>
      </c>
      <c r="S145" s="52">
        <f t="shared" si="352"/>
        <v>0</v>
      </c>
      <c r="T145" s="52">
        <f t="shared" si="352"/>
        <v>0</v>
      </c>
      <c r="U145" s="67">
        <f t="shared" si="352"/>
        <v>0</v>
      </c>
      <c r="V145" s="52">
        <f t="shared" si="352"/>
        <v>0</v>
      </c>
      <c r="W145" s="52">
        <f t="shared" si="352"/>
        <v>0</v>
      </c>
      <c r="X145" s="52">
        <f t="shared" si="352"/>
        <v>0</v>
      </c>
      <c r="Y145" s="52">
        <f t="shared" si="352"/>
        <v>0</v>
      </c>
      <c r="Z145" s="67">
        <f t="shared" si="352"/>
        <v>0</v>
      </c>
      <c r="AA145" s="52">
        <f t="shared" si="352"/>
        <v>0</v>
      </c>
      <c r="AB145" s="52">
        <f t="shared" si="352"/>
        <v>0</v>
      </c>
      <c r="AC145" s="52">
        <f t="shared" si="352"/>
        <v>0</v>
      </c>
      <c r="AD145" s="52">
        <f t="shared" si="352"/>
        <v>0</v>
      </c>
      <c r="AE145" s="67">
        <f t="shared" si="352"/>
        <v>0</v>
      </c>
      <c r="AF145" s="52">
        <f t="shared" ref="AF145:BN145" si="353">SUM(AF146:AF149)</f>
        <v>0</v>
      </c>
      <c r="AG145" s="52">
        <f t="shared" si="353"/>
        <v>0</v>
      </c>
      <c r="AH145" s="52">
        <f t="shared" si="353"/>
        <v>0</v>
      </c>
      <c r="AI145" s="52">
        <f t="shared" si="353"/>
        <v>194375.10900000003</v>
      </c>
      <c r="AJ145" s="43">
        <f t="shared" si="353"/>
        <v>194375.10900000003</v>
      </c>
      <c r="AK145" s="52">
        <f t="shared" si="353"/>
        <v>0</v>
      </c>
      <c r="AL145" s="52">
        <f t="shared" si="353"/>
        <v>0</v>
      </c>
      <c r="AM145" s="52">
        <f t="shared" si="353"/>
        <v>0</v>
      </c>
      <c r="AN145" s="52">
        <f t="shared" si="353"/>
        <v>285285.33299999998</v>
      </c>
      <c r="AO145" s="43">
        <f t="shared" si="353"/>
        <v>285285.33299999998</v>
      </c>
      <c r="AP145" s="52">
        <f t="shared" si="353"/>
        <v>0</v>
      </c>
      <c r="AQ145" s="52">
        <f t="shared" si="353"/>
        <v>0</v>
      </c>
      <c r="AR145" s="52">
        <f t="shared" si="353"/>
        <v>0</v>
      </c>
      <c r="AS145" s="52">
        <f t="shared" si="353"/>
        <v>369911.20100000006</v>
      </c>
      <c r="AT145" s="43">
        <f t="shared" si="353"/>
        <v>369911.20100000006</v>
      </c>
      <c r="AU145" s="52">
        <f t="shared" si="353"/>
        <v>0</v>
      </c>
      <c r="AV145" s="52">
        <f t="shared" si="353"/>
        <v>0</v>
      </c>
      <c r="AW145" s="52">
        <f t="shared" si="353"/>
        <v>0</v>
      </c>
      <c r="AX145" s="52">
        <f t="shared" si="353"/>
        <v>300501</v>
      </c>
      <c r="AY145" s="43">
        <f t="shared" si="353"/>
        <v>300501</v>
      </c>
      <c r="AZ145" s="52">
        <f t="shared" si="353"/>
        <v>0</v>
      </c>
      <c r="BA145" s="52">
        <f t="shared" si="353"/>
        <v>0</v>
      </c>
      <c r="BB145" s="52">
        <f t="shared" si="353"/>
        <v>0</v>
      </c>
      <c r="BC145" s="52">
        <f t="shared" si="353"/>
        <v>423438</v>
      </c>
      <c r="BD145" s="43">
        <f t="shared" si="353"/>
        <v>423438</v>
      </c>
      <c r="BE145" s="52">
        <f t="shared" si="353"/>
        <v>0</v>
      </c>
      <c r="BF145" s="52">
        <f t="shared" si="353"/>
        <v>0</v>
      </c>
      <c r="BG145" s="52">
        <f t="shared" si="353"/>
        <v>0</v>
      </c>
      <c r="BH145" s="52">
        <f t="shared" si="353"/>
        <v>667356</v>
      </c>
      <c r="BI145" s="43">
        <f t="shared" si="353"/>
        <v>667356</v>
      </c>
      <c r="BJ145" s="52">
        <f t="shared" si="353"/>
        <v>0</v>
      </c>
      <c r="BK145" s="52">
        <f t="shared" si="353"/>
        <v>0</v>
      </c>
      <c r="BL145" s="52">
        <f t="shared" si="353"/>
        <v>0</v>
      </c>
      <c r="BM145" s="52">
        <f t="shared" si="353"/>
        <v>825819</v>
      </c>
      <c r="BN145" s="43">
        <f t="shared" si="353"/>
        <v>825819</v>
      </c>
      <c r="BO145" s="52">
        <f t="shared" ref="BO145:CC145" si="354">SUM(BO146:BO149)</f>
        <v>0</v>
      </c>
      <c r="BP145" s="52">
        <f t="shared" si="354"/>
        <v>0</v>
      </c>
      <c r="BQ145" s="52">
        <f t="shared" si="354"/>
        <v>0</v>
      </c>
      <c r="BR145" s="52">
        <f t="shared" si="354"/>
        <v>938997</v>
      </c>
      <c r="BS145" s="43">
        <f t="shared" si="354"/>
        <v>938997</v>
      </c>
      <c r="BT145" s="52">
        <f t="shared" si="354"/>
        <v>0</v>
      </c>
      <c r="BU145" s="52">
        <f>SUM(BU146:BU149)</f>
        <v>0</v>
      </c>
      <c r="BV145" s="52">
        <f t="shared" si="354"/>
        <v>0</v>
      </c>
      <c r="BW145" s="52">
        <f>SUM(BW146:BW149)</f>
        <v>782870</v>
      </c>
      <c r="BX145" s="43">
        <f t="shared" si="354"/>
        <v>782870</v>
      </c>
      <c r="BY145" s="52">
        <f t="shared" si="354"/>
        <v>0</v>
      </c>
      <c r="BZ145" s="52">
        <f t="shared" si="354"/>
        <v>0</v>
      </c>
      <c r="CA145" s="52">
        <f t="shared" si="354"/>
        <v>0</v>
      </c>
      <c r="CB145" s="52">
        <f>SUM(CB146:CB149)</f>
        <v>924201</v>
      </c>
      <c r="CC145" s="43">
        <f t="shared" si="354"/>
        <v>924201</v>
      </c>
      <c r="CD145" s="52">
        <f>SUM(CD146:CD149)</f>
        <v>888251</v>
      </c>
      <c r="CE145" s="52">
        <f>SUM(CE146:CE149)</f>
        <v>1010396</v>
      </c>
      <c r="CF145" s="52">
        <f t="shared" ref="CF145:DG145" si="355">SUM(CF146:CF149)</f>
        <v>1164609</v>
      </c>
      <c r="CG145" s="52">
        <f>SUM(CG146:CG149)</f>
        <v>1002325</v>
      </c>
      <c r="CH145" s="43">
        <f t="shared" si="355"/>
        <v>1002325</v>
      </c>
      <c r="CI145" s="52">
        <f t="shared" si="355"/>
        <v>1224582</v>
      </c>
      <c r="CJ145" s="52">
        <f t="shared" si="355"/>
        <v>1341185</v>
      </c>
      <c r="CK145" s="52">
        <f>SUM(CK146:CK149)</f>
        <v>1420019</v>
      </c>
      <c r="CL145" s="52">
        <f>SUM(CL146:CL149)</f>
        <v>1859594</v>
      </c>
      <c r="CM145" s="43">
        <f t="shared" si="355"/>
        <v>1859594</v>
      </c>
      <c r="CN145" s="52">
        <f>SUM(CN146:CN149)</f>
        <v>2141767</v>
      </c>
      <c r="CO145" s="52">
        <f>SUM(CO146:CO149)</f>
        <v>2121385</v>
      </c>
      <c r="CP145" s="52">
        <f>SUM(CP146:CP149)</f>
        <v>1912520</v>
      </c>
      <c r="CQ145" s="52">
        <f t="shared" si="355"/>
        <v>1920683</v>
      </c>
      <c r="CR145" s="43">
        <f t="shared" si="355"/>
        <v>1920683</v>
      </c>
      <c r="CS145" s="52">
        <f t="shared" si="355"/>
        <v>1764183</v>
      </c>
      <c r="CT145" s="52">
        <f t="shared" si="355"/>
        <v>1734163</v>
      </c>
      <c r="CU145" s="52">
        <f>SUM(CU146:CU149)</f>
        <v>2094448</v>
      </c>
      <c r="CV145" s="52">
        <f>SUM(CV146:CV149)</f>
        <v>2095043</v>
      </c>
      <c r="CW145" s="43">
        <f t="shared" si="355"/>
        <v>2095043</v>
      </c>
      <c r="CX145" s="52">
        <f>SUM(CX146:CX149)</f>
        <v>2254035</v>
      </c>
      <c r="CY145" s="52">
        <f>SUM(CY146:CY149)</f>
        <v>2930701</v>
      </c>
      <c r="CZ145" s="52">
        <f>SUM(CZ146:CZ149)</f>
        <v>2723972</v>
      </c>
      <c r="DA145" s="52">
        <f>SUM(DA146:DA149)</f>
        <v>3029756</v>
      </c>
      <c r="DB145" s="43">
        <f t="shared" si="355"/>
        <v>3029756</v>
      </c>
      <c r="DC145" s="52">
        <f t="shared" si="355"/>
        <v>3509484</v>
      </c>
      <c r="DD145" s="52">
        <f t="shared" si="355"/>
        <v>3605670</v>
      </c>
      <c r="DE145" s="52">
        <f t="shared" si="355"/>
        <v>3989868</v>
      </c>
      <c r="DF145" s="52">
        <f t="shared" si="355"/>
        <v>3992341</v>
      </c>
      <c r="DG145" s="43">
        <f t="shared" si="355"/>
        <v>3992341</v>
      </c>
      <c r="DH145" s="52">
        <f t="shared" ref="DH145" si="356">SUM(DH146:DH149)</f>
        <v>4303517</v>
      </c>
      <c r="DI145" s="52">
        <f t="shared" ref="DI145:EF145" si="357">SUM(DI146:DI149)</f>
        <v>4229668</v>
      </c>
      <c r="DJ145" s="52">
        <f t="shared" si="357"/>
        <v>4410213.0334490575</v>
      </c>
      <c r="DK145" s="52">
        <f t="shared" si="357"/>
        <v>4469894.7422868162</v>
      </c>
      <c r="DL145" s="43">
        <f t="shared" si="357"/>
        <v>4469894.7422868162</v>
      </c>
      <c r="DM145" s="52">
        <f t="shared" si="357"/>
        <v>4588619.381623554</v>
      </c>
      <c r="DN145" s="52">
        <f t="shared" si="357"/>
        <v>4693544.396119684</v>
      </c>
      <c r="DO145" s="52">
        <f t="shared" si="357"/>
        <v>4780728.5189605597</v>
      </c>
      <c r="DP145" s="52">
        <f t="shared" ca="1" si="357"/>
        <v>5102476.225432693</v>
      </c>
      <c r="DQ145" s="43">
        <f t="shared" ca="1" si="357"/>
        <v>5102476.225432693</v>
      </c>
      <c r="DR145" s="52">
        <f t="shared" ca="1" si="357"/>
        <v>5177220.2017182913</v>
      </c>
      <c r="DS145" s="52">
        <f t="shared" si="357"/>
        <v>4997814.0504462402</v>
      </c>
      <c r="DT145" s="52">
        <f t="shared" si="357"/>
        <v>5065181.7086835206</v>
      </c>
      <c r="DU145" s="52">
        <f t="shared" si="357"/>
        <v>5129924.9377927491</v>
      </c>
      <c r="DV145" s="43">
        <f t="shared" si="357"/>
        <v>5129924.9377927491</v>
      </c>
      <c r="DW145" s="52">
        <f t="shared" si="357"/>
        <v>5192725.729543292</v>
      </c>
      <c r="DX145" s="52">
        <f t="shared" si="357"/>
        <v>5254565.340152056</v>
      </c>
      <c r="DY145" s="52">
        <f t="shared" si="357"/>
        <v>5315086.5191816567</v>
      </c>
      <c r="DZ145" s="52">
        <f t="shared" si="357"/>
        <v>5374682.8303293111</v>
      </c>
      <c r="EA145" s="43">
        <f t="shared" si="357"/>
        <v>5374682.8303293111</v>
      </c>
      <c r="EB145" s="52">
        <f t="shared" si="357"/>
        <v>5433312.125605382</v>
      </c>
      <c r="EC145" s="52">
        <f t="shared" si="357"/>
        <v>5461750.7704599742</v>
      </c>
      <c r="ED145" s="52">
        <f t="shared" si="357"/>
        <v>5459776.5780990068</v>
      </c>
      <c r="EE145" s="52">
        <f t="shared" si="357"/>
        <v>5427342.9446331197</v>
      </c>
      <c r="EF145" s="43">
        <f t="shared" si="357"/>
        <v>5427342.9446331197</v>
      </c>
    </row>
    <row r="146" spans="1:136">
      <c r="A146" s="1" t="s">
        <v>257</v>
      </c>
      <c r="B146" s="52">
        <f t="shared" ref="B146:AE146" si="358">B28</f>
        <v>0</v>
      </c>
      <c r="C146" s="52">
        <f t="shared" si="358"/>
        <v>0</v>
      </c>
      <c r="D146" s="52">
        <f t="shared" si="358"/>
        <v>0</v>
      </c>
      <c r="E146" s="52">
        <f t="shared" si="358"/>
        <v>0</v>
      </c>
      <c r="F146" s="67">
        <f t="shared" si="358"/>
        <v>0</v>
      </c>
      <c r="G146" s="52">
        <f t="shared" si="358"/>
        <v>0</v>
      </c>
      <c r="H146" s="52">
        <f t="shared" si="358"/>
        <v>0</v>
      </c>
      <c r="I146" s="52">
        <f t="shared" si="358"/>
        <v>0</v>
      </c>
      <c r="J146" s="52">
        <f t="shared" si="358"/>
        <v>0</v>
      </c>
      <c r="K146" s="67">
        <f t="shared" si="358"/>
        <v>0</v>
      </c>
      <c r="L146" s="52">
        <f t="shared" si="358"/>
        <v>0</v>
      </c>
      <c r="M146" s="52">
        <f t="shared" si="358"/>
        <v>0</v>
      </c>
      <c r="N146" s="52">
        <f t="shared" si="358"/>
        <v>0</v>
      </c>
      <c r="O146" s="52">
        <f t="shared" si="358"/>
        <v>0</v>
      </c>
      <c r="P146" s="67">
        <f t="shared" si="358"/>
        <v>0</v>
      </c>
      <c r="Q146" s="52">
        <f t="shared" si="358"/>
        <v>0</v>
      </c>
      <c r="R146" s="52">
        <f t="shared" si="358"/>
        <v>0</v>
      </c>
      <c r="S146" s="52">
        <f t="shared" si="358"/>
        <v>0</v>
      </c>
      <c r="T146" s="52">
        <f t="shared" si="358"/>
        <v>0</v>
      </c>
      <c r="U146" s="67">
        <f t="shared" si="358"/>
        <v>0</v>
      </c>
      <c r="V146" s="52">
        <f t="shared" si="358"/>
        <v>0</v>
      </c>
      <c r="W146" s="52">
        <f t="shared" si="358"/>
        <v>0</v>
      </c>
      <c r="X146" s="52">
        <f t="shared" si="358"/>
        <v>0</v>
      </c>
      <c r="Y146" s="52">
        <f t="shared" si="358"/>
        <v>0</v>
      </c>
      <c r="Z146" s="67">
        <f t="shared" si="358"/>
        <v>0</v>
      </c>
      <c r="AA146" s="52">
        <f t="shared" si="358"/>
        <v>0</v>
      </c>
      <c r="AB146" s="52">
        <f t="shared" si="358"/>
        <v>0</v>
      </c>
      <c r="AC146" s="52">
        <f t="shared" si="358"/>
        <v>0</v>
      </c>
      <c r="AD146" s="52">
        <f t="shared" si="358"/>
        <v>0</v>
      </c>
      <c r="AE146" s="67">
        <f t="shared" si="358"/>
        <v>0</v>
      </c>
      <c r="AF146" s="52">
        <f t="shared" ref="AF146:BN146" si="359">AF28</f>
        <v>0</v>
      </c>
      <c r="AG146" s="52">
        <f t="shared" si="359"/>
        <v>0</v>
      </c>
      <c r="AH146" s="52">
        <f t="shared" si="359"/>
        <v>0</v>
      </c>
      <c r="AI146" s="52">
        <f t="shared" si="359"/>
        <v>96143.043999999994</v>
      </c>
      <c r="AJ146" s="43">
        <f t="shared" si="359"/>
        <v>96143.043999999994</v>
      </c>
      <c r="AK146" s="52">
        <f t="shared" si="359"/>
        <v>0</v>
      </c>
      <c r="AL146" s="52">
        <f t="shared" si="359"/>
        <v>0</v>
      </c>
      <c r="AM146" s="52">
        <f t="shared" si="359"/>
        <v>0</v>
      </c>
      <c r="AN146" s="52">
        <f t="shared" si="359"/>
        <v>152838.53400000001</v>
      </c>
      <c r="AO146" s="43">
        <f t="shared" si="359"/>
        <v>152838.53400000001</v>
      </c>
      <c r="AP146" s="52">
        <f t="shared" si="359"/>
        <v>0</v>
      </c>
      <c r="AQ146" s="52">
        <f t="shared" si="359"/>
        <v>0</v>
      </c>
      <c r="AR146" s="52">
        <f t="shared" si="359"/>
        <v>0</v>
      </c>
      <c r="AS146" s="52">
        <f t="shared" si="359"/>
        <v>97036.176000000007</v>
      </c>
      <c r="AT146" s="43">
        <f t="shared" si="359"/>
        <v>97036.176000000007</v>
      </c>
      <c r="AU146" s="52">
        <f t="shared" si="359"/>
        <v>0</v>
      </c>
      <c r="AV146" s="52">
        <f t="shared" si="359"/>
        <v>0</v>
      </c>
      <c r="AW146" s="52">
        <f t="shared" si="359"/>
        <v>0</v>
      </c>
      <c r="AX146" s="52">
        <f t="shared" si="359"/>
        <v>99674</v>
      </c>
      <c r="AY146" s="43">
        <f t="shared" si="359"/>
        <v>99674</v>
      </c>
      <c r="AZ146" s="52">
        <f t="shared" si="359"/>
        <v>0</v>
      </c>
      <c r="BA146" s="52">
        <f t="shared" si="359"/>
        <v>0</v>
      </c>
      <c r="BB146" s="52">
        <f t="shared" si="359"/>
        <v>0</v>
      </c>
      <c r="BC146" s="52">
        <f t="shared" si="359"/>
        <v>146045</v>
      </c>
      <c r="BD146" s="43">
        <f t="shared" si="359"/>
        <v>146045</v>
      </c>
      <c r="BE146" s="52">
        <f t="shared" si="359"/>
        <v>0</v>
      </c>
      <c r="BF146" s="52">
        <f t="shared" si="359"/>
        <v>0</v>
      </c>
      <c r="BG146" s="52">
        <f t="shared" si="359"/>
        <v>0</v>
      </c>
      <c r="BH146" s="52">
        <f t="shared" si="359"/>
        <v>168657</v>
      </c>
      <c r="BI146" s="43">
        <f t="shared" si="359"/>
        <v>168657</v>
      </c>
      <c r="BJ146" s="52">
        <f t="shared" si="359"/>
        <v>0</v>
      </c>
      <c r="BK146" s="52">
        <f t="shared" si="359"/>
        <v>0</v>
      </c>
      <c r="BL146" s="52">
        <f t="shared" si="359"/>
        <v>0</v>
      </c>
      <c r="BM146" s="52">
        <f t="shared" si="359"/>
        <v>174236</v>
      </c>
      <c r="BN146" s="43">
        <f t="shared" si="359"/>
        <v>174236</v>
      </c>
      <c r="BO146" s="52">
        <f t="shared" ref="BO146:DG146" si="360">BO28</f>
        <v>0</v>
      </c>
      <c r="BP146" s="52">
        <f t="shared" si="360"/>
        <v>0</v>
      </c>
      <c r="BQ146" s="52">
        <f t="shared" si="360"/>
        <v>0</v>
      </c>
      <c r="BR146" s="52">
        <f t="shared" si="360"/>
        <v>187563</v>
      </c>
      <c r="BS146" s="43">
        <f t="shared" si="360"/>
        <v>187563</v>
      </c>
      <c r="BT146" s="52">
        <f t="shared" si="360"/>
        <v>0</v>
      </c>
      <c r="BU146" s="52">
        <f t="shared" si="360"/>
        <v>0</v>
      </c>
      <c r="BV146" s="52">
        <f t="shared" si="360"/>
        <v>0</v>
      </c>
      <c r="BW146" s="52">
        <f t="shared" si="360"/>
        <v>217596</v>
      </c>
      <c r="BX146" s="43">
        <f t="shared" si="360"/>
        <v>217596</v>
      </c>
      <c r="BY146" s="52">
        <f t="shared" si="360"/>
        <v>0</v>
      </c>
      <c r="BZ146" s="52">
        <f t="shared" si="360"/>
        <v>0</v>
      </c>
      <c r="CA146" s="52">
        <f t="shared" si="360"/>
        <v>0</v>
      </c>
      <c r="CB146" s="52">
        <f>CB28</f>
        <v>286966</v>
      </c>
      <c r="CC146" s="43">
        <f t="shared" si="360"/>
        <v>286966</v>
      </c>
      <c r="CD146" s="52">
        <f>CD28</f>
        <v>295331</v>
      </c>
      <c r="CE146" s="52">
        <f>CE28</f>
        <v>335796</v>
      </c>
      <c r="CF146" s="52">
        <f t="shared" si="360"/>
        <v>306192</v>
      </c>
      <c r="CG146" s="52">
        <f>CG28</f>
        <v>276703</v>
      </c>
      <c r="CH146" s="43">
        <f t="shared" si="360"/>
        <v>276703</v>
      </c>
      <c r="CI146" s="52">
        <f t="shared" si="360"/>
        <v>280789</v>
      </c>
      <c r="CJ146" s="52">
        <f t="shared" si="360"/>
        <v>270295</v>
      </c>
      <c r="CK146" s="52">
        <f>CK28</f>
        <v>390224</v>
      </c>
      <c r="CL146" s="52">
        <f>CL28</f>
        <v>391228</v>
      </c>
      <c r="CM146" s="43">
        <f t="shared" si="360"/>
        <v>391228</v>
      </c>
      <c r="CN146" s="52">
        <f>CN28</f>
        <v>390862</v>
      </c>
      <c r="CO146" s="52">
        <f>CO28</f>
        <v>398972</v>
      </c>
      <c r="CP146" s="52">
        <f>CP28</f>
        <v>456021</v>
      </c>
      <c r="CQ146" s="52">
        <f t="shared" si="360"/>
        <v>480988</v>
      </c>
      <c r="CR146" s="43">
        <f t="shared" si="360"/>
        <v>480988</v>
      </c>
      <c r="CS146" s="52">
        <f t="shared" si="360"/>
        <v>474517</v>
      </c>
      <c r="CT146" s="52">
        <f t="shared" si="360"/>
        <v>499607</v>
      </c>
      <c r="CU146" s="52">
        <f>CU28</f>
        <v>645719</v>
      </c>
      <c r="CV146" s="52">
        <f>CV28</f>
        <v>613352</v>
      </c>
      <c r="CW146" s="43">
        <f t="shared" si="360"/>
        <v>613352</v>
      </c>
      <c r="CX146" s="52">
        <f>CX28</f>
        <v>601890</v>
      </c>
      <c r="CY146" s="52">
        <f>CY28</f>
        <v>1080738</v>
      </c>
      <c r="CZ146" s="52">
        <f>CZ28</f>
        <v>1102525</v>
      </c>
      <c r="DA146" s="52">
        <f>DA28</f>
        <v>986382</v>
      </c>
      <c r="DB146" s="43">
        <f t="shared" si="360"/>
        <v>986382</v>
      </c>
      <c r="DC146" s="52">
        <f t="shared" si="360"/>
        <v>1282811</v>
      </c>
      <c r="DD146" s="52">
        <f t="shared" si="360"/>
        <v>1303112</v>
      </c>
      <c r="DE146" s="52">
        <f t="shared" si="360"/>
        <v>1322986</v>
      </c>
      <c r="DF146" s="52">
        <f t="shared" si="360"/>
        <v>1474887</v>
      </c>
      <c r="DG146" s="43">
        <f t="shared" si="360"/>
        <v>1474887</v>
      </c>
      <c r="DH146" s="52">
        <f t="shared" ref="DH146" si="361">DH28</f>
        <v>1350416</v>
      </c>
      <c r="DI146" s="52">
        <f t="shared" ref="DI146:EF146" si="362">DI28</f>
        <v>1343155</v>
      </c>
      <c r="DJ146" s="52">
        <f t="shared" si="362"/>
        <v>1395964.2633257378</v>
      </c>
      <c r="DK146" s="52">
        <f t="shared" si="362"/>
        <v>1428775.9083087535</v>
      </c>
      <c r="DL146" s="43">
        <f t="shared" si="362"/>
        <v>1428775.9083087535</v>
      </c>
      <c r="DM146" s="52">
        <f t="shared" si="362"/>
        <v>1421401.9533035813</v>
      </c>
      <c r="DN146" s="52">
        <f t="shared" si="362"/>
        <v>1465472.8539810409</v>
      </c>
      <c r="DO146" s="52">
        <f t="shared" si="362"/>
        <v>1502959.9813082034</v>
      </c>
      <c r="DP146" s="52">
        <f t="shared" si="362"/>
        <v>1537464.4637646212</v>
      </c>
      <c r="DQ146" s="43">
        <f t="shared" si="362"/>
        <v>1537464.4637646212</v>
      </c>
      <c r="DR146" s="52">
        <f t="shared" si="362"/>
        <v>1569836.8668253669</v>
      </c>
      <c r="DS146" s="52">
        <f t="shared" si="362"/>
        <v>1600642.286353894</v>
      </c>
      <c r="DT146" s="52">
        <f t="shared" si="362"/>
        <v>1630240.466610166</v>
      </c>
      <c r="DU146" s="52">
        <f t="shared" si="362"/>
        <v>1658874.1446195822</v>
      </c>
      <c r="DV146" s="43">
        <f t="shared" si="362"/>
        <v>1658874.1446195822</v>
      </c>
      <c r="DW146" s="52">
        <f t="shared" si="362"/>
        <v>1686717.0189033526</v>
      </c>
      <c r="DX146" s="52">
        <f t="shared" si="362"/>
        <v>1713900.8004527793</v>
      </c>
      <c r="DY146" s="52">
        <f t="shared" si="362"/>
        <v>1740530.5743598472</v>
      </c>
      <c r="DZ146" s="52">
        <f t="shared" si="362"/>
        <v>1766693.6459125041</v>
      </c>
      <c r="EA146" s="43">
        <f t="shared" si="362"/>
        <v>1766693.6459125041</v>
      </c>
      <c r="EB146" s="52">
        <f t="shared" si="362"/>
        <v>1792464.7417249449</v>
      </c>
      <c r="EC146" s="52">
        <f t="shared" si="362"/>
        <v>1817909.1608275855</v>
      </c>
      <c r="ED146" s="52">
        <f t="shared" si="362"/>
        <v>1843084.7629266067</v>
      </c>
      <c r="EE146" s="52">
        <f t="shared" si="362"/>
        <v>1868043.2883405497</v>
      </c>
      <c r="EF146" s="43">
        <f t="shared" si="362"/>
        <v>1868043.2883405497</v>
      </c>
    </row>
    <row r="147" spans="1:136">
      <c r="A147" s="1" t="s">
        <v>258</v>
      </c>
      <c r="B147" s="52">
        <f t="shared" ref="B147:AE147" si="363">B32+B33+B34+B35</f>
        <v>0</v>
      </c>
      <c r="C147" s="52">
        <f t="shared" si="363"/>
        <v>0</v>
      </c>
      <c r="D147" s="52">
        <f t="shared" si="363"/>
        <v>0</v>
      </c>
      <c r="E147" s="52">
        <f t="shared" si="363"/>
        <v>0</v>
      </c>
      <c r="F147" s="67">
        <f t="shared" si="363"/>
        <v>0</v>
      </c>
      <c r="G147" s="52">
        <f t="shared" si="363"/>
        <v>0</v>
      </c>
      <c r="H147" s="52">
        <f t="shared" si="363"/>
        <v>0</v>
      </c>
      <c r="I147" s="52">
        <f t="shared" si="363"/>
        <v>0</v>
      </c>
      <c r="J147" s="52">
        <f t="shared" si="363"/>
        <v>0</v>
      </c>
      <c r="K147" s="67">
        <f t="shared" si="363"/>
        <v>0</v>
      </c>
      <c r="L147" s="52">
        <f t="shared" si="363"/>
        <v>0</v>
      </c>
      <c r="M147" s="52">
        <f t="shared" si="363"/>
        <v>0</v>
      </c>
      <c r="N147" s="52">
        <f t="shared" si="363"/>
        <v>0</v>
      </c>
      <c r="O147" s="52">
        <f t="shared" si="363"/>
        <v>0</v>
      </c>
      <c r="P147" s="67">
        <f t="shared" si="363"/>
        <v>0</v>
      </c>
      <c r="Q147" s="52">
        <f t="shared" si="363"/>
        <v>0</v>
      </c>
      <c r="R147" s="52">
        <f t="shared" si="363"/>
        <v>0</v>
      </c>
      <c r="S147" s="52">
        <f t="shared" si="363"/>
        <v>0</v>
      </c>
      <c r="T147" s="52">
        <f t="shared" si="363"/>
        <v>0</v>
      </c>
      <c r="U147" s="67">
        <f t="shared" si="363"/>
        <v>0</v>
      </c>
      <c r="V147" s="52">
        <f t="shared" si="363"/>
        <v>0</v>
      </c>
      <c r="W147" s="52">
        <f t="shared" si="363"/>
        <v>0</v>
      </c>
      <c r="X147" s="52">
        <f t="shared" si="363"/>
        <v>0</v>
      </c>
      <c r="Y147" s="52">
        <f t="shared" si="363"/>
        <v>0</v>
      </c>
      <c r="Z147" s="67">
        <f t="shared" si="363"/>
        <v>0</v>
      </c>
      <c r="AA147" s="52">
        <f t="shared" si="363"/>
        <v>0</v>
      </c>
      <c r="AB147" s="52">
        <f t="shared" si="363"/>
        <v>0</v>
      </c>
      <c r="AC147" s="52">
        <f t="shared" si="363"/>
        <v>0</v>
      </c>
      <c r="AD147" s="52">
        <f t="shared" si="363"/>
        <v>0</v>
      </c>
      <c r="AE147" s="67">
        <f t="shared" si="363"/>
        <v>0</v>
      </c>
      <c r="AF147" s="52">
        <f t="shared" ref="AF147:BN147" si="364">AF32+AF33+AF34+AF35</f>
        <v>0</v>
      </c>
      <c r="AG147" s="52">
        <f t="shared" si="364"/>
        <v>0</v>
      </c>
      <c r="AH147" s="52">
        <f t="shared" si="364"/>
        <v>0</v>
      </c>
      <c r="AI147" s="52">
        <f t="shared" si="364"/>
        <v>51953.455000000002</v>
      </c>
      <c r="AJ147" s="43">
        <f t="shared" si="364"/>
        <v>51953.455000000002</v>
      </c>
      <c r="AK147" s="52">
        <f t="shared" si="364"/>
        <v>0</v>
      </c>
      <c r="AL147" s="52">
        <f t="shared" si="364"/>
        <v>0</v>
      </c>
      <c r="AM147" s="52">
        <f t="shared" si="364"/>
        <v>0</v>
      </c>
      <c r="AN147" s="52">
        <f t="shared" si="364"/>
        <v>62299.391000000003</v>
      </c>
      <c r="AO147" s="43">
        <f t="shared" si="364"/>
        <v>62299.391000000003</v>
      </c>
      <c r="AP147" s="52">
        <f t="shared" si="364"/>
        <v>0</v>
      </c>
      <c r="AQ147" s="52">
        <f t="shared" si="364"/>
        <v>0</v>
      </c>
      <c r="AR147" s="52">
        <f t="shared" si="364"/>
        <v>0</v>
      </c>
      <c r="AS147" s="52">
        <f t="shared" si="364"/>
        <v>159390.068</v>
      </c>
      <c r="AT147" s="43">
        <f t="shared" si="364"/>
        <v>159390.068</v>
      </c>
      <c r="AU147" s="52">
        <f t="shared" si="364"/>
        <v>0</v>
      </c>
      <c r="AV147" s="52">
        <f t="shared" si="364"/>
        <v>0</v>
      </c>
      <c r="AW147" s="52">
        <f t="shared" si="364"/>
        <v>0</v>
      </c>
      <c r="AX147" s="52">
        <f t="shared" si="364"/>
        <v>90691</v>
      </c>
      <c r="AY147" s="43">
        <f t="shared" si="364"/>
        <v>90691</v>
      </c>
      <c r="AZ147" s="52">
        <f t="shared" si="364"/>
        <v>0</v>
      </c>
      <c r="BA147" s="52">
        <f t="shared" si="364"/>
        <v>0</v>
      </c>
      <c r="BB147" s="52">
        <f t="shared" si="364"/>
        <v>0</v>
      </c>
      <c r="BC147" s="52">
        <f t="shared" si="364"/>
        <v>196884</v>
      </c>
      <c r="BD147" s="43">
        <f t="shared" si="364"/>
        <v>196884</v>
      </c>
      <c r="BE147" s="52">
        <f t="shared" si="364"/>
        <v>0</v>
      </c>
      <c r="BF147" s="52">
        <f t="shared" si="364"/>
        <v>0</v>
      </c>
      <c r="BG147" s="52">
        <f t="shared" si="364"/>
        <v>0</v>
      </c>
      <c r="BH147" s="52">
        <f t="shared" si="364"/>
        <v>255325</v>
      </c>
      <c r="BI147" s="43">
        <f t="shared" si="364"/>
        <v>255325</v>
      </c>
      <c r="BJ147" s="52">
        <f t="shared" si="364"/>
        <v>0</v>
      </c>
      <c r="BK147" s="52">
        <f t="shared" si="364"/>
        <v>0</v>
      </c>
      <c r="BL147" s="52">
        <f t="shared" si="364"/>
        <v>0</v>
      </c>
      <c r="BM147" s="52">
        <f t="shared" si="364"/>
        <v>307123</v>
      </c>
      <c r="BN147" s="43">
        <f t="shared" si="364"/>
        <v>307123</v>
      </c>
      <c r="BO147" s="52">
        <f t="shared" ref="BO147:DG147" si="365">BO32+BO33+BO34+BO35</f>
        <v>0</v>
      </c>
      <c r="BP147" s="52">
        <f t="shared" si="365"/>
        <v>0</v>
      </c>
      <c r="BQ147" s="52">
        <f t="shared" si="365"/>
        <v>0</v>
      </c>
      <c r="BR147" s="52">
        <f t="shared" si="365"/>
        <v>419505</v>
      </c>
      <c r="BS147" s="43">
        <f t="shared" si="365"/>
        <v>419505</v>
      </c>
      <c r="BT147" s="52">
        <f t="shared" si="365"/>
        <v>0</v>
      </c>
      <c r="BU147" s="52">
        <f t="shared" si="365"/>
        <v>0</v>
      </c>
      <c r="BV147" s="52">
        <f t="shared" si="365"/>
        <v>0</v>
      </c>
      <c r="BW147" s="52">
        <f t="shared" si="365"/>
        <v>277652</v>
      </c>
      <c r="BX147" s="43">
        <f t="shared" si="365"/>
        <v>277652</v>
      </c>
      <c r="BY147" s="52">
        <f t="shared" si="365"/>
        <v>0</v>
      </c>
      <c r="BZ147" s="52">
        <f t="shared" si="365"/>
        <v>0</v>
      </c>
      <c r="CA147" s="52">
        <f t="shared" si="365"/>
        <v>0</v>
      </c>
      <c r="CB147" s="52">
        <f>CB32+CB33+CB34+CB35</f>
        <v>366192</v>
      </c>
      <c r="CC147" s="43">
        <f t="shared" si="365"/>
        <v>366192</v>
      </c>
      <c r="CD147" s="52">
        <f>CD32+CD33+CD34+CD35</f>
        <v>326668</v>
      </c>
      <c r="CE147" s="52">
        <f>CE32+CE33+CE34+CE35</f>
        <v>413904</v>
      </c>
      <c r="CF147" s="52">
        <f t="shared" si="365"/>
        <v>607734</v>
      </c>
      <c r="CG147" s="52">
        <f>CG32+CG33+CG34+CG35</f>
        <v>606917</v>
      </c>
      <c r="CH147" s="43">
        <f t="shared" si="365"/>
        <v>606917</v>
      </c>
      <c r="CI147" s="52">
        <f t="shared" si="365"/>
        <v>817278</v>
      </c>
      <c r="CJ147" s="52">
        <f t="shared" si="365"/>
        <v>865935</v>
      </c>
      <c r="CK147" s="52">
        <f>CK32+CK33+CK34+CK35</f>
        <v>946646</v>
      </c>
      <c r="CL147" s="52">
        <f>CL32+CL33+CL34+CL35</f>
        <v>1315122</v>
      </c>
      <c r="CM147" s="43">
        <f t="shared" si="365"/>
        <v>1315122</v>
      </c>
      <c r="CN147" s="52">
        <f>CN32+CN33+CN34+CN35</f>
        <v>1590137</v>
      </c>
      <c r="CO147" s="52">
        <f>CO32+CO33+CO34+CO35</f>
        <v>1475034</v>
      </c>
      <c r="CP147" s="52">
        <f>CP32+CP33+CP34+CP35</f>
        <v>1357177</v>
      </c>
      <c r="CQ147" s="52">
        <f t="shared" si="365"/>
        <v>1251874</v>
      </c>
      <c r="CR147" s="43">
        <f t="shared" si="365"/>
        <v>1251874</v>
      </c>
      <c r="CS147" s="52">
        <f t="shared" si="365"/>
        <v>1157425</v>
      </c>
      <c r="CT147" s="52">
        <f t="shared" si="365"/>
        <v>1113321</v>
      </c>
      <c r="CU147" s="52">
        <f>CU32+CU33+CU34+CU35</f>
        <v>1169409</v>
      </c>
      <c r="CV147" s="52">
        <f>CV32+CV33+CV34+CV35</f>
        <v>1221446</v>
      </c>
      <c r="CW147" s="43">
        <f t="shared" si="365"/>
        <v>1221446</v>
      </c>
      <c r="CX147" s="52">
        <f>CX32+CX33+CX34+CX35</f>
        <v>1378975</v>
      </c>
      <c r="CY147" s="52">
        <f>CY32+CY33+CY34+CY35</f>
        <v>1416968</v>
      </c>
      <c r="CZ147" s="52">
        <f>CZ32+CZ33+CZ34+CZ35</f>
        <v>1444948</v>
      </c>
      <c r="DA147" s="52">
        <f>DA32+DA33+DA34+DA35</f>
        <v>1769643</v>
      </c>
      <c r="DB147" s="43">
        <f t="shared" si="365"/>
        <v>1769643</v>
      </c>
      <c r="DC147" s="52">
        <f t="shared" si="365"/>
        <v>1936837</v>
      </c>
      <c r="DD147" s="52">
        <f t="shared" si="365"/>
        <v>2058380</v>
      </c>
      <c r="DE147" s="52">
        <f t="shared" si="365"/>
        <v>2200070</v>
      </c>
      <c r="DF147" s="52">
        <f t="shared" si="365"/>
        <v>2237098</v>
      </c>
      <c r="DG147" s="43">
        <f t="shared" si="365"/>
        <v>2237098</v>
      </c>
      <c r="DH147" s="52">
        <f t="shared" ref="DH147" si="366">DH32+DH33+DH34+DH35</f>
        <v>2503318</v>
      </c>
      <c r="DI147" s="52">
        <f t="shared" ref="DI147:EF147" si="367">DI32+DI33+DI34+DI35</f>
        <v>2528872</v>
      </c>
      <c r="DJ147" s="52">
        <f t="shared" si="367"/>
        <v>2677299.4952065204</v>
      </c>
      <c r="DK147" s="52">
        <f t="shared" si="367"/>
        <v>2694186.568987703</v>
      </c>
      <c r="DL147" s="43">
        <f t="shared" si="367"/>
        <v>2694186.568987703</v>
      </c>
      <c r="DM147" s="52">
        <f t="shared" si="367"/>
        <v>2821745.2719266145</v>
      </c>
      <c r="DN147" s="52">
        <f t="shared" si="367"/>
        <v>2874049.5584279615</v>
      </c>
      <c r="DO147" s="52">
        <f t="shared" si="367"/>
        <v>2917108.5531598809</v>
      </c>
      <c r="DP147" s="52">
        <f t="shared" si="367"/>
        <v>2950251.8543571588</v>
      </c>
      <c r="DQ147" s="43">
        <f t="shared" si="367"/>
        <v>2950251.8543571588</v>
      </c>
      <c r="DR147" s="52">
        <f t="shared" si="367"/>
        <v>2987145.4569847872</v>
      </c>
      <c r="DS147" s="52">
        <f t="shared" si="367"/>
        <v>3020569.2121422803</v>
      </c>
      <c r="DT147" s="52">
        <f t="shared" si="367"/>
        <v>3053422.2784838611</v>
      </c>
      <c r="DU147" s="52">
        <f t="shared" si="367"/>
        <v>3084894.8824320622</v>
      </c>
      <c r="DV147" s="43">
        <f t="shared" si="367"/>
        <v>3084894.8824320622</v>
      </c>
      <c r="DW147" s="52">
        <f t="shared" si="367"/>
        <v>3115426.7890018523</v>
      </c>
      <c r="DX147" s="52">
        <f t="shared" si="367"/>
        <v>3145760.6209753528</v>
      </c>
      <c r="DY147" s="52">
        <f t="shared" si="367"/>
        <v>3175480.9535589069</v>
      </c>
      <c r="DZ147" s="52">
        <f t="shared" si="367"/>
        <v>3204852.2627507066</v>
      </c>
      <c r="EA147" s="43">
        <f t="shared" si="367"/>
        <v>3204852.2627507066</v>
      </c>
      <c r="EB147" s="52">
        <f t="shared" si="367"/>
        <v>3233765.8636554764</v>
      </c>
      <c r="EC147" s="52">
        <f t="shared" si="367"/>
        <v>3232900.1650557285</v>
      </c>
      <c r="ED147" s="52">
        <f t="shared" si="367"/>
        <v>3201965.3596740915</v>
      </c>
      <c r="EE147" s="52">
        <f t="shared" si="367"/>
        <v>3140832.2083434374</v>
      </c>
      <c r="EF147" s="43">
        <f t="shared" si="367"/>
        <v>3140832.2083434374</v>
      </c>
    </row>
    <row r="148" spans="1:136">
      <c r="A148" s="1" t="s">
        <v>8</v>
      </c>
      <c r="B148" s="52">
        <f t="shared" ref="B148:AE148" si="368">B36+B37</f>
        <v>0</v>
      </c>
      <c r="C148" s="52">
        <f t="shared" si="368"/>
        <v>0</v>
      </c>
      <c r="D148" s="52">
        <f t="shared" si="368"/>
        <v>0</v>
      </c>
      <c r="E148" s="52">
        <f t="shared" si="368"/>
        <v>0</v>
      </c>
      <c r="F148" s="67">
        <f t="shared" si="368"/>
        <v>0</v>
      </c>
      <c r="G148" s="52">
        <f t="shared" si="368"/>
        <v>0</v>
      </c>
      <c r="H148" s="52">
        <f t="shared" si="368"/>
        <v>0</v>
      </c>
      <c r="I148" s="52">
        <f t="shared" si="368"/>
        <v>0</v>
      </c>
      <c r="J148" s="52">
        <f t="shared" si="368"/>
        <v>0</v>
      </c>
      <c r="K148" s="67">
        <f t="shared" si="368"/>
        <v>0</v>
      </c>
      <c r="L148" s="52">
        <f t="shared" si="368"/>
        <v>0</v>
      </c>
      <c r="M148" s="52">
        <f t="shared" si="368"/>
        <v>0</v>
      </c>
      <c r="N148" s="52">
        <f t="shared" si="368"/>
        <v>0</v>
      </c>
      <c r="O148" s="52">
        <f t="shared" si="368"/>
        <v>0</v>
      </c>
      <c r="P148" s="67">
        <f t="shared" si="368"/>
        <v>0</v>
      </c>
      <c r="Q148" s="52">
        <f t="shared" si="368"/>
        <v>0</v>
      </c>
      <c r="R148" s="52">
        <f t="shared" si="368"/>
        <v>0</v>
      </c>
      <c r="S148" s="52">
        <f t="shared" si="368"/>
        <v>0</v>
      </c>
      <c r="T148" s="52">
        <f t="shared" si="368"/>
        <v>0</v>
      </c>
      <c r="U148" s="67">
        <f t="shared" si="368"/>
        <v>0</v>
      </c>
      <c r="V148" s="52">
        <f t="shared" si="368"/>
        <v>0</v>
      </c>
      <c r="W148" s="52">
        <f t="shared" si="368"/>
        <v>0</v>
      </c>
      <c r="X148" s="52">
        <f t="shared" si="368"/>
        <v>0</v>
      </c>
      <c r="Y148" s="52">
        <f t="shared" si="368"/>
        <v>0</v>
      </c>
      <c r="Z148" s="67">
        <f t="shared" si="368"/>
        <v>0</v>
      </c>
      <c r="AA148" s="52">
        <f t="shared" si="368"/>
        <v>0</v>
      </c>
      <c r="AB148" s="52">
        <f t="shared" si="368"/>
        <v>0</v>
      </c>
      <c r="AC148" s="52">
        <f t="shared" si="368"/>
        <v>0</v>
      </c>
      <c r="AD148" s="52">
        <f t="shared" si="368"/>
        <v>0</v>
      </c>
      <c r="AE148" s="67">
        <f t="shared" si="368"/>
        <v>0</v>
      </c>
      <c r="AF148" s="52">
        <f t="shared" ref="AF148:BN148" si="369">AF36+AF37</f>
        <v>0</v>
      </c>
      <c r="AG148" s="52">
        <f t="shared" si="369"/>
        <v>0</v>
      </c>
      <c r="AH148" s="52">
        <f t="shared" si="369"/>
        <v>0</v>
      </c>
      <c r="AI148" s="52">
        <f t="shared" si="369"/>
        <v>15641.592000000001</v>
      </c>
      <c r="AJ148" s="43">
        <f t="shared" si="369"/>
        <v>15641.592000000001</v>
      </c>
      <c r="AK148" s="52">
        <f t="shared" si="369"/>
        <v>0</v>
      </c>
      <c r="AL148" s="52">
        <f t="shared" si="369"/>
        <v>0</v>
      </c>
      <c r="AM148" s="52">
        <f t="shared" si="369"/>
        <v>0</v>
      </c>
      <c r="AN148" s="52">
        <f t="shared" si="369"/>
        <v>20888.897000000001</v>
      </c>
      <c r="AO148" s="43">
        <f t="shared" si="369"/>
        <v>20888.897000000001</v>
      </c>
      <c r="AP148" s="52">
        <f t="shared" si="369"/>
        <v>0</v>
      </c>
      <c r="AQ148" s="52">
        <f t="shared" si="369"/>
        <v>0</v>
      </c>
      <c r="AR148" s="52">
        <f t="shared" si="369"/>
        <v>0</v>
      </c>
      <c r="AS148" s="52">
        <f t="shared" si="369"/>
        <v>22106.513999999999</v>
      </c>
      <c r="AT148" s="43">
        <f t="shared" si="369"/>
        <v>22106.513999999999</v>
      </c>
      <c r="AU148" s="52">
        <f t="shared" si="369"/>
        <v>0</v>
      </c>
      <c r="AV148" s="52">
        <f t="shared" si="369"/>
        <v>0</v>
      </c>
      <c r="AW148" s="52">
        <f t="shared" si="369"/>
        <v>0</v>
      </c>
      <c r="AX148" s="52">
        <f t="shared" si="369"/>
        <v>39318</v>
      </c>
      <c r="AY148" s="43">
        <f t="shared" si="369"/>
        <v>39318</v>
      </c>
      <c r="AZ148" s="52">
        <f t="shared" si="369"/>
        <v>0</v>
      </c>
      <c r="BA148" s="52">
        <f t="shared" si="369"/>
        <v>0</v>
      </c>
      <c r="BB148" s="52">
        <f t="shared" si="369"/>
        <v>0</v>
      </c>
      <c r="BC148" s="52">
        <f t="shared" si="369"/>
        <v>33734</v>
      </c>
      <c r="BD148" s="43">
        <f t="shared" si="369"/>
        <v>33734</v>
      </c>
      <c r="BE148" s="52">
        <f t="shared" si="369"/>
        <v>0</v>
      </c>
      <c r="BF148" s="52">
        <f t="shared" si="369"/>
        <v>0</v>
      </c>
      <c r="BG148" s="52">
        <f t="shared" si="369"/>
        <v>0</v>
      </c>
      <c r="BH148" s="52">
        <f t="shared" si="369"/>
        <v>30187</v>
      </c>
      <c r="BI148" s="43">
        <f t="shared" si="369"/>
        <v>30187</v>
      </c>
      <c r="BJ148" s="52">
        <f t="shared" si="369"/>
        <v>0</v>
      </c>
      <c r="BK148" s="52">
        <f t="shared" si="369"/>
        <v>0</v>
      </c>
      <c r="BL148" s="52">
        <f t="shared" si="369"/>
        <v>0</v>
      </c>
      <c r="BM148" s="52">
        <f t="shared" si="369"/>
        <v>28002</v>
      </c>
      <c r="BN148" s="43">
        <f t="shared" si="369"/>
        <v>28002</v>
      </c>
      <c r="BO148" s="52">
        <f t="shared" ref="BO148:DG148" si="370">BO36+BO37</f>
        <v>0</v>
      </c>
      <c r="BP148" s="52">
        <f t="shared" si="370"/>
        <v>0</v>
      </c>
      <c r="BQ148" s="52">
        <f t="shared" si="370"/>
        <v>0</v>
      </c>
      <c r="BR148" s="52">
        <f t="shared" si="370"/>
        <v>26395</v>
      </c>
      <c r="BS148" s="43">
        <f t="shared" si="370"/>
        <v>26395</v>
      </c>
      <c r="BT148" s="52">
        <f t="shared" si="370"/>
        <v>0</v>
      </c>
      <c r="BU148" s="52">
        <f t="shared" si="370"/>
        <v>0</v>
      </c>
      <c r="BV148" s="52">
        <f t="shared" si="370"/>
        <v>0</v>
      </c>
      <c r="BW148" s="52">
        <f t="shared" si="370"/>
        <v>27884</v>
      </c>
      <c r="BX148" s="43">
        <f t="shared" si="370"/>
        <v>27884</v>
      </c>
      <c r="BY148" s="52">
        <f t="shared" si="370"/>
        <v>0</v>
      </c>
      <c r="BZ148" s="52">
        <f t="shared" si="370"/>
        <v>0</v>
      </c>
      <c r="CA148" s="52">
        <f t="shared" si="370"/>
        <v>0</v>
      </c>
      <c r="CB148" s="52">
        <f>CB36+CB37</f>
        <v>30355</v>
      </c>
      <c r="CC148" s="43">
        <f t="shared" si="370"/>
        <v>30355</v>
      </c>
      <c r="CD148" s="52">
        <f>CD36+CD37</f>
        <v>31016</v>
      </c>
      <c r="CE148" s="52">
        <f>CE36+CE37</f>
        <v>29486</v>
      </c>
      <c r="CF148" s="52">
        <f t="shared" si="370"/>
        <v>33842</v>
      </c>
      <c r="CG148" s="52">
        <f>CG36+CG37</f>
        <v>33834</v>
      </c>
      <c r="CH148" s="43">
        <f t="shared" si="370"/>
        <v>33834</v>
      </c>
      <c r="CI148" s="52">
        <f t="shared" si="370"/>
        <v>37131</v>
      </c>
      <c r="CJ148" s="52">
        <f t="shared" si="370"/>
        <v>40987</v>
      </c>
      <c r="CK148" s="52">
        <f>CK36+CK37</f>
        <v>42527</v>
      </c>
      <c r="CL148" s="52">
        <f>CL36+CL37</f>
        <v>41056</v>
      </c>
      <c r="CM148" s="43">
        <f t="shared" si="370"/>
        <v>41056</v>
      </c>
      <c r="CN148" s="52">
        <f>CN36+CN37</f>
        <v>48292</v>
      </c>
      <c r="CO148" s="52">
        <f>CO36+CO37</f>
        <v>55336</v>
      </c>
      <c r="CP148" s="52">
        <f>CP36+CP37</f>
        <v>58388</v>
      </c>
      <c r="CQ148" s="52">
        <f t="shared" si="370"/>
        <v>60935</v>
      </c>
      <c r="CR148" s="43">
        <f t="shared" si="370"/>
        <v>60935</v>
      </c>
      <c r="CS148" s="52">
        <f t="shared" si="370"/>
        <v>64406</v>
      </c>
      <c r="CT148" s="52">
        <f t="shared" si="370"/>
        <v>68277</v>
      </c>
      <c r="CU148" s="52">
        <f>CU36+CU37</f>
        <v>72844</v>
      </c>
      <c r="CV148" s="52">
        <f>CV36+CV37</f>
        <v>74724</v>
      </c>
      <c r="CW148" s="43">
        <f t="shared" si="370"/>
        <v>74724</v>
      </c>
      <c r="CX148" s="52">
        <f>CX36+CX37</f>
        <v>79446</v>
      </c>
      <c r="CY148" s="52">
        <f>CY36+CY37</f>
        <v>80703</v>
      </c>
      <c r="CZ148" s="52">
        <f>CZ36+CZ37</f>
        <v>83392</v>
      </c>
      <c r="DA148" s="52">
        <f>DA36+DA37</f>
        <v>85905</v>
      </c>
      <c r="DB148" s="43">
        <f t="shared" si="370"/>
        <v>85905</v>
      </c>
      <c r="DC148" s="52">
        <f t="shared" si="370"/>
        <v>100627</v>
      </c>
      <c r="DD148" s="52">
        <f t="shared" si="370"/>
        <v>112829</v>
      </c>
      <c r="DE148" s="52">
        <f t="shared" si="370"/>
        <v>120652</v>
      </c>
      <c r="DF148" s="52">
        <f t="shared" si="370"/>
        <v>123424</v>
      </c>
      <c r="DG148" s="43">
        <f t="shared" si="370"/>
        <v>123424</v>
      </c>
      <c r="DH148" s="52">
        <f t="shared" ref="DH148" si="371">DH36+DH37</f>
        <v>129738</v>
      </c>
      <c r="DI148" s="52">
        <f t="shared" ref="DI148:EF148" si="372">DI36+DI37</f>
        <v>141650</v>
      </c>
      <c r="DJ148" s="52">
        <f t="shared" si="372"/>
        <v>144650.87148941698</v>
      </c>
      <c r="DK148" s="52">
        <f t="shared" si="372"/>
        <v>150714.92255511231</v>
      </c>
      <c r="DL148" s="43">
        <f t="shared" si="372"/>
        <v>150714.92255511231</v>
      </c>
      <c r="DM148" s="52">
        <f t="shared" si="372"/>
        <v>150135.54029557417</v>
      </c>
      <c r="DN148" s="52">
        <f t="shared" si="372"/>
        <v>153421.65188434749</v>
      </c>
      <c r="DO148" s="52">
        <f t="shared" si="372"/>
        <v>155582.28599795583</v>
      </c>
      <c r="DP148" s="52">
        <f t="shared" si="372"/>
        <v>156823.95815600717</v>
      </c>
      <c r="DQ148" s="43">
        <f t="shared" si="372"/>
        <v>156823.95815600717</v>
      </c>
      <c r="DR148" s="52">
        <f t="shared" si="372"/>
        <v>158435.4516778267</v>
      </c>
      <c r="DS148" s="52">
        <f t="shared" si="372"/>
        <v>159857.92862382944</v>
      </c>
      <c r="DT148" s="52">
        <f t="shared" si="372"/>
        <v>161239.20926850865</v>
      </c>
      <c r="DU148" s="52">
        <f t="shared" si="372"/>
        <v>162456.22310839847</v>
      </c>
      <c r="DV148" s="43">
        <f t="shared" si="372"/>
        <v>162456.22310839847</v>
      </c>
      <c r="DW148" s="52">
        <f t="shared" si="372"/>
        <v>163556.75226930066</v>
      </c>
      <c r="DX148" s="52">
        <f t="shared" si="372"/>
        <v>164631.98797055919</v>
      </c>
      <c r="DY148" s="52">
        <f t="shared" si="372"/>
        <v>165622.46838167869</v>
      </c>
      <c r="DZ148" s="52">
        <f t="shared" si="372"/>
        <v>166559.54839330557</v>
      </c>
      <c r="EA148" s="43">
        <f t="shared" si="372"/>
        <v>166559.54839330557</v>
      </c>
      <c r="EB148" s="52">
        <f t="shared" si="372"/>
        <v>167426.11314108653</v>
      </c>
      <c r="EC148" s="52">
        <f t="shared" si="372"/>
        <v>168247.02111291717</v>
      </c>
      <c r="ED148" s="52">
        <f t="shared" si="372"/>
        <v>169025.12247049311</v>
      </c>
      <c r="EE148" s="52">
        <f t="shared" si="372"/>
        <v>169785.13244164869</v>
      </c>
      <c r="EF148" s="43">
        <f t="shared" si="372"/>
        <v>169785.13244164869</v>
      </c>
    </row>
    <row r="149" spans="1:136">
      <c r="A149" s="1" t="s">
        <v>259</v>
      </c>
      <c r="B149" s="52">
        <f t="shared" ref="B149:AE149" si="373">B40+B31+B38</f>
        <v>0</v>
      </c>
      <c r="C149" s="52">
        <f t="shared" si="373"/>
        <v>0</v>
      </c>
      <c r="D149" s="52">
        <f t="shared" si="373"/>
        <v>0</v>
      </c>
      <c r="E149" s="52">
        <f t="shared" si="373"/>
        <v>0</v>
      </c>
      <c r="F149" s="67">
        <f t="shared" si="373"/>
        <v>0</v>
      </c>
      <c r="G149" s="52">
        <f t="shared" si="373"/>
        <v>0</v>
      </c>
      <c r="H149" s="52">
        <f t="shared" si="373"/>
        <v>0</v>
      </c>
      <c r="I149" s="52">
        <f t="shared" si="373"/>
        <v>0</v>
      </c>
      <c r="J149" s="52">
        <f t="shared" si="373"/>
        <v>0</v>
      </c>
      <c r="K149" s="67">
        <f t="shared" si="373"/>
        <v>0</v>
      </c>
      <c r="L149" s="52">
        <f t="shared" si="373"/>
        <v>0</v>
      </c>
      <c r="M149" s="52">
        <f t="shared" si="373"/>
        <v>0</v>
      </c>
      <c r="N149" s="52">
        <f t="shared" si="373"/>
        <v>0</v>
      </c>
      <c r="O149" s="52">
        <f t="shared" si="373"/>
        <v>0</v>
      </c>
      <c r="P149" s="67">
        <f t="shared" si="373"/>
        <v>0</v>
      </c>
      <c r="Q149" s="52">
        <f t="shared" si="373"/>
        <v>0</v>
      </c>
      <c r="R149" s="52">
        <f t="shared" si="373"/>
        <v>0</v>
      </c>
      <c r="S149" s="52">
        <f t="shared" si="373"/>
        <v>0</v>
      </c>
      <c r="T149" s="52">
        <f t="shared" si="373"/>
        <v>0</v>
      </c>
      <c r="U149" s="67">
        <f t="shared" si="373"/>
        <v>0</v>
      </c>
      <c r="V149" s="52">
        <f t="shared" si="373"/>
        <v>0</v>
      </c>
      <c r="W149" s="52">
        <f t="shared" si="373"/>
        <v>0</v>
      </c>
      <c r="X149" s="52">
        <f t="shared" si="373"/>
        <v>0</v>
      </c>
      <c r="Y149" s="52">
        <f t="shared" si="373"/>
        <v>0</v>
      </c>
      <c r="Z149" s="67">
        <f t="shared" si="373"/>
        <v>0</v>
      </c>
      <c r="AA149" s="52">
        <f t="shared" si="373"/>
        <v>0</v>
      </c>
      <c r="AB149" s="52">
        <f t="shared" si="373"/>
        <v>0</v>
      </c>
      <c r="AC149" s="52">
        <f t="shared" si="373"/>
        <v>0</v>
      </c>
      <c r="AD149" s="52">
        <f t="shared" si="373"/>
        <v>0</v>
      </c>
      <c r="AE149" s="67">
        <f t="shared" si="373"/>
        <v>0</v>
      </c>
      <c r="AF149" s="52">
        <f t="shared" ref="AF149:BN149" si="374">AF40+AF31+AF38+AF39</f>
        <v>0</v>
      </c>
      <c r="AG149" s="52">
        <f t="shared" si="374"/>
        <v>0</v>
      </c>
      <c r="AH149" s="52">
        <f t="shared" si="374"/>
        <v>0</v>
      </c>
      <c r="AI149" s="52">
        <f t="shared" si="374"/>
        <v>30637.018</v>
      </c>
      <c r="AJ149" s="43">
        <f t="shared" si="374"/>
        <v>30637.018</v>
      </c>
      <c r="AK149" s="52">
        <f t="shared" si="374"/>
        <v>0</v>
      </c>
      <c r="AL149" s="52">
        <f t="shared" si="374"/>
        <v>0</v>
      </c>
      <c r="AM149" s="52">
        <f t="shared" si="374"/>
        <v>0</v>
      </c>
      <c r="AN149" s="52">
        <f t="shared" si="374"/>
        <v>49258.510999999999</v>
      </c>
      <c r="AO149" s="43">
        <f t="shared" si="374"/>
        <v>49258.510999999999</v>
      </c>
      <c r="AP149" s="52">
        <f t="shared" si="374"/>
        <v>0</v>
      </c>
      <c r="AQ149" s="52">
        <f t="shared" si="374"/>
        <v>0</v>
      </c>
      <c r="AR149" s="52">
        <f t="shared" si="374"/>
        <v>0</v>
      </c>
      <c r="AS149" s="52">
        <f t="shared" si="374"/>
        <v>91378.443000000014</v>
      </c>
      <c r="AT149" s="43">
        <f t="shared" si="374"/>
        <v>91378.443000000014</v>
      </c>
      <c r="AU149" s="52">
        <f t="shared" si="374"/>
        <v>0</v>
      </c>
      <c r="AV149" s="52">
        <f t="shared" si="374"/>
        <v>0</v>
      </c>
      <c r="AW149" s="52">
        <f t="shared" si="374"/>
        <v>0</v>
      </c>
      <c r="AX149" s="52">
        <f t="shared" si="374"/>
        <v>70818</v>
      </c>
      <c r="AY149" s="43">
        <f t="shared" si="374"/>
        <v>70818</v>
      </c>
      <c r="AZ149" s="52">
        <f t="shared" si="374"/>
        <v>0</v>
      </c>
      <c r="BA149" s="52">
        <f t="shared" si="374"/>
        <v>0</v>
      </c>
      <c r="BB149" s="52">
        <f t="shared" si="374"/>
        <v>0</v>
      </c>
      <c r="BC149" s="52">
        <f t="shared" si="374"/>
        <v>46775</v>
      </c>
      <c r="BD149" s="43">
        <f t="shared" si="374"/>
        <v>46775</v>
      </c>
      <c r="BE149" s="52">
        <f t="shared" si="374"/>
        <v>0</v>
      </c>
      <c r="BF149" s="52">
        <f t="shared" si="374"/>
        <v>0</v>
      </c>
      <c r="BG149" s="52">
        <f t="shared" si="374"/>
        <v>0</v>
      </c>
      <c r="BH149" s="52">
        <f t="shared" si="374"/>
        <v>213187</v>
      </c>
      <c r="BI149" s="43">
        <f t="shared" si="374"/>
        <v>213187</v>
      </c>
      <c r="BJ149" s="52">
        <f t="shared" si="374"/>
        <v>0</v>
      </c>
      <c r="BK149" s="52">
        <f t="shared" si="374"/>
        <v>0</v>
      </c>
      <c r="BL149" s="52">
        <f t="shared" si="374"/>
        <v>0</v>
      </c>
      <c r="BM149" s="52">
        <f t="shared" si="374"/>
        <v>316458</v>
      </c>
      <c r="BN149" s="43">
        <f t="shared" si="374"/>
        <v>316458</v>
      </c>
      <c r="BO149" s="52">
        <f t="shared" ref="BO149:DG149" si="375">BO40+BO31+BO38+BO39</f>
        <v>0</v>
      </c>
      <c r="BP149" s="52">
        <f t="shared" si="375"/>
        <v>0</v>
      </c>
      <c r="BQ149" s="52">
        <f t="shared" si="375"/>
        <v>0</v>
      </c>
      <c r="BR149" s="52">
        <f t="shared" si="375"/>
        <v>305534</v>
      </c>
      <c r="BS149" s="43">
        <f t="shared" si="375"/>
        <v>305534</v>
      </c>
      <c r="BT149" s="52">
        <f t="shared" si="375"/>
        <v>0</v>
      </c>
      <c r="BU149" s="52">
        <f t="shared" si="375"/>
        <v>0</v>
      </c>
      <c r="BV149" s="52">
        <f t="shared" si="375"/>
        <v>0</v>
      </c>
      <c r="BW149" s="52">
        <f t="shared" si="375"/>
        <v>259738</v>
      </c>
      <c r="BX149" s="43">
        <f t="shared" si="375"/>
        <v>259738</v>
      </c>
      <c r="BY149" s="52">
        <f t="shared" si="375"/>
        <v>0</v>
      </c>
      <c r="BZ149" s="52">
        <f t="shared" si="375"/>
        <v>0</v>
      </c>
      <c r="CA149" s="52">
        <f t="shared" si="375"/>
        <v>0</v>
      </c>
      <c r="CB149" s="52">
        <f>CB40+CB31+CB38+CB39</f>
        <v>240688</v>
      </c>
      <c r="CC149" s="43">
        <f t="shared" si="375"/>
        <v>240688</v>
      </c>
      <c r="CD149" s="52">
        <f>CD40+CD31+CD38+CD39</f>
        <v>235236</v>
      </c>
      <c r="CE149" s="52">
        <f>CE40+CE31+CE38+CE39</f>
        <v>231210</v>
      </c>
      <c r="CF149" s="52">
        <f t="shared" si="375"/>
        <v>216841</v>
      </c>
      <c r="CG149" s="52">
        <f>CG40+CG31+CG38+CG39</f>
        <v>84871</v>
      </c>
      <c r="CH149" s="43">
        <f t="shared" si="375"/>
        <v>84871</v>
      </c>
      <c r="CI149" s="52">
        <f t="shared" si="375"/>
        <v>89384</v>
      </c>
      <c r="CJ149" s="52">
        <f t="shared" si="375"/>
        <v>163968</v>
      </c>
      <c r="CK149" s="52">
        <f>CK40+CK31+CK38+CK39</f>
        <v>40622</v>
      </c>
      <c r="CL149" s="52">
        <f>CL40+CL31+CL38+CL39</f>
        <v>112188</v>
      </c>
      <c r="CM149" s="43">
        <f t="shared" si="375"/>
        <v>112188</v>
      </c>
      <c r="CN149" s="52">
        <f>CN40+CN31+CN38+CN39</f>
        <v>112476</v>
      </c>
      <c r="CO149" s="52">
        <f>CO40+CO31+CO38+CO39</f>
        <v>192043</v>
      </c>
      <c r="CP149" s="52">
        <f>CP40+CP31+CP38+CP39</f>
        <v>40934</v>
      </c>
      <c r="CQ149" s="52">
        <f t="shared" si="375"/>
        <v>126886</v>
      </c>
      <c r="CR149" s="43">
        <f t="shared" si="375"/>
        <v>126886</v>
      </c>
      <c r="CS149" s="52">
        <f t="shared" si="375"/>
        <v>67835</v>
      </c>
      <c r="CT149" s="52">
        <f t="shared" si="375"/>
        <v>52958</v>
      </c>
      <c r="CU149" s="52">
        <f>CU40+CU31+CU38+CU39</f>
        <v>206476</v>
      </c>
      <c r="CV149" s="52">
        <f>CV40+CV31+CV38+CV39</f>
        <v>185521</v>
      </c>
      <c r="CW149" s="43">
        <f t="shared" si="375"/>
        <v>185521</v>
      </c>
      <c r="CX149" s="52">
        <f>CX40+CX31+CX38+CX39</f>
        <v>193724</v>
      </c>
      <c r="CY149" s="52">
        <f>CY40+CY31+CY38+CY39</f>
        <v>352292</v>
      </c>
      <c r="CZ149" s="52">
        <f>CZ40+CZ31+CZ38+CZ39</f>
        <v>93107</v>
      </c>
      <c r="DA149" s="52">
        <f>DA40+DA31+DA38+DA39</f>
        <v>187826</v>
      </c>
      <c r="DB149" s="43">
        <f t="shared" si="375"/>
        <v>187826</v>
      </c>
      <c r="DC149" s="52">
        <f t="shared" si="375"/>
        <v>189209</v>
      </c>
      <c r="DD149" s="52">
        <f t="shared" si="375"/>
        <v>131349</v>
      </c>
      <c r="DE149" s="52">
        <f t="shared" si="375"/>
        <v>346160</v>
      </c>
      <c r="DF149" s="52">
        <f t="shared" si="375"/>
        <v>156932</v>
      </c>
      <c r="DG149" s="43">
        <f t="shared" si="375"/>
        <v>156932</v>
      </c>
      <c r="DH149" s="52">
        <f t="shared" ref="DH149" si="376">DH40+DH31+DH38+DH39</f>
        <v>320045</v>
      </c>
      <c r="DI149" s="52">
        <f t="shared" ref="DI149:EF149" si="377">DI40+DI31+DI38+DI39</f>
        <v>215991</v>
      </c>
      <c r="DJ149" s="52">
        <f t="shared" si="377"/>
        <v>192298.40342738165</v>
      </c>
      <c r="DK149" s="52">
        <f t="shared" si="377"/>
        <v>196217.3424352477</v>
      </c>
      <c r="DL149" s="43">
        <f t="shared" si="377"/>
        <v>196217.3424352477</v>
      </c>
      <c r="DM149" s="52">
        <f t="shared" si="377"/>
        <v>195336.61609778495</v>
      </c>
      <c r="DN149" s="52">
        <f t="shared" si="377"/>
        <v>200600.33182633459</v>
      </c>
      <c r="DO149" s="52">
        <f t="shared" si="377"/>
        <v>205077.69849451911</v>
      </c>
      <c r="DP149" s="52">
        <f t="shared" ca="1" si="377"/>
        <v>457935.94915490574</v>
      </c>
      <c r="DQ149" s="43">
        <f t="shared" ca="1" si="377"/>
        <v>457935.94915490574</v>
      </c>
      <c r="DR149" s="52">
        <f t="shared" ca="1" si="377"/>
        <v>461802.42623030953</v>
      </c>
      <c r="DS149" s="52">
        <f t="shared" si="377"/>
        <v>216744.62332623606</v>
      </c>
      <c r="DT149" s="52">
        <f t="shared" si="377"/>
        <v>220279.75432098494</v>
      </c>
      <c r="DU149" s="52">
        <f t="shared" si="377"/>
        <v>223699.6876327059</v>
      </c>
      <c r="DV149" s="43">
        <f t="shared" si="377"/>
        <v>223699.6876327059</v>
      </c>
      <c r="DW149" s="52">
        <f t="shared" si="377"/>
        <v>227025.16936878645</v>
      </c>
      <c r="DX149" s="52">
        <f t="shared" si="377"/>
        <v>230271.93075336504</v>
      </c>
      <c r="DY149" s="52">
        <f t="shared" si="377"/>
        <v>233452.52288122338</v>
      </c>
      <c r="DZ149" s="52">
        <f t="shared" si="377"/>
        <v>236577.37327279538</v>
      </c>
      <c r="EA149" s="43">
        <f t="shared" si="377"/>
        <v>236577.37327279538</v>
      </c>
      <c r="EB149" s="52">
        <f t="shared" si="377"/>
        <v>239655.40708387393</v>
      </c>
      <c r="EC149" s="52">
        <f t="shared" si="377"/>
        <v>242694.42346374292</v>
      </c>
      <c r="ED149" s="52">
        <f t="shared" si="377"/>
        <v>245701.33302781501</v>
      </c>
      <c r="EE149" s="52">
        <f t="shared" si="377"/>
        <v>248682.31550748489</v>
      </c>
      <c r="EF149" s="43">
        <f t="shared" si="377"/>
        <v>248682.31550748489</v>
      </c>
    </row>
    <row r="150" spans="1:136">
      <c r="A150" s="1" t="s">
        <v>98</v>
      </c>
      <c r="B150" s="52">
        <f t="shared" ref="B150:AE150" si="378">B42</f>
        <v>0</v>
      </c>
      <c r="C150" s="52">
        <f t="shared" si="378"/>
        <v>0</v>
      </c>
      <c r="D150" s="52">
        <f t="shared" si="378"/>
        <v>0</v>
      </c>
      <c r="E150" s="52">
        <f t="shared" si="378"/>
        <v>0</v>
      </c>
      <c r="F150" s="67">
        <f t="shared" si="378"/>
        <v>0</v>
      </c>
      <c r="G150" s="52">
        <f t="shared" si="378"/>
        <v>0</v>
      </c>
      <c r="H150" s="52">
        <f t="shared" si="378"/>
        <v>0</v>
      </c>
      <c r="I150" s="52">
        <f t="shared" si="378"/>
        <v>0</v>
      </c>
      <c r="J150" s="52">
        <f t="shared" si="378"/>
        <v>0</v>
      </c>
      <c r="K150" s="67">
        <f t="shared" si="378"/>
        <v>0</v>
      </c>
      <c r="L150" s="52">
        <f t="shared" si="378"/>
        <v>0</v>
      </c>
      <c r="M150" s="52">
        <f t="shared" si="378"/>
        <v>0</v>
      </c>
      <c r="N150" s="52">
        <f t="shared" si="378"/>
        <v>0</v>
      </c>
      <c r="O150" s="52">
        <f t="shared" si="378"/>
        <v>0</v>
      </c>
      <c r="P150" s="67">
        <f t="shared" si="378"/>
        <v>0</v>
      </c>
      <c r="Q150" s="52">
        <f t="shared" si="378"/>
        <v>0</v>
      </c>
      <c r="R150" s="52">
        <f t="shared" si="378"/>
        <v>0</v>
      </c>
      <c r="S150" s="52">
        <f t="shared" si="378"/>
        <v>0</v>
      </c>
      <c r="T150" s="52">
        <f t="shared" si="378"/>
        <v>0</v>
      </c>
      <c r="U150" s="67">
        <f t="shared" si="378"/>
        <v>0</v>
      </c>
      <c r="V150" s="52">
        <f t="shared" si="378"/>
        <v>0</v>
      </c>
      <c r="W150" s="52">
        <f t="shared" si="378"/>
        <v>0</v>
      </c>
      <c r="X150" s="52">
        <f t="shared" si="378"/>
        <v>0</v>
      </c>
      <c r="Y150" s="52">
        <f t="shared" si="378"/>
        <v>0</v>
      </c>
      <c r="Z150" s="67">
        <f t="shared" si="378"/>
        <v>0</v>
      </c>
      <c r="AA150" s="52">
        <f t="shared" si="378"/>
        <v>0</v>
      </c>
      <c r="AB150" s="52">
        <f t="shared" si="378"/>
        <v>0</v>
      </c>
      <c r="AC150" s="52">
        <f t="shared" si="378"/>
        <v>0</v>
      </c>
      <c r="AD150" s="52">
        <f t="shared" si="378"/>
        <v>0</v>
      </c>
      <c r="AE150" s="67">
        <f t="shared" si="378"/>
        <v>0</v>
      </c>
      <c r="AF150" s="52">
        <f t="shared" ref="AF150:BN150" si="379">AF42</f>
        <v>0</v>
      </c>
      <c r="AG150" s="52">
        <f t="shared" si="379"/>
        <v>0</v>
      </c>
      <c r="AH150" s="52">
        <f t="shared" si="379"/>
        <v>0</v>
      </c>
      <c r="AI150" s="52">
        <f t="shared" si="379"/>
        <v>0</v>
      </c>
      <c r="AJ150" s="43">
        <f t="shared" si="379"/>
        <v>0</v>
      </c>
      <c r="AK150" s="52">
        <f t="shared" si="379"/>
        <v>0</v>
      </c>
      <c r="AL150" s="52">
        <f t="shared" si="379"/>
        <v>0</v>
      </c>
      <c r="AM150" s="52">
        <f t="shared" si="379"/>
        <v>0</v>
      </c>
      <c r="AN150" s="52">
        <f t="shared" si="379"/>
        <v>0</v>
      </c>
      <c r="AO150" s="43">
        <f t="shared" si="379"/>
        <v>0</v>
      </c>
      <c r="AP150" s="52">
        <f t="shared" si="379"/>
        <v>0</v>
      </c>
      <c r="AQ150" s="52">
        <f t="shared" si="379"/>
        <v>0</v>
      </c>
      <c r="AR150" s="52">
        <f t="shared" si="379"/>
        <v>0</v>
      </c>
      <c r="AS150" s="52">
        <f t="shared" si="379"/>
        <v>80004.898000000001</v>
      </c>
      <c r="AT150" s="43">
        <f t="shared" si="379"/>
        <v>80004.898000000001</v>
      </c>
      <c r="AU150" s="52">
        <f t="shared" si="379"/>
        <v>0</v>
      </c>
      <c r="AV150" s="52">
        <f t="shared" si="379"/>
        <v>0</v>
      </c>
      <c r="AW150" s="52">
        <f t="shared" si="379"/>
        <v>0</v>
      </c>
      <c r="AX150" s="52">
        <f t="shared" si="379"/>
        <v>138854</v>
      </c>
      <c r="AY150" s="43">
        <f t="shared" si="379"/>
        <v>138854</v>
      </c>
      <c r="AZ150" s="52">
        <f t="shared" si="379"/>
        <v>0</v>
      </c>
      <c r="BA150" s="52">
        <f t="shared" si="379"/>
        <v>0</v>
      </c>
      <c r="BB150" s="52">
        <f t="shared" si="379"/>
        <v>0</v>
      </c>
      <c r="BC150" s="52">
        <f t="shared" si="379"/>
        <v>153631</v>
      </c>
      <c r="BD150" s="43">
        <f t="shared" si="379"/>
        <v>153631</v>
      </c>
      <c r="BE150" s="52">
        <f t="shared" si="379"/>
        <v>0</v>
      </c>
      <c r="BF150" s="52">
        <f t="shared" si="379"/>
        <v>0</v>
      </c>
      <c r="BG150" s="52">
        <f t="shared" si="379"/>
        <v>0</v>
      </c>
      <c r="BH150" s="52">
        <f t="shared" si="379"/>
        <v>143889</v>
      </c>
      <c r="BI150" s="43">
        <f t="shared" si="379"/>
        <v>143889</v>
      </c>
      <c r="BJ150" s="52">
        <f t="shared" si="379"/>
        <v>0</v>
      </c>
      <c r="BK150" s="52">
        <f t="shared" si="379"/>
        <v>0</v>
      </c>
      <c r="BL150" s="52">
        <f t="shared" si="379"/>
        <v>0</v>
      </c>
      <c r="BM150" s="52">
        <f t="shared" si="379"/>
        <v>112556</v>
      </c>
      <c r="BN150" s="43">
        <f t="shared" si="379"/>
        <v>112556</v>
      </c>
      <c r="BO150" s="52">
        <f t="shared" ref="BO150:DG150" si="380">BO42</f>
        <v>0</v>
      </c>
      <c r="BP150" s="52">
        <f t="shared" si="380"/>
        <v>0</v>
      </c>
      <c r="BQ150" s="52">
        <f t="shared" si="380"/>
        <v>0</v>
      </c>
      <c r="BR150" s="52">
        <f t="shared" si="380"/>
        <v>124545</v>
      </c>
      <c r="BS150" s="43">
        <f t="shared" si="380"/>
        <v>124545</v>
      </c>
      <c r="BT150" s="52">
        <f t="shared" si="380"/>
        <v>0</v>
      </c>
      <c r="BU150" s="52">
        <f t="shared" si="380"/>
        <v>0</v>
      </c>
      <c r="BV150" s="52">
        <f t="shared" si="380"/>
        <v>0</v>
      </c>
      <c r="BW150" s="52">
        <f t="shared" si="380"/>
        <v>133764</v>
      </c>
      <c r="BX150" s="43">
        <f t="shared" si="380"/>
        <v>133764</v>
      </c>
      <c r="BY150" s="52">
        <f t="shared" si="380"/>
        <v>0</v>
      </c>
      <c r="BZ150" s="52">
        <f t="shared" si="380"/>
        <v>0</v>
      </c>
      <c r="CA150" s="52">
        <f t="shared" si="380"/>
        <v>0</v>
      </c>
      <c r="CB150" s="52">
        <f>CB42</f>
        <v>150182</v>
      </c>
      <c r="CC150" s="43">
        <f t="shared" si="380"/>
        <v>150182</v>
      </c>
      <c r="CD150" s="52">
        <f>CD42</f>
        <v>155510</v>
      </c>
      <c r="CE150" s="52">
        <f>CE42</f>
        <v>162668</v>
      </c>
      <c r="CF150" s="52">
        <f t="shared" si="380"/>
        <v>170936</v>
      </c>
      <c r="CG150" s="52">
        <f>CG42</f>
        <v>152923</v>
      </c>
      <c r="CH150" s="43">
        <f t="shared" si="380"/>
        <v>152923</v>
      </c>
      <c r="CI150" s="52">
        <f t="shared" si="380"/>
        <v>154258</v>
      </c>
      <c r="CJ150" s="52">
        <f t="shared" si="380"/>
        <v>150132</v>
      </c>
      <c r="CK150" s="52">
        <f>CK42</f>
        <v>148534</v>
      </c>
      <c r="CL150" s="52">
        <f>CL42</f>
        <v>147230</v>
      </c>
      <c r="CM150" s="43">
        <f t="shared" si="380"/>
        <v>147230</v>
      </c>
      <c r="CN150" s="52">
        <f>CN42</f>
        <v>144035</v>
      </c>
      <c r="CO150" s="52">
        <f>CO42</f>
        <v>147818</v>
      </c>
      <c r="CP150" s="52">
        <f>CP42</f>
        <v>134033</v>
      </c>
      <c r="CQ150" s="52">
        <f t="shared" si="380"/>
        <v>126011</v>
      </c>
      <c r="CR150" s="43">
        <f t="shared" si="380"/>
        <v>126011</v>
      </c>
      <c r="CS150" s="52">
        <f t="shared" si="380"/>
        <v>126067</v>
      </c>
      <c r="CT150" s="52">
        <f t="shared" si="380"/>
        <v>137528</v>
      </c>
      <c r="CU150" s="52">
        <f>CU42</f>
        <v>132985</v>
      </c>
      <c r="CV150" s="52">
        <f>CV42</f>
        <v>132015</v>
      </c>
      <c r="CW150" s="43">
        <f t="shared" si="380"/>
        <v>132015</v>
      </c>
      <c r="CX150" s="52">
        <f>CX42</f>
        <v>152236</v>
      </c>
      <c r="CY150" s="52">
        <f>CY42</f>
        <v>139517</v>
      </c>
      <c r="CZ150" s="52">
        <f>CZ42</f>
        <v>149296</v>
      </c>
      <c r="DA150" s="52">
        <f>DA42</f>
        <v>214069</v>
      </c>
      <c r="DB150" s="43">
        <f t="shared" si="380"/>
        <v>214069</v>
      </c>
      <c r="DC150" s="52">
        <f t="shared" si="380"/>
        <v>227539</v>
      </c>
      <c r="DD150" s="52">
        <f t="shared" si="380"/>
        <v>248326</v>
      </c>
      <c r="DE150" s="52">
        <f t="shared" si="380"/>
        <v>256908</v>
      </c>
      <c r="DF150" s="52">
        <f t="shared" si="380"/>
        <v>280348</v>
      </c>
      <c r="DG150" s="43">
        <f t="shared" si="380"/>
        <v>280348</v>
      </c>
      <c r="DH150" s="52">
        <f t="shared" ref="DH150" si="381">DH42</f>
        <v>347397</v>
      </c>
      <c r="DI150" s="52">
        <f t="shared" ref="DI150:EF150" si="382">DI42</f>
        <v>393817</v>
      </c>
      <c r="DJ150" s="52">
        <f t="shared" si="382"/>
        <v>415969.20624999999</v>
      </c>
      <c r="DK150" s="52">
        <f t="shared" si="382"/>
        <v>439367.47410156252</v>
      </c>
      <c r="DL150" s="43">
        <f t="shared" si="382"/>
        <v>439367.47410156252</v>
      </c>
      <c r="DM150" s="52">
        <f t="shared" si="382"/>
        <v>458589.80109350587</v>
      </c>
      <c r="DN150" s="52">
        <f t="shared" si="382"/>
        <v>478653.10489134677</v>
      </c>
      <c r="DO150" s="52">
        <f t="shared" si="382"/>
        <v>499594.17823034321</v>
      </c>
      <c r="DP150" s="52">
        <f t="shared" si="382"/>
        <v>521451.42352792074</v>
      </c>
      <c r="DQ150" s="43">
        <f t="shared" si="382"/>
        <v>521451.42352792074</v>
      </c>
      <c r="DR150" s="52">
        <f t="shared" si="382"/>
        <v>541005.85191021778</v>
      </c>
      <c r="DS150" s="52">
        <f t="shared" si="382"/>
        <v>561293.57135685091</v>
      </c>
      <c r="DT150" s="52">
        <f t="shared" si="382"/>
        <v>582342.08028273284</v>
      </c>
      <c r="DU150" s="52">
        <f t="shared" si="382"/>
        <v>604179.90829333535</v>
      </c>
      <c r="DV150" s="43">
        <f t="shared" si="382"/>
        <v>604179.90829333535</v>
      </c>
      <c r="DW150" s="52">
        <f t="shared" si="382"/>
        <v>626836.65485433547</v>
      </c>
      <c r="DX150" s="52">
        <f t="shared" si="382"/>
        <v>650343.02941137308</v>
      </c>
      <c r="DY150" s="52">
        <f t="shared" si="382"/>
        <v>674730.89301429957</v>
      </c>
      <c r="DZ150" s="52">
        <f t="shared" si="382"/>
        <v>700033.30150233582</v>
      </c>
      <c r="EA150" s="43">
        <f t="shared" si="382"/>
        <v>700033.30150233582</v>
      </c>
      <c r="EB150" s="52">
        <f t="shared" si="382"/>
        <v>726284.55030867341</v>
      </c>
      <c r="EC150" s="52">
        <f t="shared" si="382"/>
        <v>753520.22094524861</v>
      </c>
      <c r="ED150" s="52">
        <f t="shared" si="382"/>
        <v>781777.2292306954</v>
      </c>
      <c r="EE150" s="52">
        <f t="shared" si="382"/>
        <v>811093.87532684649</v>
      </c>
      <c r="EF150" s="43">
        <f t="shared" si="382"/>
        <v>811093.87532684649</v>
      </c>
    </row>
    <row r="151" spans="1:136" s="3" customFormat="1">
      <c r="A151" s="3" t="s">
        <v>267</v>
      </c>
      <c r="B151" s="162" t="e">
        <f t="shared" ref="B151:K151" si="383">B138-B145-B150</f>
        <v>#REF!</v>
      </c>
      <c r="C151" s="162" t="e">
        <f t="shared" si="383"/>
        <v>#REF!</v>
      </c>
      <c r="D151" s="162" t="e">
        <f t="shared" si="383"/>
        <v>#REF!</v>
      </c>
      <c r="E151" s="162" t="e">
        <f t="shared" si="383"/>
        <v>#REF!</v>
      </c>
      <c r="F151" s="163" t="e">
        <f t="shared" si="383"/>
        <v>#REF!</v>
      </c>
      <c r="G151" s="162" t="e">
        <f t="shared" si="383"/>
        <v>#REF!</v>
      </c>
      <c r="H151" s="162" t="e">
        <f t="shared" si="383"/>
        <v>#REF!</v>
      </c>
      <c r="I151" s="162" t="e">
        <f t="shared" si="383"/>
        <v>#REF!</v>
      </c>
      <c r="J151" s="162" t="e">
        <f t="shared" si="383"/>
        <v>#REF!</v>
      </c>
      <c r="K151" s="163" t="e">
        <f t="shared" si="383"/>
        <v>#REF!</v>
      </c>
      <c r="L151" s="162" t="e">
        <f t="shared" ref="L151:BN151" si="384">L138-L145-L150</f>
        <v>#REF!</v>
      </c>
      <c r="M151" s="162" t="e">
        <f t="shared" si="384"/>
        <v>#REF!</v>
      </c>
      <c r="N151" s="162" t="e">
        <f t="shared" si="384"/>
        <v>#REF!</v>
      </c>
      <c r="O151" s="162" t="e">
        <f t="shared" si="384"/>
        <v>#REF!</v>
      </c>
      <c r="P151" s="163" t="e">
        <f t="shared" si="384"/>
        <v>#REF!</v>
      </c>
      <c r="Q151" s="162" t="e">
        <f t="shared" si="384"/>
        <v>#REF!</v>
      </c>
      <c r="R151" s="162" t="e">
        <f t="shared" si="384"/>
        <v>#REF!</v>
      </c>
      <c r="S151" s="162" t="e">
        <f t="shared" si="384"/>
        <v>#REF!</v>
      </c>
      <c r="T151" s="162" t="e">
        <f t="shared" si="384"/>
        <v>#REF!</v>
      </c>
      <c r="U151" s="163" t="e">
        <f t="shared" si="384"/>
        <v>#REF!</v>
      </c>
      <c r="V151" s="162" t="e">
        <f t="shared" si="384"/>
        <v>#REF!</v>
      </c>
      <c r="W151" s="162" t="e">
        <f t="shared" si="384"/>
        <v>#REF!</v>
      </c>
      <c r="X151" s="162" t="e">
        <f t="shared" si="384"/>
        <v>#REF!</v>
      </c>
      <c r="Y151" s="162" t="e">
        <f t="shared" si="384"/>
        <v>#REF!</v>
      </c>
      <c r="Z151" s="163" t="e">
        <f t="shared" si="384"/>
        <v>#REF!</v>
      </c>
      <c r="AA151" s="162" t="e">
        <f t="shared" si="384"/>
        <v>#REF!</v>
      </c>
      <c r="AB151" s="162" t="e">
        <f t="shared" si="384"/>
        <v>#REF!</v>
      </c>
      <c r="AC151" s="162" t="e">
        <f t="shared" si="384"/>
        <v>#REF!</v>
      </c>
      <c r="AD151" s="162" t="e">
        <f t="shared" si="384"/>
        <v>#REF!</v>
      </c>
      <c r="AE151" s="163" t="e">
        <f t="shared" si="384"/>
        <v>#REF!</v>
      </c>
      <c r="AF151" s="162">
        <f t="shared" si="384"/>
        <v>0</v>
      </c>
      <c r="AG151" s="162">
        <f t="shared" si="384"/>
        <v>0</v>
      </c>
      <c r="AH151" s="162">
        <f t="shared" si="384"/>
        <v>0</v>
      </c>
      <c r="AI151" s="162">
        <f t="shared" si="384"/>
        <v>120484.13399999999</v>
      </c>
      <c r="AJ151" s="152">
        <f t="shared" si="384"/>
        <v>120484.13399999999</v>
      </c>
      <c r="AK151" s="162">
        <f t="shared" si="384"/>
        <v>0</v>
      </c>
      <c r="AL151" s="162">
        <f t="shared" si="384"/>
        <v>0</v>
      </c>
      <c r="AM151" s="162">
        <f t="shared" si="384"/>
        <v>0</v>
      </c>
      <c r="AN151" s="162">
        <f t="shared" si="384"/>
        <v>189163.09600000002</v>
      </c>
      <c r="AO151" s="152">
        <f t="shared" si="384"/>
        <v>189163.09600000002</v>
      </c>
      <c r="AP151" s="162">
        <f t="shared" si="384"/>
        <v>0</v>
      </c>
      <c r="AQ151" s="162">
        <f t="shared" si="384"/>
        <v>0</v>
      </c>
      <c r="AR151" s="162">
        <f t="shared" si="384"/>
        <v>0</v>
      </c>
      <c r="AS151" s="162">
        <f t="shared" si="384"/>
        <v>250225.00000000012</v>
      </c>
      <c r="AT151" s="152">
        <f t="shared" si="384"/>
        <v>250225.00000000012</v>
      </c>
      <c r="AU151" s="162">
        <f t="shared" si="384"/>
        <v>0</v>
      </c>
      <c r="AV151" s="162">
        <f t="shared" si="384"/>
        <v>0</v>
      </c>
      <c r="AW151" s="162">
        <f t="shared" si="384"/>
        <v>0</v>
      </c>
      <c r="AX151" s="162">
        <f t="shared" si="384"/>
        <v>293155</v>
      </c>
      <c r="AY151" s="152">
        <f t="shared" si="384"/>
        <v>293155</v>
      </c>
      <c r="AZ151" s="162">
        <f t="shared" si="384"/>
        <v>0</v>
      </c>
      <c r="BA151" s="162">
        <f t="shared" si="384"/>
        <v>0</v>
      </c>
      <c r="BB151" s="162">
        <f t="shared" si="384"/>
        <v>0</v>
      </c>
      <c r="BC151" s="162">
        <f t="shared" si="384"/>
        <v>385518</v>
      </c>
      <c r="BD151" s="152">
        <f t="shared" si="384"/>
        <v>385518</v>
      </c>
      <c r="BE151" s="162">
        <f t="shared" si="384"/>
        <v>0</v>
      </c>
      <c r="BF151" s="162">
        <f t="shared" si="384"/>
        <v>0</v>
      </c>
      <c r="BG151" s="162">
        <f t="shared" si="384"/>
        <v>0</v>
      </c>
      <c r="BH151" s="162">
        <f t="shared" si="384"/>
        <v>286356</v>
      </c>
      <c r="BI151" s="152">
        <f t="shared" si="384"/>
        <v>286356</v>
      </c>
      <c r="BJ151" s="162">
        <f t="shared" si="384"/>
        <v>0</v>
      </c>
      <c r="BK151" s="162">
        <f t="shared" si="384"/>
        <v>0</v>
      </c>
      <c r="BL151" s="162">
        <f t="shared" si="384"/>
        <v>0</v>
      </c>
      <c r="BM151" s="162">
        <f t="shared" si="384"/>
        <v>163399</v>
      </c>
      <c r="BN151" s="152">
        <f t="shared" si="384"/>
        <v>163399</v>
      </c>
      <c r="BO151" s="162">
        <f t="shared" ref="BO151:CC151" si="385">BO138-BO145-BO150</f>
        <v>0</v>
      </c>
      <c r="BP151" s="162">
        <f t="shared" si="385"/>
        <v>0</v>
      </c>
      <c r="BQ151" s="162">
        <f t="shared" si="385"/>
        <v>0</v>
      </c>
      <c r="BR151" s="162">
        <f t="shared" si="385"/>
        <v>206778</v>
      </c>
      <c r="BS151" s="152">
        <f t="shared" si="385"/>
        <v>206778</v>
      </c>
      <c r="BT151" s="162">
        <f t="shared" si="385"/>
        <v>0</v>
      </c>
      <c r="BU151" s="162">
        <f>BU138-BU145-BU150</f>
        <v>0</v>
      </c>
      <c r="BV151" s="162">
        <f t="shared" si="385"/>
        <v>0</v>
      </c>
      <c r="BW151" s="162">
        <f>BW138-BW145-BW150</f>
        <v>208254</v>
      </c>
      <c r="BX151" s="152">
        <f t="shared" si="385"/>
        <v>208254</v>
      </c>
      <c r="BY151" s="162">
        <f t="shared" si="385"/>
        <v>0</v>
      </c>
      <c r="BZ151" s="162">
        <f t="shared" si="385"/>
        <v>0</v>
      </c>
      <c r="CA151" s="162">
        <f t="shared" si="385"/>
        <v>0</v>
      </c>
      <c r="CB151" s="162">
        <f>CB138-CB145-CB150</f>
        <v>204422</v>
      </c>
      <c r="CC151" s="152">
        <f t="shared" si="385"/>
        <v>204422</v>
      </c>
      <c r="CD151" s="162">
        <f>CD138-CD145-CD150</f>
        <v>209938</v>
      </c>
      <c r="CE151" s="162">
        <f>CE138-CE145-CE150</f>
        <v>246340</v>
      </c>
      <c r="CF151" s="162">
        <f t="shared" ref="CF151:DG151" si="386">CF138-CF145-CF150</f>
        <v>448084</v>
      </c>
      <c r="CG151" s="162">
        <f>CG138-CG145-CG150</f>
        <v>476451</v>
      </c>
      <c r="CH151" s="152">
        <f t="shared" si="386"/>
        <v>476451</v>
      </c>
      <c r="CI151" s="162">
        <f t="shared" si="386"/>
        <v>526410</v>
      </c>
      <c r="CJ151" s="162">
        <f t="shared" si="386"/>
        <v>522550</v>
      </c>
      <c r="CK151" s="162">
        <f>CK138-CK145-CK150</f>
        <v>588245</v>
      </c>
      <c r="CL151" s="162">
        <f>CL138-CL145-CL150</f>
        <v>570686</v>
      </c>
      <c r="CM151" s="152">
        <f t="shared" si="386"/>
        <v>570686</v>
      </c>
      <c r="CN151" s="162">
        <f>CN138-CN145-CN150</f>
        <v>628677</v>
      </c>
      <c r="CO151" s="162">
        <f>CO138-CO145-CO150</f>
        <v>630361</v>
      </c>
      <c r="CP151" s="162">
        <f>CP138-CP145-CP150</f>
        <v>720107</v>
      </c>
      <c r="CQ151" s="162">
        <f t="shared" si="386"/>
        <v>732765</v>
      </c>
      <c r="CR151" s="152">
        <f t="shared" si="386"/>
        <v>732765</v>
      </c>
      <c r="CS151" s="162">
        <f t="shared" si="386"/>
        <v>824156</v>
      </c>
      <c r="CT151" s="162">
        <f t="shared" si="386"/>
        <v>937199</v>
      </c>
      <c r="CU151" s="162">
        <f>CU138-CU145-CU150</f>
        <v>894754</v>
      </c>
      <c r="CV151" s="162">
        <f>CV138-CV145-CV150</f>
        <v>834518</v>
      </c>
      <c r="CW151" s="152">
        <f t="shared" si="386"/>
        <v>834518</v>
      </c>
      <c r="CX151" s="162">
        <f>CX138-CX145-CX150</f>
        <v>973110</v>
      </c>
      <c r="CY151" s="162">
        <f>CY138-CY145-CY150</f>
        <v>879521</v>
      </c>
      <c r="CZ151" s="162">
        <f>CZ138-CZ145-CZ150</f>
        <v>1046723</v>
      </c>
      <c r="DA151" s="162">
        <f>DA138-DA145-DA150</f>
        <v>1055875</v>
      </c>
      <c r="DB151" s="152">
        <f t="shared" si="386"/>
        <v>1055875</v>
      </c>
      <c r="DC151" s="162">
        <f t="shared" si="386"/>
        <v>1094104</v>
      </c>
      <c r="DD151" s="162">
        <f t="shared" si="386"/>
        <v>1291956</v>
      </c>
      <c r="DE151" s="162">
        <f t="shared" si="386"/>
        <v>1346943</v>
      </c>
      <c r="DF151" s="162">
        <f t="shared" si="386"/>
        <v>1342519</v>
      </c>
      <c r="DG151" s="152">
        <f t="shared" si="386"/>
        <v>1342519</v>
      </c>
      <c r="DH151" s="162">
        <f t="shared" ref="DH151" si="387">DH138-DH145-DH150</f>
        <v>1500070</v>
      </c>
      <c r="DI151" s="162">
        <f t="shared" ref="DI151:EF151" si="388">DI138-DI145-DI150</f>
        <v>1605641</v>
      </c>
      <c r="DJ151" s="162">
        <f t="shared" ca="1" si="388"/>
        <v>1706378.9505380772</v>
      </c>
      <c r="DK151" s="162">
        <f t="shared" ca="1" si="388"/>
        <v>1835802.8281266452</v>
      </c>
      <c r="DL151" s="152">
        <f t="shared" ca="1" si="388"/>
        <v>1835802.8281266452</v>
      </c>
      <c r="DM151" s="162">
        <f t="shared" ca="1" si="388"/>
        <v>1941700.9245680056</v>
      </c>
      <c r="DN151" s="162">
        <f t="shared" ca="1" si="388"/>
        <v>2064014.5904431148</v>
      </c>
      <c r="DO151" s="162">
        <f t="shared" ca="1" si="388"/>
        <v>2192419.9884189153</v>
      </c>
      <c r="DP151" s="162">
        <f t="shared" ca="1" si="388"/>
        <v>2334147.4701179769</v>
      </c>
      <c r="DQ151" s="152">
        <f t="shared" ca="1" si="388"/>
        <v>2334147.4701179769</v>
      </c>
      <c r="DR151" s="162">
        <f t="shared" ca="1" si="388"/>
        <v>1524778.0871910173</v>
      </c>
      <c r="DS151" s="162">
        <f t="shared" ca="1" si="388"/>
        <v>1937758.4292267605</v>
      </c>
      <c r="DT151" s="162">
        <f t="shared" ca="1" si="388"/>
        <v>2364254.256149251</v>
      </c>
      <c r="DU151" s="162">
        <f t="shared" ca="1" si="388"/>
        <v>2808083.5075591956</v>
      </c>
      <c r="DV151" s="152">
        <f t="shared" ca="1" si="388"/>
        <v>2808083.5075591956</v>
      </c>
      <c r="DW151" s="162">
        <f t="shared" ca="1" si="388"/>
        <v>1712615.2065321826</v>
      </c>
      <c r="DX151" s="162">
        <f t="shared" ca="1" si="388"/>
        <v>2145673.0555649535</v>
      </c>
      <c r="DY151" s="162">
        <f t="shared" ca="1" si="388"/>
        <v>2595547.8124847263</v>
      </c>
      <c r="DZ151" s="162">
        <f t="shared" ca="1" si="388"/>
        <v>3062576.5911455294</v>
      </c>
      <c r="EA151" s="152">
        <f t="shared" ca="1" si="388"/>
        <v>3062576.5911455294</v>
      </c>
      <c r="EB151" s="162">
        <f t="shared" ca="1" si="388"/>
        <v>1907092.0659090199</v>
      </c>
      <c r="EC151" s="162">
        <f t="shared" ca="1" si="388"/>
        <v>2360809.613654783</v>
      </c>
      <c r="ED151" s="162">
        <f t="shared" ca="1" si="388"/>
        <v>2831210.4968929784</v>
      </c>
      <c r="EE151" s="162">
        <f t="shared" ca="1" si="388"/>
        <v>3318554.6148889996</v>
      </c>
      <c r="EF151" s="152">
        <f t="shared" ca="1" si="388"/>
        <v>3318554.6148889996</v>
      </c>
    </row>
    <row r="152" spans="1:136">
      <c r="A152" s="1" t="s">
        <v>260</v>
      </c>
      <c r="B152" s="52" t="e">
        <f t="shared" ref="B152:K152" si="389">B151+B150+B146-B139</f>
        <v>#REF!</v>
      </c>
      <c r="C152" s="52" t="e">
        <f t="shared" si="389"/>
        <v>#REF!</v>
      </c>
      <c r="D152" s="52" t="e">
        <f t="shared" si="389"/>
        <v>#REF!</v>
      </c>
      <c r="E152" s="52" t="e">
        <f t="shared" si="389"/>
        <v>#REF!</v>
      </c>
      <c r="F152" s="67" t="e">
        <f t="shared" si="389"/>
        <v>#REF!</v>
      </c>
      <c r="G152" s="52" t="e">
        <f t="shared" si="389"/>
        <v>#REF!</v>
      </c>
      <c r="H152" s="52" t="e">
        <f t="shared" si="389"/>
        <v>#REF!</v>
      </c>
      <c r="I152" s="52" t="e">
        <f t="shared" si="389"/>
        <v>#REF!</v>
      </c>
      <c r="J152" s="52" t="e">
        <f t="shared" si="389"/>
        <v>#REF!</v>
      </c>
      <c r="K152" s="67" t="e">
        <f t="shared" si="389"/>
        <v>#REF!</v>
      </c>
      <c r="L152" s="52" t="e">
        <f t="shared" ref="L152:BN152" si="390">L151+L150+L146-L139</f>
        <v>#REF!</v>
      </c>
      <c r="M152" s="52" t="e">
        <f t="shared" si="390"/>
        <v>#REF!</v>
      </c>
      <c r="N152" s="52" t="e">
        <f t="shared" si="390"/>
        <v>#REF!</v>
      </c>
      <c r="O152" s="52" t="e">
        <f t="shared" si="390"/>
        <v>#REF!</v>
      </c>
      <c r="P152" s="67" t="e">
        <f t="shared" si="390"/>
        <v>#REF!</v>
      </c>
      <c r="Q152" s="52" t="e">
        <f t="shared" si="390"/>
        <v>#REF!</v>
      </c>
      <c r="R152" s="52" t="e">
        <f t="shared" si="390"/>
        <v>#REF!</v>
      </c>
      <c r="S152" s="52" t="e">
        <f t="shared" si="390"/>
        <v>#REF!</v>
      </c>
      <c r="T152" s="52" t="e">
        <f t="shared" si="390"/>
        <v>#REF!</v>
      </c>
      <c r="U152" s="67" t="e">
        <f t="shared" si="390"/>
        <v>#REF!</v>
      </c>
      <c r="V152" s="52" t="e">
        <f t="shared" si="390"/>
        <v>#REF!</v>
      </c>
      <c r="W152" s="52" t="e">
        <f t="shared" si="390"/>
        <v>#REF!</v>
      </c>
      <c r="X152" s="52" t="e">
        <f t="shared" si="390"/>
        <v>#REF!</v>
      </c>
      <c r="Y152" s="52" t="e">
        <f t="shared" si="390"/>
        <v>#REF!</v>
      </c>
      <c r="Z152" s="67" t="e">
        <f t="shared" si="390"/>
        <v>#REF!</v>
      </c>
      <c r="AA152" s="52" t="e">
        <f t="shared" si="390"/>
        <v>#REF!</v>
      </c>
      <c r="AB152" s="52" t="e">
        <f t="shared" si="390"/>
        <v>#REF!</v>
      </c>
      <c r="AC152" s="52" t="e">
        <f t="shared" si="390"/>
        <v>#REF!</v>
      </c>
      <c r="AD152" s="52" t="e">
        <f t="shared" si="390"/>
        <v>#REF!</v>
      </c>
      <c r="AE152" s="67" t="e">
        <f t="shared" si="390"/>
        <v>#REF!</v>
      </c>
      <c r="AF152" s="52">
        <f t="shared" si="390"/>
        <v>0</v>
      </c>
      <c r="AG152" s="52">
        <f t="shared" si="390"/>
        <v>0</v>
      </c>
      <c r="AH152" s="52">
        <f t="shared" si="390"/>
        <v>0</v>
      </c>
      <c r="AI152" s="52">
        <f t="shared" si="390"/>
        <v>194472.25999999998</v>
      </c>
      <c r="AJ152" s="43">
        <f t="shared" si="390"/>
        <v>194472.25999999998</v>
      </c>
      <c r="AK152" s="52">
        <f t="shared" si="390"/>
        <v>0</v>
      </c>
      <c r="AL152" s="52">
        <f t="shared" si="390"/>
        <v>0</v>
      </c>
      <c r="AM152" s="52">
        <f t="shared" si="390"/>
        <v>0</v>
      </c>
      <c r="AN152" s="52">
        <f t="shared" si="390"/>
        <v>291704.93200000003</v>
      </c>
      <c r="AO152" s="43">
        <f t="shared" si="390"/>
        <v>291704.93200000003</v>
      </c>
      <c r="AP152" s="52">
        <f t="shared" si="390"/>
        <v>0</v>
      </c>
      <c r="AQ152" s="52">
        <f t="shared" si="390"/>
        <v>0</v>
      </c>
      <c r="AR152" s="52">
        <f t="shared" si="390"/>
        <v>0</v>
      </c>
      <c r="AS152" s="52">
        <f t="shared" si="390"/>
        <v>345882.49500000011</v>
      </c>
      <c r="AT152" s="43">
        <f t="shared" si="390"/>
        <v>345882.49500000011</v>
      </c>
      <c r="AU152" s="52">
        <f t="shared" si="390"/>
        <v>0</v>
      </c>
      <c r="AV152" s="52">
        <f t="shared" si="390"/>
        <v>0</v>
      </c>
      <c r="AW152" s="52">
        <f t="shared" si="390"/>
        <v>0</v>
      </c>
      <c r="AX152" s="52">
        <f t="shared" si="390"/>
        <v>445821</v>
      </c>
      <c r="AY152" s="43">
        <f t="shared" si="390"/>
        <v>445821</v>
      </c>
      <c r="AZ152" s="52">
        <f t="shared" si="390"/>
        <v>0</v>
      </c>
      <c r="BA152" s="52">
        <f t="shared" si="390"/>
        <v>0</v>
      </c>
      <c r="BB152" s="52">
        <f t="shared" si="390"/>
        <v>0</v>
      </c>
      <c r="BC152" s="52">
        <f t="shared" si="390"/>
        <v>543055</v>
      </c>
      <c r="BD152" s="43">
        <f t="shared" si="390"/>
        <v>543055</v>
      </c>
      <c r="BE152" s="52">
        <f t="shared" si="390"/>
        <v>0</v>
      </c>
      <c r="BF152" s="52">
        <f t="shared" si="390"/>
        <v>0</v>
      </c>
      <c r="BG152" s="52">
        <f t="shared" si="390"/>
        <v>0</v>
      </c>
      <c r="BH152" s="52">
        <f t="shared" si="390"/>
        <v>446380</v>
      </c>
      <c r="BI152" s="43">
        <f t="shared" si="390"/>
        <v>446380</v>
      </c>
      <c r="BJ152" s="52">
        <f t="shared" si="390"/>
        <v>0</v>
      </c>
      <c r="BK152" s="52">
        <f t="shared" si="390"/>
        <v>0</v>
      </c>
      <c r="BL152" s="52">
        <f t="shared" si="390"/>
        <v>0</v>
      </c>
      <c r="BM152" s="52">
        <f t="shared" si="390"/>
        <v>288452</v>
      </c>
      <c r="BN152" s="43">
        <f t="shared" si="390"/>
        <v>288452</v>
      </c>
      <c r="BO152" s="52">
        <f t="shared" ref="BO152:CC152" si="391">BO151+BO150+BO146-BO139</f>
        <v>0</v>
      </c>
      <c r="BP152" s="52">
        <f t="shared" si="391"/>
        <v>0</v>
      </c>
      <c r="BQ152" s="52">
        <f t="shared" si="391"/>
        <v>0</v>
      </c>
      <c r="BR152" s="52">
        <f t="shared" si="391"/>
        <v>320380</v>
      </c>
      <c r="BS152" s="43">
        <f t="shared" si="391"/>
        <v>320380</v>
      </c>
      <c r="BT152" s="52">
        <f t="shared" si="391"/>
        <v>0</v>
      </c>
      <c r="BU152" s="52">
        <f>BU151+BU150+BU146-BU139</f>
        <v>0</v>
      </c>
      <c r="BV152" s="52">
        <f t="shared" si="391"/>
        <v>0</v>
      </c>
      <c r="BW152" s="52">
        <f>BW151+BW150+BW146-BW139</f>
        <v>308653</v>
      </c>
      <c r="BX152" s="43">
        <f t="shared" si="391"/>
        <v>308653</v>
      </c>
      <c r="BY152" s="52">
        <f t="shared" si="391"/>
        <v>0</v>
      </c>
      <c r="BZ152" s="52">
        <f t="shared" si="391"/>
        <v>0</v>
      </c>
      <c r="CA152" s="52">
        <f t="shared" si="391"/>
        <v>0</v>
      </c>
      <c r="CB152" s="52">
        <f>CB151+CB150+CB146-CB139</f>
        <v>327227</v>
      </c>
      <c r="CC152" s="43">
        <f t="shared" si="391"/>
        <v>327227</v>
      </c>
      <c r="CD152" s="52">
        <f>CD151+CD150+CD146-CD139</f>
        <v>335251</v>
      </c>
      <c r="CE152" s="52">
        <f>CE151+CE150+CE146-CE139</f>
        <v>318957</v>
      </c>
      <c r="CF152" s="52">
        <f t="shared" ref="CF152:DG152" si="392">CF151+CF150+CF146-CF139</f>
        <v>315363</v>
      </c>
      <c r="CG152" s="52">
        <f>CG151+CG150+CG146-CG139</f>
        <v>475179</v>
      </c>
      <c r="CH152" s="43">
        <f t="shared" si="392"/>
        <v>475179</v>
      </c>
      <c r="CI152" s="52">
        <f t="shared" si="392"/>
        <v>524813</v>
      </c>
      <c r="CJ152" s="52">
        <f t="shared" si="392"/>
        <v>450990</v>
      </c>
      <c r="CK152" s="52">
        <f>CK151+CK150+CK146-CK139</f>
        <v>572076</v>
      </c>
      <c r="CL152" s="52">
        <f>CL151+CL150+CL146-CL139</f>
        <v>514657</v>
      </c>
      <c r="CM152" s="43">
        <f t="shared" si="392"/>
        <v>514657</v>
      </c>
      <c r="CN152" s="52">
        <f>CN151+CN150+CN146-CN139</f>
        <v>561006</v>
      </c>
      <c r="CO152" s="52">
        <f>CO151+CO150+CO146-CO139</f>
        <v>497174</v>
      </c>
      <c r="CP152" s="52">
        <f>CP151+CP150+CP146-CP139</f>
        <v>675253</v>
      </c>
      <c r="CQ152" s="52">
        <f t="shared" si="392"/>
        <v>550338</v>
      </c>
      <c r="CR152" s="43">
        <f t="shared" si="392"/>
        <v>550338</v>
      </c>
      <c r="CS152" s="52">
        <f t="shared" si="392"/>
        <v>694917</v>
      </c>
      <c r="CT152" s="52">
        <f t="shared" si="392"/>
        <v>738944</v>
      </c>
      <c r="CU152" s="52">
        <f>CU151+CU150+CU146-CU139</f>
        <v>564383</v>
      </c>
      <c r="CV152" s="52">
        <f>CV151+CV150+CV146-CV139</f>
        <v>587616</v>
      </c>
      <c r="CW152" s="43">
        <f t="shared" si="392"/>
        <v>587616</v>
      </c>
      <c r="CX152" s="52">
        <f>CX151+CX150+CX146-CX139</f>
        <v>715568</v>
      </c>
      <c r="CY152" s="52">
        <f>CY151+CY150+CY146-CY139</f>
        <v>541756</v>
      </c>
      <c r="CZ152" s="52">
        <f>CZ151+CZ150+CZ146-CZ139</f>
        <v>873329</v>
      </c>
      <c r="DA152" s="52">
        <f>DA151+DA150+DA146-DA139</f>
        <v>840090</v>
      </c>
      <c r="DB152" s="43">
        <f t="shared" si="392"/>
        <v>840090</v>
      </c>
      <c r="DC152" s="52">
        <f t="shared" si="392"/>
        <v>1060648</v>
      </c>
      <c r="DD152" s="52">
        <f t="shared" si="392"/>
        <v>1312519</v>
      </c>
      <c r="DE152" s="52">
        <f t="shared" si="392"/>
        <v>1153634</v>
      </c>
      <c r="DF152" s="52">
        <f t="shared" si="392"/>
        <v>1306817</v>
      </c>
      <c r="DG152" s="43">
        <f t="shared" si="392"/>
        <v>1306817</v>
      </c>
      <c r="DH152" s="52">
        <f t="shared" ref="DH152" si="393">DH151+DH150+DH146-DH139</f>
        <v>1440573</v>
      </c>
      <c r="DI152" s="52">
        <f t="shared" ref="DI152:EF152" si="394">DI151+DI150+DI146-DI139</f>
        <v>1708907</v>
      </c>
      <c r="DJ152" s="52">
        <f t="shared" ca="1" si="394"/>
        <v>1826584.8211870366</v>
      </c>
      <c r="DK152" s="52">
        <f t="shared" ca="1" si="394"/>
        <v>1911957.2408151573</v>
      </c>
      <c r="DL152" s="43">
        <f t="shared" ca="1" si="394"/>
        <v>1911957.2408151573</v>
      </c>
      <c r="DM152" s="52">
        <f t="shared" ca="1" si="394"/>
        <v>1782787.1940030996</v>
      </c>
      <c r="DN152" s="52">
        <f t="shared" ca="1" si="394"/>
        <v>1854177.0621031439</v>
      </c>
      <c r="DO152" s="52">
        <f t="shared" ca="1" si="394"/>
        <v>1920033.167063666</v>
      </c>
      <c r="DP152" s="52">
        <f t="shared" ca="1" si="394"/>
        <v>1740815.6670266758</v>
      </c>
      <c r="DQ152" s="43">
        <f t="shared" ca="1" si="394"/>
        <v>1740815.6670266758</v>
      </c>
      <c r="DR152" s="52">
        <f t="shared" ca="1" si="394"/>
        <v>1807002.835926855</v>
      </c>
      <c r="DS152" s="52">
        <f t="shared" ca="1" si="394"/>
        <v>2122481.1379242055</v>
      </c>
      <c r="DT152" s="52">
        <f t="shared" ca="1" si="394"/>
        <v>2184152.223933747</v>
      </c>
      <c r="DU152" s="52">
        <f t="shared" ca="1" si="394"/>
        <v>2244085.8933150638</v>
      </c>
      <c r="DV152" s="43">
        <f t="shared" ca="1" si="394"/>
        <v>2244085.8933150638</v>
      </c>
      <c r="DW152" s="52">
        <f t="shared" ca="1" si="394"/>
        <v>2302400.8621074306</v>
      </c>
      <c r="DX152" s="52">
        <f t="shared" ca="1" si="394"/>
        <v>2360100.7114367778</v>
      </c>
      <c r="DY152" s="52">
        <f t="shared" ca="1" si="394"/>
        <v>2416444.2857164117</v>
      </c>
      <c r="DZ152" s="52">
        <f t="shared" ca="1" si="394"/>
        <v>2471435.4612450548</v>
      </c>
      <c r="EA152" s="43">
        <f t="shared" ca="1" si="394"/>
        <v>2471435.4612450548</v>
      </c>
      <c r="EB152" s="52">
        <f t="shared" ca="1" si="394"/>
        <v>2525411.4945319793</v>
      </c>
      <c r="EC152" s="52">
        <f t="shared" ca="1" si="394"/>
        <v>2583283.3705816008</v>
      </c>
      <c r="ED152" s="52">
        <f t="shared" ca="1" si="394"/>
        <v>2645242.2888972829</v>
      </c>
      <c r="EE152" s="52">
        <f t="shared" ca="1" si="394"/>
        <v>2711296.2756145461</v>
      </c>
      <c r="EF152" s="43">
        <f t="shared" ca="1" si="394"/>
        <v>2711296.2756145461</v>
      </c>
    </row>
    <row r="154" spans="1:136" s="3" customFormat="1">
      <c r="A154" s="3" t="s">
        <v>261</v>
      </c>
      <c r="B154" s="237" t="e">
        <f>B151/'Income Statement'!B78</f>
        <v>#REF!</v>
      </c>
      <c r="C154" s="237" t="e">
        <f>C151/'Income Statement'!C78</f>
        <v>#REF!</v>
      </c>
      <c r="D154" s="237" t="e">
        <f>D151/'Income Statement'!D78</f>
        <v>#REF!</v>
      </c>
      <c r="E154" s="237" t="e">
        <f>E151/'Income Statement'!E78</f>
        <v>#REF!</v>
      </c>
      <c r="F154" s="238" t="e">
        <f>F151/'Income Statement'!F78</f>
        <v>#REF!</v>
      </c>
      <c r="G154" s="237" t="e">
        <f>G151/'Income Statement'!G78</f>
        <v>#REF!</v>
      </c>
      <c r="H154" s="237" t="e">
        <f>H151/'Income Statement'!H78</f>
        <v>#REF!</v>
      </c>
      <c r="I154" s="237" t="e">
        <f>I151/'Income Statement'!I78</f>
        <v>#REF!</v>
      </c>
      <c r="J154" s="237" t="e">
        <f>J151/'Income Statement'!J78</f>
        <v>#REF!</v>
      </c>
      <c r="K154" s="238" t="e">
        <f>K151/'Income Statement'!K78</f>
        <v>#REF!</v>
      </c>
      <c r="L154" s="237" t="e">
        <f>L151/'Income Statement'!L78</f>
        <v>#REF!</v>
      </c>
      <c r="M154" s="237" t="e">
        <f>M151/'Income Statement'!M78</f>
        <v>#REF!</v>
      </c>
      <c r="N154" s="237" t="e">
        <f>N151/'Income Statement'!N78</f>
        <v>#REF!</v>
      </c>
      <c r="O154" s="237" t="e">
        <f>O151/'Income Statement'!O78</f>
        <v>#REF!</v>
      </c>
      <c r="P154" s="238" t="e">
        <f>P151/'Income Statement'!P78</f>
        <v>#REF!</v>
      </c>
      <c r="Q154" s="237" t="e">
        <f>Q151/'Income Statement'!Q78</f>
        <v>#REF!</v>
      </c>
      <c r="R154" s="237" t="e">
        <f>R151/'Income Statement'!R78</f>
        <v>#REF!</v>
      </c>
      <c r="S154" s="237" t="e">
        <f>S151/'Income Statement'!S78</f>
        <v>#REF!</v>
      </c>
      <c r="T154" s="237" t="e">
        <f>T151/'Income Statement'!T78</f>
        <v>#REF!</v>
      </c>
      <c r="U154" s="238" t="e">
        <f>U151/'Income Statement'!U78</f>
        <v>#REF!</v>
      </c>
      <c r="V154" s="237" t="e">
        <f>V151/'Income Statement'!V78</f>
        <v>#REF!</v>
      </c>
      <c r="W154" s="237" t="e">
        <f>W151/'Income Statement'!W78</f>
        <v>#REF!</v>
      </c>
      <c r="X154" s="237" t="e">
        <f>X151/'Income Statement'!X78</f>
        <v>#REF!</v>
      </c>
      <c r="Y154" s="237" t="e">
        <f>Y151/'Income Statement'!Y78</f>
        <v>#REF!</v>
      </c>
      <c r="Z154" s="238" t="e">
        <f>Z151/'Income Statement'!Z78</f>
        <v>#REF!</v>
      </c>
      <c r="AA154" s="237" t="e">
        <f>AA151/'Income Statement'!AA78</f>
        <v>#REF!</v>
      </c>
      <c r="AB154" s="237" t="e">
        <f>AB151/'Income Statement'!AB78</f>
        <v>#REF!</v>
      </c>
      <c r="AC154" s="237" t="e">
        <f>AC151/'Income Statement'!AC78</f>
        <v>#REF!</v>
      </c>
      <c r="AD154" s="237" t="e">
        <f>AD151/'Income Statement'!AD78</f>
        <v>#REF!</v>
      </c>
      <c r="AE154" s="238" t="e">
        <f>AE151/'Income Statement'!AE78</f>
        <v>#REF!</v>
      </c>
      <c r="AF154" s="237">
        <f>AF151/'Income Statement'!AF78</f>
        <v>0</v>
      </c>
      <c r="AG154" s="237">
        <f>AG151/'Income Statement'!AG78</f>
        <v>0</v>
      </c>
      <c r="AH154" s="237">
        <f>AH151/'Income Statement'!AH78</f>
        <v>0</v>
      </c>
      <c r="AI154" s="237">
        <f>AI151/'Income Statement'!AI78</f>
        <v>0.44021591762194218</v>
      </c>
      <c r="AJ154" s="239">
        <f>AJ151/'Income Statement'!AJ78</f>
        <v>0.44021591762194218</v>
      </c>
      <c r="AK154" s="237">
        <f>AK151/'Income Statement'!AK78</f>
        <v>0</v>
      </c>
      <c r="AL154" s="237">
        <f>AL151/'Income Statement'!AL78</f>
        <v>0</v>
      </c>
      <c r="AM154" s="237">
        <f>AM151/'Income Statement'!AM78</f>
        <v>0</v>
      </c>
      <c r="AN154" s="237">
        <f>AN151/'Income Statement'!AN78</f>
        <v>0.69114997237601061</v>
      </c>
      <c r="AO154" s="239">
        <f>AO151/'Income Statement'!AO78</f>
        <v>0.69114997237601061</v>
      </c>
      <c r="AP154" s="237">
        <f>AP151/'Income Statement'!AP78</f>
        <v>0</v>
      </c>
      <c r="AQ154" s="237">
        <f>AQ151/'Income Statement'!AQ78</f>
        <v>0</v>
      </c>
      <c r="AR154" s="237">
        <f>AR151/'Income Statement'!AR78</f>
        <v>0</v>
      </c>
      <c r="AS154" s="237">
        <f>AS151/'Income Statement'!AS78</f>
        <v>0.9142533903007557</v>
      </c>
      <c r="AT154" s="239">
        <f>AT151/'Income Statement'!AT78</f>
        <v>0.9142533903007557</v>
      </c>
      <c r="AU154" s="237">
        <f>AU151/'Income Statement'!AU78</f>
        <v>0</v>
      </c>
      <c r="AV154" s="237">
        <f>AV151/'Income Statement'!AV78</f>
        <v>0</v>
      </c>
      <c r="AW154" s="237">
        <f>AW151/'Income Statement'!AW78</f>
        <v>0</v>
      </c>
      <c r="AX154" s="237">
        <f>AX151/'Income Statement'!AX78</f>
        <v>1.0711078135023195</v>
      </c>
      <c r="AY154" s="239">
        <f>AY151/'Income Statement'!AY78</f>
        <v>1.0711078135023195</v>
      </c>
      <c r="AZ154" s="237">
        <f>AZ151/'Income Statement'!AZ78</f>
        <v>0</v>
      </c>
      <c r="BA154" s="237">
        <f>BA151/'Income Statement'!BA78</f>
        <v>0</v>
      </c>
      <c r="BB154" s="237">
        <f>BB151/'Income Statement'!BB78</f>
        <v>0</v>
      </c>
      <c r="BC154" s="237">
        <f>BC151/'Income Statement'!BC78</f>
        <v>1.4085768349364234</v>
      </c>
      <c r="BD154" s="239">
        <f>BD151/'Income Statement'!BD78</f>
        <v>1.4085768349364234</v>
      </c>
      <c r="BE154" s="237">
        <f>BE151/'Income Statement'!BE78</f>
        <v>0</v>
      </c>
      <c r="BF154" s="237">
        <f>BF151/'Income Statement'!BF78</f>
        <v>0</v>
      </c>
      <c r="BG154" s="237">
        <f>BG151/'Income Statement'!BG78</f>
        <v>0</v>
      </c>
      <c r="BH154" s="237">
        <f>BH151/'Income Statement'!BH78</f>
        <v>1.0462661358096237</v>
      </c>
      <c r="BI154" s="239">
        <f>BI151/'Income Statement'!BI78</f>
        <v>1.0462661358096237</v>
      </c>
      <c r="BJ154" s="237">
        <f>BJ151/'Income Statement'!BJ78</f>
        <v>0</v>
      </c>
      <c r="BK154" s="237">
        <f>BK151/'Income Statement'!BK78</f>
        <v>0</v>
      </c>
      <c r="BL154" s="237">
        <f>BL151/'Income Statement'!BL78</f>
        <v>0</v>
      </c>
      <c r="BM154" s="237">
        <f>BM151/'Income Statement'!BM78</f>
        <v>0.59701504534620087</v>
      </c>
      <c r="BN154" s="239">
        <f>BN151/'Income Statement'!BN78</f>
        <v>0.59701504534620087</v>
      </c>
      <c r="BO154" s="237">
        <f>BO151/'Income Statement'!BO78</f>
        <v>0</v>
      </c>
      <c r="BP154" s="237">
        <f>BP151/'Income Statement'!BP78</f>
        <v>0</v>
      </c>
      <c r="BQ154" s="237">
        <f>BQ151/'Income Statement'!BQ78</f>
        <v>0</v>
      </c>
      <c r="BR154" s="237">
        <f>BR151/'Income Statement'!BR78</f>
        <v>0.75550999116638851</v>
      </c>
      <c r="BS154" s="239">
        <f>BS151/'Income Statement'!BS78</f>
        <v>0.75550999116638851</v>
      </c>
      <c r="BT154" s="237">
        <f>BT151/'Income Statement'!BT78</f>
        <v>0</v>
      </c>
      <c r="BU154" s="237">
        <f>BU151/'Income Statement'!BU78</f>
        <v>0</v>
      </c>
      <c r="BV154" s="237">
        <f>BV151/'Income Statement'!BV78</f>
        <v>0</v>
      </c>
      <c r="BW154" s="237">
        <f>BW151/'Income Statement'!BW78</f>
        <v>0.76090288957415719</v>
      </c>
      <c r="BX154" s="239">
        <f>BX151/'Income Statement'!BX78</f>
        <v>0.76090288957415719</v>
      </c>
      <c r="BY154" s="237">
        <f>BY151/'Income Statement'!BY78</f>
        <v>0</v>
      </c>
      <c r="BZ154" s="237">
        <f>BZ151/'Income Statement'!BZ78</f>
        <v>0</v>
      </c>
      <c r="CA154" s="237">
        <f>CA151/'Income Statement'!CA78</f>
        <v>0</v>
      </c>
      <c r="CB154" s="237">
        <f>CB151/'Income Statement'!CB78</f>
        <v>0.74690181457512628</v>
      </c>
      <c r="CC154" s="239">
        <f>CC151/'Income Statement'!CC78</f>
        <v>0.74690181457512628</v>
      </c>
      <c r="CD154" s="237">
        <f>CD151/'Income Statement'!CD78</f>
        <v>0.76705576282529708</v>
      </c>
      <c r="CE154" s="237">
        <f>CE151/'Income Statement'!CE78</f>
        <v>0.90005866786567312</v>
      </c>
      <c r="CF154" s="237">
        <f>CF151/'Income Statement'!CF78</f>
        <v>1.5351909718310732</v>
      </c>
      <c r="CG154" s="237">
        <f>CG151/'Income Statement'!CG78</f>
        <v>1.632379807625103</v>
      </c>
      <c r="CH154" s="239">
        <f>CH151/'Income Statement'!CH78</f>
        <v>1.632379807625103</v>
      </c>
      <c r="CI154" s="237">
        <f>CI151/'Income Statement'!CI78</f>
        <v>1.8035454947768617</v>
      </c>
      <c r="CJ154" s="237">
        <f>CJ151/'Income Statement'!CJ78</f>
        <v>1.7903206593637071</v>
      </c>
      <c r="CK154" s="237">
        <f>CK151/'Income Statement'!CK78</f>
        <v>2.0153998206246366</v>
      </c>
      <c r="CL154" s="237">
        <f>CL151/'Income Statement'!CL78</f>
        <v>1.9559682947549479</v>
      </c>
      <c r="CM154" s="239">
        <f>CM151/'Income Statement'!CM78</f>
        <v>1.9559682947549479</v>
      </c>
      <c r="CN154" s="237">
        <f>CN151/'Income Statement'!CN78</f>
        <v>2.1539248323926845</v>
      </c>
      <c r="CO154" s="237">
        <f>CO151/'Income Statement'!CO78</f>
        <v>2.1745262716687841</v>
      </c>
      <c r="CP154" s="237">
        <f>CP151/'Income Statement'!CP78</f>
        <v>2.4841187667266742</v>
      </c>
      <c r="CQ154" s="237">
        <f>CQ151/'Income Statement'!CQ78</f>
        <v>2.5277844655036978</v>
      </c>
      <c r="CR154" s="239">
        <f>CR151/'Income Statement'!CR78</f>
        <v>2.5277844655036978</v>
      </c>
      <c r="CS154" s="237">
        <f>CS151/'Income Statement'!CS78</f>
        <v>2.8430516385903606</v>
      </c>
      <c r="CT154" s="237">
        <f>CT151/'Income Statement'!CT78</f>
        <v>3.2330106832144003</v>
      </c>
      <c r="CU154" s="237">
        <f>CU151/'Income Statement'!CU78</f>
        <v>3.0865901914628777</v>
      </c>
      <c r="CV154" s="237">
        <f>CV151/'Income Statement'!CV78</f>
        <v>2.8787969356931824</v>
      </c>
      <c r="CW154" s="239">
        <f>CW151/'Income Statement'!CW78</f>
        <v>2.8787969356931824</v>
      </c>
      <c r="CX154" s="237">
        <f>CX151/'Income Statement'!CX78</f>
        <v>3.3568911468565004</v>
      </c>
      <c r="CY154" s="237">
        <f>CY151/'Income Statement'!CY78</f>
        <v>3.0340416380207538</v>
      </c>
      <c r="CZ154" s="237">
        <f>CZ151/'Income Statement'!CZ78</f>
        <v>3.6108304014048529</v>
      </c>
      <c r="DA154" s="237">
        <f>DA151/'Income Statement'!DA78</f>
        <v>3.6424016192281523</v>
      </c>
      <c r="DB154" s="239">
        <f>DB151/'Income Statement'!DB78</f>
        <v>3.6424016192281523</v>
      </c>
      <c r="DC154" s="237">
        <f>DC151/'Income Statement'!DC78</f>
        <v>3.7742783768949906</v>
      </c>
      <c r="DD154" s="237">
        <f>DD151/'Income Statement'!DD78</f>
        <v>4.4264003785071235</v>
      </c>
      <c r="DE154" s="237">
        <f>DE151/'Income Statement'!DE78</f>
        <v>4.6147926129276238</v>
      </c>
      <c r="DF154" s="237">
        <f>DF151/'Income Statement'!DF78</f>
        <v>4.3581544740128697</v>
      </c>
      <c r="DG154" s="239">
        <f>DG151/'Income Statement'!DG78</f>
        <v>4.3581544740128697</v>
      </c>
      <c r="DH154" s="237">
        <f>DH151/'Income Statement'!DH78</f>
        <v>4.8696046624535558</v>
      </c>
      <c r="DI154" s="237">
        <f>DI151/'Income Statement'!DI78</f>
        <v>5.2123146918654397</v>
      </c>
      <c r="DJ154" s="237">
        <f ca="1">DJ151/'Income Statement'!DJ78</f>
        <v>5.5393354266486403</v>
      </c>
      <c r="DK154" s="237">
        <f ca="1">DK151/'Income Statement'!DK78</f>
        <v>5.9594778984920271</v>
      </c>
      <c r="DL154" s="239">
        <f ca="1">DL151/'Income Statement'!DL78</f>
        <v>5.9594778984920271</v>
      </c>
      <c r="DM154" s="237">
        <f ca="1">DM151/'Income Statement'!DM78</f>
        <v>6.3032497652554484</v>
      </c>
      <c r="DN154" s="237">
        <f ca="1">DN151/'Income Statement'!DN78</f>
        <v>6.7003107008299336</v>
      </c>
      <c r="DO154" s="237">
        <f ca="1">DO151/'Income Statement'!DO78</f>
        <v>7.1171469315839406</v>
      </c>
      <c r="DP154" s="237">
        <f ca="1">DP151/'Income Statement'!DP78</f>
        <v>7.5772299981605347</v>
      </c>
      <c r="DQ154" s="239">
        <f ca="1">DQ151/'Income Statement'!DQ78</f>
        <v>7.5772299981605347</v>
      </c>
      <c r="DR154" s="237">
        <f ca="1">DR151/'Income Statement'!DR78</f>
        <v>4.9498133304395084</v>
      </c>
      <c r="DS154" s="237">
        <f ca="1">DS151/'Income Statement'!DS78</f>
        <v>6.2904514333806505</v>
      </c>
      <c r="DT154" s="237">
        <f ca="1">DT151/'Income Statement'!DT78</f>
        <v>7.6749642009839922</v>
      </c>
      <c r="DU154" s="237">
        <f ca="1">DU151/'Income Statement'!DU78</f>
        <v>9.1157456258502574</v>
      </c>
      <c r="DV154" s="239">
        <f ca="1">DV151/'Income Statement'!DV78</f>
        <v>9.1157456258502574</v>
      </c>
      <c r="DW154" s="237">
        <f ca="1">DW151/'Income Statement'!DW78</f>
        <v>5.5595798827507892</v>
      </c>
      <c r="DX154" s="237">
        <f ca="1">DX151/'Income Statement'!DX78</f>
        <v>6.9653946252375327</v>
      </c>
      <c r="DY154" s="237">
        <f ca="1">DY151/'Income Statement'!DY78</f>
        <v>8.4258012821380017</v>
      </c>
      <c r="DZ154" s="237">
        <f ca="1">DZ151/'Income Statement'!DZ78</f>
        <v>9.941894209845799</v>
      </c>
      <c r="EA154" s="239">
        <f ca="1">EA151/'Income Statement'!EA78</f>
        <v>9.941894209845799</v>
      </c>
      <c r="EB154" s="237">
        <f ca="1">EB151/'Income Statement'!EB78</f>
        <v>6.1909007018864104</v>
      </c>
      <c r="EC154" s="237">
        <f ca="1">EC151/'Income Statement'!EC78</f>
        <v>7.663782024717853</v>
      </c>
      <c r="ED154" s="237">
        <f ca="1">ED151/'Income Statement'!ED78</f>
        <v>9.1908216523612207</v>
      </c>
      <c r="EE154" s="237">
        <f ca="1">EE151/'Income Statement'!EE78</f>
        <v>10.772863283226942</v>
      </c>
      <c r="EF154" s="239">
        <f ca="1">EF151/'Income Statement'!EF78</f>
        <v>10.772863283226942</v>
      </c>
    </row>
    <row r="155" spans="1:136">
      <c r="AF155" s="243"/>
      <c r="AG155" s="243"/>
      <c r="AH155" s="243"/>
      <c r="AI155" s="243"/>
      <c r="AK155" s="243"/>
      <c r="AL155" s="243"/>
      <c r="AM155" s="243"/>
      <c r="AN155" s="243"/>
      <c r="AP155" s="243"/>
      <c r="AQ155" s="243"/>
      <c r="AR155" s="243"/>
      <c r="AS155" s="243"/>
      <c r="AU155" s="243"/>
      <c r="AV155" s="243"/>
      <c r="AW155" s="243"/>
      <c r="AX155" s="243"/>
      <c r="AZ155" s="243"/>
      <c r="BA155" s="243"/>
      <c r="BB155" s="243"/>
      <c r="BC155" s="243"/>
      <c r="BE155" s="243"/>
      <c r="BF155" s="243"/>
      <c r="BG155" s="243"/>
      <c r="BH155" s="243"/>
      <c r="BJ155" s="243"/>
      <c r="BK155" s="243"/>
      <c r="BL155" s="243"/>
      <c r="BM155" s="243"/>
      <c r="BO155" s="243"/>
      <c r="BP155" s="243"/>
      <c r="BQ155" s="243"/>
      <c r="BR155" s="243"/>
      <c r="BT155" s="243"/>
      <c r="BU155" s="243"/>
      <c r="BV155" s="243"/>
      <c r="BW155" s="243">
        <f>13.59/BW154</f>
        <v>17.860360613961799</v>
      </c>
      <c r="BY155" s="243"/>
      <c r="BZ155" s="243" t="e">
        <f>22.64/BZ154</f>
        <v>#DIV/0!</v>
      </c>
      <c r="CA155" s="243" t="e">
        <f>21.62/CA154</f>
        <v>#DIV/0!</v>
      </c>
      <c r="CB155" s="243">
        <f>21.62/CB154</f>
        <v>28.946241096359497</v>
      </c>
      <c r="CD155" s="243"/>
      <c r="CE155" s="243"/>
      <c r="CG155" s="243"/>
      <c r="CI155" s="243"/>
      <c r="CN155" s="243"/>
      <c r="CR155" s="236"/>
      <c r="CS155" s="243"/>
      <c r="CV155" s="243"/>
      <c r="CX155" s="243"/>
      <c r="DA155" s="243"/>
      <c r="DC155" s="243"/>
      <c r="DH155" s="243"/>
    </row>
    <row r="156" spans="1:136">
      <c r="A156" s="1" t="s">
        <v>262</v>
      </c>
      <c r="AF156" s="52"/>
      <c r="AG156" s="52"/>
      <c r="AH156" s="52"/>
      <c r="AI156" s="52"/>
      <c r="AJ156" s="67"/>
      <c r="AK156" s="52"/>
      <c r="AL156" s="52"/>
      <c r="AM156" s="52"/>
      <c r="AN156" s="52"/>
      <c r="AO156" s="67"/>
      <c r="AP156" s="52"/>
      <c r="AQ156" s="52"/>
      <c r="AR156" s="52"/>
      <c r="AS156" s="52"/>
      <c r="AT156" s="67"/>
      <c r="AU156" s="52"/>
      <c r="AV156" s="52"/>
      <c r="AW156" s="52"/>
      <c r="AX156" s="52"/>
      <c r="AY156" s="67"/>
      <c r="AZ156" s="52"/>
      <c r="BA156" s="52"/>
      <c r="BB156" s="52"/>
      <c r="BC156" s="52"/>
      <c r="BD156" s="67"/>
      <c r="BE156" s="52"/>
      <c r="BF156" s="52"/>
      <c r="BG156" s="52"/>
      <c r="BH156" s="52"/>
      <c r="BI156" s="67"/>
      <c r="BJ156" s="52"/>
      <c r="BK156" s="52"/>
      <c r="BL156" s="52"/>
      <c r="BM156" s="52"/>
      <c r="BN156" s="67"/>
      <c r="BO156" s="52"/>
      <c r="BP156" s="52"/>
      <c r="BQ156" s="52"/>
      <c r="BR156" s="52"/>
      <c r="BS156" s="67"/>
      <c r="BT156" s="52"/>
      <c r="BU156" s="52"/>
      <c r="BV156" s="52"/>
      <c r="BW156" s="52"/>
      <c r="BX156" s="67"/>
      <c r="BY156" s="52"/>
      <c r="BZ156" s="52"/>
      <c r="CA156" s="52"/>
      <c r="CB156" s="52"/>
      <c r="CC156" s="67"/>
      <c r="CD156" s="52"/>
      <c r="CE156" s="52"/>
      <c r="CF156" s="52"/>
      <c r="CG156" s="52"/>
      <c r="CH156" s="67"/>
      <c r="CI156" s="52"/>
      <c r="CJ156" s="52"/>
      <c r="CK156" s="52"/>
      <c r="CL156" s="52"/>
      <c r="CM156" s="67"/>
      <c r="CN156" s="52"/>
      <c r="CO156" s="52"/>
      <c r="CP156" s="52"/>
      <c r="CQ156" s="52"/>
      <c r="CR156" s="67"/>
      <c r="CS156" s="52"/>
      <c r="CT156" s="52"/>
      <c r="CU156" s="52"/>
      <c r="CV156" s="52"/>
      <c r="CW156" s="67"/>
      <c r="CX156" s="52"/>
      <c r="CY156" s="52"/>
      <c r="CZ156" s="52"/>
      <c r="DA156" s="52"/>
      <c r="DB156" s="67"/>
      <c r="DC156" s="52"/>
      <c r="DD156" s="52"/>
      <c r="DE156" s="52"/>
      <c r="DF156" s="52"/>
      <c r="DG156" s="67"/>
      <c r="DH156" s="52"/>
      <c r="DI156" s="52"/>
      <c r="DJ156" s="52"/>
      <c r="DK156" s="52"/>
      <c r="DL156" s="67"/>
      <c r="DM156" s="52"/>
      <c r="DN156" s="52"/>
      <c r="DO156" s="52"/>
      <c r="DP156" s="52"/>
      <c r="DQ156" s="67"/>
      <c r="DR156" s="52"/>
      <c r="DS156" s="52"/>
      <c r="DT156" s="52"/>
      <c r="DU156" s="52"/>
      <c r="DV156" s="67"/>
      <c r="DW156" s="52"/>
      <c r="DX156" s="52"/>
      <c r="DY156" s="52"/>
      <c r="DZ156" s="52"/>
      <c r="EA156" s="67"/>
      <c r="EB156" s="52"/>
      <c r="EC156" s="52"/>
      <c r="ED156" s="52"/>
      <c r="EE156" s="52"/>
      <c r="EF156" s="67"/>
    </row>
    <row r="157" spans="1:136">
      <c r="A157" s="1" t="s">
        <v>263</v>
      </c>
      <c r="AF157" s="52">
        <f t="shared" ref="AF157:AH158" si="395">AF133-AE133</f>
        <v>0</v>
      </c>
      <c r="AG157" s="52">
        <f t="shared" si="395"/>
        <v>0</v>
      </c>
      <c r="AH157" s="52">
        <f t="shared" si="395"/>
        <v>0</v>
      </c>
      <c r="AI157" s="49"/>
      <c r="AJ157" s="67">
        <f>SUM(AF157:AI157)</f>
        <v>0</v>
      </c>
      <c r="AK157" s="52">
        <f t="shared" ref="AK157:AM158" si="396">AK133-AJ133</f>
        <v>0</v>
      </c>
      <c r="AL157" s="52">
        <f t="shared" si="396"/>
        <v>0</v>
      </c>
      <c r="AM157" s="52">
        <f t="shared" si="396"/>
        <v>0</v>
      </c>
      <c r="AN157" s="49"/>
      <c r="AO157" s="67">
        <f>SUM(AK157:AN157)</f>
        <v>0</v>
      </c>
      <c r="AP157" s="52">
        <f t="shared" ref="AP157:AR158" si="397">AP133-AO133</f>
        <v>0</v>
      </c>
      <c r="AQ157" s="52">
        <f t="shared" si="397"/>
        <v>0</v>
      </c>
      <c r="AR157" s="52">
        <f t="shared" si="397"/>
        <v>0</v>
      </c>
      <c r="AS157" s="49"/>
      <c r="AT157" s="67">
        <f>SUM(AP157:AS157)</f>
        <v>0</v>
      </c>
      <c r="AU157" s="52">
        <f t="shared" ref="AU157:AW158" si="398">AU133-AT133</f>
        <v>0</v>
      </c>
      <c r="AV157" s="52">
        <f t="shared" si="398"/>
        <v>0</v>
      </c>
      <c r="AW157" s="52">
        <f t="shared" si="398"/>
        <v>0</v>
      </c>
      <c r="AX157" s="49"/>
      <c r="AY157" s="67">
        <f>SUM(AU157:AX157)</f>
        <v>0</v>
      </c>
      <c r="AZ157" s="52">
        <f t="shared" ref="AZ157:BB158" si="399">AZ133-AY133</f>
        <v>0</v>
      </c>
      <c r="BA157" s="52">
        <f t="shared" si="399"/>
        <v>0</v>
      </c>
      <c r="BB157" s="52">
        <f t="shared" si="399"/>
        <v>0</v>
      </c>
      <c r="BC157" s="49"/>
      <c r="BD157" s="67">
        <f>SUM(AZ157:BC157)</f>
        <v>0</v>
      </c>
      <c r="BE157" s="52">
        <f t="shared" ref="BE157:BG158" si="400">BE133-BD133</f>
        <v>0</v>
      </c>
      <c r="BF157" s="52">
        <f t="shared" si="400"/>
        <v>0</v>
      </c>
      <c r="BG157" s="52">
        <f t="shared" si="400"/>
        <v>0</v>
      </c>
      <c r="BH157" s="49"/>
      <c r="BI157" s="67">
        <f>SUM(BE157:BH157)</f>
        <v>0</v>
      </c>
      <c r="BJ157" s="52">
        <f t="shared" ref="BJ157:BL158" si="401">BJ133-BI133</f>
        <v>0</v>
      </c>
      <c r="BK157" s="52">
        <f t="shared" si="401"/>
        <v>0</v>
      </c>
      <c r="BL157" s="52">
        <f t="shared" si="401"/>
        <v>0</v>
      </c>
      <c r="BM157" s="49"/>
      <c r="BN157" s="67">
        <f>SUM(BJ157:BM157)</f>
        <v>0</v>
      </c>
      <c r="BO157" s="49"/>
      <c r="BP157" s="52">
        <f>BP133-BO133</f>
        <v>0</v>
      </c>
      <c r="BQ157" s="52">
        <f>BQ133-BP133</f>
        <v>0</v>
      </c>
      <c r="BR157" s="49"/>
      <c r="BS157" s="67">
        <f>SUM(BO157:BR157)</f>
        <v>0</v>
      </c>
      <c r="BT157" s="49"/>
      <c r="BU157" s="52">
        <f>BU133-BT133</f>
        <v>0</v>
      </c>
      <c r="BV157" s="52">
        <f>BV133-BU133</f>
        <v>0</v>
      </c>
      <c r="BW157" s="49"/>
      <c r="BX157" s="67">
        <f>SUM(BT157:BW157)</f>
        <v>0</v>
      </c>
      <c r="BY157" s="49"/>
      <c r="BZ157" s="52">
        <f>BZ133-BY133</f>
        <v>0</v>
      </c>
      <c r="CA157" s="52">
        <f>CA133-BZ133</f>
        <v>0</v>
      </c>
      <c r="CB157" s="49"/>
      <c r="CC157" s="67">
        <f>SUM(BY157:CB157)</f>
        <v>0</v>
      </c>
      <c r="CD157" s="52">
        <f t="shared" ref="CD157:CG158" si="402">CD133-CC133</f>
        <v>0</v>
      </c>
      <c r="CE157" s="52">
        <f t="shared" si="402"/>
        <v>0</v>
      </c>
      <c r="CF157" s="52">
        <f t="shared" si="402"/>
        <v>0</v>
      </c>
      <c r="CG157" s="52">
        <f t="shared" si="402"/>
        <v>0</v>
      </c>
      <c r="CH157" s="67">
        <f>SUM(CD157:CG157)</f>
        <v>0</v>
      </c>
      <c r="CI157" s="52">
        <f t="shared" ref="CI157:CL158" si="403">CI133-CH133</f>
        <v>0</v>
      </c>
      <c r="CJ157" s="52">
        <f t="shared" si="403"/>
        <v>0</v>
      </c>
      <c r="CK157" s="52">
        <f t="shared" si="403"/>
        <v>0</v>
      </c>
      <c r="CL157" s="52">
        <f t="shared" si="403"/>
        <v>0</v>
      </c>
      <c r="CM157" s="67">
        <f>SUM(CI157:CL157)</f>
        <v>0</v>
      </c>
      <c r="CN157" s="52">
        <f>CN133-CM133</f>
        <v>0</v>
      </c>
      <c r="CO157" s="52">
        <f t="shared" ref="CO157:CQ158" si="404">CO133-CN133</f>
        <v>0</v>
      </c>
      <c r="CP157" s="52">
        <f>CP133-CO133</f>
        <v>0</v>
      </c>
      <c r="CQ157" s="52">
        <f t="shared" si="404"/>
        <v>0</v>
      </c>
      <c r="CR157" s="67">
        <f>SUM(CN157:CQ157)</f>
        <v>0</v>
      </c>
      <c r="CS157" s="52">
        <f t="shared" ref="CS157:DD158" si="405">CS133-CR133</f>
        <v>0</v>
      </c>
      <c r="CT157" s="52">
        <f t="shared" si="405"/>
        <v>0</v>
      </c>
      <c r="CU157" s="52">
        <f t="shared" si="405"/>
        <v>0</v>
      </c>
      <c r="CV157" s="52">
        <f t="shared" si="405"/>
        <v>0</v>
      </c>
      <c r="CW157" s="67">
        <f>SUM(CS157:CV157)</f>
        <v>0</v>
      </c>
      <c r="CX157" s="52">
        <f t="shared" si="405"/>
        <v>0</v>
      </c>
      <c r="CY157" s="52">
        <f t="shared" si="405"/>
        <v>0</v>
      </c>
      <c r="CZ157" s="52">
        <f>CZ133-CY133</f>
        <v>0</v>
      </c>
      <c r="DA157" s="52">
        <f t="shared" si="405"/>
        <v>0</v>
      </c>
      <c r="DB157" s="67">
        <f>SUM(CX157:DA157)</f>
        <v>0</v>
      </c>
      <c r="DC157" s="52">
        <f t="shared" si="405"/>
        <v>0</v>
      </c>
      <c r="DD157" s="52">
        <f t="shared" si="405"/>
        <v>0</v>
      </c>
      <c r="DE157" s="52">
        <f>DE133-DD133</f>
        <v>0</v>
      </c>
      <c r="DF157" s="52">
        <f>DF133-DE133</f>
        <v>0</v>
      </c>
      <c r="DG157" s="67">
        <f>SUM(DC157:DF157)</f>
        <v>0</v>
      </c>
      <c r="DH157" s="52">
        <f t="shared" ref="DH157:DH158" si="406">DH133-DG133</f>
        <v>0</v>
      </c>
      <c r="DI157" s="52">
        <f t="shared" ref="DI157:DK158" si="407">DI133-DH133</f>
        <v>0</v>
      </c>
      <c r="DJ157" s="52">
        <f t="shared" si="407"/>
        <v>16452.87854846863</v>
      </c>
      <c r="DK157" s="52">
        <f t="shared" si="407"/>
        <v>14898.842507891437</v>
      </c>
      <c r="DL157" s="67">
        <f>SUM(DH157:DK157)</f>
        <v>31351.721056360067</v>
      </c>
      <c r="DM157" s="52">
        <f t="shared" ref="DM157:DP158" si="408">DM133-DL133</f>
        <v>15365.193196765991</v>
      </c>
      <c r="DN157" s="52">
        <f t="shared" si="408"/>
        <v>10365.863650578001</v>
      </c>
      <c r="DO157" s="52">
        <f t="shared" si="408"/>
        <v>7491.7759637098497</v>
      </c>
      <c r="DP157" s="52">
        <f t="shared" si="408"/>
        <v>5614.2678717009403</v>
      </c>
      <c r="DQ157" s="67">
        <f>SUM(DM157:DP157)</f>
        <v>38837.100682754783</v>
      </c>
      <c r="DR157" s="52">
        <f t="shared" ref="DR157:DU158" si="409">DR133-DQ133</f>
        <v>-15.74810552407871</v>
      </c>
      <c r="DS157" s="52">
        <f t="shared" si="409"/>
        <v>673.31938349343545</v>
      </c>
      <c r="DT157" s="52">
        <f t="shared" si="409"/>
        <v>1079.8280768302648</v>
      </c>
      <c r="DU157" s="52">
        <f t="shared" si="409"/>
        <v>1311.0463069783291</v>
      </c>
      <c r="DV157" s="67">
        <f>SUM(DR157:DU157)</f>
        <v>3048.4456617779506</v>
      </c>
      <c r="DW157" s="52">
        <f t="shared" ref="DW157:DZ158" si="410">DW133-DV133</f>
        <v>1434.1624314487854</v>
      </c>
      <c r="DX157" s="52">
        <f t="shared" si="410"/>
        <v>1491.2868202778773</v>
      </c>
      <c r="DY157" s="52">
        <f t="shared" si="410"/>
        <v>1508.8105191133654</v>
      </c>
      <c r="DZ157" s="52">
        <f t="shared" si="410"/>
        <v>1503.2508572736115</v>
      </c>
      <c r="EA157" s="67">
        <f>SUM(DW157:DZ157)</f>
        <v>5937.5106281136395</v>
      </c>
      <c r="EB157" s="52">
        <f t="shared" ref="EB157:EE158" si="411">EB133-EA133</f>
        <v>1484.9113701540191</v>
      </c>
      <c r="EC157" s="52">
        <f t="shared" si="411"/>
        <v>1460.1794910044555</v>
      </c>
      <c r="ED157" s="52">
        <f t="shared" si="411"/>
        <v>1432.9729223410686</v>
      </c>
      <c r="EE157" s="52">
        <f t="shared" si="411"/>
        <v>1405.6523512503918</v>
      </c>
      <c r="EF157" s="67">
        <f>SUM(EB157:EE157)</f>
        <v>5783.716134749935</v>
      </c>
    </row>
    <row r="158" spans="1:136">
      <c r="A158" s="1" t="s">
        <v>264</v>
      </c>
      <c r="AF158" s="52">
        <f t="shared" si="395"/>
        <v>0</v>
      </c>
      <c r="AG158" s="52">
        <f t="shared" si="395"/>
        <v>0</v>
      </c>
      <c r="AH158" s="52">
        <f t="shared" si="395"/>
        <v>0</v>
      </c>
      <c r="AI158" s="49"/>
      <c r="AJ158" s="67">
        <f>SUM(AF158:AI158)</f>
        <v>0</v>
      </c>
      <c r="AK158" s="52">
        <f t="shared" si="396"/>
        <v>0</v>
      </c>
      <c r="AL158" s="52">
        <f t="shared" si="396"/>
        <v>0</v>
      </c>
      <c r="AM158" s="52">
        <f t="shared" si="396"/>
        <v>0</v>
      </c>
      <c r="AN158" s="49"/>
      <c r="AO158" s="67">
        <f>SUM(AK158:AN158)</f>
        <v>0</v>
      </c>
      <c r="AP158" s="52">
        <f t="shared" si="397"/>
        <v>0</v>
      </c>
      <c r="AQ158" s="52">
        <f t="shared" si="397"/>
        <v>0</v>
      </c>
      <c r="AR158" s="52">
        <f t="shared" si="397"/>
        <v>0</v>
      </c>
      <c r="AS158" s="49"/>
      <c r="AT158" s="67">
        <f>SUM(AP158:AS158)</f>
        <v>0</v>
      </c>
      <c r="AU158" s="52">
        <f t="shared" si="398"/>
        <v>0</v>
      </c>
      <c r="AV158" s="52">
        <f t="shared" si="398"/>
        <v>0</v>
      </c>
      <c r="AW158" s="52">
        <f t="shared" si="398"/>
        <v>0</v>
      </c>
      <c r="AX158" s="49"/>
      <c r="AY158" s="67">
        <f>SUM(AU158:AX158)</f>
        <v>0</v>
      </c>
      <c r="AZ158" s="52">
        <f t="shared" si="399"/>
        <v>0</v>
      </c>
      <c r="BA158" s="52">
        <f t="shared" si="399"/>
        <v>0</v>
      </c>
      <c r="BB158" s="52">
        <f t="shared" si="399"/>
        <v>0</v>
      </c>
      <c r="BC158" s="49"/>
      <c r="BD158" s="67">
        <f>SUM(AZ158:BC158)</f>
        <v>0</v>
      </c>
      <c r="BE158" s="52">
        <f t="shared" si="400"/>
        <v>0</v>
      </c>
      <c r="BF158" s="52">
        <f t="shared" si="400"/>
        <v>0</v>
      </c>
      <c r="BG158" s="52">
        <f t="shared" si="400"/>
        <v>0</v>
      </c>
      <c r="BH158" s="49"/>
      <c r="BI158" s="67">
        <f>SUM(BE158:BH158)</f>
        <v>0</v>
      </c>
      <c r="BJ158" s="52">
        <f t="shared" si="401"/>
        <v>0</v>
      </c>
      <c r="BK158" s="52">
        <f t="shared" si="401"/>
        <v>0</v>
      </c>
      <c r="BL158" s="52">
        <f t="shared" si="401"/>
        <v>0</v>
      </c>
      <c r="BM158" s="49"/>
      <c r="BN158" s="67">
        <f>SUM(BJ158:BM158)</f>
        <v>0</v>
      </c>
      <c r="BO158" s="49"/>
      <c r="BP158" s="52">
        <f>BP134-BO134</f>
        <v>0</v>
      </c>
      <c r="BQ158" s="52">
        <f>BQ134-BP134</f>
        <v>0</v>
      </c>
      <c r="BR158" s="49"/>
      <c r="BS158" s="67">
        <f>SUM(BO158:BR158)</f>
        <v>0</v>
      </c>
      <c r="BT158" s="49"/>
      <c r="BU158" s="52">
        <f>BU134-BT134</f>
        <v>0</v>
      </c>
      <c r="BV158" s="52">
        <f>BV134-BU134</f>
        <v>0</v>
      </c>
      <c r="BW158" s="49"/>
      <c r="BX158" s="67">
        <f>SUM(BT158:BW158)</f>
        <v>0</v>
      </c>
      <c r="BY158" s="49"/>
      <c r="BZ158" s="52">
        <f>BZ134-BY134</f>
        <v>0</v>
      </c>
      <c r="CA158" s="52">
        <f>CA134-BZ134</f>
        <v>0</v>
      </c>
      <c r="CB158" s="49"/>
      <c r="CC158" s="67">
        <f>SUM(BY158:CB158)</f>
        <v>0</v>
      </c>
      <c r="CD158" s="52">
        <f t="shared" si="402"/>
        <v>983</v>
      </c>
      <c r="CE158" s="52">
        <f t="shared" si="402"/>
        <v>587</v>
      </c>
      <c r="CF158" s="52">
        <f t="shared" si="402"/>
        <v>840</v>
      </c>
      <c r="CG158" s="52">
        <f t="shared" si="402"/>
        <v>1410</v>
      </c>
      <c r="CH158" s="67">
        <f>SUM(CD158:CG158)</f>
        <v>3820</v>
      </c>
      <c r="CI158" s="52">
        <f t="shared" si="403"/>
        <v>34</v>
      </c>
      <c r="CJ158" s="52">
        <f t="shared" si="403"/>
        <v>5656</v>
      </c>
      <c r="CK158" s="52">
        <f t="shared" si="403"/>
        <v>1710</v>
      </c>
      <c r="CL158" s="52">
        <f t="shared" si="403"/>
        <v>-1</v>
      </c>
      <c r="CM158" s="67">
        <f>SUM(CI158:CL158)</f>
        <v>7399</v>
      </c>
      <c r="CN158" s="52">
        <f>CN134-CM134</f>
        <v>-982</v>
      </c>
      <c r="CO158" s="52">
        <f t="shared" si="404"/>
        <v>-1363</v>
      </c>
      <c r="CP158" s="52">
        <f>CP134-CO134</f>
        <v>126</v>
      </c>
      <c r="CQ158" s="52">
        <f t="shared" si="404"/>
        <v>779</v>
      </c>
      <c r="CR158" s="67">
        <f>SUM(CN158:CQ158)</f>
        <v>-1440</v>
      </c>
      <c r="CS158" s="52">
        <f t="shared" si="405"/>
        <v>458</v>
      </c>
      <c r="CT158" s="52">
        <f t="shared" si="405"/>
        <v>8330</v>
      </c>
      <c r="CU158" s="52">
        <f t="shared" si="405"/>
        <v>665</v>
      </c>
      <c r="CV158" s="52">
        <f t="shared" si="405"/>
        <v>2022</v>
      </c>
      <c r="CW158" s="67">
        <f>SUM(CS158:CV158)</f>
        <v>11475</v>
      </c>
      <c r="CX158" s="52">
        <f t="shared" si="405"/>
        <v>2649</v>
      </c>
      <c r="CY158" s="52">
        <f t="shared" si="405"/>
        <v>836</v>
      </c>
      <c r="CZ158" s="52">
        <f>CZ134-CY134</f>
        <v>3369</v>
      </c>
      <c r="DA158" s="52">
        <f t="shared" si="405"/>
        <v>2294</v>
      </c>
      <c r="DB158" s="67">
        <f>SUM(CX158:DA158)</f>
        <v>9148</v>
      </c>
      <c r="DC158" s="52">
        <f t="shared" si="405"/>
        <v>246</v>
      </c>
      <c r="DD158" s="52">
        <f t="shared" si="405"/>
        <v>-1829</v>
      </c>
      <c r="DE158" s="52">
        <f>DE134-DD134</f>
        <v>266</v>
      </c>
      <c r="DF158" s="52">
        <f>DF134-DE134</f>
        <v>909</v>
      </c>
      <c r="DG158" s="67">
        <f>SUM(DC158:DF158)</f>
        <v>-408</v>
      </c>
      <c r="DH158" s="52">
        <f t="shared" si="406"/>
        <v>5316</v>
      </c>
      <c r="DI158" s="52">
        <f t="shared" si="407"/>
        <v>4880</v>
      </c>
      <c r="DJ158" s="52">
        <f t="shared" si="407"/>
        <v>253.02225001617626</v>
      </c>
      <c r="DK158" s="52">
        <f t="shared" si="407"/>
        <v>254.31865280667262</v>
      </c>
      <c r="DL158" s="67">
        <f>SUM(DH158:DK158)</f>
        <v>10703.340902822849</v>
      </c>
      <c r="DM158" s="52">
        <f t="shared" si="408"/>
        <v>255.62169793868816</v>
      </c>
      <c r="DN158" s="52">
        <f t="shared" si="408"/>
        <v>256.93141944538365</v>
      </c>
      <c r="DO158" s="52">
        <f t="shared" si="408"/>
        <v>258.24785153432458</v>
      </c>
      <c r="DP158" s="52">
        <f t="shared" si="408"/>
        <v>259.57102858831058</v>
      </c>
      <c r="DQ158" s="67">
        <f>SUM(DM158:DP158)</f>
        <v>1030.371997506707</v>
      </c>
      <c r="DR158" s="52">
        <f t="shared" si="409"/>
        <v>260.90098516633589</v>
      </c>
      <c r="DS158" s="52">
        <f t="shared" si="409"/>
        <v>262.2377560044406</v>
      </c>
      <c r="DT158" s="52">
        <f t="shared" si="409"/>
        <v>263.58137601665658</v>
      </c>
      <c r="DU158" s="52">
        <f t="shared" si="409"/>
        <v>264.93188029590965</v>
      </c>
      <c r="DV158" s="67">
        <f>SUM(DR158:DU158)</f>
        <v>1051.6519974833427</v>
      </c>
      <c r="DW158" s="52">
        <f t="shared" si="410"/>
        <v>266.28930411490001</v>
      </c>
      <c r="DX158" s="52">
        <f t="shared" si="410"/>
        <v>267.65368292709172</v>
      </c>
      <c r="DY158" s="52">
        <f t="shared" si="410"/>
        <v>269.02505236757133</v>
      </c>
      <c r="DZ158" s="52">
        <f t="shared" si="410"/>
        <v>270.40344825403008</v>
      </c>
      <c r="EA158" s="67">
        <f>SUM(DW158:DZ158)</f>
        <v>1073.3714876635931</v>
      </c>
      <c r="EB158" s="52">
        <f t="shared" si="411"/>
        <v>271.78890658764431</v>
      </c>
      <c r="EC158" s="52">
        <f t="shared" si="411"/>
        <v>273.18146355410863</v>
      </c>
      <c r="ED158" s="52">
        <f t="shared" si="411"/>
        <v>274.58115552442905</v>
      </c>
      <c r="EE158" s="52">
        <f t="shared" si="411"/>
        <v>275.98801905607979</v>
      </c>
      <c r="EF158" s="67">
        <f>SUM(EB158:EE158)</f>
        <v>1095.5395447222618</v>
      </c>
    </row>
    <row r="159" spans="1:136">
      <c r="A159" s="1" t="s">
        <v>265</v>
      </c>
      <c r="B159" s="1">
        <f>'Income Statement'!B38+'Income Statement'!B35+'Income Statement'!B31</f>
        <v>0</v>
      </c>
      <c r="C159" s="1">
        <f>'Income Statement'!C38+'Income Statement'!C35+'Income Statement'!C31</f>
        <v>0</v>
      </c>
      <c r="D159" s="1">
        <f>'Income Statement'!D38+'Income Statement'!D35+'Income Statement'!D31</f>
        <v>0</v>
      </c>
      <c r="E159" s="1">
        <f>'Income Statement'!E38+'Income Statement'!E35+'Income Statement'!E31</f>
        <v>0</v>
      </c>
      <c r="F159" s="2">
        <f>'Income Statement'!F38+'Income Statement'!F35+'Income Statement'!F31</f>
        <v>0</v>
      </c>
      <c r="G159" s="1">
        <f>'Income Statement'!G38+'Income Statement'!G35+'Income Statement'!G31</f>
        <v>0</v>
      </c>
      <c r="H159" s="1">
        <f>'Income Statement'!H38+'Income Statement'!H35+'Income Statement'!H31</f>
        <v>0</v>
      </c>
      <c r="I159" s="1">
        <f>'Income Statement'!I38+'Income Statement'!I35+'Income Statement'!I31</f>
        <v>0</v>
      </c>
      <c r="J159" s="1">
        <f>'Income Statement'!J38+'Income Statement'!J35+'Income Statement'!J31</f>
        <v>0</v>
      </c>
      <c r="K159" s="2">
        <f>'Income Statement'!K38+'Income Statement'!K35+'Income Statement'!K31</f>
        <v>0</v>
      </c>
      <c r="L159" s="1">
        <f>'Income Statement'!L38+'Income Statement'!L35+'Income Statement'!L31</f>
        <v>0</v>
      </c>
      <c r="M159" s="1">
        <f>'Income Statement'!M38+'Income Statement'!M35+'Income Statement'!M31</f>
        <v>0</v>
      </c>
      <c r="N159" s="1">
        <f>'Income Statement'!N38+'Income Statement'!N35+'Income Statement'!N31</f>
        <v>0</v>
      </c>
      <c r="O159" s="1">
        <f>'Income Statement'!O38+'Income Statement'!O35+'Income Statement'!O31</f>
        <v>0</v>
      </c>
      <c r="P159" s="2">
        <f>'Income Statement'!P38+'Income Statement'!P35+'Income Statement'!P31</f>
        <v>0</v>
      </c>
      <c r="Q159" s="1">
        <f>'Income Statement'!Q38+'Income Statement'!Q35+'Income Statement'!Q31</f>
        <v>0</v>
      </c>
      <c r="R159" s="1">
        <f>'Income Statement'!R38+'Income Statement'!R35+'Income Statement'!R31</f>
        <v>0</v>
      </c>
      <c r="S159" s="1">
        <f>'Income Statement'!S38+'Income Statement'!S35+'Income Statement'!S31</f>
        <v>0</v>
      </c>
      <c r="T159" s="1">
        <f>'Income Statement'!T38+'Income Statement'!T35+'Income Statement'!T31</f>
        <v>0</v>
      </c>
      <c r="U159" s="2">
        <f>'Income Statement'!U38+'Income Statement'!U35+'Income Statement'!U31</f>
        <v>0</v>
      </c>
      <c r="V159" s="1">
        <f>'Income Statement'!V38+'Income Statement'!V35+'Income Statement'!V31</f>
        <v>0</v>
      </c>
      <c r="W159" s="1">
        <f>'Income Statement'!W38+'Income Statement'!W35+'Income Statement'!W31</f>
        <v>0</v>
      </c>
      <c r="X159" s="1">
        <f>'Income Statement'!X38+'Income Statement'!X35+'Income Statement'!X31</f>
        <v>0</v>
      </c>
      <c r="Y159" s="1">
        <f>'Income Statement'!Y38+'Income Statement'!Y35+'Income Statement'!Y31</f>
        <v>0</v>
      </c>
      <c r="Z159" s="2">
        <f>'Income Statement'!Z38+'Income Statement'!Z35+'Income Statement'!Z31</f>
        <v>0</v>
      </c>
      <c r="AA159" s="1">
        <f>'Income Statement'!AA38+'Income Statement'!AA35+'Income Statement'!AA31</f>
        <v>0</v>
      </c>
      <c r="AB159" s="1">
        <f>'Income Statement'!AB38+'Income Statement'!AB35+'Income Statement'!AB31</f>
        <v>0</v>
      </c>
      <c r="AC159" s="1">
        <f>'Income Statement'!AC38+'Income Statement'!AC35+'Income Statement'!AC31</f>
        <v>0</v>
      </c>
      <c r="AD159" s="1">
        <f>'Income Statement'!AD38+'Income Statement'!AD35+'Income Statement'!AD31</f>
        <v>0</v>
      </c>
      <c r="AE159" s="2">
        <f>'Income Statement'!AE38+'Income Statement'!AE35+'Income Statement'!AE31</f>
        <v>0</v>
      </c>
      <c r="AF159" s="52">
        <f>'Income Statement'!AF38+'Income Statement'!AF35+'Income Statement'!AF31</f>
        <v>0</v>
      </c>
      <c r="AG159" s="52">
        <f>'Income Statement'!AG38+'Income Statement'!AG35+'Income Statement'!AG31</f>
        <v>0</v>
      </c>
      <c r="AH159" s="52">
        <f>'Income Statement'!AH38+'Income Statement'!AH35+'Income Statement'!AH31</f>
        <v>0</v>
      </c>
      <c r="AI159" s="52">
        <f>'Income Statement'!AI38+'Income Statement'!AI35+'Income Statement'!AI31</f>
        <v>0</v>
      </c>
      <c r="AJ159" s="67">
        <f>'Income Statement'!AJ38+'Income Statement'!AJ35+'Income Statement'!AJ31</f>
        <v>0</v>
      </c>
      <c r="AK159" s="52">
        <f>'Income Statement'!AK38+'Income Statement'!AK35+'Income Statement'!AK31</f>
        <v>0</v>
      </c>
      <c r="AL159" s="52">
        <f>'Income Statement'!AL38+'Income Statement'!AL35+'Income Statement'!AL31</f>
        <v>0</v>
      </c>
      <c r="AM159" s="52">
        <f>'Income Statement'!AM38+'Income Statement'!AM35+'Income Statement'!AM31</f>
        <v>0</v>
      </c>
      <c r="AN159" s="52">
        <f>'Income Statement'!AN38+'Income Statement'!AN35+'Income Statement'!AN31</f>
        <v>0</v>
      </c>
      <c r="AO159" s="67">
        <f>'Income Statement'!AO38+'Income Statement'!AO35+'Income Statement'!AO31</f>
        <v>0</v>
      </c>
      <c r="AP159" s="52">
        <f>'Income Statement'!AP38+'Income Statement'!AP35+'Income Statement'!AP31</f>
        <v>0</v>
      </c>
      <c r="AQ159" s="52">
        <f>'Income Statement'!AQ38+'Income Statement'!AQ35+'Income Statement'!AQ31</f>
        <v>0</v>
      </c>
      <c r="AR159" s="52">
        <f>'Income Statement'!AR38+'Income Statement'!AR35+'Income Statement'!AR31</f>
        <v>0</v>
      </c>
      <c r="AS159" s="52">
        <f>'Income Statement'!AS38+'Income Statement'!AS35+'Income Statement'!AS31</f>
        <v>0</v>
      </c>
      <c r="AT159" s="67">
        <f>'Income Statement'!AT38+'Income Statement'!AT35+'Income Statement'!AT31</f>
        <v>0</v>
      </c>
      <c r="AU159" s="52">
        <f>'Income Statement'!AU38+'Income Statement'!AU35+'Income Statement'!AU31</f>
        <v>0</v>
      </c>
      <c r="AV159" s="52">
        <f>'Income Statement'!AV38+'Income Statement'!AV35+'Income Statement'!AV31</f>
        <v>0</v>
      </c>
      <c r="AW159" s="52">
        <f>'Income Statement'!AW38+'Income Statement'!AW35+'Income Statement'!AW31</f>
        <v>0</v>
      </c>
      <c r="AX159" s="52">
        <f>'Income Statement'!AX38+'Income Statement'!AX35+'Income Statement'!AX31</f>
        <v>0</v>
      </c>
      <c r="AY159" s="67">
        <f>'Income Statement'!AY38+'Income Statement'!AY35+'Income Statement'!AY31</f>
        <v>0</v>
      </c>
      <c r="AZ159" s="52">
        <f>'Income Statement'!AZ38+'Income Statement'!AZ35+'Income Statement'!AZ31</f>
        <v>0</v>
      </c>
      <c r="BA159" s="52">
        <f>'Income Statement'!BA38+'Income Statement'!BA35+'Income Statement'!BA31</f>
        <v>0</v>
      </c>
      <c r="BB159" s="52">
        <f>'Income Statement'!BB38+'Income Statement'!BB35+'Income Statement'!BB31</f>
        <v>0</v>
      </c>
      <c r="BC159" s="52">
        <f>'Income Statement'!BC38+'Income Statement'!BC35+'Income Statement'!BC31</f>
        <v>0</v>
      </c>
      <c r="BD159" s="67">
        <f>'Income Statement'!BD38+'Income Statement'!BD35+'Income Statement'!BD31</f>
        <v>0</v>
      </c>
      <c r="BE159" s="52">
        <f>'Income Statement'!BE38+'Income Statement'!BE35+'Income Statement'!BE31</f>
        <v>0</v>
      </c>
      <c r="BF159" s="52">
        <f>'Income Statement'!BF38+'Income Statement'!BF35+'Income Statement'!BF31</f>
        <v>0</v>
      </c>
      <c r="BG159" s="52">
        <f>'Income Statement'!BG38+'Income Statement'!BG35+'Income Statement'!BG31</f>
        <v>0</v>
      </c>
      <c r="BH159" s="52">
        <f>'Income Statement'!BH38+'Income Statement'!BH35+'Income Statement'!BH31</f>
        <v>0</v>
      </c>
      <c r="BI159" s="67">
        <f>'Income Statement'!BI38+'Income Statement'!BI35+'Income Statement'!BI31</f>
        <v>0</v>
      </c>
      <c r="BJ159" s="52">
        <f>'Income Statement'!BJ38+'Income Statement'!BJ35+'Income Statement'!BJ31</f>
        <v>0</v>
      </c>
      <c r="BK159" s="52">
        <f>'Income Statement'!BK38+'Income Statement'!BK35+'Income Statement'!BK31</f>
        <v>0</v>
      </c>
      <c r="BL159" s="52">
        <f>'Income Statement'!BL38+'Income Statement'!BL35+'Income Statement'!BL31</f>
        <v>0</v>
      </c>
      <c r="BM159" s="52">
        <f>'Income Statement'!BM38+'Income Statement'!BM35+'Income Statement'!BM31</f>
        <v>0</v>
      </c>
      <c r="BN159" s="67">
        <f>'Income Statement'!BN38+'Income Statement'!BN35+'Income Statement'!BN31</f>
        <v>0</v>
      </c>
      <c r="BO159" s="49"/>
      <c r="BP159" s="52">
        <f>'Income Statement'!BP38+'Income Statement'!BP35+'Income Statement'!BP31</f>
        <v>0</v>
      </c>
      <c r="BQ159" s="52">
        <f>'Income Statement'!BQ38+'Income Statement'!BQ35+'Income Statement'!BQ31</f>
        <v>0</v>
      </c>
      <c r="BR159" s="52">
        <f>'Income Statement'!BR38+'Income Statement'!BR35+'Income Statement'!BR31</f>
        <v>0</v>
      </c>
      <c r="BS159" s="67">
        <f>'Income Statement'!BS38+'Income Statement'!BS35+'Income Statement'!BS31</f>
        <v>0</v>
      </c>
      <c r="BT159" s="49"/>
      <c r="BU159" s="52">
        <f>'Income Statement'!BU38+'Income Statement'!BU35+'Income Statement'!BU31</f>
        <v>0</v>
      </c>
      <c r="BV159" s="52">
        <f>'Income Statement'!BV38+'Income Statement'!BV35+'Income Statement'!BV31</f>
        <v>0</v>
      </c>
      <c r="BW159" s="52">
        <f>'Income Statement'!BW38+'Income Statement'!BW35+'Income Statement'!BW31</f>
        <v>0</v>
      </c>
      <c r="BX159" s="67">
        <f>'Income Statement'!BX38+'Income Statement'!BX35+'Income Statement'!BX31</f>
        <v>0</v>
      </c>
      <c r="BY159" s="49"/>
      <c r="BZ159" s="52">
        <f>'Income Statement'!BZ38+'Income Statement'!BZ35+'Income Statement'!BZ31</f>
        <v>0</v>
      </c>
      <c r="CA159" s="52">
        <f>'Income Statement'!CA38+'Income Statement'!CA35+'Income Statement'!CA31</f>
        <v>0</v>
      </c>
      <c r="CB159" s="52">
        <f>'Income Statement'!CB38+'Income Statement'!CB35+'Income Statement'!CB31</f>
        <v>0</v>
      </c>
      <c r="CC159" s="67">
        <f>'Income Statement'!CC38+'Income Statement'!CC35+'Income Statement'!CC31</f>
        <v>0</v>
      </c>
      <c r="CD159" s="52">
        <f>'Income Statement'!CD38+'Income Statement'!CD35+'Income Statement'!CD31</f>
        <v>0</v>
      </c>
      <c r="CE159" s="52">
        <f>'Income Statement'!CE38+'Income Statement'!CE35+'Income Statement'!CE31</f>
        <v>0</v>
      </c>
      <c r="CF159" s="52">
        <f>'Income Statement'!CF38+'Income Statement'!CF35+'Income Statement'!CF31</f>
        <v>0</v>
      </c>
      <c r="CG159" s="52">
        <f>'Income Statement'!CG38+'Income Statement'!CG35+'Income Statement'!CG31</f>
        <v>0</v>
      </c>
      <c r="CH159" s="67">
        <f>'Income Statement'!CH38+'Income Statement'!CH35+'Income Statement'!CH31</f>
        <v>0</v>
      </c>
      <c r="CI159" s="52">
        <f>'Income Statement'!CI38+'Income Statement'!CI35+'Income Statement'!CI31</f>
        <v>0</v>
      </c>
      <c r="CJ159" s="52">
        <f>'Income Statement'!CJ38+'Income Statement'!CJ35+'Income Statement'!CJ31</f>
        <v>0</v>
      </c>
      <c r="CK159" s="52">
        <f>'Income Statement'!CK38+'Income Statement'!CK35+'Income Statement'!CK31</f>
        <v>0</v>
      </c>
      <c r="CL159" s="52">
        <f>'Income Statement'!CL38+'Income Statement'!CL35+'Income Statement'!CL31</f>
        <v>0</v>
      </c>
      <c r="CM159" s="67">
        <f>'Income Statement'!CM38+'Income Statement'!CM35+'Income Statement'!CM31</f>
        <v>0</v>
      </c>
      <c r="CN159" s="52">
        <f>'Income Statement'!CN38+'Income Statement'!CN35+'Income Statement'!CN31</f>
        <v>0</v>
      </c>
      <c r="CO159" s="52">
        <f>'Income Statement'!CO38+'Income Statement'!CO35+'Income Statement'!CO31</f>
        <v>0</v>
      </c>
      <c r="CP159" s="52">
        <f>'Income Statement'!CP38+'Income Statement'!CP35+'Income Statement'!CP31</f>
        <v>0</v>
      </c>
      <c r="CQ159" s="52">
        <f>'Income Statement'!CQ38+'Income Statement'!CQ35+'Income Statement'!CQ31</f>
        <v>0</v>
      </c>
      <c r="CR159" s="67">
        <f>'Income Statement'!CR38+'Income Statement'!CR35+'Income Statement'!CR31</f>
        <v>0</v>
      </c>
      <c r="CS159" s="52">
        <f>'Income Statement'!CS38+'Income Statement'!CS35+'Income Statement'!CS31</f>
        <v>0</v>
      </c>
      <c r="CT159" s="52">
        <f>'Income Statement'!CT38+'Income Statement'!CT35+'Income Statement'!CT31</f>
        <v>0</v>
      </c>
      <c r="CU159" s="52">
        <f>'Income Statement'!CU38+'Income Statement'!CU35+'Income Statement'!CU31</f>
        <v>0</v>
      </c>
      <c r="CV159" s="52">
        <f>'Income Statement'!CV38+'Income Statement'!CV35+'Income Statement'!CV31</f>
        <v>0</v>
      </c>
      <c r="CW159" s="67">
        <f>'Income Statement'!CW38+'Income Statement'!CW35+'Income Statement'!CW31</f>
        <v>0</v>
      </c>
      <c r="CX159" s="52">
        <f>'Income Statement'!CX38+'Income Statement'!CX35+'Income Statement'!CX31</f>
        <v>0</v>
      </c>
      <c r="CY159" s="52">
        <f>'Income Statement'!CY38+'Income Statement'!CY35+'Income Statement'!CY31</f>
        <v>0</v>
      </c>
      <c r="CZ159" s="52">
        <f>'Income Statement'!CZ38+'Income Statement'!CZ35+'Income Statement'!CZ31</f>
        <v>0</v>
      </c>
      <c r="DA159" s="52">
        <f>'Income Statement'!DA38+'Income Statement'!DA35+'Income Statement'!DA31</f>
        <v>0</v>
      </c>
      <c r="DB159" s="67">
        <f>'Income Statement'!DB38+'Income Statement'!DB35+'Income Statement'!DB31</f>
        <v>0</v>
      </c>
      <c r="DC159" s="52">
        <f>'Income Statement'!DC38+'Income Statement'!DC35+'Income Statement'!DC31</f>
        <v>0</v>
      </c>
      <c r="DD159" s="52">
        <f>'Income Statement'!DD38+'Income Statement'!DD35+'Income Statement'!DD31</f>
        <v>0</v>
      </c>
      <c r="DE159" s="52">
        <f>'Income Statement'!DE38+'Income Statement'!DE35+'Income Statement'!DE31</f>
        <v>0</v>
      </c>
      <c r="DF159" s="52">
        <f>'Income Statement'!DF38+'Income Statement'!DF35+'Income Statement'!DF31</f>
        <v>0</v>
      </c>
      <c r="DG159" s="67">
        <f>'Income Statement'!DG38+'Income Statement'!DG35+'Income Statement'!DG31</f>
        <v>0</v>
      </c>
      <c r="DH159" s="52">
        <f>'Income Statement'!DH38+'Income Statement'!DH35+'Income Statement'!DH31</f>
        <v>0</v>
      </c>
      <c r="DI159" s="52">
        <f>'Income Statement'!DI38+'Income Statement'!DI35+'Income Statement'!DI31</f>
        <v>0</v>
      </c>
      <c r="DJ159" s="52">
        <f>'Income Statement'!DJ38+'Income Statement'!DJ35+'Income Statement'!DJ31</f>
        <v>0</v>
      </c>
      <c r="DK159" s="52">
        <f>'Income Statement'!DK38+'Income Statement'!DK35+'Income Statement'!DK31</f>
        <v>0</v>
      </c>
      <c r="DL159" s="67">
        <f>'Income Statement'!DL38+'Income Statement'!DL35+'Income Statement'!DL31</f>
        <v>0</v>
      </c>
      <c r="DM159" s="52">
        <f>'Income Statement'!DM38+'Income Statement'!DM35+'Income Statement'!DM31</f>
        <v>0</v>
      </c>
      <c r="DN159" s="52">
        <f>'Income Statement'!DN38+'Income Statement'!DN35+'Income Statement'!DN31</f>
        <v>0</v>
      </c>
      <c r="DO159" s="52">
        <f>'Income Statement'!DO38+'Income Statement'!DO35+'Income Statement'!DO31</f>
        <v>0</v>
      </c>
      <c r="DP159" s="52">
        <f>'Income Statement'!DP38+'Income Statement'!DP35+'Income Statement'!DP31</f>
        <v>0</v>
      </c>
      <c r="DQ159" s="67">
        <f>'Income Statement'!DQ38+'Income Statement'!DQ35+'Income Statement'!DQ31</f>
        <v>0</v>
      </c>
      <c r="DR159" s="52">
        <f>'Income Statement'!DR38+'Income Statement'!DR35+'Income Statement'!DR31</f>
        <v>0</v>
      </c>
      <c r="DS159" s="52">
        <f>'Income Statement'!DS38+'Income Statement'!DS35+'Income Statement'!DS31</f>
        <v>0</v>
      </c>
      <c r="DT159" s="52">
        <f>'Income Statement'!DT38+'Income Statement'!DT35+'Income Statement'!DT31</f>
        <v>0</v>
      </c>
      <c r="DU159" s="52">
        <f>'Income Statement'!DU38+'Income Statement'!DU35+'Income Statement'!DU31</f>
        <v>0</v>
      </c>
      <c r="DV159" s="67">
        <f>'Income Statement'!DV38+'Income Statement'!DV35+'Income Statement'!DV31</f>
        <v>0</v>
      </c>
      <c r="DW159" s="52">
        <f>'Income Statement'!DW38+'Income Statement'!DW35+'Income Statement'!DW31</f>
        <v>0</v>
      </c>
      <c r="DX159" s="52">
        <f>'Income Statement'!DX38+'Income Statement'!DX35+'Income Statement'!DX31</f>
        <v>0</v>
      </c>
      <c r="DY159" s="52">
        <f>'Income Statement'!DY38+'Income Statement'!DY35+'Income Statement'!DY31</f>
        <v>0</v>
      </c>
      <c r="DZ159" s="52">
        <f>'Income Statement'!DZ38+'Income Statement'!DZ35+'Income Statement'!DZ31</f>
        <v>0</v>
      </c>
      <c r="EA159" s="67">
        <f>'Income Statement'!EA38+'Income Statement'!EA35+'Income Statement'!EA31</f>
        <v>0</v>
      </c>
      <c r="EB159" s="52">
        <f>'Income Statement'!EB38+'Income Statement'!EB35+'Income Statement'!EB31</f>
        <v>0</v>
      </c>
      <c r="EC159" s="52">
        <f>'Income Statement'!EC38+'Income Statement'!EC35+'Income Statement'!EC31</f>
        <v>0</v>
      </c>
      <c r="ED159" s="52">
        <f>'Income Statement'!ED38+'Income Statement'!ED35+'Income Statement'!ED31</f>
        <v>0</v>
      </c>
      <c r="EE159" s="52">
        <f>'Income Statement'!EE38+'Income Statement'!EE35+'Income Statement'!EE31</f>
        <v>0</v>
      </c>
      <c r="EF159" s="67">
        <f>'Income Statement'!EF38+'Income Statement'!EF35+'Income Statement'!EF31</f>
        <v>0</v>
      </c>
    </row>
    <row r="160" spans="1:136">
      <c r="A160" s="1" t="s">
        <v>314</v>
      </c>
      <c r="AF160" s="52">
        <f>'Income Statement'!AF36</f>
        <v>0</v>
      </c>
      <c r="AG160" s="52">
        <f>'Income Statement'!AG36</f>
        <v>0</v>
      </c>
      <c r="AH160" s="52">
        <f>'Income Statement'!AH36</f>
        <v>0</v>
      </c>
      <c r="AI160" s="52">
        <f>'Income Statement'!AI36</f>
        <v>0</v>
      </c>
      <c r="AJ160" s="67">
        <f>'Income Statement'!AJ36</f>
        <v>0</v>
      </c>
      <c r="AK160" s="52">
        <f>'Income Statement'!AK36</f>
        <v>0</v>
      </c>
      <c r="AL160" s="52">
        <f>'Income Statement'!AL36</f>
        <v>0</v>
      </c>
      <c r="AM160" s="52">
        <f>'Income Statement'!AM36</f>
        <v>0</v>
      </c>
      <c r="AN160" s="52">
        <f>'Income Statement'!AN36</f>
        <v>0</v>
      </c>
      <c r="AO160" s="67">
        <f>'Income Statement'!AO36</f>
        <v>0</v>
      </c>
      <c r="AP160" s="52">
        <f>'Income Statement'!AP36</f>
        <v>0</v>
      </c>
      <c r="AQ160" s="52">
        <f>'Income Statement'!AQ36</f>
        <v>0</v>
      </c>
      <c r="AR160" s="52">
        <f>'Income Statement'!AR36</f>
        <v>0</v>
      </c>
      <c r="AS160" s="52">
        <f>'Income Statement'!AS36</f>
        <v>12836.41</v>
      </c>
      <c r="AT160" s="67">
        <f>'Income Statement'!AT36</f>
        <v>12836.41</v>
      </c>
      <c r="AU160" s="52">
        <f>'Income Statement'!AU36</f>
        <v>0</v>
      </c>
      <c r="AV160" s="52">
        <f>'Income Statement'!AV36</f>
        <v>0</v>
      </c>
      <c r="AW160" s="52">
        <f>'Income Statement'!AW36</f>
        <v>0</v>
      </c>
      <c r="AX160" s="52">
        <f>'Income Statement'!AX36</f>
        <v>2995.6120000000001</v>
      </c>
      <c r="AY160" s="67">
        <f>'Income Statement'!AY36</f>
        <v>2995.6120000000001</v>
      </c>
      <c r="AZ160" s="52">
        <f>'Income Statement'!AZ36</f>
        <v>0</v>
      </c>
      <c r="BA160" s="52">
        <f>'Income Statement'!BA36</f>
        <v>0</v>
      </c>
      <c r="BB160" s="52">
        <f>'Income Statement'!BB36</f>
        <v>0</v>
      </c>
      <c r="BC160" s="52">
        <f>'Income Statement'!BC36</f>
        <v>7534</v>
      </c>
      <c r="BD160" s="67">
        <f>'Income Statement'!BD36</f>
        <v>7534</v>
      </c>
      <c r="BE160" s="52">
        <f>'Income Statement'!BE36</f>
        <v>0</v>
      </c>
      <c r="BF160" s="52">
        <f>'Income Statement'!BF36</f>
        <v>0</v>
      </c>
      <c r="BG160" s="52">
        <f>'Income Statement'!BG36</f>
        <v>0</v>
      </c>
      <c r="BH160" s="52">
        <f>'Income Statement'!BH36</f>
        <v>8164</v>
      </c>
      <c r="BI160" s="67">
        <f>'Income Statement'!BI36</f>
        <v>8164</v>
      </c>
      <c r="BJ160" s="52">
        <f>'Income Statement'!BJ36</f>
        <v>0</v>
      </c>
      <c r="BK160" s="52">
        <f>'Income Statement'!BK36</f>
        <v>0</v>
      </c>
      <c r="BL160" s="52">
        <f>'Income Statement'!BL36</f>
        <v>0</v>
      </c>
      <c r="BM160" s="52">
        <f>'Income Statement'!BM36</f>
        <v>-355</v>
      </c>
      <c r="BN160" s="67">
        <f>'Income Statement'!BN36</f>
        <v>-355</v>
      </c>
      <c r="BO160" s="49"/>
      <c r="BP160" s="52">
        <f>'Income Statement'!BP36</f>
        <v>0</v>
      </c>
      <c r="BQ160" s="52">
        <f>'Income Statement'!BQ36</f>
        <v>0</v>
      </c>
      <c r="BR160" s="52">
        <f>'Income Statement'!BR36</f>
        <v>1042</v>
      </c>
      <c r="BS160" s="67">
        <f>'Income Statement'!BS36</f>
        <v>1042</v>
      </c>
      <c r="BT160" s="49"/>
      <c r="BU160" s="52">
        <f>'Income Statement'!BU36</f>
        <v>0</v>
      </c>
      <c r="BV160" s="52">
        <f>'Income Statement'!BV36</f>
        <v>0</v>
      </c>
      <c r="BW160" s="52">
        <f>'Income Statement'!BW36</f>
        <v>-498</v>
      </c>
      <c r="BX160" s="67">
        <f>'Income Statement'!BX36</f>
        <v>-498</v>
      </c>
      <c r="BY160" s="49"/>
      <c r="BZ160" s="52">
        <f>'Income Statement'!BZ36</f>
        <v>-1062</v>
      </c>
      <c r="CA160" s="52">
        <f>'Income Statement'!CA36</f>
        <v>849</v>
      </c>
      <c r="CB160" s="52">
        <f>'Income Statement'!CB36</f>
        <v>2058</v>
      </c>
      <c r="CC160" s="67">
        <f>'Income Statement'!CC36</f>
        <v>1486</v>
      </c>
      <c r="CD160" s="52">
        <f>'Income Statement'!CD36</f>
        <v>791</v>
      </c>
      <c r="CE160" s="52">
        <f>'Income Statement'!CE36</f>
        <v>195</v>
      </c>
      <c r="CF160" s="52">
        <f>'Income Statement'!CF36</f>
        <v>336</v>
      </c>
      <c r="CG160" s="52">
        <f>'Income Statement'!CG36</f>
        <v>1038</v>
      </c>
      <c r="CH160" s="67">
        <f>'Income Statement'!CH36</f>
        <v>2360</v>
      </c>
      <c r="CI160" s="52">
        <f>'Income Statement'!CI36</f>
        <v>1138</v>
      </c>
      <c r="CJ160" s="52">
        <f>'Income Statement'!CJ36</f>
        <v>1726</v>
      </c>
      <c r="CK160" s="52">
        <f>'Income Statement'!CK36</f>
        <v>-946</v>
      </c>
      <c r="CL160" s="52">
        <f>'Income Statement'!CL36</f>
        <v>-991</v>
      </c>
      <c r="CM160" s="67">
        <f>'Income Statement'!CM36</f>
        <v>927</v>
      </c>
      <c r="CN160" s="52">
        <f>'Income Statement'!CN36</f>
        <v>-311</v>
      </c>
      <c r="CO160" s="52">
        <f>'Income Statement'!CO36</f>
        <v>-141</v>
      </c>
      <c r="CP160" s="52">
        <f>'Income Statement'!CP36</f>
        <v>976</v>
      </c>
      <c r="CQ160" s="52">
        <f>'Income Statement'!CQ36</f>
        <v>-145</v>
      </c>
      <c r="CR160" s="67">
        <f>'Income Statement'!CR36</f>
        <v>379</v>
      </c>
      <c r="CS160" s="52">
        <f>'Income Statement'!CS36</f>
        <v>-110</v>
      </c>
      <c r="CT160" s="52">
        <f>'Income Statement'!CT36</f>
        <v>696</v>
      </c>
      <c r="CU160" s="52">
        <f>'Income Statement'!CU36</f>
        <v>-295</v>
      </c>
      <c r="CV160" s="52">
        <f>'Income Statement'!CV36</f>
        <v>1356</v>
      </c>
      <c r="CW160" s="67">
        <f>'Income Statement'!CW36</f>
        <v>1647</v>
      </c>
      <c r="CX160" s="52">
        <f>'Income Statement'!CX36</f>
        <v>1299</v>
      </c>
      <c r="CY160" s="52">
        <f>'Income Statement'!CY36</f>
        <v>2806</v>
      </c>
      <c r="CZ160" s="52">
        <f>'Income Statement'!CZ36</f>
        <v>3390</v>
      </c>
      <c r="DA160" s="52">
        <f>'Income Statement'!DA36</f>
        <v>1044</v>
      </c>
      <c r="DB160" s="67">
        <f>'Income Statement'!DB36</f>
        <v>8539</v>
      </c>
      <c r="DC160" s="52">
        <f>'Income Statement'!DC36</f>
        <v>688</v>
      </c>
      <c r="DD160" s="52">
        <f>'Income Statement'!DD36</f>
        <v>1091</v>
      </c>
      <c r="DE160" s="52">
        <f>'Income Statement'!DE36</f>
        <v>2474</v>
      </c>
      <c r="DF160" s="52">
        <f>'Income Statement'!DF36</f>
        <v>3137</v>
      </c>
      <c r="DG160" s="67">
        <f>'Income Statement'!DG36</f>
        <v>7390</v>
      </c>
      <c r="DH160" s="52">
        <f>'Income Statement'!DH36</f>
        <v>2282</v>
      </c>
      <c r="DI160" s="52">
        <f>'Income Statement'!DI36</f>
        <v>1014</v>
      </c>
      <c r="DJ160" s="52">
        <f>'Income Statement'!DJ36</f>
        <v>1142.6624999999999</v>
      </c>
      <c r="DK160" s="52">
        <f>'Income Statement'!DK36</f>
        <v>1164.087421875</v>
      </c>
      <c r="DL160" s="67">
        <f>'Income Statement'!DL36</f>
        <v>5602.7499218749999</v>
      </c>
      <c r="DM160" s="52">
        <f>'Income Statement'!DM36</f>
        <v>1185.9140610351562</v>
      </c>
      <c r="DN160" s="52">
        <f>'Income Statement'!DN36</f>
        <v>1208.1499496795655</v>
      </c>
      <c r="DO160" s="52">
        <f>'Income Statement'!DO36</f>
        <v>1230.8027612360572</v>
      </c>
      <c r="DP160" s="52">
        <f>'Income Statement'!DP36</f>
        <v>1253.8803130092333</v>
      </c>
      <c r="DQ160" s="67">
        <f>'Income Statement'!DQ36</f>
        <v>4878.7470849600122</v>
      </c>
      <c r="DR160" s="52">
        <f>'Income Statement'!DR36</f>
        <v>1277.3905688781563</v>
      </c>
      <c r="DS160" s="52">
        <f>'Income Statement'!DS36</f>
        <v>1301.3416420446217</v>
      </c>
      <c r="DT160" s="52">
        <f>'Income Statement'!DT36</f>
        <v>1325.7417978329584</v>
      </c>
      <c r="DU160" s="52">
        <f>'Income Statement'!DU36</f>
        <v>1350.5994565423264</v>
      </c>
      <c r="DV160" s="67">
        <f>'Income Statement'!DV36</f>
        <v>5255.0734652980627</v>
      </c>
      <c r="DW160" s="52">
        <f>'Income Statement'!DW36</f>
        <v>1375.9231963524951</v>
      </c>
      <c r="DX160" s="52">
        <f>'Income Statement'!DX36</f>
        <v>1401.7217562841042</v>
      </c>
      <c r="DY160" s="52">
        <f>'Income Statement'!DY36</f>
        <v>1428.0040392144313</v>
      </c>
      <c r="DZ160" s="52">
        <f>'Income Statement'!DZ36</f>
        <v>1454.7791149497018</v>
      </c>
      <c r="EA160" s="67">
        <f>'Income Statement'!EA36</f>
        <v>5660.4281068007322</v>
      </c>
      <c r="EB160" s="52">
        <f>'Income Statement'!EB36</f>
        <v>1482.0562233550088</v>
      </c>
      <c r="EC160" s="52">
        <f>'Income Statement'!EC36</f>
        <v>1509.8447775429154</v>
      </c>
      <c r="ED160" s="52">
        <f>'Income Statement'!ED36</f>
        <v>1538.1543671218449</v>
      </c>
      <c r="EE160" s="52">
        <f>'Income Statement'!EE36</f>
        <v>1566.9947615053795</v>
      </c>
      <c r="EF160" s="67">
        <f>'Income Statement'!EF36</f>
        <v>6097.0501295251488</v>
      </c>
    </row>
    <row r="161" spans="1:136">
      <c r="A161" s="1" t="s">
        <v>266</v>
      </c>
      <c r="AF161" s="52">
        <f>'Income Statement'!AF48-SUM(AF156:AF158)-AF159-AF160</f>
        <v>0</v>
      </c>
      <c r="AG161" s="52">
        <f>'Income Statement'!AG48-SUM(AG156:AG158)-AG159-AG160</f>
        <v>0</v>
      </c>
      <c r="AH161" s="52">
        <f>'Income Statement'!AH48-SUM(AH156:AH158)-AH159-AH160</f>
        <v>0</v>
      </c>
      <c r="AI161" s="52">
        <f>'Income Statement'!AI48-SUM(AI156:AI158)-AI159-AI160</f>
        <v>52097.767000000029</v>
      </c>
      <c r="AJ161" s="67">
        <f>SUM(AF161:AI161)</f>
        <v>52097.767000000029</v>
      </c>
      <c r="AK161" s="52">
        <f>'Income Statement'!AK48-SUM(AK156:AK158)-AK159-AK160</f>
        <v>0</v>
      </c>
      <c r="AL161" s="52">
        <f>'Income Statement'!AL48-SUM(AL156:AL158)-AL159-AL160</f>
        <v>0</v>
      </c>
      <c r="AM161" s="52">
        <f>'Income Statement'!AM48-SUM(AM156:AM158)-AM159-AM160</f>
        <v>0</v>
      </c>
      <c r="AN161" s="52">
        <f>'Income Statement'!AN48-SUM(AN156:AN158)-AN159-AN160</f>
        <v>90002.872999999992</v>
      </c>
      <c r="AO161" s="67">
        <f>SUM(AK161:AN161)</f>
        <v>90002.872999999992</v>
      </c>
      <c r="AP161" s="52">
        <f>'Income Statement'!AP48-SUM(AP156:AP158)-AP159-AP160</f>
        <v>0</v>
      </c>
      <c r="AQ161" s="52">
        <f>'Income Statement'!AQ48-SUM(AQ156:AQ158)-AQ159-AQ160</f>
        <v>0</v>
      </c>
      <c r="AR161" s="52">
        <f>'Income Statement'!AR48-SUM(AR156:AR158)-AR159-AR160</f>
        <v>0</v>
      </c>
      <c r="AS161" s="52">
        <f>'Income Statement'!AS48-SUM(AS156:AS158)-AS159-AS160</f>
        <v>67244.777000000002</v>
      </c>
      <c r="AT161" s="67">
        <f>SUM(AP161:AS161)</f>
        <v>67244.777000000002</v>
      </c>
      <c r="AU161" s="52">
        <f>'Income Statement'!AU48-SUM(AU156:AU158)-AU159-AU160</f>
        <v>0</v>
      </c>
      <c r="AV161" s="52">
        <f>'Income Statement'!AV48-SUM(AV156:AV158)-AV159-AV160</f>
        <v>0</v>
      </c>
      <c r="AW161" s="52">
        <f>'Income Statement'!AW48-SUM(AW156:AW158)-AW159-AW160</f>
        <v>0</v>
      </c>
      <c r="AX161" s="52">
        <f>'Income Statement'!AX48-SUM(AX156:AX158)-AX159-AX160</f>
        <v>102084.63899999997</v>
      </c>
      <c r="AY161" s="67">
        <f>SUM(AU161:AX161)</f>
        <v>102084.63899999997</v>
      </c>
      <c r="AZ161" s="52">
        <f>'Income Statement'!AZ48-SUM(AZ156:AZ158)-AZ159-AZ160</f>
        <v>0</v>
      </c>
      <c r="BA161" s="52">
        <f>'Income Statement'!BA48-SUM(BA156:BA158)-BA159-BA160</f>
        <v>0</v>
      </c>
      <c r="BB161" s="52">
        <f>'Income Statement'!BB48-SUM(BB156:BB158)-BB159-BB160</f>
        <v>0</v>
      </c>
      <c r="BC161" s="52">
        <f>'Income Statement'!BC48-SUM(BC156:BC158)-BC159-BC160</f>
        <v>126997</v>
      </c>
      <c r="BD161" s="67">
        <f>SUM(AZ161:BC161)</f>
        <v>126997</v>
      </c>
      <c r="BE161" s="52">
        <f>'Income Statement'!BE48-SUM(BE156:BE158)-BE159-BE160</f>
        <v>0</v>
      </c>
      <c r="BF161" s="52">
        <f>'Income Statement'!BF48-SUM(BF156:BF158)-BF159-BF160</f>
        <v>0</v>
      </c>
      <c r="BG161" s="52">
        <f>'Income Statement'!BG48-SUM(BG156:BG158)-BG159-BG160</f>
        <v>0</v>
      </c>
      <c r="BH161" s="52">
        <f>'Income Statement'!BH48-SUM(BH156:BH158)-BH159-BH160</f>
        <v>122944</v>
      </c>
      <c r="BI161" s="67">
        <f>SUM(BE161:BH161)</f>
        <v>122944</v>
      </c>
      <c r="BJ161" s="52">
        <f>'Income Statement'!BJ48-SUM(BJ156:BJ158)-BJ159-BJ160</f>
        <v>0</v>
      </c>
      <c r="BK161" s="52">
        <f>'Income Statement'!BK48-SUM(BK156:BK158)-BK159-BK160</f>
        <v>0</v>
      </c>
      <c r="BL161" s="52">
        <f>'Income Statement'!BL48-SUM(BL156:BL158)-BL159-BL160</f>
        <v>0</v>
      </c>
      <c r="BM161" s="52">
        <f>'Income Statement'!BM48-SUM(BM156:BM158)-BM159-BM160</f>
        <v>91341</v>
      </c>
      <c r="BN161" s="67">
        <f>SUM(BJ161:BM161)</f>
        <v>91341</v>
      </c>
      <c r="BO161" s="49"/>
      <c r="BP161" s="52">
        <f>'Income Statement'!BP48-SUM(BP156:BP158)-BP159-BP160</f>
        <v>0</v>
      </c>
      <c r="BQ161" s="52">
        <f>'Income Statement'!BQ48-SUM(BQ156:BQ158)-BQ159-BQ160</f>
        <v>0</v>
      </c>
      <c r="BR161" s="52">
        <f>'Income Statement'!BR48-SUM(BR156:BR158)-BR159-BR160</f>
        <v>111792</v>
      </c>
      <c r="BS161" s="67">
        <f>SUM(BO161:BR161)</f>
        <v>111792</v>
      </c>
      <c r="BT161" s="49"/>
      <c r="BU161" s="52">
        <f>'Income Statement'!BU48-SUM(BU156:BU158)-BU159-BU160</f>
        <v>0</v>
      </c>
      <c r="BV161" s="52">
        <f>'Income Statement'!BV48-SUM(BV156:BV158)-BV159-BV160</f>
        <v>0</v>
      </c>
      <c r="BW161" s="52">
        <f>'Income Statement'!BW48-SUM(BW156:BW158)-BW159-BW160</f>
        <v>131497</v>
      </c>
      <c r="BX161" s="67">
        <f>SUM(BT161:BW161)</f>
        <v>131497</v>
      </c>
      <c r="BY161" s="49"/>
      <c r="BZ161" s="52">
        <f>'Income Statement'!BZ48-SUM(BZ156:BZ158)-BZ159-BZ160</f>
        <v>62135</v>
      </c>
      <c r="CA161" s="52">
        <f>'Income Statement'!CA48-SUM(CA156:CA158)-CA159-CA160</f>
        <v>29459</v>
      </c>
      <c r="CB161" s="52">
        <f>'Income Statement'!CB48-SUM(CB156:CB158)-CB159-CB160</f>
        <v>48313</v>
      </c>
      <c r="CC161" s="67">
        <f>SUM(BY161:CB161)</f>
        <v>139907</v>
      </c>
      <c r="CD161" s="52">
        <f>'Income Statement'!CD48-SUM(CD156:CD158)-CD159-CD160</f>
        <v>4726</v>
      </c>
      <c r="CE161" s="52">
        <f>'Income Statement'!CE48-SUM(CE156:CE158)-CE159-CE160</f>
        <v>36207</v>
      </c>
      <c r="CF161" s="52">
        <f>'Income Statement'!CF48-SUM(CF156:CF158)-CF159-CF160</f>
        <v>48178</v>
      </c>
      <c r="CG161" s="52">
        <f>'Income Statement'!CG48-SUM(CG156:CG158)-CG159-CG160</f>
        <v>65521</v>
      </c>
      <c r="CH161" s="67">
        <f>SUM(CD161:CG161)</f>
        <v>154632</v>
      </c>
      <c r="CI161" s="52">
        <f>'Income Statement'!CI48-SUM(CI156:CI158)-CI159-CI160</f>
        <v>48821</v>
      </c>
      <c r="CJ161" s="52">
        <f>'Income Statement'!CJ48-SUM(CJ156:CJ158)-CJ159-CJ160</f>
        <v>71221</v>
      </c>
      <c r="CK161" s="52">
        <f>'Income Statement'!CK48-SUM(CK156:CK158)-CK159-CK160</f>
        <v>66641</v>
      </c>
      <c r="CL161" s="52">
        <f>'Income Statement'!CL48-SUM(CL156:CL158)-CL159-CL160</f>
        <v>104740</v>
      </c>
      <c r="CM161" s="67">
        <f>SUM(CI161:CL161)</f>
        <v>291423</v>
      </c>
      <c r="CN161" s="52">
        <f>'Income Statement'!CN48-SUM(CN156:CN158)-CN159-CN160</f>
        <v>63196</v>
      </c>
      <c r="CO161" s="52">
        <f>'Income Statement'!CO48-SUM(CO156:CO158)-CO159-CO160</f>
        <v>87829</v>
      </c>
      <c r="CP161" s="52">
        <f>'Income Statement'!CP48-SUM(CP156:CP158)-CP159-CP160</f>
        <v>88770</v>
      </c>
      <c r="CQ161" s="52">
        <f>'Income Statement'!CQ48-SUM(CQ156:CQ158)-CQ159-CQ160</f>
        <v>91151</v>
      </c>
      <c r="CR161" s="67">
        <f>SUM(CN161:CQ161)</f>
        <v>330946</v>
      </c>
      <c r="CS161" s="52">
        <f>'Income Statement'!CS48-SUM(CS156:CS158)-CS159-CS160</f>
        <v>91501</v>
      </c>
      <c r="CT161" s="52">
        <f>'Income Statement'!CT48-SUM(CT156:CT158)-CT159-CT160</f>
        <v>112347</v>
      </c>
      <c r="CU161" s="52">
        <f>'Income Statement'!CU48-SUM(CU156:CU158)-CU159-CU160</f>
        <v>107850</v>
      </c>
      <c r="CV161" s="52">
        <f>'Income Statement'!CV48-SUM(CV156:CV158)-CV159-CV160</f>
        <v>156945</v>
      </c>
      <c r="CW161" s="67">
        <f>SUM(CS161:CV161)</f>
        <v>468643</v>
      </c>
      <c r="CX161" s="52">
        <f>'Income Statement'!CX48-SUM(CX156:CX158)-CX159-CX160</f>
        <v>137293</v>
      </c>
      <c r="CY161" s="52">
        <f>'Income Statement'!CY48-SUM(CY156:CY158)-CY159-CY160</f>
        <v>168605</v>
      </c>
      <c r="CZ161" s="52">
        <f>'Income Statement'!CZ48-SUM(CZ156:CZ158)-CZ159-CZ160</f>
        <v>163812</v>
      </c>
      <c r="DA161" s="52">
        <f>'Income Statement'!DA48-SUM(DA156:DA158)-DA159-DA160</f>
        <v>162446</v>
      </c>
      <c r="DB161" s="67">
        <f>SUM(CX161:DA161)</f>
        <v>632156</v>
      </c>
      <c r="DC161" s="52">
        <f>'Income Statement'!DC48-SUM(DC156:DC158)-DC159-DC160</f>
        <v>212541</v>
      </c>
      <c r="DD161" s="52">
        <f>'Income Statement'!DD48-SUM(DD156:DD158)-DD159-DD160</f>
        <v>237469</v>
      </c>
      <c r="DE161" s="52">
        <f>'Income Statement'!DE48-SUM(DE156:DE158)-DE159-DE160</f>
        <v>252513</v>
      </c>
      <c r="DF161" s="52">
        <f>'Income Statement'!DF48-SUM(DF156:DF158)-DF159-DF160</f>
        <v>266031</v>
      </c>
      <c r="DG161" s="67">
        <f>SUM(DC161:DF161)</f>
        <v>968554</v>
      </c>
      <c r="DH161" s="52">
        <f>'Income Statement'!DH48-SUM(DH156:DH158)-DH159-DH160</f>
        <v>295239</v>
      </c>
      <c r="DI161" s="52">
        <f>'Income Statement'!DI48-SUM(DI156:DI158)-DI159-DI160</f>
        <v>264557</v>
      </c>
      <c r="DJ161" s="52">
        <f ca="1">'Income Statement'!DJ48-SUM(DJ156:DJ158)-DJ159-DJ160</f>
        <v>289595.28803807771</v>
      </c>
      <c r="DK161" s="52">
        <f ca="1">'Income Statement'!DK48-SUM(DK156:DK158)-DK159-DK160</f>
        <v>346636.51743941847</v>
      </c>
      <c r="DL161" s="67">
        <f ca="1">SUM(DH161:DK161)</f>
        <v>1196027.8054774962</v>
      </c>
      <c r="DM161" s="52">
        <f ca="1">'Income Statement'!DM48-SUM(DM156:DM158)-DM159-DM160</f>
        <v>353449.30585203727</v>
      </c>
      <c r="DN161" s="52">
        <f ca="1">'Income Statement'!DN48-SUM(DN156:DN158)-DN159-DN160</f>
        <v>369842.63939713943</v>
      </c>
      <c r="DO161" s="52">
        <f ca="1">'Income Statement'!DO48-SUM(DO156:DO158)-DO159-DO160</f>
        <v>375911.71868627699</v>
      </c>
      <c r="DP161" s="52">
        <f ca="1">'Income Statement'!DP48-SUM(DP156:DP158)-DP159-DP160</f>
        <v>389210.72485776275</v>
      </c>
      <c r="DQ161" s="67">
        <f ca="1">SUM(DM161:DP161)</f>
        <v>1488414.3887932163</v>
      </c>
      <c r="DR161" s="52">
        <f ca="1">'Income Statement'!DR48-SUM(DR156:DR158)-DR159-DR160</f>
        <v>415881.71335091337</v>
      </c>
      <c r="DS161" s="52">
        <f ca="1">'Income Statement'!DS48-SUM(DS156:DS158)-DS159-DS160</f>
        <v>411679.00039369811</v>
      </c>
      <c r="DT161" s="52">
        <f ca="1">'Income Statement'!DT48-SUM(DT156:DT158)-DT159-DT160</f>
        <v>425170.08512465731</v>
      </c>
      <c r="DU161" s="52">
        <f ca="1">'Income Statement'!DU48-SUM(DU156:DU158)-DU159-DU160</f>
        <v>442478.6519534032</v>
      </c>
      <c r="DV161" s="67">
        <f ca="1">SUM(DR161:DU161)</f>
        <v>1695209.4508226719</v>
      </c>
      <c r="DW161" s="52">
        <f ca="1">'Income Statement'!DW48-SUM(DW156:DW158)-DW159-DW160</f>
        <v>437263.93552914273</v>
      </c>
      <c r="DX161" s="52">
        <f ca="1">'Income Statement'!DX48-SUM(DX156:DX158)-DX159-DX160</f>
        <v>431656.12727648381</v>
      </c>
      <c r="DY161" s="52">
        <f ca="1">'Income Statement'!DY48-SUM(DY156:DY158)-DY159-DY160</f>
        <v>448446.75288055668</v>
      </c>
      <c r="DZ161" s="52">
        <f ca="1">'Income Statement'!DZ48-SUM(DZ156:DZ158)-DZ159-DZ160</f>
        <v>465573.99954584194</v>
      </c>
      <c r="EA161" s="67">
        <f ca="1">SUM(DW161:DZ161)</f>
        <v>1782940.8152320252</v>
      </c>
      <c r="EB161" s="52">
        <f ca="1">'Income Statement'!EB48-SUM(EB156:EB158)-EB159-EB160</f>
        <v>459084.33144928119</v>
      </c>
      <c r="EC161" s="52">
        <f ca="1">'Income Statement'!EC48-SUM(EC156:EC158)-EC159-EC160</f>
        <v>452207.70296816592</v>
      </c>
      <c r="ED161" s="52">
        <f ca="1">'Income Statement'!ED48-SUM(ED156:ED158)-ED159-ED160</f>
        <v>468862.72887062049</v>
      </c>
      <c r="EE161" s="52">
        <f ca="1">'Income Statement'!EE48-SUM(EE156:EE158)-EE159-EE160</f>
        <v>485777.12323295826</v>
      </c>
      <c r="EF161" s="67">
        <f ca="1">SUM(EB161:EE161)</f>
        <v>1865931.886521026</v>
      </c>
    </row>
    <row r="163" spans="1:136">
      <c r="AJ163" s="69" t="e">
        <f>AJ161/AVERAGE(AI151,AD151)</f>
        <v>#REF!</v>
      </c>
      <c r="AO163" s="69">
        <f>AO161/AVERAGE(AN151,AI151)</f>
        <v>0.58132522612910176</v>
      </c>
      <c r="AT163" s="69">
        <f>AT161/AVERAGE(AS151,AN151)</f>
        <v>0.30608374515453407</v>
      </c>
      <c r="AY163" s="69">
        <f>AY161/AVERAGE(AX151,AS151)</f>
        <v>0.37573940520446075</v>
      </c>
      <c r="BD163" s="69">
        <f>BD161/AVERAGE(BC151,AX151)</f>
        <v>0.37425092791373754</v>
      </c>
      <c r="BI163" s="69">
        <f>BI161/AVERAGE(BH151,BC151)</f>
        <v>0.36597338191387074</v>
      </c>
      <c r="BN163" s="69">
        <f>BN161/AVERAGE(BM151,BH151)</f>
        <v>0.40618114306678083</v>
      </c>
      <c r="BS163" s="69">
        <f>BS161/AVERAGE(BR151,BM151)</f>
        <v>0.60399214429853831</v>
      </c>
      <c r="BX163" s="69">
        <f>BX161/AVERAGE(BW151,BR151)</f>
        <v>0.63367162050155168</v>
      </c>
      <c r="CC163" s="69">
        <f>CC161/AVERAGE(CB151,BW151)</f>
        <v>0.67804766935804361</v>
      </c>
      <c r="CH163" s="69">
        <f>CH161/AVERAGE(CD151:CG151)</f>
        <v>0.44794479773872348</v>
      </c>
      <c r="CM163" s="69">
        <f>CM161/AVERAGE(CI151:CL151)</f>
        <v>0.52796628094412268</v>
      </c>
      <c r="CR163" s="69">
        <f>CR161/AVERAGE(CN151:CQ151)</f>
        <v>0.48813714319428003</v>
      </c>
      <c r="CW163" s="69">
        <f>CW161/AVERAGE(CS151:CV151)</f>
        <v>0.53703016678665461</v>
      </c>
      <c r="DB163" s="69">
        <f>DB161/AVERAGE(CX151:DA151)</f>
        <v>0.63931165553246094</v>
      </c>
      <c r="DG163" s="69">
        <f>DG161/AVERAGE(DC151:DF151)</f>
        <v>0.7633138029940566</v>
      </c>
      <c r="DL163" s="69">
        <f ca="1">DL161/AVERAGE(DH151:DK151)</f>
        <v>0.71964325857718003</v>
      </c>
      <c r="DQ163" s="69">
        <f ca="1">DQ161/AVERAGE(DM151:DP151)</f>
        <v>0.69778013383176996</v>
      </c>
      <c r="DV163" s="69">
        <f ca="1">DV161/AVERAGE(DR151:DU151)</f>
        <v>0.78528506418411514</v>
      </c>
      <c r="EA163" s="69">
        <f ca="1">EA161/AVERAGE(DW151:DZ151)</f>
        <v>0.74941719232212178</v>
      </c>
      <c r="EF163" s="69">
        <f ca="1">EF161/AVERAGE(EB151:EE151)</f>
        <v>0.71644905673930859</v>
      </c>
    </row>
    <row r="164" spans="1:136">
      <c r="A164" s="1" t="s">
        <v>296</v>
      </c>
      <c r="AF164" s="240">
        <f>'TP Calculation'!$C$7</f>
        <v>0</v>
      </c>
      <c r="AG164" s="240">
        <f>'TP Calculation'!$C$7</f>
        <v>0</v>
      </c>
      <c r="AH164" s="240">
        <f>'TP Calculation'!$C$7</f>
        <v>0</v>
      </c>
      <c r="AI164" s="240">
        <f>'TP Calculation'!$C$7</f>
        <v>0</v>
      </c>
      <c r="AJ164" s="67">
        <f>AI164</f>
        <v>0</v>
      </c>
      <c r="AK164" s="240">
        <f>'TP Calculation'!$C$7</f>
        <v>0</v>
      </c>
      <c r="AL164" s="240">
        <f>'TP Calculation'!$C$7</f>
        <v>0</v>
      </c>
      <c r="AM164" s="240">
        <f>'TP Calculation'!$C$7</f>
        <v>0</v>
      </c>
      <c r="AN164" s="240">
        <f>'TP Calculation'!$C$7</f>
        <v>0</v>
      </c>
      <c r="AO164" s="67">
        <f>AN164</f>
        <v>0</v>
      </c>
      <c r="AP164" s="240">
        <f>'TP Calculation'!$C$7</f>
        <v>0</v>
      </c>
      <c r="AQ164" s="240">
        <f>'TP Calculation'!$C$7</f>
        <v>0</v>
      </c>
      <c r="AR164" s="240">
        <f>'TP Calculation'!$C$7</f>
        <v>0</v>
      </c>
      <c r="AS164" s="240">
        <f>'TP Calculation'!$C$7</f>
        <v>0</v>
      </c>
      <c r="AT164" s="67">
        <f>AS164</f>
        <v>0</v>
      </c>
      <c r="AU164" s="240">
        <f>'TP Calculation'!$C$7</f>
        <v>0</v>
      </c>
      <c r="AV164" s="240">
        <f>'TP Calculation'!$C$7</f>
        <v>0</v>
      </c>
      <c r="AW164" s="240">
        <f>'TP Calculation'!$C$7</f>
        <v>0</v>
      </c>
      <c r="AX164" s="240">
        <f>'TP Calculation'!$C$7</f>
        <v>0</v>
      </c>
      <c r="AY164" s="67">
        <f>AX164</f>
        <v>0</v>
      </c>
      <c r="AZ164" s="240">
        <f>'TP Calculation'!$C$7</f>
        <v>0</v>
      </c>
      <c r="BA164" s="240">
        <f>'TP Calculation'!$C$7</f>
        <v>0</v>
      </c>
      <c r="BB164" s="240">
        <f>'TP Calculation'!$C$7</f>
        <v>0</v>
      </c>
      <c r="BC164" s="240">
        <f>'TP Calculation'!$C$7</f>
        <v>0</v>
      </c>
      <c r="BD164" s="67">
        <f>BC164</f>
        <v>0</v>
      </c>
      <c r="BE164" s="240">
        <f>'TP Calculation'!$C$7</f>
        <v>0</v>
      </c>
      <c r="BF164" s="240">
        <f>'TP Calculation'!$C$7</f>
        <v>0</v>
      </c>
      <c r="BG164" s="240">
        <f>'TP Calculation'!$C$7</f>
        <v>0</v>
      </c>
      <c r="BH164" s="240">
        <f>'TP Calculation'!$C$7</f>
        <v>0</v>
      </c>
      <c r="BI164" s="67">
        <f>BH164</f>
        <v>0</v>
      </c>
      <c r="BJ164" s="240">
        <f>'TP Calculation'!$C$7</f>
        <v>0</v>
      </c>
      <c r="BK164" s="240">
        <f>'TP Calculation'!$C$7</f>
        <v>0</v>
      </c>
      <c r="BL164" s="240">
        <f>'TP Calculation'!$C$7</f>
        <v>0</v>
      </c>
      <c r="BM164" s="240">
        <f>'TP Calculation'!$C$7</f>
        <v>0</v>
      </c>
      <c r="BN164" s="67">
        <f>BM164</f>
        <v>0</v>
      </c>
      <c r="BO164" s="240">
        <f>'TP Calculation'!$C$7</f>
        <v>0</v>
      </c>
      <c r="BP164" s="240">
        <f>'TP Calculation'!$C$7</f>
        <v>0</v>
      </c>
      <c r="BQ164" s="240">
        <f>'TP Calculation'!$C$7</f>
        <v>0</v>
      </c>
      <c r="BR164" s="240">
        <f>'TP Calculation'!$C$7</f>
        <v>0</v>
      </c>
      <c r="BS164" s="67">
        <f>BR164</f>
        <v>0</v>
      </c>
      <c r="BT164" s="240">
        <f>'TP Calculation'!$C$7</f>
        <v>0</v>
      </c>
      <c r="BU164" s="240">
        <f>'TP Calculation'!$C$7</f>
        <v>0</v>
      </c>
      <c r="BV164" s="240">
        <f>'TP Calculation'!$C$7</f>
        <v>0</v>
      </c>
      <c r="BW164" s="240">
        <f>'TP Calculation'!$C$7</f>
        <v>0</v>
      </c>
      <c r="BX164" s="67">
        <f>BW164</f>
        <v>0</v>
      </c>
      <c r="BY164" s="240">
        <f>'TP Calculation'!$C$7</f>
        <v>0</v>
      </c>
      <c r="BZ164" s="240">
        <f>'TP Calculation'!$C$7</f>
        <v>0</v>
      </c>
      <c r="CA164" s="240">
        <f>'TP Calculation'!$C$7</f>
        <v>0</v>
      </c>
      <c r="CB164" s="240">
        <f>'TP Calculation'!$C$7</f>
        <v>0</v>
      </c>
      <c r="CC164" s="67">
        <f>CB164</f>
        <v>0</v>
      </c>
      <c r="CD164" s="240">
        <f>'TP Calculation'!$C$7</f>
        <v>0</v>
      </c>
      <c r="CE164" s="240">
        <f>'TP Calculation'!$C$7</f>
        <v>0</v>
      </c>
      <c r="CF164" s="240">
        <f>'TP Calculation'!$C$7</f>
        <v>0</v>
      </c>
      <c r="CG164" s="240">
        <f>'TP Calculation'!$C$7</f>
        <v>0</v>
      </c>
      <c r="CH164" s="67">
        <f>CG164</f>
        <v>0</v>
      </c>
      <c r="CI164" s="240">
        <f>'TP Calculation'!$C$7</f>
        <v>0</v>
      </c>
      <c r="CJ164" s="240">
        <f>'TP Calculation'!$C$7</f>
        <v>0</v>
      </c>
      <c r="CK164" s="240">
        <f>'TP Calculation'!$C$7</f>
        <v>0</v>
      </c>
      <c r="CL164" s="240">
        <f>'TP Calculation'!$C$7</f>
        <v>0</v>
      </c>
      <c r="CM164" s="67">
        <f>CL164</f>
        <v>0</v>
      </c>
      <c r="CN164" s="240">
        <f>'TP Calculation'!$C$7</f>
        <v>0</v>
      </c>
      <c r="CO164" s="240">
        <f>'TP Calculation'!$C$7</f>
        <v>0</v>
      </c>
      <c r="CP164" s="240">
        <f>'TP Calculation'!$C$7</f>
        <v>0</v>
      </c>
      <c r="CQ164" s="240">
        <f>'TP Calculation'!$C$7</f>
        <v>0</v>
      </c>
      <c r="CR164" s="67">
        <f>CQ164</f>
        <v>0</v>
      </c>
      <c r="CS164" s="240">
        <f>'TP Calculation'!$C$7</f>
        <v>0</v>
      </c>
      <c r="CT164" s="240">
        <f>'TP Calculation'!$C$7</f>
        <v>0</v>
      </c>
      <c r="CU164" s="240">
        <f>'TP Calculation'!$C$7</f>
        <v>0</v>
      </c>
      <c r="CV164" s="240">
        <f>'TP Calculation'!$C$7</f>
        <v>0</v>
      </c>
      <c r="CW164" s="67">
        <f>CV164</f>
        <v>0</v>
      </c>
      <c r="CX164" s="240">
        <f>'TP Calculation'!$C$7</f>
        <v>0</v>
      </c>
      <c r="CY164" s="240">
        <f>'TP Calculation'!$C$7</f>
        <v>0</v>
      </c>
      <c r="CZ164" s="240">
        <f>'TP Calculation'!$C$7</f>
        <v>0</v>
      </c>
      <c r="DA164" s="240">
        <f>'TP Calculation'!$C$7</f>
        <v>0</v>
      </c>
      <c r="DB164" s="67">
        <f>DA164</f>
        <v>0</v>
      </c>
      <c r="DC164" s="240">
        <f>'TP Calculation'!$C$7</f>
        <v>0</v>
      </c>
      <c r="DD164" s="240">
        <f>'TP Calculation'!$C$7</f>
        <v>0</v>
      </c>
      <c r="DE164" s="240">
        <f>'TP Calculation'!$C$7</f>
        <v>0</v>
      </c>
      <c r="DF164" s="240">
        <f>'TP Calculation'!$C$7</f>
        <v>0</v>
      </c>
      <c r="DG164" s="67">
        <f>DF164</f>
        <v>0</v>
      </c>
      <c r="DH164" s="240">
        <f>'TP Calculation'!$C$7</f>
        <v>0</v>
      </c>
      <c r="DI164" s="240">
        <f>'TP Calculation'!$C$7</f>
        <v>0</v>
      </c>
      <c r="DJ164" s="240">
        <f>'TP Calculation'!$C$7</f>
        <v>0</v>
      </c>
      <c r="DK164" s="240">
        <f>'TP Calculation'!$C$7</f>
        <v>0</v>
      </c>
      <c r="DL164" s="67">
        <f>DK164</f>
        <v>0</v>
      </c>
      <c r="DM164" s="240">
        <f>'TP Calculation'!$C$7</f>
        <v>0</v>
      </c>
      <c r="DN164" s="240">
        <f>'TP Calculation'!$C$7</f>
        <v>0</v>
      </c>
      <c r="DO164" s="240">
        <f>'TP Calculation'!$C$7</f>
        <v>0</v>
      </c>
      <c r="DP164" s="240">
        <f>'TP Calculation'!$C$7</f>
        <v>0</v>
      </c>
      <c r="DQ164" s="67">
        <f>DP164</f>
        <v>0</v>
      </c>
      <c r="DR164" s="240">
        <f>'TP Calculation'!$C$7</f>
        <v>0</v>
      </c>
      <c r="DS164" s="240">
        <f>'TP Calculation'!$C$7</f>
        <v>0</v>
      </c>
      <c r="DT164" s="240">
        <f>'TP Calculation'!$C$7</f>
        <v>0</v>
      </c>
      <c r="DU164" s="240">
        <f>'TP Calculation'!$C$7</f>
        <v>0</v>
      </c>
      <c r="DV164" s="67">
        <f>DU164</f>
        <v>0</v>
      </c>
      <c r="DW164" s="240">
        <f>'TP Calculation'!$C$7</f>
        <v>0</v>
      </c>
      <c r="DX164" s="240">
        <f>'TP Calculation'!$C$7</f>
        <v>0</v>
      </c>
      <c r="DY164" s="240">
        <f>'TP Calculation'!$C$7</f>
        <v>0</v>
      </c>
      <c r="DZ164" s="240">
        <f>'TP Calculation'!$C$7</f>
        <v>0</v>
      </c>
      <c r="EA164" s="67">
        <f>DZ164</f>
        <v>0</v>
      </c>
      <c r="EB164" s="240">
        <f>'TP Calculation'!$C$7</f>
        <v>0</v>
      </c>
      <c r="EC164" s="240">
        <f>'TP Calculation'!$C$7</f>
        <v>0</v>
      </c>
      <c r="ED164" s="240">
        <f>'TP Calculation'!$C$7</f>
        <v>0</v>
      </c>
      <c r="EE164" s="240">
        <f>'TP Calculation'!$C$7</f>
        <v>0</v>
      </c>
      <c r="EF164" s="67">
        <f>EE164</f>
        <v>0</v>
      </c>
    </row>
    <row r="165" spans="1:136">
      <c r="A165" s="3" t="s">
        <v>268</v>
      </c>
      <c r="AF165" s="237">
        <f>(AF151+AF164)/'Income Statement'!AF78</f>
        <v>0</v>
      </c>
      <c r="AG165" s="237">
        <f>(AG151+AG164)/'Income Statement'!AG78</f>
        <v>0</v>
      </c>
      <c r="AH165" s="237">
        <f>(AH151+AH164)/'Income Statement'!AH78</f>
        <v>0</v>
      </c>
      <c r="AI165" s="237">
        <f>(AI151+AI164)/'Income Statement'!AI78</f>
        <v>0.44021591762194218</v>
      </c>
      <c r="AJ165" s="239">
        <f>(AJ151+AJ164)/'Income Statement'!AJ78</f>
        <v>0.44021591762194218</v>
      </c>
      <c r="AK165" s="237">
        <f>(AK151+AK164)/'Income Statement'!AK78</f>
        <v>0</v>
      </c>
      <c r="AL165" s="237">
        <f>(AL151+AL164)/'Income Statement'!AL78</f>
        <v>0</v>
      </c>
      <c r="AM165" s="237">
        <f>(AM151+AM164)/'Income Statement'!AM78</f>
        <v>0</v>
      </c>
      <c r="AN165" s="237">
        <f>(AN151+AN164)/'Income Statement'!AN78</f>
        <v>0.69114997237601061</v>
      </c>
      <c r="AO165" s="239">
        <f>(AO151+AO164)/'Income Statement'!AO78</f>
        <v>0.69114997237601061</v>
      </c>
      <c r="AP165" s="237">
        <f>(AP151+AP164)/'Income Statement'!AP78</f>
        <v>0</v>
      </c>
      <c r="AQ165" s="237">
        <f>(AQ151+AQ164)/'Income Statement'!AQ78</f>
        <v>0</v>
      </c>
      <c r="AR165" s="237">
        <f>(AR151+AR164)/'Income Statement'!AR78</f>
        <v>0</v>
      </c>
      <c r="AS165" s="237">
        <f>(AS151+AS164)/'Income Statement'!AS78</f>
        <v>0.9142533903007557</v>
      </c>
      <c r="AT165" s="239">
        <f>(AT151+AT164)/'Income Statement'!AT78</f>
        <v>0.9142533903007557</v>
      </c>
      <c r="AU165" s="237">
        <f>(AU151+AU164)/'Income Statement'!AU78</f>
        <v>0</v>
      </c>
      <c r="AV165" s="237">
        <f>(AV151+AV164)/'Income Statement'!AV78</f>
        <v>0</v>
      </c>
      <c r="AW165" s="237">
        <f>(AW151+AW164)/'Income Statement'!AW78</f>
        <v>0</v>
      </c>
      <c r="AX165" s="237">
        <f>(AX151+AX164)/'Income Statement'!AX78</f>
        <v>1.0711078135023195</v>
      </c>
      <c r="AY165" s="239">
        <f>(AY151+AY164)/'Income Statement'!AY78</f>
        <v>1.0711078135023195</v>
      </c>
      <c r="AZ165" s="237">
        <f>(AZ151+AZ164)/'Income Statement'!AZ78</f>
        <v>0</v>
      </c>
      <c r="BA165" s="237">
        <f>(BA151+BA164)/'Income Statement'!BA78</f>
        <v>0</v>
      </c>
      <c r="BB165" s="237">
        <f>(BB151+BB164)/'Income Statement'!BB78</f>
        <v>0</v>
      </c>
      <c r="BC165" s="237">
        <f>(BC151+BC164)/'Income Statement'!BC78</f>
        <v>1.4085768349364234</v>
      </c>
      <c r="BD165" s="239">
        <f>(BD151+BD164)/'Income Statement'!BD78</f>
        <v>1.4085768349364234</v>
      </c>
      <c r="BE165" s="237">
        <f>(BE151+BE164)/'Income Statement'!BE78</f>
        <v>0</v>
      </c>
      <c r="BF165" s="237">
        <f>(BF151+BF164)/'Income Statement'!BF78</f>
        <v>0</v>
      </c>
      <c r="BG165" s="237">
        <f>(BG151+BG164)/'Income Statement'!BG78</f>
        <v>0</v>
      </c>
      <c r="BH165" s="237">
        <f>(BH151+BH164)/'Income Statement'!BH78</f>
        <v>1.0462661358096237</v>
      </c>
      <c r="BI165" s="239">
        <f>(BI151+BI164)/'Income Statement'!BI78</f>
        <v>1.0462661358096237</v>
      </c>
      <c r="BJ165" s="237">
        <f>(BJ151+BJ164)/'Income Statement'!BJ78</f>
        <v>0</v>
      </c>
      <c r="BK165" s="237">
        <f>(BK151+BK164)/'Income Statement'!BK78</f>
        <v>0</v>
      </c>
      <c r="BL165" s="237">
        <f>(BL151+BL164)/'Income Statement'!BL78</f>
        <v>0</v>
      </c>
      <c r="BM165" s="237">
        <f>(BM151+BM164)/'Income Statement'!BM78</f>
        <v>0.59701504534620087</v>
      </c>
      <c r="BN165" s="239">
        <f>(BN151+BN164)/'Income Statement'!BN78</f>
        <v>0.59701504534620087</v>
      </c>
      <c r="BO165" s="237">
        <f>(BO151+BO164)/'Income Statement'!BO78</f>
        <v>0</v>
      </c>
      <c r="BP165" s="237">
        <f>(BP151+BP164)/'Income Statement'!BP78</f>
        <v>0</v>
      </c>
      <c r="BQ165" s="237">
        <f>(BQ151+BQ164)/'Income Statement'!BQ78</f>
        <v>0</v>
      </c>
      <c r="BR165" s="237">
        <f>(BR151+BR164)/'Income Statement'!BR78</f>
        <v>0.75550999116638851</v>
      </c>
      <c r="BS165" s="239">
        <f>(BS151+BS164)/'Income Statement'!BS78</f>
        <v>0.75550999116638851</v>
      </c>
      <c r="BT165" s="237">
        <f>(BT151+BT164)/'Income Statement'!BT78</f>
        <v>0</v>
      </c>
      <c r="BU165" s="237">
        <f>(BU151+BU164)/'Income Statement'!BU78</f>
        <v>0</v>
      </c>
      <c r="BV165" s="237">
        <f>(BV151+BV164)/'Income Statement'!BV78</f>
        <v>0</v>
      </c>
      <c r="BW165" s="237">
        <f>(BW151+BW164)/'Income Statement'!BW78</f>
        <v>0.76090288957415719</v>
      </c>
      <c r="BX165" s="239">
        <f>(BX151+BX164)/'Income Statement'!BX78</f>
        <v>0.76090288957415719</v>
      </c>
      <c r="BY165" s="237">
        <f>(BY151+BY164)/'Income Statement'!BY78</f>
        <v>0</v>
      </c>
      <c r="BZ165" s="237">
        <f>(BZ151+BZ164)/'Income Statement'!BZ78</f>
        <v>0</v>
      </c>
      <c r="CA165" s="237">
        <f>(CA151+CA164)/'Income Statement'!CA78</f>
        <v>0</v>
      </c>
      <c r="CB165" s="237">
        <f>(CB151+CB164)/'Income Statement'!CB78</f>
        <v>0.74690181457512628</v>
      </c>
      <c r="CC165" s="239">
        <f>(CC151+CC164)/'Income Statement'!CC78</f>
        <v>0.74690181457512628</v>
      </c>
      <c r="CD165" s="237">
        <f>(CD151+CD164)/'Income Statement'!CD78</f>
        <v>0.76705576282529708</v>
      </c>
      <c r="CE165" s="237">
        <f>(CE151+CE164)/'Income Statement'!CE78</f>
        <v>0.90005866786567312</v>
      </c>
      <c r="CF165" s="237">
        <f>(CF151+CF164)/'Income Statement'!CF78</f>
        <v>1.5351909718310732</v>
      </c>
      <c r="CG165" s="237">
        <f>(CG151+CG164)/'Income Statement'!CG78</f>
        <v>1.632379807625103</v>
      </c>
      <c r="CH165" s="239">
        <f>(CH151+CH164)/'Income Statement'!CH78</f>
        <v>1.632379807625103</v>
      </c>
      <c r="CI165" s="237">
        <f>(CI151+CI164)/'Income Statement'!CI78</f>
        <v>1.8035454947768617</v>
      </c>
      <c r="CJ165" s="237">
        <f>(CJ151+CJ164)/'Income Statement'!CJ78</f>
        <v>1.7903206593637071</v>
      </c>
      <c r="CK165" s="237">
        <f>(CK151+CK164)/'Income Statement'!CK78</f>
        <v>2.0153998206246366</v>
      </c>
      <c r="CL165" s="237">
        <f>(CL151+CL164)/'Income Statement'!CL78</f>
        <v>1.9559682947549479</v>
      </c>
      <c r="CM165" s="239">
        <f>(CM151+CM164)/'Income Statement'!CM78</f>
        <v>1.9559682947549479</v>
      </c>
      <c r="CN165" s="237">
        <f>(CN151+CN164)/'Income Statement'!CN78</f>
        <v>2.1539248323926845</v>
      </c>
      <c r="CO165" s="237">
        <f>(CO151+CO164)/'Income Statement'!CO78</f>
        <v>2.1745262716687841</v>
      </c>
      <c r="CP165" s="237">
        <f>(CP151+CP164)/'Income Statement'!CP78</f>
        <v>2.4841187667266742</v>
      </c>
      <c r="CQ165" s="237">
        <f>(CQ151+CQ164)/'Income Statement'!CQ78</f>
        <v>2.5277844655036978</v>
      </c>
      <c r="CR165" s="239">
        <f>(CR151+CR164)/'Income Statement'!CR78</f>
        <v>2.5277844655036978</v>
      </c>
      <c r="CS165" s="237">
        <f>(CS151+CS164)/'Income Statement'!CS78</f>
        <v>2.8430516385903606</v>
      </c>
      <c r="CT165" s="237">
        <f>(CT151+CT164)/'Income Statement'!CT78</f>
        <v>3.2330106832144003</v>
      </c>
      <c r="CU165" s="237">
        <f>(CU151+CU164)/'Income Statement'!CU78</f>
        <v>3.0865901914628777</v>
      </c>
      <c r="CV165" s="237">
        <f>(CV151+CV164)/'Income Statement'!CV78</f>
        <v>2.8787969356931824</v>
      </c>
      <c r="CW165" s="239">
        <f>(CW151+CW164)/'Income Statement'!CW78</f>
        <v>2.8787969356931824</v>
      </c>
      <c r="CX165" s="237">
        <f>(CX151+CX164)/'Income Statement'!CX78</f>
        <v>3.3568911468565004</v>
      </c>
      <c r="CY165" s="237">
        <f>(CY151+CY164)/'Income Statement'!CY78</f>
        <v>3.0340416380207538</v>
      </c>
      <c r="CZ165" s="237">
        <f>(CZ151+CZ164)/'Income Statement'!CZ78</f>
        <v>3.6108304014048529</v>
      </c>
      <c r="DA165" s="237">
        <f>(DA151+DA164)/'Income Statement'!DA78</f>
        <v>3.6424016192281523</v>
      </c>
      <c r="DB165" s="239">
        <f>(DB151+DB164)/'Income Statement'!DB78</f>
        <v>3.6424016192281523</v>
      </c>
      <c r="DC165" s="237">
        <f>(DC151+DC164)/'Income Statement'!DC78</f>
        <v>3.7742783768949906</v>
      </c>
      <c r="DD165" s="237">
        <f>(DD151+DD164)/'Income Statement'!DD78</f>
        <v>4.4264003785071235</v>
      </c>
      <c r="DE165" s="237">
        <f>(DE151+DE164)/'Income Statement'!DE78</f>
        <v>4.6147926129276238</v>
      </c>
      <c r="DF165" s="237">
        <f>(DF151+DF164)/'Income Statement'!DF78</f>
        <v>4.3581544740128697</v>
      </c>
      <c r="DG165" s="239">
        <f>(DG151+DG164)/'Income Statement'!DG78</f>
        <v>4.3581544740128697</v>
      </c>
      <c r="DH165" s="237">
        <f>(DH151+DH164)/'Income Statement'!DH78</f>
        <v>4.8696046624535558</v>
      </c>
      <c r="DI165" s="237">
        <f>(DI151+DI164)/'Income Statement'!DI78</f>
        <v>5.2123146918654397</v>
      </c>
      <c r="DJ165" s="237">
        <f ca="1">(DJ151+DJ164)/'Income Statement'!DJ78</f>
        <v>5.5393354266486403</v>
      </c>
      <c r="DK165" s="237">
        <f ca="1">(DK151+DK164)/'Income Statement'!DK78</f>
        <v>5.9594778984920271</v>
      </c>
      <c r="DL165" s="239">
        <f ca="1">(DL151+DL164)/'Income Statement'!DL78</f>
        <v>5.9594778984920271</v>
      </c>
      <c r="DM165" s="237">
        <f ca="1">(DM151+DM164)/'Income Statement'!DM78</f>
        <v>6.3032497652554484</v>
      </c>
      <c r="DN165" s="237">
        <f ca="1">(DN151+DN164)/'Income Statement'!DN78</f>
        <v>6.7003107008299336</v>
      </c>
      <c r="DO165" s="237">
        <f ca="1">(DO151+DO164)/'Income Statement'!DO78</f>
        <v>7.1171469315839406</v>
      </c>
      <c r="DP165" s="237">
        <f ca="1">(DP151+DP164)/'Income Statement'!DP78</f>
        <v>7.5772299981605347</v>
      </c>
      <c r="DQ165" s="239">
        <f ca="1">(DQ151+DQ164)/'Income Statement'!DQ78</f>
        <v>7.5772299981605347</v>
      </c>
      <c r="DR165" s="237">
        <f ca="1">(DR151+DR164)/'Income Statement'!DR78</f>
        <v>4.9498133304395084</v>
      </c>
      <c r="DS165" s="237">
        <f ca="1">(DS151+DS164)/'Income Statement'!DS78</f>
        <v>6.2904514333806505</v>
      </c>
      <c r="DT165" s="237">
        <f ca="1">(DT151+DT164)/'Income Statement'!DT78</f>
        <v>7.6749642009839922</v>
      </c>
      <c r="DU165" s="237">
        <f ca="1">(DU151+DU164)/'Income Statement'!DU78</f>
        <v>9.1157456258502574</v>
      </c>
      <c r="DV165" s="239">
        <f ca="1">(DV151+DV164)/'Income Statement'!DV78</f>
        <v>9.1157456258502574</v>
      </c>
      <c r="DW165" s="237">
        <f ca="1">(DW151+DW164)/'Income Statement'!DW78</f>
        <v>5.5595798827507892</v>
      </c>
      <c r="DX165" s="237">
        <f ca="1">(DX151+DX164)/'Income Statement'!DX78</f>
        <v>6.9653946252375327</v>
      </c>
      <c r="DY165" s="237">
        <f ca="1">(DY151+DY164)/'Income Statement'!DY78</f>
        <v>8.4258012821380017</v>
      </c>
      <c r="DZ165" s="237">
        <f ca="1">(DZ151+DZ164)/'Income Statement'!DZ78</f>
        <v>9.941894209845799</v>
      </c>
      <c r="EA165" s="239">
        <f ca="1">(EA151+EA164)/'Income Statement'!EA78</f>
        <v>9.941894209845799</v>
      </c>
      <c r="EB165" s="237">
        <f ca="1">(EB151+EB164)/'Income Statement'!EB78</f>
        <v>6.1909007018864104</v>
      </c>
      <c r="EC165" s="237">
        <f ca="1">(EC151+EC164)/'Income Statement'!EC78</f>
        <v>7.663782024717853</v>
      </c>
      <c r="ED165" s="237">
        <f ca="1">(ED151+ED164)/'Income Statement'!ED78</f>
        <v>9.1908216523612207</v>
      </c>
      <c r="EE165" s="237">
        <f ca="1">(EE151+EE164)/'Income Statement'!EE78</f>
        <v>10.772863283226942</v>
      </c>
      <c r="EF165" s="239">
        <f ca="1">(EF151+EF164)/'Income Statement'!EF78</f>
        <v>10.772863283226942</v>
      </c>
    </row>
    <row r="166" spans="1:136">
      <c r="AF166" s="243"/>
      <c r="AG166" s="243"/>
      <c r="AK166" s="243"/>
      <c r="AL166" s="243"/>
      <c r="AP166" s="243"/>
      <c r="AQ166" s="243"/>
      <c r="AU166" s="243"/>
      <c r="AV166" s="243"/>
      <c r="AZ166" s="243"/>
      <c r="BA166" s="243"/>
      <c r="BE166" s="243"/>
      <c r="BF166" s="243"/>
      <c r="BJ166" s="243"/>
      <c r="BK166" s="243"/>
      <c r="BO166" s="243"/>
      <c r="BP166" s="243"/>
      <c r="BT166" s="243"/>
      <c r="BU166" s="243"/>
      <c r="BY166" s="243"/>
      <c r="BZ166" s="243"/>
      <c r="CD166" s="243"/>
      <c r="CE166" s="243"/>
    </row>
    <row r="167" spans="1:136">
      <c r="AF167" s="52"/>
      <c r="AG167" s="52"/>
      <c r="AH167" s="52"/>
      <c r="AI167" s="52"/>
      <c r="AJ167" s="67"/>
      <c r="AK167" s="52"/>
      <c r="AL167" s="52"/>
      <c r="AM167" s="52"/>
      <c r="AN167" s="52"/>
      <c r="AO167" s="67"/>
      <c r="AP167" s="52"/>
      <c r="AQ167" s="52"/>
      <c r="AR167" s="52"/>
      <c r="AS167" s="52"/>
      <c r="AT167" s="67"/>
      <c r="AU167" s="52"/>
      <c r="AV167" s="52"/>
      <c r="AW167" s="52"/>
      <c r="AX167" s="52"/>
      <c r="AY167" s="67"/>
      <c r="AZ167" s="52"/>
      <c r="BA167" s="52"/>
      <c r="BB167" s="52"/>
      <c r="BC167" s="52"/>
      <c r="BD167" s="67"/>
      <c r="BE167" s="52"/>
      <c r="BF167" s="52"/>
      <c r="BG167" s="52"/>
      <c r="BH167" s="52"/>
      <c r="BI167" s="67"/>
      <c r="BJ167" s="52"/>
      <c r="BK167" s="52"/>
      <c r="BL167" s="52"/>
      <c r="BM167" s="52"/>
      <c r="BN167" s="67"/>
      <c r="BO167" s="52"/>
      <c r="BP167" s="52"/>
      <c r="BQ167" s="52"/>
      <c r="BR167" s="52"/>
      <c r="BS167" s="67"/>
      <c r="BT167" s="52"/>
      <c r="BU167" s="52"/>
      <c r="BV167" s="52"/>
      <c r="BW167" s="52"/>
      <c r="BX167" s="67"/>
      <c r="BY167" s="52"/>
      <c r="BZ167" s="52"/>
      <c r="CA167" s="52"/>
      <c r="CB167" s="52"/>
      <c r="CC167" s="67"/>
      <c r="CD167" s="52"/>
      <c r="CE167" s="52"/>
      <c r="CG167" s="52"/>
      <c r="CH167" s="67"/>
      <c r="CI167" s="52"/>
      <c r="CJ167" s="52"/>
      <c r="CL167" s="52"/>
      <c r="CM167" s="67"/>
      <c r="CR167" s="67"/>
      <c r="CS167" s="52"/>
      <c r="CT167" s="52"/>
      <c r="CU167" s="52"/>
      <c r="CW167" s="67"/>
      <c r="CY167" s="52"/>
      <c r="DB167" s="67"/>
      <c r="DC167" s="52"/>
      <c r="DD167" s="52"/>
      <c r="DE167" s="52"/>
      <c r="DF167" s="52"/>
      <c r="DG167" s="67"/>
      <c r="DH167" s="52"/>
      <c r="DI167" s="52"/>
      <c r="DJ167" s="52"/>
      <c r="DK167" s="52"/>
      <c r="DL167" s="67"/>
      <c r="DM167" s="52"/>
      <c r="DN167" s="52"/>
      <c r="DO167" s="52"/>
      <c r="DP167" s="52"/>
      <c r="DQ167" s="67"/>
      <c r="DR167" s="52"/>
      <c r="DS167" s="52"/>
      <c r="DT167" s="52"/>
      <c r="DU167" s="52"/>
      <c r="DV167" s="67"/>
      <c r="DW167" s="52"/>
      <c r="DX167" s="52"/>
      <c r="DY167" s="52"/>
      <c r="DZ167" s="52"/>
      <c r="EA167" s="67"/>
      <c r="EB167" s="52"/>
      <c r="EC167" s="52"/>
      <c r="ED167" s="52"/>
      <c r="EE167" s="52"/>
      <c r="EF167" s="67"/>
    </row>
  </sheetData>
  <phoneticPr fontId="4" type="noConversion"/>
  <pageMargins left="0.26" right="0.42" top="0.5" bottom="1" header="0.5" footer="0.5"/>
  <pageSetup scale="70" orientation="landscape" horizontalDpi="300" verticalDpi="300" r:id="rId1"/>
  <headerFooter alignWithMargins="0"/>
  <ignoredErrors>
    <ignoredError sqref="A2:CV2 A105:DG105 A93:CY93 DB93 DG93 A49:CZ52 A3:CY9 DA24:DB24 A68:CY73 A67:CY67 DB67 A75:CY75 A74:CY74 DB74 A77:CY80 A76:CY76 DB76 A82:CY84 A81:CY81 DB81 A86:CY88 A85:CY85 DB85 A90:CY92 A89:CY89 DB89 A94:CY104 DB94:DB104 A59:CY66 DB59:DB66 DB68:DB73 DB75 DB77:DB80 DB82:DB84 DB86:DB88 DB90:DB92 DG89 DG67 A166:XFD1048576 A106:CY154 DB106:DB117 DA123:DG129 DB118 A58:CW58 A53:CY53 DB53:DG53 DB3:DB23 A48:CZ48 DB48:XFD48 DB25:DB47 DB50:DG52 A54:CZ57 DB54:DG57 DC58:DG58 DB119:DC122 A155:CZ165 DB155:DB165 DB130:DB154 DG118 DL118 DD3:DD5 DE24:DG24 DD25:DD28 DB49 DG49 DG74 DG81 DG85 DG94:DG104 DG59:XFD59 DG68:DG73 DG75 DG77:DG80 DG82:DG84 DG86:DG88 DG90:DG92 DG106:DG117 DE162:XFD165 DD130:DD131 DC44 DC40 DQ118 DG6:DG23 DG29:DG37 DE119:DG122 DD137:DG137 DE135:DG136 DE138:DG154 DL67 DN67:XFD67 DG76 DJ76:XFD76 DK89:DL89 DJ85:XFD85 DJ81:XFD81 DM49:XFD49 DC2:XFD2 CX1:DA2 A11:CY47 A10:CT10 CV10:CW10 DG3:XFD5 DG25:DG28 DG130:DG131 DG132:DG134 DG45:DG47 DG44 DG39:DG43 DG38 DJ38 DC1:DH1 DJ1:XFD1 DL74:XFD74 DI24:XFD24 DJ6:XFD8 DJ29:XFD37 DI25:XFD28 DJ45:XFD46 DJ44:XFD44 DJ39:XFD43 DI53:XFD53 DI50:XFD52 DI54:XFD54 DI105:XFD105 DJ93:XFD93 DI123:XFD129 DJ94:XFD104 DG60:DG66 DJ60:XFD66 DJ68:XFD73 DJ75:XFD75 DJ77:XFD80 DJ82:XFD84 DJ86:XFD88 DJ90:XFD92 DI106:XFD106 DE155:DG161 DI155:XFD161 DI119:XFD122 DI137:XFD137 DI135:XFD136 DI138:XFD154 DI130:XFD131 DJ132:XFD134 DI58:EF58 DK47:XFD47 DL38:XFD38 DN89:XFD89 DS118:XFD118 DI55:EF57 EH55:XFD57 EH58:XFD58 DJ107:XFD117 A1:CQ1 CS1:CV1 DJ10:XFD23 DK9:XFD9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H59"/>
  <sheetViews>
    <sheetView zoomScaleNormal="100" workbookViewId="0">
      <pane xSplit="31" ySplit="3" topLeftCell="CH4" activePane="bottomRight" state="frozen"/>
      <selection pane="topRight" activeCell="AF1" sqref="AF1"/>
      <selection pane="bottomLeft" activeCell="A4" sqref="A4"/>
      <selection pane="bottomRight" activeCell="DJ11" sqref="DJ11"/>
    </sheetView>
  </sheetViews>
  <sheetFormatPr defaultColWidth="10.7109375" defaultRowHeight="12.75" customHeight="1" outlineLevelRow="1" outlineLevelCol="1"/>
  <cols>
    <col min="1" max="1" width="30.5703125" style="1" customWidth="1"/>
    <col min="2" max="5" width="10.7109375" style="1" hidden="1" customWidth="1" outlineLevel="1"/>
    <col min="6" max="6" width="10.7109375" style="2" hidden="1" customWidth="1" collapsed="1"/>
    <col min="7" max="10" width="10.7109375" style="1" hidden="1" customWidth="1" outlineLevel="1"/>
    <col min="11" max="11" width="10.7109375" style="2" hidden="1" customWidth="1" collapsed="1"/>
    <col min="12" max="15" width="10.7109375" style="1" hidden="1" customWidth="1" outlineLevel="1"/>
    <col min="16" max="16" width="10.7109375" style="2" hidden="1" customWidth="1" collapsed="1"/>
    <col min="17" max="20" width="10.7109375" style="1" hidden="1" customWidth="1" outlineLevel="1"/>
    <col min="21" max="21" width="10.7109375" style="2" hidden="1" customWidth="1" collapsed="1"/>
    <col min="22" max="25" width="10.7109375" style="1" hidden="1" customWidth="1" outlineLevel="1"/>
    <col min="26" max="26" width="10.7109375" style="2" hidden="1" customWidth="1" collapsed="1"/>
    <col min="27" max="30" width="10.7109375" style="1" hidden="1" customWidth="1" outlineLevel="1"/>
    <col min="31" max="31" width="10.7109375" style="2" hidden="1" customWidth="1" collapsed="1"/>
    <col min="32" max="35" width="10.7109375" style="1" hidden="1" customWidth="1" outlineLevel="1"/>
    <col min="36" max="36" width="10.7109375" style="2" hidden="1" customWidth="1" collapsed="1"/>
    <col min="37" max="40" width="10.7109375" style="1" hidden="1" customWidth="1" outlineLevel="1"/>
    <col min="41" max="41" width="10.7109375" style="2" hidden="1" customWidth="1" collapsed="1"/>
    <col min="42" max="45" width="10.7109375" style="1" hidden="1" customWidth="1" outlineLevel="1"/>
    <col min="46" max="46" width="10.7109375" style="2" hidden="1" customWidth="1" collapsed="1"/>
    <col min="47" max="50" width="10.7109375" style="1" hidden="1" customWidth="1" outlineLevel="1"/>
    <col min="51" max="51" width="10.7109375" style="2" hidden="1" customWidth="1" collapsed="1"/>
    <col min="52" max="55" width="10.7109375" style="1" hidden="1" customWidth="1" outlineLevel="1"/>
    <col min="56" max="56" width="10.7109375" style="2" hidden="1" customWidth="1" collapsed="1"/>
    <col min="57" max="60" width="10.7109375" style="1" hidden="1" customWidth="1" outlineLevel="1"/>
    <col min="61" max="61" width="10.7109375" style="2" customWidth="1" collapsed="1"/>
    <col min="62" max="65" width="10.7109375" style="1" hidden="1" customWidth="1" outlineLevel="1"/>
    <col min="66" max="66" width="10.7109375" style="2" customWidth="1" collapsed="1"/>
    <col min="67" max="70" width="10.7109375" style="1" hidden="1" customWidth="1" outlineLevel="1"/>
    <col min="71" max="71" width="10.7109375" style="2" customWidth="1" collapsed="1"/>
    <col min="72" max="75" width="10.7109375" style="1" hidden="1" customWidth="1" outlineLevel="1"/>
    <col min="76" max="76" width="10.7109375" style="2" customWidth="1" collapsed="1"/>
    <col min="77" max="80" width="10.7109375" style="1" hidden="1" customWidth="1" outlineLevel="1"/>
    <col min="81" max="81" width="10.7109375" style="2" customWidth="1" collapsed="1"/>
    <col min="82" max="85" width="10.7109375" style="1" hidden="1" customWidth="1" outlineLevel="1"/>
    <col min="86" max="86" width="10.7109375" style="2" customWidth="1" collapsed="1"/>
    <col min="87" max="90" width="10.7109375" style="1" hidden="1" customWidth="1" outlineLevel="1"/>
    <col min="91" max="91" width="10.7109375" style="2" customWidth="1" collapsed="1"/>
    <col min="92" max="95" width="10.7109375" style="1" hidden="1" customWidth="1" outlineLevel="1"/>
    <col min="96" max="96" width="10.7109375" style="2" customWidth="1" collapsed="1"/>
    <col min="97" max="100" width="10.7109375" style="1" hidden="1" customWidth="1" outlineLevel="1"/>
    <col min="101" max="101" width="10.7109375" style="2" customWidth="1" collapsed="1"/>
    <col min="102" max="105" width="10.7109375" style="1" hidden="1" customWidth="1" outlineLevel="1"/>
    <col min="106" max="106" width="10.7109375" style="2" customWidth="1" collapsed="1"/>
    <col min="107" max="110" width="10.7109375" style="1" customWidth="1" outlineLevel="1"/>
    <col min="111" max="111" width="10.7109375" style="1"/>
    <col min="112" max="115" width="10.7109375" style="1" customWidth="1" outlineLevel="1"/>
    <col min="116" max="116" width="10.7109375" style="1"/>
    <col min="117" max="120" width="10.7109375" style="1" customWidth="1" outlineLevel="1"/>
    <col min="121" max="121" width="10.7109375" style="1"/>
    <col min="122" max="125" width="10.7109375" style="1" hidden="1" customWidth="1" outlineLevel="1"/>
    <col min="126" max="126" width="10.7109375" style="1" collapsed="1"/>
    <col min="127" max="130" width="10.7109375" style="1" hidden="1" customWidth="1" outlineLevel="1"/>
    <col min="131" max="131" width="10.7109375" style="1" collapsed="1"/>
    <col min="132" max="135" width="10.7109375" style="1" hidden="1" customWidth="1" outlineLevel="1"/>
    <col min="136" max="136" width="10.7109375" style="1" collapsed="1"/>
    <col min="137" max="137" width="10.7109375" style="1"/>
    <col min="138" max="138" width="11.28515625" style="1" bestFit="1" customWidth="1"/>
    <col min="139" max="16384" width="10.7109375" style="1"/>
  </cols>
  <sheetData>
    <row r="1" spans="1:138" ht="30" customHeight="1">
      <c r="AF1" s="307"/>
      <c r="AG1" s="307"/>
      <c r="AH1" s="307"/>
      <c r="AI1" s="307"/>
      <c r="AJ1" s="28"/>
      <c r="AK1" s="307"/>
      <c r="AL1" s="307"/>
      <c r="AM1" s="307"/>
      <c r="AN1" s="307"/>
      <c r="AO1" s="28"/>
      <c r="AP1" s="307"/>
      <c r="AQ1" s="307"/>
      <c r="AR1" s="307"/>
      <c r="AS1" s="307"/>
      <c r="AT1" s="28"/>
      <c r="AU1" s="307"/>
      <c r="AV1" s="307"/>
      <c r="AW1" s="307"/>
      <c r="AX1" s="307"/>
      <c r="AY1" s="28"/>
      <c r="AZ1" s="307"/>
      <c r="BA1" s="307"/>
      <c r="BB1" s="307"/>
      <c r="BC1" s="307"/>
      <c r="BD1" s="28"/>
      <c r="BE1" s="307"/>
      <c r="BF1" s="307"/>
      <c r="BG1" s="307"/>
      <c r="BH1" s="307"/>
      <c r="BI1" s="28"/>
      <c r="BJ1" s="307"/>
      <c r="BK1" s="307"/>
      <c r="BL1" s="307"/>
      <c r="BM1" s="307"/>
      <c r="BN1" s="28"/>
      <c r="BO1" s="307"/>
      <c r="BP1" s="307"/>
      <c r="BQ1" s="307"/>
      <c r="BR1" s="307"/>
      <c r="BS1" s="28"/>
      <c r="BT1" s="307"/>
      <c r="BU1" s="307"/>
      <c r="BV1" s="307"/>
      <c r="BW1" s="307"/>
      <c r="BX1" s="28"/>
      <c r="BY1" s="307"/>
      <c r="BZ1" s="307"/>
      <c r="CA1" s="307"/>
      <c r="CB1" s="307"/>
      <c r="CC1" s="48"/>
      <c r="CD1" s="403"/>
      <c r="CE1" s="403"/>
      <c r="CF1" s="403"/>
      <c r="CG1" s="307"/>
      <c r="CH1" s="48"/>
      <c r="CI1" s="403"/>
      <c r="CJ1" s="403"/>
      <c r="CK1" s="309"/>
      <c r="CL1" s="309"/>
      <c r="CM1" s="48"/>
      <c r="CN1" s="403"/>
      <c r="CO1" s="403"/>
      <c r="CP1" s="403"/>
      <c r="CQ1" s="307"/>
      <c r="CR1" s="48"/>
      <c r="CW1" s="48"/>
      <c r="DB1" s="48"/>
      <c r="DG1" s="48"/>
      <c r="DH1" s="456">
        <v>2303497.9133978263</v>
      </c>
      <c r="DI1" s="456">
        <v>2193653.23237332</v>
      </c>
      <c r="DJ1" s="91">
        <f>+DI4/DH1-1</f>
        <v>-2.0233868607710037E-2</v>
      </c>
      <c r="DK1" s="91">
        <f>+DI9/DI1-1</f>
        <v>-6.7533703502918874E-2</v>
      </c>
      <c r="DL1" s="28">
        <f>+DH4/DC4-1</f>
        <v>-4.912894500430931E-2</v>
      </c>
      <c r="DO1" s="494"/>
      <c r="DQ1" s="48">
        <f>DQ4/DL4-1</f>
        <v>4.8529663615197283E-2</v>
      </c>
      <c r="DV1" s="48">
        <f>DV4/DQ4-1</f>
        <v>4.4999999999999707E-2</v>
      </c>
      <c r="EA1" s="48">
        <f>EA4/DV4-1</f>
        <v>4.4999999999999707E-2</v>
      </c>
      <c r="EF1" s="48">
        <f>EF4/EA4-1</f>
        <v>4.4999999999999707E-2</v>
      </c>
    </row>
    <row r="2" spans="1:138" ht="12.75" customHeight="1" outlineLevel="1">
      <c r="A2" s="3" t="str">
        <f ca="1">DCF!$A$2</f>
        <v>Cury - TP: R$48</v>
      </c>
      <c r="AF2" s="68"/>
      <c r="AG2" s="68"/>
      <c r="AH2" s="68"/>
      <c r="AI2" s="68"/>
      <c r="AJ2" s="236"/>
      <c r="AK2" s="68"/>
      <c r="AL2" s="68"/>
      <c r="AM2" s="68"/>
      <c r="AN2" s="68"/>
      <c r="AO2" s="236"/>
      <c r="AP2" s="68"/>
      <c r="AQ2" s="68"/>
      <c r="AR2" s="68"/>
      <c r="AS2" s="68"/>
      <c r="AT2" s="236"/>
      <c r="AU2" s="68"/>
      <c r="AV2" s="68"/>
      <c r="AW2" s="68"/>
      <c r="AX2" s="68"/>
      <c r="AY2" s="236"/>
      <c r="AZ2" s="68"/>
      <c r="BA2" s="68"/>
      <c r="BB2" s="68"/>
      <c r="BC2" s="68"/>
      <c r="BD2" s="236"/>
      <c r="BE2" s="68"/>
      <c r="BF2" s="68"/>
      <c r="BG2" s="68"/>
      <c r="BH2" s="68"/>
      <c r="BI2" s="236"/>
      <c r="BJ2" s="68"/>
      <c r="BK2" s="68"/>
      <c r="BL2" s="68"/>
      <c r="BM2" s="68"/>
      <c r="BN2" s="236"/>
      <c r="BO2" s="68"/>
      <c r="BP2" s="68"/>
      <c r="BQ2" s="68"/>
      <c r="BR2" s="68"/>
      <c r="BS2" s="236"/>
      <c r="BT2" s="68"/>
      <c r="BU2" s="68"/>
      <c r="BV2" s="68"/>
      <c r="BW2" s="68"/>
      <c r="BX2" s="236"/>
      <c r="BY2" s="68"/>
      <c r="BZ2" s="68"/>
      <c r="CA2" s="68"/>
      <c r="CB2" s="68"/>
      <c r="CC2" s="67"/>
      <c r="CD2" s="60"/>
      <c r="CE2" s="462"/>
      <c r="CF2" s="461"/>
      <c r="CG2" s="68"/>
      <c r="CH2" s="67"/>
      <c r="CI2" s="60"/>
      <c r="CJ2" s="462"/>
      <c r="CK2" s="16"/>
      <c r="CL2" s="464"/>
      <c r="CM2" s="236"/>
      <c r="CN2" s="60"/>
      <c r="CO2" s="462"/>
      <c r="CP2" s="403"/>
      <c r="CQ2" s="309"/>
      <c r="CR2" s="28"/>
      <c r="CW2" s="28"/>
      <c r="DB2" s="28"/>
      <c r="DG2" s="28"/>
      <c r="DH2" s="456">
        <v>1974647.8667390232</v>
      </c>
      <c r="DI2" s="456">
        <v>1802426.625892963</v>
      </c>
      <c r="DJ2" s="91">
        <f>+DI5/DH2-1</f>
        <v>-1.5557207933865724E-2</v>
      </c>
      <c r="DK2" s="91">
        <f>+DI10/DI2-1</f>
        <v>-2.9770104570208011E-2</v>
      </c>
      <c r="DL2" s="28">
        <f>+DH9/DC9-1</f>
        <v>9.4530208521813153E-2</v>
      </c>
      <c r="DQ2" s="28"/>
      <c r="DV2" s="28"/>
      <c r="EA2" s="28"/>
      <c r="EF2" s="28"/>
    </row>
    <row r="3" spans="1:138" s="8" customFormat="1" ht="12.75" customHeight="1" thickBot="1">
      <c r="A3" s="4" t="s">
        <v>222</v>
      </c>
      <c r="B3" s="30" t="str">
        <f>Macro!B$9</f>
        <v>1Q04</v>
      </c>
      <c r="C3" s="30" t="str">
        <f>Macro!C$9</f>
        <v>2Q04</v>
      </c>
      <c r="D3" s="30" t="str">
        <f>Macro!D$9</f>
        <v>3Q04</v>
      </c>
      <c r="E3" s="31" t="str">
        <f>Macro!E$9</f>
        <v>4Q04</v>
      </c>
      <c r="F3" s="29" t="str">
        <f>Macro!F$9</f>
        <v>2004</v>
      </c>
      <c r="G3" s="30" t="str">
        <f>Macro!G$9</f>
        <v>1Q05</v>
      </c>
      <c r="H3" s="30" t="str">
        <f>Macro!H$9</f>
        <v>2Q05</v>
      </c>
      <c r="I3" s="30" t="str">
        <f>Macro!I$9</f>
        <v>3Q05</v>
      </c>
      <c r="J3" s="31" t="str">
        <f>Macro!J$9</f>
        <v>4Q05</v>
      </c>
      <c r="K3" s="29" t="str">
        <f>Macro!K$9</f>
        <v>2005</v>
      </c>
      <c r="L3" s="30" t="str">
        <f>Macro!L$9</f>
        <v>1Q06</v>
      </c>
      <c r="M3" s="30" t="str">
        <f>Macro!M$9</f>
        <v>2Q06</v>
      </c>
      <c r="N3" s="30" t="str">
        <f>Macro!N$9</f>
        <v>3Q06</v>
      </c>
      <c r="O3" s="31" t="str">
        <f>Macro!O$9</f>
        <v>4Q06</v>
      </c>
      <c r="P3" s="29" t="str">
        <f>Macro!P$9</f>
        <v>2006</v>
      </c>
      <c r="Q3" s="30" t="str">
        <f>Macro!Q$9</f>
        <v>1Q07</v>
      </c>
      <c r="R3" s="30" t="str">
        <f>Macro!R$9</f>
        <v>2Q07</v>
      </c>
      <c r="S3" s="30" t="str">
        <f>Macro!S$9</f>
        <v>3Q07</v>
      </c>
      <c r="T3" s="31" t="str">
        <f>Macro!T$9</f>
        <v>4Q07</v>
      </c>
      <c r="U3" s="29" t="str">
        <f>Macro!U$9</f>
        <v>2007</v>
      </c>
      <c r="V3" s="30" t="str">
        <f>Macro!V$9</f>
        <v>1Q08</v>
      </c>
      <c r="W3" s="30" t="str">
        <f>Macro!W$9</f>
        <v>2Q08</v>
      </c>
      <c r="X3" s="30" t="str">
        <f>Macro!X$9</f>
        <v>3Q08</v>
      </c>
      <c r="Y3" s="31" t="str">
        <f>Macro!Y$9</f>
        <v>4Q08</v>
      </c>
      <c r="Z3" s="29" t="str">
        <f>Macro!Z$9</f>
        <v>2008</v>
      </c>
      <c r="AA3" s="30" t="str">
        <f>Macro!AA$9</f>
        <v>1Q09</v>
      </c>
      <c r="AB3" s="30" t="str">
        <f>Macro!AB$9</f>
        <v>2Q09</v>
      </c>
      <c r="AC3" s="30" t="str">
        <f>Macro!AC$9</f>
        <v>3Q09</v>
      </c>
      <c r="AD3" s="31" t="str">
        <f>Macro!AD$9</f>
        <v>4Q09</v>
      </c>
      <c r="AE3" s="29" t="str">
        <f>Macro!AE$9</f>
        <v>2009</v>
      </c>
      <c r="AF3" s="30" t="str">
        <f>Macro!AF$9</f>
        <v>1Q10</v>
      </c>
      <c r="AG3" s="30" t="str">
        <f>Macro!AG$9</f>
        <v>2Q10</v>
      </c>
      <c r="AH3" s="30" t="str">
        <f>Macro!AH$9</f>
        <v>3Q10</v>
      </c>
      <c r="AI3" s="31" t="str">
        <f>Macro!AI$9</f>
        <v>4Q10</v>
      </c>
      <c r="AJ3" s="29" t="str">
        <f>Macro!AJ$9</f>
        <v>2010</v>
      </c>
      <c r="AK3" s="30" t="str">
        <f>Macro!AK$9</f>
        <v>1Q11</v>
      </c>
      <c r="AL3" s="30" t="str">
        <f>Macro!AL$9</f>
        <v>2Q11</v>
      </c>
      <c r="AM3" s="30" t="str">
        <f>Macro!AM$9</f>
        <v>3Q11</v>
      </c>
      <c r="AN3" s="31" t="str">
        <f>Macro!AN$9</f>
        <v>4Q11</v>
      </c>
      <c r="AO3" s="29" t="str">
        <f>Macro!AO$9</f>
        <v>2011</v>
      </c>
      <c r="AP3" s="30" t="str">
        <f>Macro!AP$9</f>
        <v>1Q12</v>
      </c>
      <c r="AQ3" s="30" t="str">
        <f>Macro!AQ$9</f>
        <v>2Q12</v>
      </c>
      <c r="AR3" s="30" t="str">
        <f>Macro!AR$9</f>
        <v>3Q12</v>
      </c>
      <c r="AS3" s="31" t="str">
        <f>Macro!AS$9</f>
        <v>4Q12</v>
      </c>
      <c r="AT3" s="29" t="str">
        <f>Macro!AT$9</f>
        <v>2012</v>
      </c>
      <c r="AU3" s="30" t="str">
        <f>Macro!AU$9</f>
        <v>1Q13</v>
      </c>
      <c r="AV3" s="30" t="str">
        <f>Macro!AV$9</f>
        <v>2Q13</v>
      </c>
      <c r="AW3" s="30" t="str">
        <f>Macro!AW$9</f>
        <v>3Q13</v>
      </c>
      <c r="AX3" s="31" t="str">
        <f>Macro!AX$9</f>
        <v>4Q13</v>
      </c>
      <c r="AY3" s="29" t="str">
        <f>Macro!AY$9</f>
        <v>2013</v>
      </c>
      <c r="AZ3" s="30" t="str">
        <f>Macro!AZ$9</f>
        <v>1Q14</v>
      </c>
      <c r="BA3" s="30" t="str">
        <f>Macro!BA$9</f>
        <v>2Q14</v>
      </c>
      <c r="BB3" s="30" t="str">
        <f>Macro!BB$9</f>
        <v>3Q14</v>
      </c>
      <c r="BC3" s="31" t="str">
        <f>Macro!BC$9</f>
        <v>4Q14</v>
      </c>
      <c r="BD3" s="29" t="str">
        <f>Macro!BD$9</f>
        <v>2014</v>
      </c>
      <c r="BE3" s="30" t="str">
        <f>Macro!BE$9</f>
        <v>1Q15</v>
      </c>
      <c r="BF3" s="30" t="str">
        <f>Macro!BF$9</f>
        <v>2Q15</v>
      </c>
      <c r="BG3" s="30" t="str">
        <f>Macro!BG$9</f>
        <v>3Q15</v>
      </c>
      <c r="BH3" s="31" t="str">
        <f>Macro!BH$9</f>
        <v>4Q15</v>
      </c>
      <c r="BI3" s="29" t="str">
        <f>Macro!BI$9</f>
        <v>2015</v>
      </c>
      <c r="BJ3" s="30" t="str">
        <f>Macro!BJ$9</f>
        <v>1Q16</v>
      </c>
      <c r="BK3" s="30" t="str">
        <f>Macro!BK$9</f>
        <v>2Q16</v>
      </c>
      <c r="BL3" s="30" t="str">
        <f>Macro!BL$9</f>
        <v>3Q16</v>
      </c>
      <c r="BM3" s="31" t="str">
        <f>Macro!BM$9</f>
        <v>4Q16</v>
      </c>
      <c r="BN3" s="29" t="str">
        <f>Macro!BN$9</f>
        <v>2016</v>
      </c>
      <c r="BO3" s="30" t="str">
        <f>Macro!BO$9</f>
        <v>1Q17</v>
      </c>
      <c r="BP3" s="30" t="str">
        <f>Macro!BP$9</f>
        <v>2Q17</v>
      </c>
      <c r="BQ3" s="30" t="str">
        <f>Macro!BQ$9</f>
        <v>3Q17</v>
      </c>
      <c r="BR3" s="31" t="str">
        <f>Macro!BR$9</f>
        <v>4Q17</v>
      </c>
      <c r="BS3" s="29" t="str">
        <f>Macro!BS$9</f>
        <v>2017</v>
      </c>
      <c r="BT3" s="30" t="str">
        <f>Macro!BT$9</f>
        <v>1Q18</v>
      </c>
      <c r="BU3" s="30" t="str">
        <f>Macro!BU$9</f>
        <v>2Q18</v>
      </c>
      <c r="BV3" s="30" t="str">
        <f>Macro!BV$9</f>
        <v>3Q18</v>
      </c>
      <c r="BW3" s="31" t="str">
        <f>Macro!BW$9</f>
        <v>4Q18</v>
      </c>
      <c r="BX3" s="29" t="str">
        <f>Macro!BX$9</f>
        <v>2018</v>
      </c>
      <c r="BY3" s="30" t="str">
        <f>Macro!BY$9</f>
        <v>1Q19</v>
      </c>
      <c r="BZ3" s="30" t="str">
        <f>Macro!BZ$9</f>
        <v>2Q19</v>
      </c>
      <c r="CA3" s="30" t="str">
        <f>Macro!CA$9</f>
        <v>3Q19</v>
      </c>
      <c r="CB3" s="31" t="str">
        <f>Macro!CB$9</f>
        <v>4Q19</v>
      </c>
      <c r="CC3" s="29" t="str">
        <f>Macro!CC$9</f>
        <v>2019</v>
      </c>
      <c r="CD3" s="30" t="str">
        <f>Macro!CD$9</f>
        <v>1Q20</v>
      </c>
      <c r="CE3" s="30" t="str">
        <f>Macro!CE$9</f>
        <v>2Q20</v>
      </c>
      <c r="CF3" s="30" t="str">
        <f>Macro!CF$9</f>
        <v>3Q20</v>
      </c>
      <c r="CG3" s="31" t="str">
        <f>Macro!CG$9</f>
        <v>4Q20</v>
      </c>
      <c r="CH3" s="29" t="str">
        <f>Macro!CH$9</f>
        <v>2020</v>
      </c>
      <c r="CI3" s="30" t="str">
        <f>Macro!CI$9</f>
        <v>1Q21</v>
      </c>
      <c r="CJ3" s="30" t="str">
        <f>Macro!CJ$9</f>
        <v>2Q21</v>
      </c>
      <c r="CK3" s="30" t="str">
        <f>Macro!CK$9</f>
        <v>3Q21</v>
      </c>
      <c r="CL3" s="31" t="str">
        <f>Macro!CL$9</f>
        <v>4Q21</v>
      </c>
      <c r="CM3" s="29" t="str">
        <f>Macro!CM$9</f>
        <v>2021</v>
      </c>
      <c r="CN3" s="30" t="str">
        <f>Macro!CN$9</f>
        <v>1Q22</v>
      </c>
      <c r="CO3" s="30" t="str">
        <f>Macro!CO$9</f>
        <v>2Q22</v>
      </c>
      <c r="CP3" s="30" t="str">
        <f>Macro!CP$9</f>
        <v>3Q22</v>
      </c>
      <c r="CQ3" s="31" t="str">
        <f>Macro!CQ$9</f>
        <v>4Q22</v>
      </c>
      <c r="CR3" s="29" t="str">
        <f>Macro!CR$9</f>
        <v>2022</v>
      </c>
      <c r="CS3" s="30" t="str">
        <f>Macro!CS$9</f>
        <v>1Q23</v>
      </c>
      <c r="CT3" s="30" t="str">
        <f>Macro!CT$9</f>
        <v>2Q23</v>
      </c>
      <c r="CU3" s="30" t="str">
        <f>Macro!CU$9</f>
        <v>3Q23</v>
      </c>
      <c r="CV3" s="31" t="str">
        <f>Macro!CV$9</f>
        <v>4Q23</v>
      </c>
      <c r="CW3" s="29" t="str">
        <f>Macro!CW$9</f>
        <v>2023</v>
      </c>
      <c r="CX3" s="30" t="str">
        <f>Macro!CX$9</f>
        <v>1Q24</v>
      </c>
      <c r="CY3" s="30" t="str">
        <f>Macro!CY$9</f>
        <v>2Q24</v>
      </c>
      <c r="CZ3" s="30" t="str">
        <f>Macro!CZ$9</f>
        <v>3Q24</v>
      </c>
      <c r="DA3" s="31" t="str">
        <f>Macro!DA$9</f>
        <v>4Q24</v>
      </c>
      <c r="DB3" s="29" t="str">
        <f>Macro!DB$9</f>
        <v>2024</v>
      </c>
      <c r="DC3" s="30" t="str">
        <f>Macro!DC$9</f>
        <v>1Q25</v>
      </c>
      <c r="DD3" s="30" t="str">
        <f>Macro!DD$9</f>
        <v>2Q25</v>
      </c>
      <c r="DE3" s="30" t="str">
        <f>Macro!DE$9</f>
        <v>3Q25</v>
      </c>
      <c r="DF3" s="31" t="str">
        <f>Macro!DF$9</f>
        <v>4Q25</v>
      </c>
      <c r="DG3" s="29" t="str">
        <f>Macro!DG$9</f>
        <v>2025</v>
      </c>
      <c r="DH3" s="30" t="str">
        <f>Macro!DH$9</f>
        <v>1Q26</v>
      </c>
      <c r="DI3" s="30" t="str">
        <f>Macro!DI$9</f>
        <v>2Q26</v>
      </c>
      <c r="DJ3" s="30" t="str">
        <f>Macro!DJ$9</f>
        <v>3Q26E</v>
      </c>
      <c r="DK3" s="31" t="str">
        <f>Macro!DK$9</f>
        <v>4Q26E</v>
      </c>
      <c r="DL3" s="29" t="str">
        <f>Macro!DL$9</f>
        <v>2026E</v>
      </c>
      <c r="DM3" s="30" t="str">
        <f>Macro!DM$9</f>
        <v>1Q27E</v>
      </c>
      <c r="DN3" s="30" t="str">
        <f>Macro!DN$9</f>
        <v>2Q27E</v>
      </c>
      <c r="DO3" s="30" t="str">
        <f>Macro!DO$9</f>
        <v>3Q27E</v>
      </c>
      <c r="DP3" s="31" t="str">
        <f>Macro!DP$9</f>
        <v>4Q27E</v>
      </c>
      <c r="DQ3" s="29" t="str">
        <f>Macro!DQ$9</f>
        <v>2027E</v>
      </c>
      <c r="DR3" s="30" t="str">
        <f>Macro!DR$9</f>
        <v>1Q28E</v>
      </c>
      <c r="DS3" s="30" t="str">
        <f>Macro!DS$9</f>
        <v>2Q28E</v>
      </c>
      <c r="DT3" s="30" t="str">
        <f>Macro!DT$9</f>
        <v>3Q28E</v>
      </c>
      <c r="DU3" s="31" t="str">
        <f>Macro!DU$9</f>
        <v>4Q28E</v>
      </c>
      <c r="DV3" s="29" t="str">
        <f>Macro!DV$9</f>
        <v>2028E</v>
      </c>
      <c r="DW3" s="30" t="str">
        <f>Macro!DW$9</f>
        <v>1Q29E</v>
      </c>
      <c r="DX3" s="30" t="str">
        <f>Macro!DX$9</f>
        <v>2Q29E</v>
      </c>
      <c r="DY3" s="30" t="str">
        <f>Macro!DY$9</f>
        <v>3Q29E</v>
      </c>
      <c r="DZ3" s="31" t="str">
        <f>Macro!DZ$9</f>
        <v>4Q29E</v>
      </c>
      <c r="EA3" s="29" t="str">
        <f>Macro!EA$9</f>
        <v>2029E</v>
      </c>
      <c r="EB3" s="30" t="str">
        <f>Macro!EB$9</f>
        <v>1Q30E</v>
      </c>
      <c r="EC3" s="30" t="str">
        <f>Macro!EC$9</f>
        <v>2Q30E</v>
      </c>
      <c r="ED3" s="30" t="str">
        <f>Macro!ED$9</f>
        <v>3Q30E</v>
      </c>
      <c r="EE3" s="31" t="str">
        <f>Macro!EE$9</f>
        <v>4Q30E</v>
      </c>
      <c r="EF3" s="29" t="str">
        <f>Macro!EF$9</f>
        <v>2030E</v>
      </c>
    </row>
    <row r="4" spans="1:138" ht="12.75" customHeight="1" outlineLevel="1">
      <c r="A4" s="1" t="s">
        <v>223</v>
      </c>
      <c r="B4" s="94"/>
      <c r="C4" s="95"/>
      <c r="D4" s="95"/>
      <c r="E4" s="95"/>
      <c r="F4" s="43">
        <f>SUM(B4:E4)</f>
        <v>0</v>
      </c>
      <c r="G4" s="94"/>
      <c r="H4" s="95"/>
      <c r="I4" s="95"/>
      <c r="J4" s="95"/>
      <c r="K4" s="43">
        <f>SUM(G4:J4)</f>
        <v>0</v>
      </c>
      <c r="L4" s="94"/>
      <c r="M4" s="95"/>
      <c r="N4" s="95"/>
      <c r="O4" s="95"/>
      <c r="P4" s="43">
        <f>SUM(L4:O4)</f>
        <v>0</v>
      </c>
      <c r="Q4" s="94"/>
      <c r="R4" s="95"/>
      <c r="S4" s="95"/>
      <c r="T4" s="95"/>
      <c r="U4" s="43">
        <f>SUM(Q4:T4)</f>
        <v>0</v>
      </c>
      <c r="V4" s="94"/>
      <c r="W4" s="95"/>
      <c r="X4" s="95"/>
      <c r="Y4" s="95"/>
      <c r="Z4" s="43">
        <f>SUM(V4:Y4)</f>
        <v>0</v>
      </c>
      <c r="AA4" s="94"/>
      <c r="AB4" s="95"/>
      <c r="AC4" s="95"/>
      <c r="AD4" s="95"/>
      <c r="AE4" s="43">
        <f>SUM(AA4:AD4)</f>
        <v>0</v>
      </c>
      <c r="AF4" s="224"/>
      <c r="AG4" s="224"/>
      <c r="AH4" s="224"/>
      <c r="AI4" s="414"/>
      <c r="AJ4" s="79">
        <f>SUM(AF4:AI4)</f>
        <v>0</v>
      </c>
      <c r="AK4" s="224"/>
      <c r="AL4" s="224"/>
      <c r="AM4" s="224"/>
      <c r="AN4" s="414"/>
      <c r="AO4" s="79">
        <f>SUM(AK4:AN4)</f>
        <v>0</v>
      </c>
      <c r="AP4" s="224"/>
      <c r="AQ4" s="224"/>
      <c r="AR4" s="224"/>
      <c r="AS4" s="414"/>
      <c r="AT4" s="79">
        <f>SUM(AP4:AS4)</f>
        <v>0</v>
      </c>
      <c r="AU4" s="224"/>
      <c r="AV4" s="224"/>
      <c r="AW4" s="224"/>
      <c r="AX4" s="414"/>
      <c r="AY4" s="79">
        <f>SUM(AU4:AX4)</f>
        <v>0</v>
      </c>
      <c r="AZ4" s="224"/>
      <c r="BA4" s="224"/>
      <c r="BB4" s="224"/>
      <c r="BC4" s="414"/>
      <c r="BD4" s="79">
        <f>SUM(AZ4:BC4)</f>
        <v>0</v>
      </c>
      <c r="BE4" s="94"/>
      <c r="BF4" s="94"/>
      <c r="BG4" s="94"/>
      <c r="BH4" s="95">
        <f>119579+113752+278156</f>
        <v>511487</v>
      </c>
      <c r="BI4" s="79">
        <f>SUM(BE4:BH4)</f>
        <v>511487</v>
      </c>
      <c r="BJ4" s="94"/>
      <c r="BK4" s="94"/>
      <c r="BL4" s="94"/>
      <c r="BM4" s="95">
        <f>80665+325817+136502</f>
        <v>542984</v>
      </c>
      <c r="BN4" s="79">
        <f>SUM(BJ4:BM4)</f>
        <v>542984</v>
      </c>
      <c r="BO4" s="94"/>
      <c r="BP4" s="94"/>
      <c r="BQ4" s="94"/>
      <c r="BR4" s="95">
        <f>0+342488+205024+214530</f>
        <v>762042</v>
      </c>
      <c r="BS4" s="79">
        <f>SUM(BO4:BR4)</f>
        <v>762042</v>
      </c>
      <c r="BT4" s="94"/>
      <c r="BU4" s="94"/>
      <c r="BV4" s="94"/>
      <c r="BW4" s="95">
        <f>0+728801+49500+128228</f>
        <v>906529</v>
      </c>
      <c r="BX4" s="79">
        <f>SUM(BT4:BW4)</f>
        <v>906529</v>
      </c>
      <c r="BY4" s="94"/>
      <c r="BZ4" s="94"/>
      <c r="CA4" s="94">
        <v>388704</v>
      </c>
      <c r="CB4" s="95">
        <f>1140000-SUM(BY4:CA4)</f>
        <v>751296</v>
      </c>
      <c r="CC4" s="79">
        <f>SUM(BY4:CB4)</f>
        <v>1140000</v>
      </c>
      <c r="CD4" s="94">
        <v>157588</v>
      </c>
      <c r="CE4" s="94">
        <v>311528</v>
      </c>
      <c r="CF4" s="94">
        <v>396910</v>
      </c>
      <c r="CG4" s="94">
        <v>674800</v>
      </c>
      <c r="CH4" s="79">
        <f>SUM(CD4:CG4)</f>
        <v>1540826</v>
      </c>
      <c r="CI4" s="94">
        <v>590495</v>
      </c>
      <c r="CJ4" s="94">
        <v>686189</v>
      </c>
      <c r="CK4" s="95">
        <v>720224</v>
      </c>
      <c r="CL4" s="94">
        <v>788101</v>
      </c>
      <c r="CM4" s="79">
        <f>SUM(CI4:CL4)</f>
        <v>2785009</v>
      </c>
      <c r="CN4" s="94">
        <v>781150</v>
      </c>
      <c r="CO4" s="94">
        <v>1056318</v>
      </c>
      <c r="CP4" s="95">
        <v>919146</v>
      </c>
      <c r="CQ4" s="95">
        <v>556159.09317999997</v>
      </c>
      <c r="CR4" s="79">
        <f>SUM(CN4:CQ4)</f>
        <v>3312773.0931799999</v>
      </c>
      <c r="CS4" s="94">
        <v>1419980.923</v>
      </c>
      <c r="CT4" s="94">
        <v>1222565.1810000001</v>
      </c>
      <c r="CU4" s="95">
        <v>941717.10800000001</v>
      </c>
      <c r="CV4" s="95">
        <v>856606.65300000005</v>
      </c>
      <c r="CW4" s="79">
        <f>SUM(CS4:CV4)</f>
        <v>4440869.8650000002</v>
      </c>
      <c r="CX4" s="94">
        <v>1884338.01</v>
      </c>
      <c r="CY4" s="94">
        <v>1734686.9450000001</v>
      </c>
      <c r="CZ4" s="95">
        <v>1560697</v>
      </c>
      <c r="DA4" s="95">
        <v>1399837</v>
      </c>
      <c r="DB4" s="79">
        <f>SUM(CX4:DA4)</f>
        <v>6579558.9550000001</v>
      </c>
      <c r="DC4" s="94">
        <v>2783509</v>
      </c>
      <c r="DD4" s="94">
        <v>2225285.611</v>
      </c>
      <c r="DE4" s="95">
        <v>1986377.642</v>
      </c>
      <c r="DF4" s="95">
        <v>1289513.8230000001</v>
      </c>
      <c r="DG4" s="79">
        <f>SUM(DC4:DF4)</f>
        <v>8284686.0759999994</v>
      </c>
      <c r="DH4" s="94">
        <v>2646758.1394199999</v>
      </c>
      <c r="DI4" s="94">
        <v>2256889.2392800003</v>
      </c>
      <c r="DJ4" s="94">
        <f>DI4*(1+Macro!DJ15)</f>
        <v>2281861.6972702644</v>
      </c>
      <c r="DK4" s="94">
        <f>DJ4*(1+Macro!DK15)*0.85</f>
        <v>1961043.9039802914</v>
      </c>
      <c r="DL4" s="79">
        <f>SUM(DH4:DK4)</f>
        <v>9146552.9799505547</v>
      </c>
      <c r="DM4" s="94">
        <f>DL4/4*1.02*(1+Macro!DM15)</f>
        <v>2358178.6729522855</v>
      </c>
      <c r="DN4" s="94">
        <f>DM4*(1+Macro!DN15)</f>
        <v>2384271.8975637974</v>
      </c>
      <c r="DO4" s="94">
        <f>DN4*(1+Macro!DO15)</f>
        <v>2410653.8434577282</v>
      </c>
      <c r="DP4" s="94">
        <f>DO4*(1+Macro!DP15)</f>
        <v>2437327.7053323239</v>
      </c>
      <c r="DQ4" s="79">
        <f>SUM(DM4:DP4)</f>
        <v>9590432.1193061359</v>
      </c>
      <c r="DR4" s="94">
        <f>DP4*(1+Macro!DR15)</f>
        <v>2464296.713235138</v>
      </c>
      <c r="DS4" s="94">
        <f>DR4*(1+Macro!DS15)</f>
        <v>2491564.1329541681</v>
      </c>
      <c r="DT4" s="94">
        <f>DS4*(1+Macro!DT15)</f>
        <v>2519133.2664133254</v>
      </c>
      <c r="DU4" s="94">
        <f>DT4*(1+Macro!DU15)</f>
        <v>2547007.4520722781</v>
      </c>
      <c r="DV4" s="79">
        <f>SUM(DR4:DU4)</f>
        <v>10022001.56467491</v>
      </c>
      <c r="DW4" s="94">
        <f>DU4*(1+Macro!DW15)</f>
        <v>2575190.0653307186</v>
      </c>
      <c r="DX4" s="94">
        <f>DW4*(1+Macro!DX15)</f>
        <v>2603684.5189371048</v>
      </c>
      <c r="DY4" s="94">
        <f>DX4*(1+Macro!DY15)</f>
        <v>2632494.2634019242</v>
      </c>
      <c r="DZ4" s="94">
        <f>DY4*(1+Macro!DZ15)</f>
        <v>2661622.7874155296</v>
      </c>
      <c r="EA4" s="79">
        <f>SUM(DW4:DZ4)</f>
        <v>10472991.635085277</v>
      </c>
      <c r="EB4" s="94">
        <f>DZ4*(1+Macro!EB15)</f>
        <v>2691073.6182706002</v>
      </c>
      <c r="EC4" s="94">
        <f>EB4*(1+Macro!EC15)</f>
        <v>2720850.3222892741</v>
      </c>
      <c r="ED4" s="94">
        <f>EC4*(1+Macro!ED15)</f>
        <v>2750956.5052550104</v>
      </c>
      <c r="EE4" s="94">
        <f>ED4*(1+Macro!EE15)</f>
        <v>2781395.8128492283</v>
      </c>
      <c r="EF4" s="79">
        <f>SUM(EB4:EE4)</f>
        <v>10944276.258664113</v>
      </c>
    </row>
    <row r="5" spans="1:138" ht="12.75" customHeight="1">
      <c r="A5" s="1" t="s">
        <v>224</v>
      </c>
      <c r="B5" s="94"/>
      <c r="C5" s="95"/>
      <c r="D5" s="95"/>
      <c r="E5" s="94"/>
      <c r="F5" s="43">
        <f>SUM(B5:E5)</f>
        <v>0</v>
      </c>
      <c r="G5" s="94"/>
      <c r="H5" s="95"/>
      <c r="I5" s="95"/>
      <c r="J5" s="94"/>
      <c r="K5" s="43">
        <f>SUM(G5:J5)</f>
        <v>0</v>
      </c>
      <c r="L5" s="94"/>
      <c r="M5" s="95"/>
      <c r="N5" s="95"/>
      <c r="O5" s="94"/>
      <c r="P5" s="43">
        <f>SUM(L5:O5)</f>
        <v>0</v>
      </c>
      <c r="Q5" s="94"/>
      <c r="R5" s="95"/>
      <c r="S5" s="95"/>
      <c r="T5" s="94"/>
      <c r="U5" s="43">
        <f>SUM(Q5:T5)</f>
        <v>0</v>
      </c>
      <c r="V5" s="94"/>
      <c r="W5" s="95"/>
      <c r="X5" s="95"/>
      <c r="Y5" s="94"/>
      <c r="Z5" s="43">
        <f>SUM(V5:Y5)</f>
        <v>0</v>
      </c>
      <c r="AA5" s="94"/>
      <c r="AB5" s="95"/>
      <c r="AC5" s="95"/>
      <c r="AD5" s="94"/>
      <c r="AE5" s="43">
        <f>SUM(AA5:AD5)</f>
        <v>0</v>
      </c>
      <c r="AF5" s="414"/>
      <c r="AG5" s="414"/>
      <c r="AH5" s="414"/>
      <c r="AI5" s="414"/>
      <c r="AJ5" s="79">
        <f>SUM(AF5:AI5)</f>
        <v>0</v>
      </c>
      <c r="AK5" s="414"/>
      <c r="AL5" s="414"/>
      <c r="AM5" s="414"/>
      <c r="AN5" s="414"/>
      <c r="AO5" s="79">
        <f>SUM(AK5:AN5)</f>
        <v>0</v>
      </c>
      <c r="AP5" s="414"/>
      <c r="AQ5" s="414"/>
      <c r="AR5" s="414"/>
      <c r="AS5" s="414"/>
      <c r="AT5" s="79">
        <f>SUM(AP5:AS5)</f>
        <v>0</v>
      </c>
      <c r="AU5" s="414"/>
      <c r="AV5" s="414"/>
      <c r="AW5" s="414"/>
      <c r="AX5" s="414"/>
      <c r="AY5" s="79">
        <f>SUM(AU5:AX5)</f>
        <v>0</v>
      </c>
      <c r="AZ5" s="414"/>
      <c r="BA5" s="414"/>
      <c r="BB5" s="414"/>
      <c r="BC5" s="414"/>
      <c r="BD5" s="79">
        <f>SUM(AZ5:BC5)</f>
        <v>0</v>
      </c>
      <c r="BE5" s="95"/>
      <c r="BF5" s="95"/>
      <c r="BG5" s="95"/>
      <c r="BH5" s="414">
        <f>BH4*80%</f>
        <v>409189.60000000003</v>
      </c>
      <c r="BI5" s="79">
        <f>SUM(BE5:BH5)</f>
        <v>409189.60000000003</v>
      </c>
      <c r="BJ5" s="95"/>
      <c r="BK5" s="95"/>
      <c r="BL5" s="95"/>
      <c r="BM5" s="414">
        <f>BM4*80%</f>
        <v>434387.20000000001</v>
      </c>
      <c r="BN5" s="79">
        <f>SUM(BJ5:BM5)</f>
        <v>434387.20000000001</v>
      </c>
      <c r="BO5" s="95"/>
      <c r="BP5" s="95"/>
      <c r="BQ5" s="95"/>
      <c r="BR5" s="414">
        <f>BR4*80%</f>
        <v>609633.6</v>
      </c>
      <c r="BS5" s="79">
        <f>SUM(BO5:BR5)</f>
        <v>609633.6</v>
      </c>
      <c r="BT5" s="95"/>
      <c r="BU5" s="95"/>
      <c r="BV5" s="95"/>
      <c r="BW5" s="414">
        <f>BW4*80%</f>
        <v>725223.20000000007</v>
      </c>
      <c r="BX5" s="79">
        <f>SUM(BT5:BW5)</f>
        <v>725223.20000000007</v>
      </c>
      <c r="BY5" s="95"/>
      <c r="BZ5" s="95"/>
      <c r="CA5" s="95">
        <v>343138</v>
      </c>
      <c r="CB5" s="414">
        <f>CB4*80%</f>
        <v>601036.80000000005</v>
      </c>
      <c r="CC5" s="79">
        <f>SUM(BY5:CB5)</f>
        <v>944174.8</v>
      </c>
      <c r="CD5" s="95">
        <v>72471</v>
      </c>
      <c r="CE5" s="95">
        <v>311528</v>
      </c>
      <c r="CF5" s="95">
        <v>367289</v>
      </c>
      <c r="CG5" s="95">
        <v>625443</v>
      </c>
      <c r="CH5" s="79">
        <f>SUM(CD5:CG5)</f>
        <v>1376731</v>
      </c>
      <c r="CI5" s="95">
        <v>472469</v>
      </c>
      <c r="CJ5" s="95">
        <v>650172</v>
      </c>
      <c r="CK5" s="95">
        <v>633173</v>
      </c>
      <c r="CL5" s="95">
        <v>719679</v>
      </c>
      <c r="CM5" s="79">
        <f>SUM(CI5:CL5)</f>
        <v>2475493</v>
      </c>
      <c r="CN5" s="94">
        <v>781150</v>
      </c>
      <c r="CO5" s="95">
        <v>1056318</v>
      </c>
      <c r="CP5" s="95">
        <v>876846</v>
      </c>
      <c r="CQ5" s="95">
        <v>556159.09317999997</v>
      </c>
      <c r="CR5" s="79">
        <f>SUM(CN5:CQ5)</f>
        <v>3270473.0931799999</v>
      </c>
      <c r="CS5" s="94">
        <v>1419980.923</v>
      </c>
      <c r="CT5" s="95">
        <v>1137966.2764999999</v>
      </c>
      <c r="CU5" s="95">
        <v>805577.10609999998</v>
      </c>
      <c r="CV5" s="95">
        <v>856606.65300000005</v>
      </c>
      <c r="CW5" s="79">
        <f>SUM(CS5:CV5)</f>
        <v>4220130.9586000005</v>
      </c>
      <c r="CX5" s="94">
        <v>1499854.8459999999</v>
      </c>
      <c r="CY5" s="94">
        <v>1676918.567</v>
      </c>
      <c r="CZ5" s="95">
        <v>1503046</v>
      </c>
      <c r="DA5" s="95">
        <v>1060952</v>
      </c>
      <c r="DB5" s="79">
        <f>SUM(CX5:DA5)</f>
        <v>5740771.4129999997</v>
      </c>
      <c r="DC5" s="94">
        <v>2666305</v>
      </c>
      <c r="DD5" s="94">
        <v>1960487.6510000001</v>
      </c>
      <c r="DE5" s="95">
        <v>1733913.905</v>
      </c>
      <c r="DF5" s="95">
        <v>1179132.223</v>
      </c>
      <c r="DG5" s="79">
        <f>SUM(DC5:DF5)</f>
        <v>7539838.779000001</v>
      </c>
      <c r="DH5" s="94">
        <v>2268903.8628519997</v>
      </c>
      <c r="DI5" s="94">
        <v>1943927.85928</v>
      </c>
      <c r="DJ5" s="16">
        <f>DJ4*DJ6</f>
        <v>2099312.7614886435</v>
      </c>
      <c r="DK5" s="16">
        <f>DK4*DK6</f>
        <v>1804160.3916618682</v>
      </c>
      <c r="DL5" s="79">
        <f>SUM(DH5:DK5)</f>
        <v>8116304.8752825111</v>
      </c>
      <c r="DM5" s="16">
        <f>DM4*DM6</f>
        <v>2145942.5923865801</v>
      </c>
      <c r="DN5" s="16">
        <f>DN4*DN6</f>
        <v>2169687.4267830555</v>
      </c>
      <c r="DO5" s="16">
        <f>DO4*DO6</f>
        <v>2193694.9975465327</v>
      </c>
      <c r="DP5" s="16">
        <f>DP4*DP6</f>
        <v>2217968.211852415</v>
      </c>
      <c r="DQ5" s="79">
        <f>SUM(DM5:DP5)</f>
        <v>8727293.2285685837</v>
      </c>
      <c r="DR5" s="16">
        <f>DR4*DR6</f>
        <v>2267152.9761763271</v>
      </c>
      <c r="DS5" s="16">
        <f>DS4*DS6</f>
        <v>2292239.0023178346</v>
      </c>
      <c r="DT5" s="16">
        <f>DT4*DT6</f>
        <v>2317602.6051002597</v>
      </c>
      <c r="DU5" s="16">
        <f>DU4*DU6</f>
        <v>2343246.8559064958</v>
      </c>
      <c r="DV5" s="79">
        <f>SUM(DR5:DU5)</f>
        <v>9220241.4395009167</v>
      </c>
      <c r="DW5" s="16">
        <f>DW4*DW6</f>
        <v>2369174.860104261</v>
      </c>
      <c r="DX5" s="16">
        <f>DX4*DX6</f>
        <v>2395389.7574221361</v>
      </c>
      <c r="DY5" s="16">
        <f>DY4*DY6</f>
        <v>2421894.7223297702</v>
      </c>
      <c r="DZ5" s="16">
        <f>DZ4*DZ6</f>
        <v>2448692.964422287</v>
      </c>
      <c r="EA5" s="79">
        <f>SUM(DW5:DZ5)</f>
        <v>9635152.3042784538</v>
      </c>
      <c r="EB5" s="16">
        <f>EB4*EB6</f>
        <v>2475787.728808952</v>
      </c>
      <c r="EC5" s="16">
        <f>EC4*EC6</f>
        <v>2503182.296506132</v>
      </c>
      <c r="ED5" s="16">
        <f>ED4*ED6</f>
        <v>2530879.9848346096</v>
      </c>
      <c r="EE5" s="16">
        <f>EE4*EE6</f>
        <v>2558884.14782129</v>
      </c>
      <c r="EF5" s="79">
        <f>SUM(EB5:EE5)</f>
        <v>10068734.157970984</v>
      </c>
    </row>
    <row r="6" spans="1:138" ht="12.75" customHeight="1" outlineLevel="1">
      <c r="A6" s="1" t="s">
        <v>125</v>
      </c>
      <c r="B6" s="60">
        <f>IF(B4&lt;&gt;0,B5/B4,0)</f>
        <v>0</v>
      </c>
      <c r="C6" s="60">
        <f>IF(C4&lt;&gt;0,C5/C4,0)</f>
        <v>0</v>
      </c>
      <c r="D6" s="60">
        <f>IF(D4&lt;&gt;0,D5/D4,0)</f>
        <v>0</v>
      </c>
      <c r="E6" s="60">
        <f>IF(E4&lt;&gt;0,E5/E4,0)</f>
        <v>0</v>
      </c>
      <c r="F6" s="48">
        <f>IF(F4&lt;&gt;0,F5/F4,0)</f>
        <v>0</v>
      </c>
      <c r="G6" s="60">
        <f t="shared" ref="G6:AE6" si="0">IF(G4&lt;&gt;0,G5/G4,0)</f>
        <v>0</v>
      </c>
      <c r="H6" s="60">
        <f t="shared" si="0"/>
        <v>0</v>
      </c>
      <c r="I6" s="60">
        <f t="shared" si="0"/>
        <v>0</v>
      </c>
      <c r="J6" s="60">
        <f t="shared" si="0"/>
        <v>0</v>
      </c>
      <c r="K6" s="48">
        <f t="shared" si="0"/>
        <v>0</v>
      </c>
      <c r="L6" s="60">
        <f t="shared" si="0"/>
        <v>0</v>
      </c>
      <c r="M6" s="60">
        <f t="shared" si="0"/>
        <v>0</v>
      </c>
      <c r="N6" s="60">
        <f t="shared" si="0"/>
        <v>0</v>
      </c>
      <c r="O6" s="60">
        <f t="shared" si="0"/>
        <v>0</v>
      </c>
      <c r="P6" s="48">
        <f t="shared" si="0"/>
        <v>0</v>
      </c>
      <c r="Q6" s="60">
        <f t="shared" si="0"/>
        <v>0</v>
      </c>
      <c r="R6" s="60">
        <f t="shared" si="0"/>
        <v>0</v>
      </c>
      <c r="S6" s="60">
        <f t="shared" si="0"/>
        <v>0</v>
      </c>
      <c r="T6" s="60">
        <f t="shared" si="0"/>
        <v>0</v>
      </c>
      <c r="U6" s="48">
        <f t="shared" si="0"/>
        <v>0</v>
      </c>
      <c r="V6" s="60">
        <f t="shared" si="0"/>
        <v>0</v>
      </c>
      <c r="W6" s="60">
        <f t="shared" si="0"/>
        <v>0</v>
      </c>
      <c r="X6" s="60">
        <f t="shared" si="0"/>
        <v>0</v>
      </c>
      <c r="Y6" s="60">
        <f t="shared" si="0"/>
        <v>0</v>
      </c>
      <c r="Z6" s="48">
        <f t="shared" si="0"/>
        <v>0</v>
      </c>
      <c r="AA6" s="60">
        <f t="shared" si="0"/>
        <v>0</v>
      </c>
      <c r="AB6" s="60">
        <f t="shared" si="0"/>
        <v>0</v>
      </c>
      <c r="AC6" s="60">
        <f t="shared" si="0"/>
        <v>0</v>
      </c>
      <c r="AD6" s="60">
        <f t="shared" si="0"/>
        <v>0</v>
      </c>
      <c r="AE6" s="48">
        <f t="shared" si="0"/>
        <v>0</v>
      </c>
      <c r="AF6" s="60" t="e">
        <f t="shared" ref="AF6:AN6" si="1">AF5/AF4</f>
        <v>#DIV/0!</v>
      </c>
      <c r="AG6" s="60" t="e">
        <f t="shared" si="1"/>
        <v>#DIV/0!</v>
      </c>
      <c r="AH6" s="60" t="e">
        <f t="shared" si="1"/>
        <v>#DIV/0!</v>
      </c>
      <c r="AI6" s="60" t="e">
        <f t="shared" si="1"/>
        <v>#DIV/0!</v>
      </c>
      <c r="AJ6" s="48" t="e">
        <f t="shared" si="1"/>
        <v>#DIV/0!</v>
      </c>
      <c r="AK6" s="60" t="e">
        <f t="shared" si="1"/>
        <v>#DIV/0!</v>
      </c>
      <c r="AL6" s="60" t="e">
        <f t="shared" si="1"/>
        <v>#DIV/0!</v>
      </c>
      <c r="AM6" s="60" t="e">
        <f t="shared" si="1"/>
        <v>#DIV/0!</v>
      </c>
      <c r="AN6" s="60" t="e">
        <f t="shared" si="1"/>
        <v>#DIV/0!</v>
      </c>
      <c r="AO6" s="48" t="e">
        <f t="shared" ref="AO6:BD6" si="2">AO5/AO4</f>
        <v>#DIV/0!</v>
      </c>
      <c r="AP6" s="60" t="e">
        <f t="shared" si="2"/>
        <v>#DIV/0!</v>
      </c>
      <c r="AQ6" s="60" t="e">
        <f t="shared" si="2"/>
        <v>#DIV/0!</v>
      </c>
      <c r="AR6" s="60" t="e">
        <f t="shared" si="2"/>
        <v>#DIV/0!</v>
      </c>
      <c r="AS6" s="60" t="e">
        <f t="shared" si="2"/>
        <v>#DIV/0!</v>
      </c>
      <c r="AT6" s="48" t="e">
        <f t="shared" si="2"/>
        <v>#DIV/0!</v>
      </c>
      <c r="AU6" s="60" t="e">
        <f t="shared" si="2"/>
        <v>#DIV/0!</v>
      </c>
      <c r="AV6" s="60" t="e">
        <f t="shared" si="2"/>
        <v>#DIV/0!</v>
      </c>
      <c r="AW6" s="60" t="e">
        <f t="shared" si="2"/>
        <v>#DIV/0!</v>
      </c>
      <c r="AX6" s="60" t="e">
        <f t="shared" si="2"/>
        <v>#DIV/0!</v>
      </c>
      <c r="AY6" s="48" t="e">
        <f t="shared" si="2"/>
        <v>#DIV/0!</v>
      </c>
      <c r="AZ6" s="60" t="e">
        <f t="shared" si="2"/>
        <v>#DIV/0!</v>
      </c>
      <c r="BA6" s="60" t="e">
        <f t="shared" si="2"/>
        <v>#DIV/0!</v>
      </c>
      <c r="BB6" s="60" t="e">
        <f t="shared" si="2"/>
        <v>#DIV/0!</v>
      </c>
      <c r="BC6" s="60" t="e">
        <f t="shared" si="2"/>
        <v>#DIV/0!</v>
      </c>
      <c r="BD6" s="48" t="e">
        <f t="shared" si="2"/>
        <v>#DIV/0!</v>
      </c>
      <c r="BE6" s="60" t="e">
        <f>BD6</f>
        <v>#DIV/0!</v>
      </c>
      <c r="BF6" s="60" t="e">
        <f>BE6</f>
        <v>#DIV/0!</v>
      </c>
      <c r="BG6" s="60" t="e">
        <f>BF6</f>
        <v>#DIV/0!</v>
      </c>
      <c r="BH6" s="60">
        <f>BH5/BH4</f>
        <v>0.8</v>
      </c>
      <c r="BI6" s="48">
        <f>BI5/BI4</f>
        <v>0.8</v>
      </c>
      <c r="BJ6" s="60">
        <f>BI6</f>
        <v>0.8</v>
      </c>
      <c r="BK6" s="60">
        <f>BJ6</f>
        <v>0.8</v>
      </c>
      <c r="BL6" s="60">
        <f>BK6</f>
        <v>0.8</v>
      </c>
      <c r="BM6" s="60">
        <f>BM5/BM4</f>
        <v>0.8</v>
      </c>
      <c r="BN6" s="48">
        <f>BN5/BN4</f>
        <v>0.8</v>
      </c>
      <c r="BO6" s="60">
        <f>BN6</f>
        <v>0.8</v>
      </c>
      <c r="BP6" s="60">
        <f>BO6</f>
        <v>0.8</v>
      </c>
      <c r="BQ6" s="60">
        <f>BP6</f>
        <v>0.8</v>
      </c>
      <c r="BR6" s="60">
        <f>BR5/BR4</f>
        <v>0.79999999999999993</v>
      </c>
      <c r="BS6" s="48">
        <f>BS5/BS4</f>
        <v>0.79999999999999993</v>
      </c>
      <c r="BT6" s="60">
        <f>BS6</f>
        <v>0.79999999999999993</v>
      </c>
      <c r="BU6" s="60">
        <f>BT6</f>
        <v>0.79999999999999993</v>
      </c>
      <c r="BV6" s="60">
        <f>BU6</f>
        <v>0.79999999999999993</v>
      </c>
      <c r="BW6" s="60">
        <f>BW5/BW4</f>
        <v>0.8</v>
      </c>
      <c r="BX6" s="48">
        <f>BX5/BX4</f>
        <v>0.8</v>
      </c>
      <c r="BY6" s="60">
        <f>BX6</f>
        <v>0.8</v>
      </c>
      <c r="BZ6" s="60">
        <f>BY6</f>
        <v>0.8</v>
      </c>
      <c r="CA6" s="60">
        <f>BZ6</f>
        <v>0.8</v>
      </c>
      <c r="CB6" s="60">
        <f t="shared" ref="CB6:DD6" si="3">CB5/CB4</f>
        <v>0.8</v>
      </c>
      <c r="CC6" s="48">
        <f t="shared" si="3"/>
        <v>0.82822350877192985</v>
      </c>
      <c r="CD6" s="60">
        <f t="shared" si="3"/>
        <v>0.45987638652689289</v>
      </c>
      <c r="CE6" s="60">
        <f t="shared" si="3"/>
        <v>1</v>
      </c>
      <c r="CF6" s="60">
        <f t="shared" si="3"/>
        <v>0.92537099090473907</v>
      </c>
      <c r="CG6" s="60">
        <f t="shared" si="3"/>
        <v>0.92685684647302902</v>
      </c>
      <c r="CH6" s="48">
        <f t="shared" si="3"/>
        <v>0.893501926888565</v>
      </c>
      <c r="CI6" s="60">
        <f t="shared" si="3"/>
        <v>0.80012362509420065</v>
      </c>
      <c r="CJ6" s="60">
        <f t="shared" si="3"/>
        <v>0.9475115456528741</v>
      </c>
      <c r="CK6" s="60">
        <f t="shared" si="3"/>
        <v>0.87913343626427332</v>
      </c>
      <c r="CL6" s="60">
        <f t="shared" si="3"/>
        <v>0.91318117855452541</v>
      </c>
      <c r="CM6" s="48">
        <f t="shared" si="3"/>
        <v>0.88886355483949964</v>
      </c>
      <c r="CN6" s="60">
        <f t="shared" si="3"/>
        <v>1</v>
      </c>
      <c r="CO6" s="60">
        <f t="shared" si="3"/>
        <v>1</v>
      </c>
      <c r="CP6" s="60">
        <f t="shared" si="3"/>
        <v>0.95397901965520171</v>
      </c>
      <c r="CQ6" s="60">
        <f t="shared" si="3"/>
        <v>1</v>
      </c>
      <c r="CR6" s="48">
        <f t="shared" si="3"/>
        <v>0.98723124137687457</v>
      </c>
      <c r="CS6" s="60">
        <f t="shared" si="3"/>
        <v>1</v>
      </c>
      <c r="CT6" s="60">
        <f t="shared" si="3"/>
        <v>0.93080213160430247</v>
      </c>
      <c r="CU6" s="60">
        <f t="shared" si="3"/>
        <v>0.85543429046422292</v>
      </c>
      <c r="CV6" s="60">
        <f t="shared" si="3"/>
        <v>1</v>
      </c>
      <c r="CW6" s="48">
        <f t="shared" si="3"/>
        <v>0.95029376831333923</v>
      </c>
      <c r="CX6" s="60">
        <f t="shared" si="3"/>
        <v>0.79595849472887292</v>
      </c>
      <c r="CY6" s="60">
        <f t="shared" si="3"/>
        <v>0.96669809606482049</v>
      </c>
      <c r="CZ6" s="60">
        <f t="shared" si="3"/>
        <v>0.9630607350433813</v>
      </c>
      <c r="DA6" s="60">
        <f t="shared" si="3"/>
        <v>0.75791109964945924</v>
      </c>
      <c r="DB6" s="48">
        <f t="shared" si="3"/>
        <v>0.87251614466307337</v>
      </c>
      <c r="DC6" s="60">
        <f t="shared" si="3"/>
        <v>0.95789343594721632</v>
      </c>
      <c r="DD6" s="60">
        <f t="shared" si="3"/>
        <v>0.88100495563757997</v>
      </c>
      <c r="DE6" s="60">
        <f t="shared" ref="DE6:DF6" si="4">DE5/DE4</f>
        <v>0.87290244731822253</v>
      </c>
      <c r="DF6" s="60">
        <f t="shared" si="4"/>
        <v>0.91440060739852957</v>
      </c>
      <c r="DG6" s="48">
        <f>DG5/DG4</f>
        <v>0.91009347968443188</v>
      </c>
      <c r="DH6" s="60">
        <f t="shared" ref="DH6:DI6" si="5">DH5/DH4</f>
        <v>0.85723883458017747</v>
      </c>
      <c r="DI6" s="60">
        <f t="shared" si="5"/>
        <v>0.86133064283657879</v>
      </c>
      <c r="DJ6" s="96">
        <v>0.92</v>
      </c>
      <c r="DK6" s="96">
        <v>0.92</v>
      </c>
      <c r="DL6" s="48">
        <f>DL5/DL4</f>
        <v>0.88736214539768477</v>
      </c>
      <c r="DM6" s="96">
        <v>0.91</v>
      </c>
      <c r="DN6" s="96">
        <f>DM6</f>
        <v>0.91</v>
      </c>
      <c r="DO6" s="96">
        <f>DN6</f>
        <v>0.91</v>
      </c>
      <c r="DP6" s="96">
        <f>DO6</f>
        <v>0.91</v>
      </c>
      <c r="DQ6" s="48">
        <f>DQ5/DQ4</f>
        <v>0.91</v>
      </c>
      <c r="DR6" s="96">
        <v>0.92</v>
      </c>
      <c r="DS6" s="96">
        <f>DR6</f>
        <v>0.92</v>
      </c>
      <c r="DT6" s="96">
        <f>DS6</f>
        <v>0.92</v>
      </c>
      <c r="DU6" s="96">
        <f>DT6</f>
        <v>0.92</v>
      </c>
      <c r="DV6" s="48">
        <f>DV5/DV4</f>
        <v>0.91999999999999993</v>
      </c>
      <c r="DW6" s="96">
        <f>DV6</f>
        <v>0.91999999999999993</v>
      </c>
      <c r="DX6" s="96">
        <f>DW6</f>
        <v>0.91999999999999993</v>
      </c>
      <c r="DY6" s="96">
        <f>DX6</f>
        <v>0.91999999999999993</v>
      </c>
      <c r="DZ6" s="96">
        <f>DY6</f>
        <v>0.91999999999999993</v>
      </c>
      <c r="EA6" s="48">
        <f>EA5/EA4</f>
        <v>0.91999999999999993</v>
      </c>
      <c r="EB6" s="96">
        <f>EA6</f>
        <v>0.91999999999999993</v>
      </c>
      <c r="EC6" s="96">
        <f>EB6</f>
        <v>0.91999999999999993</v>
      </c>
      <c r="ED6" s="96">
        <f>EC6</f>
        <v>0.91999999999999993</v>
      </c>
      <c r="EE6" s="96">
        <f>ED6</f>
        <v>0.91999999999999993</v>
      </c>
      <c r="EF6" s="48">
        <f>EF5/EF4</f>
        <v>0.92</v>
      </c>
    </row>
    <row r="7" spans="1:138" ht="12.75" customHeight="1">
      <c r="A7" s="1" t="s">
        <v>225</v>
      </c>
      <c r="B7" s="94"/>
      <c r="C7" s="95"/>
      <c r="D7" s="95"/>
      <c r="E7" s="94"/>
      <c r="F7" s="43">
        <v>0</v>
      </c>
      <c r="G7" s="94"/>
      <c r="H7" s="95"/>
      <c r="I7" s="95"/>
      <c r="J7" s="94"/>
      <c r="K7" s="43">
        <v>0</v>
      </c>
      <c r="L7" s="94"/>
      <c r="M7" s="95"/>
      <c r="N7" s="95"/>
      <c r="O7" s="94"/>
      <c r="P7" s="43">
        <v>0</v>
      </c>
      <c r="Q7" s="94"/>
      <c r="R7" s="95"/>
      <c r="S7" s="95"/>
      <c r="T7" s="94"/>
      <c r="U7" s="43">
        <v>0</v>
      </c>
      <c r="V7" s="94"/>
      <c r="W7" s="95"/>
      <c r="X7" s="95"/>
      <c r="Y7" s="94"/>
      <c r="Z7" s="43">
        <v>0</v>
      </c>
      <c r="AA7" s="94"/>
      <c r="AB7" s="95"/>
      <c r="AC7" s="95"/>
      <c r="AD7" s="94"/>
      <c r="AE7" s="43">
        <v>0</v>
      </c>
      <c r="AF7" s="224"/>
      <c r="AG7" s="224"/>
      <c r="AH7" s="224"/>
      <c r="AI7" s="224"/>
      <c r="AJ7" s="43">
        <f>SUM(AF7:AI7)</f>
        <v>0</v>
      </c>
      <c r="AK7" s="224"/>
      <c r="AL7" s="224"/>
      <c r="AM7" s="224"/>
      <c r="AN7" s="224"/>
      <c r="AO7" s="43">
        <f>SUM(AK7:AN7)</f>
        <v>0</v>
      </c>
      <c r="AP7" s="224"/>
      <c r="AQ7" s="224"/>
      <c r="AR7" s="224"/>
      <c r="AS7" s="224"/>
      <c r="AT7" s="43">
        <f>SUM(AP7:AS7)</f>
        <v>0</v>
      </c>
      <c r="AU7" s="224"/>
      <c r="AV7" s="224"/>
      <c r="AW7" s="224"/>
      <c r="AX7" s="224"/>
      <c r="AY7" s="43">
        <f>SUM(AU7:AX7)</f>
        <v>0</v>
      </c>
      <c r="AZ7" s="224"/>
      <c r="BA7" s="224"/>
      <c r="BB7" s="224"/>
      <c r="BC7" s="224"/>
      <c r="BD7" s="43">
        <f>SUM(AZ7:BC7)</f>
        <v>0</v>
      </c>
      <c r="BE7" s="94"/>
      <c r="BF7" s="94"/>
      <c r="BG7" s="94"/>
      <c r="BH7" s="94">
        <v>2797</v>
      </c>
      <c r="BI7" s="43">
        <f>SUM(BE7:BH7)</f>
        <v>2797</v>
      </c>
      <c r="BJ7" s="94"/>
      <c r="BK7" s="94"/>
      <c r="BL7" s="94"/>
      <c r="BM7" s="94">
        <v>3089</v>
      </c>
      <c r="BN7" s="43">
        <f>SUM(BJ7:BM7)</f>
        <v>3089</v>
      </c>
      <c r="BO7" s="94"/>
      <c r="BP7" s="94"/>
      <c r="BQ7" s="94"/>
      <c r="BR7" s="94">
        <v>4222</v>
      </c>
      <c r="BS7" s="43">
        <f>SUM(BO7:BR7)</f>
        <v>4222</v>
      </c>
      <c r="BT7" s="94"/>
      <c r="BU7" s="94"/>
      <c r="BV7" s="94"/>
      <c r="BW7" s="94">
        <v>4578</v>
      </c>
      <c r="BX7" s="43">
        <f>SUM(BT7:BW7)</f>
        <v>4578</v>
      </c>
      <c r="BY7" s="94"/>
      <c r="BZ7" s="94"/>
      <c r="CA7" s="94">
        <v>2055</v>
      </c>
      <c r="CB7" s="94">
        <f>6084-SUM(BY7:CA7)</f>
        <v>4029</v>
      </c>
      <c r="CC7" s="43">
        <f>SUM(BY7:CB7)</f>
        <v>6084</v>
      </c>
      <c r="CD7" s="94">
        <v>903</v>
      </c>
      <c r="CE7" s="94">
        <v>1830</v>
      </c>
      <c r="CF7" s="94">
        <v>2061</v>
      </c>
      <c r="CG7" s="94">
        <v>3439</v>
      </c>
      <c r="CH7" s="43">
        <f>SUM(CD7:CG7)</f>
        <v>8233</v>
      </c>
      <c r="CI7" s="94">
        <v>2957</v>
      </c>
      <c r="CJ7" s="94">
        <v>3244</v>
      </c>
      <c r="CK7" s="94">
        <v>3163</v>
      </c>
      <c r="CL7" s="94">
        <v>3275</v>
      </c>
      <c r="CM7" s="43">
        <f>SUM(CI7:CL7)</f>
        <v>12639</v>
      </c>
      <c r="CN7" s="94">
        <v>3240</v>
      </c>
      <c r="CO7" s="94">
        <v>3548</v>
      </c>
      <c r="CP7" s="94">
        <v>3650</v>
      </c>
      <c r="CQ7" s="94">
        <v>2147</v>
      </c>
      <c r="CR7" s="43">
        <f>SUM(CN7:CQ7)</f>
        <v>12585</v>
      </c>
      <c r="CS7" s="94">
        <v>5095</v>
      </c>
      <c r="CT7" s="94">
        <v>3799</v>
      </c>
      <c r="CU7" s="94">
        <v>3658</v>
      </c>
      <c r="CV7" s="94">
        <v>3123</v>
      </c>
      <c r="CW7" s="43">
        <f>SUM(CS7:CV7)</f>
        <v>15675</v>
      </c>
      <c r="CX7" s="94">
        <v>5959</v>
      </c>
      <c r="CY7" s="94">
        <v>5588</v>
      </c>
      <c r="CZ7" s="94">
        <v>5157</v>
      </c>
      <c r="DA7" s="94">
        <v>4061</v>
      </c>
      <c r="DB7" s="43">
        <f>SUM(CX7:DA7)</f>
        <v>20765</v>
      </c>
      <c r="DC7" s="94">
        <v>9132</v>
      </c>
      <c r="DD7" s="94">
        <v>6588</v>
      </c>
      <c r="DE7" s="94">
        <v>6813</v>
      </c>
      <c r="DF7" s="94">
        <v>3833</v>
      </c>
      <c r="DG7" s="43">
        <f>SUM(DC7:DF7)</f>
        <v>26366</v>
      </c>
      <c r="DH7" s="94">
        <v>8001</v>
      </c>
      <c r="DI7" s="94">
        <v>6549</v>
      </c>
      <c r="DJ7" s="16">
        <f>DJ4/DJ8*1000</f>
        <v>6549</v>
      </c>
      <c r="DK7" s="16">
        <f>DK4/DK8*1000</f>
        <v>5566.6500000000005</v>
      </c>
      <c r="DL7" s="43">
        <f>SUM(DH7:DK7)</f>
        <v>26665.65</v>
      </c>
      <c r="DM7" s="16">
        <f>DM4/DM8*1000</f>
        <v>6620.7049499694076</v>
      </c>
      <c r="DN7" s="16">
        <f>DN4/DN8*1000</f>
        <v>6620.7049499694076</v>
      </c>
      <c r="DO7" s="16">
        <f>DO4/DO8*1000</f>
        <v>6620.7049499694076</v>
      </c>
      <c r="DP7" s="16">
        <f>DP4/DP8*1000</f>
        <v>6620.7049499694076</v>
      </c>
      <c r="DQ7" s="43">
        <f>SUM(DM7:DP7)</f>
        <v>26482.81979987763</v>
      </c>
      <c r="DR7" s="16">
        <f>DR4/DR8*1000</f>
        <v>6620.7049499694085</v>
      </c>
      <c r="DS7" s="16">
        <f>DS4/DS8*1000</f>
        <v>6620.7049499694085</v>
      </c>
      <c r="DT7" s="16">
        <f>DT4/DT8*1000</f>
        <v>6620.7049499694085</v>
      </c>
      <c r="DU7" s="16">
        <f>DU4/DU8*1000</f>
        <v>6620.7049499694085</v>
      </c>
      <c r="DV7" s="43">
        <f>SUM(DR7:DU7)</f>
        <v>26482.819799877634</v>
      </c>
      <c r="DW7" s="16">
        <f>DW4/DW8*1000</f>
        <v>6620.7049499694085</v>
      </c>
      <c r="DX7" s="16">
        <f>DX4/DX8*1000</f>
        <v>6620.7049499694076</v>
      </c>
      <c r="DY7" s="16">
        <f>DY4/DY8*1000</f>
        <v>6620.7049499694076</v>
      </c>
      <c r="DZ7" s="16">
        <f>DZ4/DZ8*1000</f>
        <v>6620.7049499694067</v>
      </c>
      <c r="EA7" s="43">
        <f>SUM(DW7:DZ7)</f>
        <v>26482.81979987763</v>
      </c>
      <c r="EB7" s="16">
        <f>EB4/EB8*1000</f>
        <v>6620.7049499694076</v>
      </c>
      <c r="EC7" s="16">
        <f>EC4/EC8*1000</f>
        <v>6620.7049499694067</v>
      </c>
      <c r="ED7" s="16">
        <f>ED4/ED8*1000</f>
        <v>6620.7049499694067</v>
      </c>
      <c r="EE7" s="16">
        <f>EE4/EE8*1000</f>
        <v>6620.7049499694067</v>
      </c>
      <c r="EF7" s="43">
        <f>SUM(EB7:EE7)</f>
        <v>26482.81979987763</v>
      </c>
    </row>
    <row r="8" spans="1:138" s="92" customFormat="1" ht="12.75" customHeight="1">
      <c r="A8" s="92" t="s">
        <v>226</v>
      </c>
      <c r="B8" s="142"/>
      <c r="C8" s="142"/>
      <c r="D8" s="142"/>
      <c r="E8" s="142"/>
      <c r="F8" s="135" t="e">
        <f>F4*1000/F7</f>
        <v>#DIV/0!</v>
      </c>
      <c r="G8" s="142"/>
      <c r="H8" s="142"/>
      <c r="I8" s="142"/>
      <c r="J8" s="142"/>
      <c r="K8" s="135" t="e">
        <f>K4*1000/K7</f>
        <v>#DIV/0!</v>
      </c>
      <c r="L8" s="142"/>
      <c r="M8" s="142"/>
      <c r="N8" s="142"/>
      <c r="O8" s="142"/>
      <c r="P8" s="135" t="e">
        <f>P4*1000/P7</f>
        <v>#DIV/0!</v>
      </c>
      <c r="Q8" s="142"/>
      <c r="R8" s="142"/>
      <c r="S8" s="142"/>
      <c r="T8" s="142"/>
      <c r="U8" s="135" t="e">
        <f>U4*1000/U7</f>
        <v>#DIV/0!</v>
      </c>
      <c r="V8" s="142"/>
      <c r="W8" s="142"/>
      <c r="X8" s="142"/>
      <c r="Y8" s="142"/>
      <c r="Z8" s="135" t="e">
        <f>Z4*1000/Z7</f>
        <v>#DIV/0!</v>
      </c>
      <c r="AA8" s="142"/>
      <c r="AB8" s="142"/>
      <c r="AC8" s="142"/>
      <c r="AD8" s="142"/>
      <c r="AE8" s="135" t="e">
        <f>AE4*1000/AE7</f>
        <v>#DIV/0!</v>
      </c>
      <c r="AF8" s="142" t="e">
        <f t="shared" ref="AF8:AN8" si="6">AF5*1000/AF7</f>
        <v>#DIV/0!</v>
      </c>
      <c r="AG8" s="142" t="e">
        <f t="shared" si="6"/>
        <v>#DIV/0!</v>
      </c>
      <c r="AH8" s="142" t="e">
        <f t="shared" si="6"/>
        <v>#DIV/0!</v>
      </c>
      <c r="AI8" s="142" t="e">
        <f t="shared" si="6"/>
        <v>#DIV/0!</v>
      </c>
      <c r="AJ8" s="212" t="e">
        <f t="shared" si="6"/>
        <v>#DIV/0!</v>
      </c>
      <c r="AK8" s="142" t="e">
        <f t="shared" si="6"/>
        <v>#DIV/0!</v>
      </c>
      <c r="AL8" s="142" t="e">
        <f t="shared" si="6"/>
        <v>#DIV/0!</v>
      </c>
      <c r="AM8" s="142" t="e">
        <f t="shared" si="6"/>
        <v>#DIV/0!</v>
      </c>
      <c r="AN8" s="142" t="e">
        <f t="shared" si="6"/>
        <v>#DIV/0!</v>
      </c>
      <c r="AO8" s="212" t="e">
        <f t="shared" ref="AO8:BD8" si="7">AO5*1000/AO7</f>
        <v>#DIV/0!</v>
      </c>
      <c r="AP8" s="142" t="e">
        <f t="shared" si="7"/>
        <v>#DIV/0!</v>
      </c>
      <c r="AQ8" s="142" t="e">
        <f t="shared" si="7"/>
        <v>#DIV/0!</v>
      </c>
      <c r="AR8" s="142" t="e">
        <f t="shared" si="7"/>
        <v>#DIV/0!</v>
      </c>
      <c r="AS8" s="142" t="e">
        <f t="shared" si="7"/>
        <v>#DIV/0!</v>
      </c>
      <c r="AT8" s="212" t="e">
        <f t="shared" si="7"/>
        <v>#DIV/0!</v>
      </c>
      <c r="AU8" s="142" t="e">
        <f t="shared" si="7"/>
        <v>#DIV/0!</v>
      </c>
      <c r="AV8" s="142" t="e">
        <f t="shared" si="7"/>
        <v>#DIV/0!</v>
      </c>
      <c r="AW8" s="142" t="e">
        <f t="shared" si="7"/>
        <v>#DIV/0!</v>
      </c>
      <c r="AX8" s="142" t="e">
        <f t="shared" si="7"/>
        <v>#DIV/0!</v>
      </c>
      <c r="AY8" s="212" t="e">
        <f t="shared" si="7"/>
        <v>#DIV/0!</v>
      </c>
      <c r="AZ8" s="142" t="e">
        <f t="shared" si="7"/>
        <v>#DIV/0!</v>
      </c>
      <c r="BA8" s="142" t="e">
        <f t="shared" si="7"/>
        <v>#DIV/0!</v>
      </c>
      <c r="BB8" s="142" t="e">
        <f t="shared" si="7"/>
        <v>#DIV/0!</v>
      </c>
      <c r="BC8" s="142" t="e">
        <f t="shared" si="7"/>
        <v>#DIV/0!</v>
      </c>
      <c r="BD8" s="212" t="e">
        <f t="shared" si="7"/>
        <v>#DIV/0!</v>
      </c>
      <c r="BE8" s="142" t="e">
        <f>BE5*1000/BE7</f>
        <v>#DIV/0!</v>
      </c>
      <c r="BF8" s="142" t="e">
        <f>BF5*1000/BF7</f>
        <v>#DIV/0!</v>
      </c>
      <c r="BG8" s="142" t="e">
        <f>BG5*1000/BG7</f>
        <v>#DIV/0!</v>
      </c>
      <c r="BH8" s="142">
        <f>BH4*1000/BH7</f>
        <v>182869.86056489096</v>
      </c>
      <c r="BI8" s="212">
        <f>BI4*1000/BI7</f>
        <v>182869.86056489096</v>
      </c>
      <c r="BJ8" s="142">
        <f>BI8</f>
        <v>182869.86056489096</v>
      </c>
      <c r="BK8" s="142">
        <f>BJ8</f>
        <v>182869.86056489096</v>
      </c>
      <c r="BL8" s="142">
        <f>BK8</f>
        <v>182869.86056489096</v>
      </c>
      <c r="BM8" s="142">
        <f>BM4*1000/BM7</f>
        <v>175779.86403366787</v>
      </c>
      <c r="BN8" s="212">
        <f>BN4*1000/BN7</f>
        <v>175779.86403366787</v>
      </c>
      <c r="BO8" s="142">
        <f>BN8</f>
        <v>175779.86403366787</v>
      </c>
      <c r="BP8" s="142">
        <f>BO8</f>
        <v>175779.86403366787</v>
      </c>
      <c r="BQ8" s="142">
        <f>BP8</f>
        <v>175779.86403366787</v>
      </c>
      <c r="BR8" s="142">
        <f>BR4*1000/BR7</f>
        <v>180493.1312174325</v>
      </c>
      <c r="BS8" s="212">
        <f>BS4*1000/BS7</f>
        <v>180493.1312174325</v>
      </c>
      <c r="BT8" s="142">
        <f>BS8</f>
        <v>180493.1312174325</v>
      </c>
      <c r="BU8" s="142">
        <f>BT8</f>
        <v>180493.1312174325</v>
      </c>
      <c r="BV8" s="142">
        <f>BU8</f>
        <v>180493.1312174325</v>
      </c>
      <c r="BW8" s="142">
        <f>BW4*1000/BW7</f>
        <v>198018.56705985146</v>
      </c>
      <c r="BX8" s="212">
        <f>BX4*1000/BX7</f>
        <v>198018.56705985146</v>
      </c>
      <c r="BY8" s="142">
        <f>BX8</f>
        <v>198018.56705985146</v>
      </c>
      <c r="BZ8" s="142">
        <f>BY8+BT7</f>
        <v>198018.56705985146</v>
      </c>
      <c r="CA8" s="142">
        <f>BZ8</f>
        <v>198018.56705985146</v>
      </c>
      <c r="CB8" s="142">
        <f t="shared" ref="CB8:CV8" si="8">CB4*1000/CB7</f>
        <v>186472.07743857036</v>
      </c>
      <c r="CC8" s="212">
        <f t="shared" si="8"/>
        <v>187376.7258382643</v>
      </c>
      <c r="CD8" s="142">
        <f t="shared" si="8"/>
        <v>174516.05758582504</v>
      </c>
      <c r="CE8" s="142">
        <f t="shared" si="8"/>
        <v>170233.87978142078</v>
      </c>
      <c r="CF8" s="142">
        <f t="shared" si="8"/>
        <v>192581.27122755942</v>
      </c>
      <c r="CG8" s="142">
        <f t="shared" si="8"/>
        <v>196219.83134632162</v>
      </c>
      <c r="CH8" s="212">
        <f t="shared" si="8"/>
        <v>187152.43532126807</v>
      </c>
      <c r="CI8" s="142">
        <f t="shared" si="8"/>
        <v>199693.94656746704</v>
      </c>
      <c r="CJ8" s="142">
        <f t="shared" si="8"/>
        <v>211525.58569667078</v>
      </c>
      <c r="CK8" s="142">
        <f t="shared" si="8"/>
        <v>227702.81378438193</v>
      </c>
      <c r="CL8" s="142">
        <f t="shared" si="8"/>
        <v>240641.52671755725</v>
      </c>
      <c r="CM8" s="212">
        <f t="shared" si="8"/>
        <v>220350.42329298204</v>
      </c>
      <c r="CN8" s="142">
        <f t="shared" si="8"/>
        <v>241095.67901234567</v>
      </c>
      <c r="CO8" s="142">
        <f t="shared" si="8"/>
        <v>297722.09695603157</v>
      </c>
      <c r="CP8" s="142">
        <f t="shared" si="8"/>
        <v>251820.82191780821</v>
      </c>
      <c r="CQ8" s="142">
        <f t="shared" si="8"/>
        <v>259040.09929203536</v>
      </c>
      <c r="CR8" s="212">
        <f t="shared" si="8"/>
        <v>263231.8707334128</v>
      </c>
      <c r="CS8" s="142">
        <f t="shared" si="8"/>
        <v>278700.86810598627</v>
      </c>
      <c r="CT8" s="142">
        <f t="shared" si="8"/>
        <v>321812.36667544092</v>
      </c>
      <c r="CU8" s="142">
        <f t="shared" si="8"/>
        <v>257440.43411700384</v>
      </c>
      <c r="CV8" s="142">
        <f t="shared" si="8"/>
        <v>274289.67435158504</v>
      </c>
      <c r="CW8" s="212">
        <f>CW5*1000/CW7</f>
        <v>269226.85541307816</v>
      </c>
      <c r="CX8" s="142">
        <f>CX4*1000/CX7</f>
        <v>316217.1522067461</v>
      </c>
      <c r="CY8" s="142">
        <f>CY4*1000/CY7</f>
        <v>310430.73460987833</v>
      </c>
      <c r="CZ8" s="142">
        <f>CZ4*1000/CZ7</f>
        <v>302636.61043242196</v>
      </c>
      <c r="DA8" s="142">
        <f>DA4*1000/DA7</f>
        <v>344702.53632110317</v>
      </c>
      <c r="DB8" s="212">
        <f>DB5*1000/DB7</f>
        <v>276463.82918372261</v>
      </c>
      <c r="DC8" s="142">
        <f>DC4*1000/DC7</f>
        <v>304808.25667980727</v>
      </c>
      <c r="DD8" s="142">
        <f>DD4*1000/DD7</f>
        <v>337778.62947783852</v>
      </c>
      <c r="DE8" s="142">
        <f>DE4*1000/DE7</f>
        <v>291556.97079113458</v>
      </c>
      <c r="DF8" s="142">
        <f>DF4*1000/DF7</f>
        <v>336424.16462301067</v>
      </c>
      <c r="DG8" s="212">
        <f>DG5*1000/DG7</f>
        <v>285968.24618827284</v>
      </c>
      <c r="DH8" s="142">
        <f>DH4*1000/DH7</f>
        <v>330803.41700037499</v>
      </c>
      <c r="DI8" s="142">
        <f>DI4*1000/DI7</f>
        <v>344615.85574591544</v>
      </c>
      <c r="DJ8" s="211">
        <f>DI8*(1+Macro!DJ15)</f>
        <v>348429.0269156</v>
      </c>
      <c r="DK8" s="211">
        <f>DJ8*(1+Macro!DK15)</f>
        <v>352284.39078804874</v>
      </c>
      <c r="DL8" s="212">
        <f>DL5*1000/DL7</f>
        <v>304373.0370451315</v>
      </c>
      <c r="DM8" s="136">
        <f>DK8*(1+Macro!DM15)</f>
        <v>356182.4142251169</v>
      </c>
      <c r="DN8" s="211">
        <f>DM8*(1+Macro!DN15)</f>
        <v>360123.56925448164</v>
      </c>
      <c r="DO8" s="211">
        <f>DN8*(1+Macro!DO15)</f>
        <v>364108.333126802</v>
      </c>
      <c r="DP8" s="211">
        <f>DO8*(1+Macro!DP15)</f>
        <v>368137.1883735109</v>
      </c>
      <c r="DQ8" s="212">
        <f>DQ5*1000/DQ7</f>
        <v>329545.46738292993</v>
      </c>
      <c r="DR8" s="136">
        <f>DP8*(1+Macro!DR15)</f>
        <v>372210.62286524707</v>
      </c>
      <c r="DS8" s="211">
        <f>DR8*(1+Macro!DS15)</f>
        <v>376329.12987093325</v>
      </c>
      <c r="DT8" s="211">
        <f>DS8*(1+Macro!DT15)</f>
        <v>380493.20811750798</v>
      </c>
      <c r="DU8" s="211">
        <f>DT8*(1+Macro!DU15)</f>
        <v>384703.36185031879</v>
      </c>
      <c r="DV8" s="212">
        <f>DV5*1000/DV7</f>
        <v>348159.35422192165</v>
      </c>
      <c r="DW8" s="136">
        <f>DU8*(1+Macro!DW15)</f>
        <v>388960.1008941831</v>
      </c>
      <c r="DX8" s="211">
        <f>DW8*(1+Macro!DX15)</f>
        <v>393263.94071512512</v>
      </c>
      <c r="DY8" s="211">
        <f>DX8*(1+Macro!DY15)</f>
        <v>397615.40248279576</v>
      </c>
      <c r="DZ8" s="211">
        <f>DY8*(1+Macro!DZ15)</f>
        <v>402015.01313358307</v>
      </c>
      <c r="EA8" s="212">
        <f>EA5*1000/EA7</f>
        <v>363826.52516190801</v>
      </c>
      <c r="EB8" s="136">
        <f>DZ8*(1+Macro!EB15)</f>
        <v>406463.30543442129</v>
      </c>
      <c r="EC8" s="211">
        <f>EB8*(1+Macro!EC15)</f>
        <v>410960.81804730574</v>
      </c>
      <c r="ED8" s="211">
        <f>EC8*(1+Macro!ED15)</f>
        <v>415508.09559452155</v>
      </c>
      <c r="EE8" s="211">
        <f>ED8*(1+Macro!EE15)</f>
        <v>420105.68872459431</v>
      </c>
      <c r="EF8" s="212">
        <f>EF5*1000/EF7</f>
        <v>380198.71879419382</v>
      </c>
    </row>
    <row r="9" spans="1:138" ht="12.75" customHeight="1" outlineLevel="1">
      <c r="A9" s="1" t="s">
        <v>71</v>
      </c>
      <c r="B9" s="94"/>
      <c r="C9" s="95"/>
      <c r="D9" s="95"/>
      <c r="E9" s="95"/>
      <c r="F9" s="43">
        <f>SUM(B9:E9)</f>
        <v>0</v>
      </c>
      <c r="G9" s="94"/>
      <c r="H9" s="95"/>
      <c r="I9" s="95"/>
      <c r="J9" s="95"/>
      <c r="K9" s="43">
        <f>SUM(G9:J9)</f>
        <v>0</v>
      </c>
      <c r="L9" s="94"/>
      <c r="M9" s="95"/>
      <c r="N9" s="95"/>
      <c r="O9" s="95"/>
      <c r="P9" s="43">
        <f>SUM(L9:O9)</f>
        <v>0</v>
      </c>
      <c r="Q9" s="94"/>
      <c r="R9" s="95"/>
      <c r="S9" s="95"/>
      <c r="T9" s="95"/>
      <c r="U9" s="43">
        <f>SUM(Q9:T9)</f>
        <v>0</v>
      </c>
      <c r="V9" s="94"/>
      <c r="W9" s="95"/>
      <c r="X9" s="95"/>
      <c r="Y9" s="95"/>
      <c r="Z9" s="43">
        <f>SUM(V9:Y9)</f>
        <v>0</v>
      </c>
      <c r="AA9" s="94"/>
      <c r="AB9" s="95"/>
      <c r="AC9" s="95"/>
      <c r="AD9" s="95"/>
      <c r="AE9" s="43">
        <f>SUM(AA9:AD9)</f>
        <v>0</v>
      </c>
      <c r="AF9" s="224"/>
      <c r="AG9" s="224"/>
      <c r="AH9" s="224"/>
      <c r="AI9" s="224"/>
      <c r="AJ9" s="43">
        <f>SUM(AF9:AI9)</f>
        <v>0</v>
      </c>
      <c r="AK9" s="224"/>
      <c r="AL9" s="224"/>
      <c r="AM9" s="224"/>
      <c r="AN9" s="224"/>
      <c r="AO9" s="43">
        <f>SUM(AK9:AN9)</f>
        <v>0</v>
      </c>
      <c r="AP9" s="224"/>
      <c r="AQ9" s="224"/>
      <c r="AR9" s="224"/>
      <c r="AS9" s="224"/>
      <c r="AT9" s="43">
        <f>SUM(AP9:AS9)</f>
        <v>0</v>
      </c>
      <c r="AU9" s="224"/>
      <c r="AV9" s="224"/>
      <c r="AW9" s="224"/>
      <c r="AX9" s="224"/>
      <c r="AY9" s="43">
        <f>SUM(AU9:AX9)</f>
        <v>0</v>
      </c>
      <c r="AZ9" s="224"/>
      <c r="BA9" s="224"/>
      <c r="BB9" s="224"/>
      <c r="BC9" s="224"/>
      <c r="BD9" s="43">
        <f>SUM(AZ9:BC9)</f>
        <v>0</v>
      </c>
      <c r="BE9" s="94"/>
      <c r="BF9" s="94"/>
      <c r="BG9" s="94"/>
      <c r="BH9" s="94">
        <v>603000</v>
      </c>
      <c r="BI9" s="43">
        <f>SUM(BE9:BH9)</f>
        <v>603000</v>
      </c>
      <c r="BJ9" s="94"/>
      <c r="BK9" s="94"/>
      <c r="BL9" s="94"/>
      <c r="BM9" s="94">
        <v>653000</v>
      </c>
      <c r="BN9" s="43">
        <f>SUM(BJ9:BM9)</f>
        <v>653000</v>
      </c>
      <c r="BO9" s="94"/>
      <c r="BP9" s="94"/>
      <c r="BQ9" s="94"/>
      <c r="BR9" s="94">
        <v>741000</v>
      </c>
      <c r="BS9" s="43">
        <f>SUM(BO9:BR9)</f>
        <v>741000</v>
      </c>
      <c r="BT9" s="94"/>
      <c r="BU9" s="94"/>
      <c r="BV9" s="94"/>
      <c r="BW9" s="94">
        <f>887000</f>
        <v>887000</v>
      </c>
      <c r="BX9" s="43">
        <f>SUM(BT9:BW9)</f>
        <v>887000</v>
      </c>
      <c r="BY9" s="94"/>
      <c r="BZ9" s="94"/>
      <c r="CA9" s="94">
        <v>261049</v>
      </c>
      <c r="CB9" s="94">
        <f>982000-SUM(BY9:CA9)</f>
        <v>720951</v>
      </c>
      <c r="CC9" s="43">
        <f>SUM(BY9:CB9)</f>
        <v>982000</v>
      </c>
      <c r="CD9" s="94">
        <v>238878</v>
      </c>
      <c r="CE9" s="94">
        <v>292082</v>
      </c>
      <c r="CF9" s="94">
        <v>410346</v>
      </c>
      <c r="CG9" s="94">
        <v>404605</v>
      </c>
      <c r="CH9" s="43">
        <f>SUM(CD9:CG9)</f>
        <v>1345911</v>
      </c>
      <c r="CI9" s="94">
        <v>590373</v>
      </c>
      <c r="CJ9" s="94">
        <v>682578</v>
      </c>
      <c r="CK9" s="94">
        <v>682371</v>
      </c>
      <c r="CL9" s="94">
        <v>611366</v>
      </c>
      <c r="CM9" s="43">
        <f>SUM(CI9:CL9)</f>
        <v>2566688</v>
      </c>
      <c r="CN9" s="94">
        <v>753366</v>
      </c>
      <c r="CO9" s="94">
        <v>897485</v>
      </c>
      <c r="CP9" s="94">
        <v>885833</v>
      </c>
      <c r="CQ9" s="94">
        <v>753062.04715999996</v>
      </c>
      <c r="CR9" s="43">
        <f>SUM(CN9:CQ9)</f>
        <v>3289746.0471600001</v>
      </c>
      <c r="CS9" s="94">
        <v>1078891.9739699997</v>
      </c>
      <c r="CT9" s="94">
        <v>1193950.7560000001</v>
      </c>
      <c r="CU9" s="94">
        <v>972643.94625000027</v>
      </c>
      <c r="CV9" s="94">
        <v>904671.58600000001</v>
      </c>
      <c r="CW9" s="43">
        <f>SUM(CS9:CV9)</f>
        <v>4150158.2622199999</v>
      </c>
      <c r="CX9" s="94">
        <v>1552135.31929</v>
      </c>
      <c r="CY9" s="94">
        <v>1749239.9412900002</v>
      </c>
      <c r="CZ9" s="94">
        <v>1437151.16322</v>
      </c>
      <c r="DA9" s="94">
        <v>1423748</v>
      </c>
      <c r="DB9" s="43">
        <f>SUM(CX9:DA9)</f>
        <v>6162274.4238000009</v>
      </c>
      <c r="DC9" s="94">
        <v>2105578.8965500002</v>
      </c>
      <c r="DD9" s="94">
        <v>2261363.1793000004</v>
      </c>
      <c r="DE9" s="94">
        <v>1827036.243</v>
      </c>
      <c r="DF9" s="94">
        <v>1556335.6542800006</v>
      </c>
      <c r="DG9" s="43">
        <f>SUM(DC9:DF9)</f>
        <v>7750313.9731300008</v>
      </c>
      <c r="DH9" s="94">
        <v>2304619.7087000008</v>
      </c>
      <c r="DI9" s="94">
        <v>2045507.7053900007</v>
      </c>
      <c r="DJ9" s="293">
        <f>DJ14</f>
        <v>2113163.0074579474</v>
      </c>
      <c r="DK9" s="293">
        <f>DK14</f>
        <v>2169193.1742033567</v>
      </c>
      <c r="DL9" s="79">
        <f>SUM(DH9:DK9)</f>
        <v>8632483.595751306</v>
      </c>
      <c r="DM9" s="293">
        <f>DM14</f>
        <v>2265196.8576968303</v>
      </c>
      <c r="DN9" s="293">
        <f>DN14</f>
        <v>2313510.1774195712</v>
      </c>
      <c r="DO9" s="293">
        <f>DO14</f>
        <v>2349529.1498224647</v>
      </c>
      <c r="DP9" s="293">
        <f>DP14</f>
        <v>2381987.0017404603</v>
      </c>
      <c r="DQ9" s="79">
        <f>SUM(DM9:DP9)</f>
        <v>9310223.186679326</v>
      </c>
      <c r="DR9" s="293">
        <f>DR14</f>
        <v>2412443.431656308</v>
      </c>
      <c r="DS9" s="293">
        <f>DS14</f>
        <v>2441880.6708919248</v>
      </c>
      <c r="DT9" s="293">
        <f>DT14</f>
        <v>2470845.5617740247</v>
      </c>
      <c r="DU9" s="293">
        <f>DU14</f>
        <v>2499646.9721392319</v>
      </c>
      <c r="DV9" s="79">
        <f>SUM(DR9:DU9)</f>
        <v>9824816.6364614889</v>
      </c>
      <c r="DW9" s="293">
        <f>DW14</f>
        <v>2528461.304630579</v>
      </c>
      <c r="DX9" s="293">
        <f>DX14</f>
        <v>2557391.1753178136</v>
      </c>
      <c r="DY9" s="293">
        <f>DY14</f>
        <v>2586497.9814199326</v>
      </c>
      <c r="DZ9" s="293">
        <f>DZ14</f>
        <v>2615819.9918221291</v>
      </c>
      <c r="EA9" s="79">
        <f>SUM(DW9:DZ9)</f>
        <v>10288170.453190453</v>
      </c>
      <c r="EB9" s="293">
        <f>EB14</f>
        <v>2645382.4067487577</v>
      </c>
      <c r="EC9" s="293">
        <f>EC14</f>
        <v>2675202.9615694801</v>
      </c>
      <c r="ED9" s="293">
        <f>ED14</f>
        <v>2705295.0573314102</v>
      </c>
      <c r="EE9" s="293">
        <f>EE14</f>
        <v>2735669.5176107711</v>
      </c>
      <c r="EF9" s="79">
        <f>SUM(EB9:EE9)</f>
        <v>10761549.943260418</v>
      </c>
    </row>
    <row r="10" spans="1:138" ht="12.75" customHeight="1">
      <c r="A10" s="1" t="s">
        <v>227</v>
      </c>
      <c r="B10" s="94"/>
      <c r="C10" s="95"/>
      <c r="D10" s="95"/>
      <c r="E10" s="94"/>
      <c r="F10" s="43">
        <f>SUM(B10:E10)</f>
        <v>0</v>
      </c>
      <c r="G10" s="94"/>
      <c r="H10" s="95"/>
      <c r="I10" s="95"/>
      <c r="J10" s="94"/>
      <c r="K10" s="43">
        <f>SUM(G10:J10)</f>
        <v>0</v>
      </c>
      <c r="L10" s="94"/>
      <c r="M10" s="95"/>
      <c r="N10" s="95"/>
      <c r="O10" s="94"/>
      <c r="P10" s="43">
        <f>SUM(L10:O10)</f>
        <v>0</v>
      </c>
      <c r="Q10" s="94"/>
      <c r="R10" s="95"/>
      <c r="S10" s="95"/>
      <c r="T10" s="94"/>
      <c r="U10" s="43">
        <f>SUM(Q10:T10)</f>
        <v>0</v>
      </c>
      <c r="V10" s="94"/>
      <c r="W10" s="95"/>
      <c r="X10" s="95"/>
      <c r="Y10" s="94"/>
      <c r="Z10" s="43">
        <f>SUM(V10:Y10)</f>
        <v>0</v>
      </c>
      <c r="AA10" s="94"/>
      <c r="AB10" s="95"/>
      <c r="AC10" s="95"/>
      <c r="AD10" s="94"/>
      <c r="AE10" s="43">
        <f>SUM(AA10:AD10)</f>
        <v>0</v>
      </c>
      <c r="AF10" s="224"/>
      <c r="AG10" s="224"/>
      <c r="AH10" s="224"/>
      <c r="AI10" s="224"/>
      <c r="AJ10" s="43">
        <f>SUM(AF10:AI10)</f>
        <v>0</v>
      </c>
      <c r="AK10" s="224"/>
      <c r="AL10" s="224"/>
      <c r="AM10" s="224"/>
      <c r="AN10" s="224"/>
      <c r="AO10" s="43">
        <f>SUM(AK10:AN10)</f>
        <v>0</v>
      </c>
      <c r="AP10" s="224"/>
      <c r="AQ10" s="224"/>
      <c r="AR10" s="224"/>
      <c r="AS10" s="224"/>
      <c r="AT10" s="43">
        <f>SUM(AP10:AS10)</f>
        <v>0</v>
      </c>
      <c r="AU10" s="224"/>
      <c r="AV10" s="224"/>
      <c r="AW10" s="224"/>
      <c r="AX10" s="224"/>
      <c r="AY10" s="43">
        <f>SUM(AU10:AX10)</f>
        <v>0</v>
      </c>
      <c r="AZ10" s="224"/>
      <c r="BA10" s="224"/>
      <c r="BB10" s="224"/>
      <c r="BC10" s="224"/>
      <c r="BD10" s="43">
        <f>SUM(AZ10:BC10)</f>
        <v>0</v>
      </c>
      <c r="BE10" s="94"/>
      <c r="BF10" s="94"/>
      <c r="BG10" s="94"/>
      <c r="BH10" s="224">
        <f>BH9*80%</f>
        <v>482400</v>
      </c>
      <c r="BI10" s="43">
        <f>SUM(BE10:BH10)</f>
        <v>482400</v>
      </c>
      <c r="BJ10" s="94"/>
      <c r="BK10" s="94"/>
      <c r="BL10" s="94"/>
      <c r="BM10" s="224">
        <f>BM9*80%</f>
        <v>522400</v>
      </c>
      <c r="BN10" s="43">
        <f>SUM(BJ10:BM10)</f>
        <v>522400</v>
      </c>
      <c r="BO10" s="94"/>
      <c r="BP10" s="94"/>
      <c r="BQ10" s="94"/>
      <c r="BR10" s="224">
        <f>BR9*80%</f>
        <v>592800</v>
      </c>
      <c r="BS10" s="43">
        <f>SUM(BO10:BR10)</f>
        <v>592800</v>
      </c>
      <c r="BT10" s="94"/>
      <c r="BU10" s="94"/>
      <c r="BV10" s="94"/>
      <c r="BW10" s="224">
        <f>BW9*80%</f>
        <v>709600</v>
      </c>
      <c r="BX10" s="43">
        <f>SUM(BT10:BW10)</f>
        <v>709600</v>
      </c>
      <c r="BY10" s="94"/>
      <c r="BZ10" s="94"/>
      <c r="CA10" s="94">
        <v>202581</v>
      </c>
      <c r="CB10" s="224">
        <f>CB9*80%</f>
        <v>576760.80000000005</v>
      </c>
      <c r="CC10" s="43">
        <f>SUM(BY10:CB10)</f>
        <v>779341.8</v>
      </c>
      <c r="CD10" s="94">
        <f>785266-CE10-CF10</f>
        <v>173740</v>
      </c>
      <c r="CE10" s="94">
        <v>248207</v>
      </c>
      <c r="CF10" s="94">
        <v>363319</v>
      </c>
      <c r="CG10" s="94">
        <v>370037</v>
      </c>
      <c r="CH10" s="43">
        <f>SUM(CD10:CG10)</f>
        <v>1155303</v>
      </c>
      <c r="CI10" s="94">
        <v>526079</v>
      </c>
      <c r="CJ10" s="94">
        <v>618279</v>
      </c>
      <c r="CK10" s="94">
        <v>639577</v>
      </c>
      <c r="CL10" s="94">
        <v>565420</v>
      </c>
      <c r="CM10" s="43">
        <f>SUM(CI10:CL10)</f>
        <v>2349355</v>
      </c>
      <c r="CN10" s="94">
        <v>707012</v>
      </c>
      <c r="CO10" s="94">
        <v>844800</v>
      </c>
      <c r="CP10" s="94">
        <v>836700</v>
      </c>
      <c r="CQ10" s="94">
        <v>719681.96428100043</v>
      </c>
      <c r="CR10" s="43">
        <f>SUM(CN10:CQ10)</f>
        <v>3108193.9642810002</v>
      </c>
      <c r="CS10" s="94">
        <v>1061205.8846230498</v>
      </c>
      <c r="CT10" s="94">
        <v>1132517</v>
      </c>
      <c r="CU10" s="94">
        <v>873639.20862794993</v>
      </c>
      <c r="CV10" s="94">
        <v>850285.46400000004</v>
      </c>
      <c r="CW10" s="43">
        <f>SUM(CS10:CV10)</f>
        <v>3917647.5572509998</v>
      </c>
      <c r="CX10" s="94">
        <v>1327315.3189665</v>
      </c>
      <c r="CY10" s="94">
        <v>1635318.6456909999</v>
      </c>
      <c r="CZ10" s="94">
        <v>1359583.3140795005</v>
      </c>
      <c r="DA10" s="94">
        <v>1177287</v>
      </c>
      <c r="DB10" s="43">
        <f>SUM(CX10:DA10)</f>
        <v>5499504.2787370002</v>
      </c>
      <c r="DC10" s="94">
        <v>1919242</v>
      </c>
      <c r="DD10" s="94">
        <v>2007235.8972825999</v>
      </c>
      <c r="DE10" s="94">
        <v>1630208.9650000001</v>
      </c>
      <c r="DF10" s="94">
        <v>1434724.9032049975</v>
      </c>
      <c r="DG10" s="43">
        <f>SUM(DC10:DF10)</f>
        <v>6991411.7654875983</v>
      </c>
      <c r="DH10" s="94">
        <v>1893602.8102420031</v>
      </c>
      <c r="DI10" s="94">
        <v>1748768.1967600023</v>
      </c>
      <c r="DJ10" s="44">
        <f>DJ9*DJ11</f>
        <v>1901846.7067121526</v>
      </c>
      <c r="DK10" s="44">
        <f>DK9*DK11</f>
        <v>2060733.5154931888</v>
      </c>
      <c r="DL10" s="43">
        <f>SUM(DH10:DK10)</f>
        <v>7604951.2292073471</v>
      </c>
      <c r="DM10" s="44">
        <f>DM9*DM11</f>
        <v>2033134.7193731412</v>
      </c>
      <c r="DN10" s="44">
        <f>DN9*DN11</f>
        <v>2075225.8885061829</v>
      </c>
      <c r="DO10" s="44">
        <f>DO9*DO11</f>
        <v>2107507.5656169192</v>
      </c>
      <c r="DP10" s="44">
        <f>DP9*DP11</f>
        <v>2152331.5326436278</v>
      </c>
      <c r="DQ10" s="43">
        <f>SUM(DM10:DP10)</f>
        <v>8368199.70613987</v>
      </c>
      <c r="DR10" s="44">
        <f>DR9*DR11</f>
        <v>2194528.063431113</v>
      </c>
      <c r="DS10" s="44">
        <f>DS9*DS11</f>
        <v>2221306.2447408997</v>
      </c>
      <c r="DT10" s="44">
        <f>DT9*DT11</f>
        <v>2257735.132071015</v>
      </c>
      <c r="DU10" s="44">
        <f>DU9*DU11</f>
        <v>2287176.9795073974</v>
      </c>
      <c r="DV10" s="43">
        <f>SUM(DR10:DU10)</f>
        <v>8960746.419750426</v>
      </c>
      <c r="DW10" s="44">
        <f>DW9*DW11</f>
        <v>2319863.246998556</v>
      </c>
      <c r="DX10" s="44">
        <f>DX9*DX11</f>
        <v>2349603.1423232411</v>
      </c>
      <c r="DY10" s="44">
        <f>DY9*DY11</f>
        <v>2379578.142906338</v>
      </c>
      <c r="DZ10" s="44">
        <f>DZ9*DZ11</f>
        <v>2406554.3924763585</v>
      </c>
      <c r="EA10" s="43">
        <f>SUM(DW10:DZ10)</f>
        <v>9455598.9247044921</v>
      </c>
      <c r="EB10" s="44">
        <f>EB9*EB11</f>
        <v>2433751.8142088568</v>
      </c>
      <c r="EC10" s="44">
        <f>EC9*EC11</f>
        <v>2461186.7246439215</v>
      </c>
      <c r="ED10" s="44">
        <f>ED9*ED11</f>
        <v>2488871.4527448975</v>
      </c>
      <c r="EE10" s="44">
        <f>EE9*EE11</f>
        <v>2516815.9562019091</v>
      </c>
      <c r="EF10" s="43">
        <f>SUM(EB10:EE10)</f>
        <v>9900625.9477995858</v>
      </c>
      <c r="EH10" s="243"/>
    </row>
    <row r="11" spans="1:138" ht="12.75" customHeight="1" outlineLevel="1">
      <c r="A11" s="1" t="s">
        <v>125</v>
      </c>
      <c r="B11" s="60" t="e">
        <f>B10/B9</f>
        <v>#DIV/0!</v>
      </c>
      <c r="C11" s="60" t="e">
        <f>C10/C9</f>
        <v>#DIV/0!</v>
      </c>
      <c r="D11" s="60" t="e">
        <f>D10/D9</f>
        <v>#DIV/0!</v>
      </c>
      <c r="E11" s="60" t="e">
        <f>E10/E9</f>
        <v>#DIV/0!</v>
      </c>
      <c r="F11" s="48" t="e">
        <f>F10/F9</f>
        <v>#DIV/0!</v>
      </c>
      <c r="G11" s="60" t="e">
        <f t="shared" ref="G11:AE11" si="9">G10/G9</f>
        <v>#DIV/0!</v>
      </c>
      <c r="H11" s="60" t="e">
        <f t="shared" si="9"/>
        <v>#DIV/0!</v>
      </c>
      <c r="I11" s="60" t="e">
        <f t="shared" si="9"/>
        <v>#DIV/0!</v>
      </c>
      <c r="J11" s="60" t="e">
        <f t="shared" si="9"/>
        <v>#DIV/0!</v>
      </c>
      <c r="K11" s="48" t="e">
        <f t="shared" si="9"/>
        <v>#DIV/0!</v>
      </c>
      <c r="L11" s="60" t="e">
        <f t="shared" si="9"/>
        <v>#DIV/0!</v>
      </c>
      <c r="M11" s="60" t="e">
        <f t="shared" si="9"/>
        <v>#DIV/0!</v>
      </c>
      <c r="N11" s="60" t="e">
        <f t="shared" si="9"/>
        <v>#DIV/0!</v>
      </c>
      <c r="O11" s="60" t="e">
        <f t="shared" si="9"/>
        <v>#DIV/0!</v>
      </c>
      <c r="P11" s="48" t="e">
        <f t="shared" si="9"/>
        <v>#DIV/0!</v>
      </c>
      <c r="Q11" s="60" t="e">
        <f t="shared" si="9"/>
        <v>#DIV/0!</v>
      </c>
      <c r="R11" s="60" t="e">
        <f t="shared" si="9"/>
        <v>#DIV/0!</v>
      </c>
      <c r="S11" s="60" t="e">
        <f t="shared" si="9"/>
        <v>#DIV/0!</v>
      </c>
      <c r="T11" s="60" t="e">
        <f t="shared" si="9"/>
        <v>#DIV/0!</v>
      </c>
      <c r="U11" s="48" t="e">
        <f t="shared" si="9"/>
        <v>#DIV/0!</v>
      </c>
      <c r="V11" s="60" t="e">
        <f t="shared" si="9"/>
        <v>#DIV/0!</v>
      </c>
      <c r="W11" s="60" t="e">
        <f t="shared" si="9"/>
        <v>#DIV/0!</v>
      </c>
      <c r="X11" s="60" t="e">
        <f t="shared" si="9"/>
        <v>#DIV/0!</v>
      </c>
      <c r="Y11" s="60" t="e">
        <f t="shared" si="9"/>
        <v>#DIV/0!</v>
      </c>
      <c r="Z11" s="48" t="e">
        <f t="shared" si="9"/>
        <v>#DIV/0!</v>
      </c>
      <c r="AA11" s="60" t="e">
        <f t="shared" si="9"/>
        <v>#DIV/0!</v>
      </c>
      <c r="AB11" s="60" t="e">
        <f t="shared" si="9"/>
        <v>#DIV/0!</v>
      </c>
      <c r="AC11" s="60" t="e">
        <f t="shared" si="9"/>
        <v>#DIV/0!</v>
      </c>
      <c r="AD11" s="60" t="e">
        <f t="shared" si="9"/>
        <v>#DIV/0!</v>
      </c>
      <c r="AE11" s="48" t="e">
        <f t="shared" si="9"/>
        <v>#DIV/0!</v>
      </c>
      <c r="AF11" s="60" t="e">
        <f t="shared" ref="AF11:BI11" si="10">AF10/AF9</f>
        <v>#DIV/0!</v>
      </c>
      <c r="AG11" s="60" t="e">
        <f t="shared" si="10"/>
        <v>#DIV/0!</v>
      </c>
      <c r="AH11" s="60" t="e">
        <f t="shared" si="10"/>
        <v>#DIV/0!</v>
      </c>
      <c r="AI11" s="60" t="e">
        <f t="shared" si="10"/>
        <v>#DIV/0!</v>
      </c>
      <c r="AJ11" s="48" t="e">
        <f t="shared" si="10"/>
        <v>#DIV/0!</v>
      </c>
      <c r="AK11" s="60" t="e">
        <f t="shared" si="10"/>
        <v>#DIV/0!</v>
      </c>
      <c r="AL11" s="60" t="e">
        <f t="shared" si="10"/>
        <v>#DIV/0!</v>
      </c>
      <c r="AM11" s="60" t="e">
        <f t="shared" si="10"/>
        <v>#DIV/0!</v>
      </c>
      <c r="AN11" s="60" t="e">
        <f t="shared" si="10"/>
        <v>#DIV/0!</v>
      </c>
      <c r="AO11" s="48" t="e">
        <f t="shared" si="10"/>
        <v>#DIV/0!</v>
      </c>
      <c r="AP11" s="60" t="e">
        <f t="shared" si="10"/>
        <v>#DIV/0!</v>
      </c>
      <c r="AQ11" s="60" t="e">
        <f t="shared" si="10"/>
        <v>#DIV/0!</v>
      </c>
      <c r="AR11" s="60" t="e">
        <f t="shared" si="10"/>
        <v>#DIV/0!</v>
      </c>
      <c r="AS11" s="60" t="e">
        <f t="shared" si="10"/>
        <v>#DIV/0!</v>
      </c>
      <c r="AT11" s="48" t="e">
        <f t="shared" si="10"/>
        <v>#DIV/0!</v>
      </c>
      <c r="AU11" s="60" t="e">
        <f t="shared" si="10"/>
        <v>#DIV/0!</v>
      </c>
      <c r="AV11" s="60" t="e">
        <f t="shared" si="10"/>
        <v>#DIV/0!</v>
      </c>
      <c r="AW11" s="60" t="e">
        <f t="shared" si="10"/>
        <v>#DIV/0!</v>
      </c>
      <c r="AX11" s="60" t="e">
        <f t="shared" si="10"/>
        <v>#DIV/0!</v>
      </c>
      <c r="AY11" s="48" t="e">
        <f t="shared" si="10"/>
        <v>#DIV/0!</v>
      </c>
      <c r="AZ11" s="60" t="e">
        <f t="shared" si="10"/>
        <v>#DIV/0!</v>
      </c>
      <c r="BA11" s="60" t="e">
        <f t="shared" si="10"/>
        <v>#DIV/0!</v>
      </c>
      <c r="BB11" s="60" t="e">
        <f t="shared" si="10"/>
        <v>#DIV/0!</v>
      </c>
      <c r="BC11" s="60" t="e">
        <f t="shared" si="10"/>
        <v>#DIV/0!</v>
      </c>
      <c r="BD11" s="48" t="e">
        <f t="shared" si="10"/>
        <v>#DIV/0!</v>
      </c>
      <c r="BE11" s="60" t="e">
        <f t="shared" si="10"/>
        <v>#DIV/0!</v>
      </c>
      <c r="BF11" s="60" t="e">
        <f t="shared" si="10"/>
        <v>#DIV/0!</v>
      </c>
      <c r="BG11" s="60" t="e">
        <f t="shared" si="10"/>
        <v>#DIV/0!</v>
      </c>
      <c r="BH11" s="60">
        <f t="shared" si="10"/>
        <v>0.8</v>
      </c>
      <c r="BI11" s="48">
        <f t="shared" si="10"/>
        <v>0.8</v>
      </c>
      <c r="BJ11" s="60">
        <f>BI11</f>
        <v>0.8</v>
      </c>
      <c r="BK11" s="60">
        <f>BJ11</f>
        <v>0.8</v>
      </c>
      <c r="BL11" s="60">
        <f>BK11</f>
        <v>0.8</v>
      </c>
      <c r="BM11" s="60">
        <f>BM10/BM9</f>
        <v>0.8</v>
      </c>
      <c r="BN11" s="48">
        <f>BN10/BN9</f>
        <v>0.8</v>
      </c>
      <c r="BO11" s="60">
        <f>BN11</f>
        <v>0.8</v>
      </c>
      <c r="BP11" s="60">
        <f>BO11</f>
        <v>0.8</v>
      </c>
      <c r="BQ11" s="60">
        <f>BP11</f>
        <v>0.8</v>
      </c>
      <c r="BR11" s="60">
        <f>BR10/BR9</f>
        <v>0.8</v>
      </c>
      <c r="BS11" s="48">
        <f>BS10/BS9</f>
        <v>0.8</v>
      </c>
      <c r="BT11" s="60">
        <f>BS11</f>
        <v>0.8</v>
      </c>
      <c r="BU11" s="60">
        <f>BT11</f>
        <v>0.8</v>
      </c>
      <c r="BV11" s="60">
        <f>BU11</f>
        <v>0.8</v>
      </c>
      <c r="BW11" s="60">
        <f>BW10/BW9</f>
        <v>0.8</v>
      </c>
      <c r="BX11" s="48">
        <f>BX10/BX9</f>
        <v>0.8</v>
      </c>
      <c r="BY11" s="60">
        <f>BX11</f>
        <v>0.8</v>
      </c>
      <c r="BZ11" s="60">
        <f>BY11</f>
        <v>0.8</v>
      </c>
      <c r="CA11" s="60">
        <f>BZ11</f>
        <v>0.8</v>
      </c>
      <c r="CB11" s="60">
        <f t="shared" ref="CB11:DD11" si="11">CB10/CB9</f>
        <v>0.8</v>
      </c>
      <c r="CC11" s="48">
        <f t="shared" si="11"/>
        <v>0.79362708757637479</v>
      </c>
      <c r="CD11" s="60">
        <f t="shared" si="11"/>
        <v>0.72731687304816683</v>
      </c>
      <c r="CE11" s="60">
        <f t="shared" si="11"/>
        <v>0.84978533425544878</v>
      </c>
      <c r="CF11" s="60">
        <f t="shared" si="11"/>
        <v>0.88539671399258191</v>
      </c>
      <c r="CG11" s="60">
        <f t="shared" si="11"/>
        <v>0.91456358670802385</v>
      </c>
      <c r="CH11" s="48">
        <f t="shared" si="11"/>
        <v>0.85837993745500263</v>
      </c>
      <c r="CI11" s="60">
        <f t="shared" si="11"/>
        <v>0.89109596814217451</v>
      </c>
      <c r="CJ11" s="60">
        <f t="shared" si="11"/>
        <v>0.9057997767288134</v>
      </c>
      <c r="CK11" s="60">
        <f t="shared" si="11"/>
        <v>0.93728631492252745</v>
      </c>
      <c r="CL11" s="60">
        <f t="shared" si="11"/>
        <v>0.9248469820042331</v>
      </c>
      <c r="CM11" s="48">
        <f t="shared" si="11"/>
        <v>0.91532550898278253</v>
      </c>
      <c r="CN11" s="60">
        <f t="shared" si="11"/>
        <v>0.9384708096728549</v>
      </c>
      <c r="CO11" s="60">
        <f t="shared" si="11"/>
        <v>0.94129706903179444</v>
      </c>
      <c r="CP11" s="60">
        <f t="shared" si="11"/>
        <v>0.94453469220496411</v>
      </c>
      <c r="CQ11" s="60">
        <f t="shared" si="11"/>
        <v>0.95567419310947244</v>
      </c>
      <c r="CR11" s="48">
        <f t="shared" si="11"/>
        <v>0.94481273621842887</v>
      </c>
      <c r="CS11" s="60">
        <f t="shared" si="11"/>
        <v>0.98360717312422818</v>
      </c>
      <c r="CT11" s="60">
        <f t="shared" si="11"/>
        <v>0.94854582092998818</v>
      </c>
      <c r="CU11" s="60">
        <f t="shared" si="11"/>
        <v>0.89821070906392808</v>
      </c>
      <c r="CV11" s="60">
        <f t="shared" si="11"/>
        <v>0.93988302181516736</v>
      </c>
      <c r="CW11" s="48">
        <f t="shared" si="11"/>
        <v>0.94397546062625926</v>
      </c>
      <c r="CX11" s="60">
        <f t="shared" si="11"/>
        <v>0.85515438149662082</v>
      </c>
      <c r="CY11" s="60">
        <f t="shared" si="11"/>
        <v>0.93487383125096746</v>
      </c>
      <c r="CZ11" s="60">
        <f t="shared" si="11"/>
        <v>0.94602665945960385</v>
      </c>
      <c r="DA11" s="60">
        <f t="shared" si="11"/>
        <v>0.82689282092055616</v>
      </c>
      <c r="DB11" s="48">
        <f t="shared" si="11"/>
        <v>0.8924471551440093</v>
      </c>
      <c r="DC11" s="60">
        <f t="shared" si="11"/>
        <v>0.91150324651557157</v>
      </c>
      <c r="DD11" s="60">
        <f t="shared" si="11"/>
        <v>0.88762208373090035</v>
      </c>
      <c r="DE11" s="60">
        <f t="shared" ref="DE11:DF11" si="12">DE10/DE9</f>
        <v>0.89226963682077332</v>
      </c>
      <c r="DF11" s="60">
        <f t="shared" si="12"/>
        <v>0.92186084618663888</v>
      </c>
      <c r="DG11" s="48">
        <f>DG10/DG9</f>
        <v>0.90208110145298848</v>
      </c>
      <c r="DH11" s="60">
        <f>DH10/DH9</f>
        <v>0.82165521846992895</v>
      </c>
      <c r="DI11" s="60">
        <f>DI10/DI9</f>
        <v>0.85493112157530515</v>
      </c>
      <c r="DJ11" s="96">
        <v>0.9</v>
      </c>
      <c r="DK11" s="96">
        <v>0.95</v>
      </c>
      <c r="DL11" s="48">
        <f>DL10/DL9</f>
        <v>0.88096909132272372</v>
      </c>
      <c r="DM11" s="96">
        <f>AVERAGE(DF6:DM6)</f>
        <v>0.89755321373717534</v>
      </c>
      <c r="DN11" s="96">
        <f>AVERAGE(DG6:DN6)</f>
        <v>0.89700313781235907</v>
      </c>
      <c r="DO11" s="96">
        <f>AVERAGE(DH6:DO6)</f>
        <v>0.89699145285180515</v>
      </c>
      <c r="DP11" s="96">
        <f>AVERAGE(DI6:DP6)</f>
        <v>0.90358659852928302</v>
      </c>
      <c r="DQ11" s="48">
        <f>DQ10/DQ9</f>
        <v>0.89881837828686395</v>
      </c>
      <c r="DR11" s="96">
        <f>AVERAGE(DK6:DR6)</f>
        <v>0.90967026817471064</v>
      </c>
      <c r="DS11" s="96">
        <f>AVERAGE(DL6:DS6)</f>
        <v>0.90967026817471064</v>
      </c>
      <c r="DT11" s="96">
        <f>AVERAGE(DM6:DT6)</f>
        <v>0.91374999999999995</v>
      </c>
      <c r="DU11" s="96">
        <f>AVERAGE(DN6:DU6)</f>
        <v>0.91500000000000004</v>
      </c>
      <c r="DV11" s="48">
        <f>DV10/DV9</f>
        <v>0.91205228059887056</v>
      </c>
      <c r="DW11" s="96">
        <f>AVERAGE(DP6:DW6)</f>
        <v>0.91749999999999998</v>
      </c>
      <c r="DX11" s="96">
        <f>AVERAGE(DQ6:DX6)</f>
        <v>0.91874999999999996</v>
      </c>
      <c r="DY11" s="96">
        <f>AVERAGE(DR6:DY6)</f>
        <v>0.91999999999999993</v>
      </c>
      <c r="DZ11" s="96">
        <f>AVERAGE(DS6:DZ6)</f>
        <v>0.91999999999999993</v>
      </c>
      <c r="EA11" s="48">
        <f>EA10/EA9</f>
        <v>0.9190748702819389</v>
      </c>
      <c r="EB11" s="96">
        <f>AVERAGE(DU6:EB6)</f>
        <v>0.91999999999999993</v>
      </c>
      <c r="EC11" s="96">
        <f>AVERAGE(DV6:EC6)</f>
        <v>0.91999999999999993</v>
      </c>
      <c r="ED11" s="96">
        <f>AVERAGE(DW6:ED6)</f>
        <v>0.91999999999999993</v>
      </c>
      <c r="EE11" s="96">
        <f>AVERAGE(DX6:EE6)</f>
        <v>0.91999999999999993</v>
      </c>
      <c r="EF11" s="48">
        <f>EF10/EF9</f>
        <v>0.92</v>
      </c>
      <c r="EH11" s="91"/>
    </row>
    <row r="12" spans="1:138" ht="12.75" customHeight="1">
      <c r="A12" s="1" t="s">
        <v>228</v>
      </c>
      <c r="B12" s="94"/>
      <c r="C12" s="95"/>
      <c r="D12" s="95"/>
      <c r="E12" s="94"/>
      <c r="F12" s="43">
        <v>0</v>
      </c>
      <c r="G12" s="94"/>
      <c r="H12" s="95"/>
      <c r="I12" s="95"/>
      <c r="J12" s="94"/>
      <c r="K12" s="43">
        <v>0</v>
      </c>
      <c r="L12" s="94"/>
      <c r="M12" s="95"/>
      <c r="N12" s="95"/>
      <c r="O12" s="94"/>
      <c r="P12" s="43">
        <v>0</v>
      </c>
      <c r="Q12" s="94"/>
      <c r="R12" s="95"/>
      <c r="S12" s="95"/>
      <c r="T12" s="94"/>
      <c r="U12" s="43">
        <v>0</v>
      </c>
      <c r="V12" s="94"/>
      <c r="W12" s="95"/>
      <c r="X12" s="95"/>
      <c r="Y12" s="94"/>
      <c r="Z12" s="43">
        <v>0</v>
      </c>
      <c r="AA12" s="94"/>
      <c r="AB12" s="95"/>
      <c r="AC12" s="95"/>
      <c r="AD12" s="94"/>
      <c r="AE12" s="43">
        <v>0</v>
      </c>
      <c r="AF12" s="224"/>
      <c r="AG12" s="224"/>
      <c r="AH12" s="224"/>
      <c r="AI12" s="224"/>
      <c r="AJ12" s="43">
        <f>SUM(AF12:AI12)</f>
        <v>0</v>
      </c>
      <c r="AK12" s="224"/>
      <c r="AL12" s="224"/>
      <c r="AM12" s="224"/>
      <c r="AN12" s="224"/>
      <c r="AO12" s="43">
        <f>SUM(AK12:AN12)</f>
        <v>0</v>
      </c>
      <c r="AP12" s="224"/>
      <c r="AQ12" s="224"/>
      <c r="AR12" s="224"/>
      <c r="AS12" s="224"/>
      <c r="AT12" s="43">
        <f>SUM(AP12:AS12)</f>
        <v>0</v>
      </c>
      <c r="AU12" s="224"/>
      <c r="AV12" s="224"/>
      <c r="AW12" s="224"/>
      <c r="AX12" s="224"/>
      <c r="AY12" s="43">
        <f>SUM(AU12:AX12)</f>
        <v>0</v>
      </c>
      <c r="AZ12" s="224"/>
      <c r="BA12" s="224"/>
      <c r="BB12" s="224"/>
      <c r="BC12" s="224"/>
      <c r="BD12" s="43">
        <f>SUM(AZ12:BC12)</f>
        <v>0</v>
      </c>
      <c r="BE12" s="94"/>
      <c r="BF12" s="94"/>
      <c r="BG12" s="94"/>
      <c r="BH12" s="16">
        <f>BH9/BH13*1000</f>
        <v>3015</v>
      </c>
      <c r="BI12" s="43">
        <f>SUM(BE12:BH12)</f>
        <v>3015</v>
      </c>
      <c r="BJ12" s="94"/>
      <c r="BK12" s="94"/>
      <c r="BL12" s="94"/>
      <c r="BM12" s="16">
        <f>BM9/BM13*1000</f>
        <v>3265</v>
      </c>
      <c r="BN12" s="43">
        <f>SUM(BJ12:BM12)</f>
        <v>3265</v>
      </c>
      <c r="BO12" s="94"/>
      <c r="BP12" s="94"/>
      <c r="BQ12" s="94"/>
      <c r="BR12" s="16">
        <f>BR9/BR13*1000</f>
        <v>3705</v>
      </c>
      <c r="BS12" s="43">
        <f>SUM(BO12:BR12)</f>
        <v>3705</v>
      </c>
      <c r="BT12" s="94"/>
      <c r="BU12" s="94"/>
      <c r="BV12" s="94"/>
      <c r="BW12" s="16">
        <f>BW9/BW13*1000</f>
        <v>4435</v>
      </c>
      <c r="BX12" s="43">
        <f>SUM(BT12:BW12)</f>
        <v>4435</v>
      </c>
      <c r="BY12" s="94"/>
      <c r="BZ12" s="94"/>
      <c r="CA12" s="94">
        <v>1611</v>
      </c>
      <c r="CB12" s="224">
        <f>CB9/CB13*1000-CA12</f>
        <v>1993.7550000000001</v>
      </c>
      <c r="CC12" s="43">
        <f>SUM(BY12:CB12)</f>
        <v>3604.7550000000001</v>
      </c>
      <c r="CD12" s="94">
        <v>1280</v>
      </c>
      <c r="CE12" s="94">
        <v>1622</v>
      </c>
      <c r="CF12" s="94">
        <v>2131</v>
      </c>
      <c r="CG12" s="94">
        <v>2068</v>
      </c>
      <c r="CH12" s="43">
        <f>SUM(CD12:CG12)</f>
        <v>7101</v>
      </c>
      <c r="CI12" s="94">
        <v>2874</v>
      </c>
      <c r="CJ12" s="94">
        <v>3253</v>
      </c>
      <c r="CK12" s="94">
        <v>3080</v>
      </c>
      <c r="CL12" s="94">
        <v>2667</v>
      </c>
      <c r="CM12" s="43">
        <f>SUM(CI12:CL12)</f>
        <v>11874</v>
      </c>
      <c r="CN12" s="94">
        <v>3264</v>
      </c>
      <c r="CO12" s="94">
        <v>3734</v>
      </c>
      <c r="CP12" s="94">
        <v>3465</v>
      </c>
      <c r="CQ12" s="94">
        <v>3073</v>
      </c>
      <c r="CR12" s="43">
        <f>SUM(CN12:CQ12)</f>
        <v>13536</v>
      </c>
      <c r="CS12" s="94">
        <v>4014</v>
      </c>
      <c r="CT12" s="94">
        <v>3734</v>
      </c>
      <c r="CU12" s="94">
        <v>4146</v>
      </c>
      <c r="CV12" s="94">
        <v>3627</v>
      </c>
      <c r="CW12" s="43">
        <f>SUM(CS12:CV12)</f>
        <v>15521</v>
      </c>
      <c r="CX12" s="94">
        <v>5747</v>
      </c>
      <c r="CY12" s="94">
        <v>6389</v>
      </c>
      <c r="CZ12" s="94">
        <v>5191</v>
      </c>
      <c r="DA12" s="94">
        <v>4819</v>
      </c>
      <c r="DB12" s="43">
        <f>SUM(CX12:DA12)</f>
        <v>22146</v>
      </c>
      <c r="DC12" s="94">
        <v>7173</v>
      </c>
      <c r="DD12" s="94">
        <v>8067</v>
      </c>
      <c r="DE12" s="94">
        <v>6847</v>
      </c>
      <c r="DF12" s="94">
        <v>5445</v>
      </c>
      <c r="DG12" s="43">
        <f>SUM(DC12:DF12)</f>
        <v>27532</v>
      </c>
      <c r="DH12" s="94">
        <v>7786</v>
      </c>
      <c r="DI12" s="94">
        <v>6697</v>
      </c>
      <c r="DJ12" s="16">
        <f>DJ9/DJ13*1000</f>
        <v>6418.1470972448715</v>
      </c>
      <c r="DK12" s="16">
        <f>DK9/DK13*1000</f>
        <v>6525.4556037697575</v>
      </c>
      <c r="DL12" s="43">
        <f>SUM(DH12:DK12)</f>
        <v>27426.602701014632</v>
      </c>
      <c r="DM12" s="16">
        <f>DM9/DM13*1000</f>
        <v>6639.3608690906221</v>
      </c>
      <c r="DN12" s="16">
        <f>DN9/DN13*1000</f>
        <v>6719.8801564406413</v>
      </c>
      <c r="DO12" s="16">
        <f>DO9/DO13*1000</f>
        <v>6762.9018701829064</v>
      </c>
      <c r="DP12" s="16">
        <f>DP9/DP13*1000</f>
        <v>6794.3227008183167</v>
      </c>
      <c r="DQ12" s="43">
        <f>SUM(DM12:DP12)</f>
        <v>26916.465596532486</v>
      </c>
      <c r="DR12" s="16">
        <f>DR9/DR13*1000</f>
        <v>6723.174773980033</v>
      </c>
      <c r="DS12" s="16">
        <f>DS9/DS13*1000</f>
        <v>6744.2943290780977</v>
      </c>
      <c r="DT12" s="16">
        <f>DT9/DT13*1000</f>
        <v>6763.0821659017174</v>
      </c>
      <c r="DU12" s="16">
        <f>DU9/DU13*1000</f>
        <v>6780.425504071567</v>
      </c>
      <c r="DV12" s="43">
        <f>SUM(DR12:DU12)</f>
        <v>27010.976773031412</v>
      </c>
      <c r="DW12" s="16">
        <f>DW9/DW13*1000</f>
        <v>6729.4808121742553</v>
      </c>
      <c r="DX12" s="16">
        <f>DX9/DX13*1000</f>
        <v>6745.6694559434718</v>
      </c>
      <c r="DY12" s="16">
        <f>DY9/DY13*1000</f>
        <v>6761.3715174496747</v>
      </c>
      <c r="DZ12" s="16">
        <f>DZ9/DZ13*1000</f>
        <v>6776.6872348445286</v>
      </c>
      <c r="EA12" s="43">
        <f>SUM(DW12:DZ12)</f>
        <v>27013.20902041193</v>
      </c>
      <c r="EB12" s="16">
        <f>EB9/EB13*1000</f>
        <v>6737.4788987285228</v>
      </c>
      <c r="EC12" s="16">
        <f>EC9/EC13*1000</f>
        <v>6752.5582677242655</v>
      </c>
      <c r="ED12" s="16">
        <f>ED9/ED13*1000</f>
        <v>6767.3868724609956</v>
      </c>
      <c r="EE12" s="16">
        <f>EE9/EE13*1000</f>
        <v>6781.9866147178354</v>
      </c>
      <c r="EF12" s="43">
        <f>SUM(EB12:EE12)</f>
        <v>27039.410653631621</v>
      </c>
    </row>
    <row r="13" spans="1:138" ht="12.75" customHeight="1">
      <c r="A13" s="1" t="s">
        <v>229</v>
      </c>
      <c r="B13" s="16" t="e">
        <f>B10/B12*1000</f>
        <v>#DIV/0!</v>
      </c>
      <c r="C13" s="16" t="e">
        <f>C10/C12*1000</f>
        <v>#DIV/0!</v>
      </c>
      <c r="D13" s="16" t="e">
        <f>D10/D12*1000</f>
        <v>#DIV/0!</v>
      </c>
      <c r="E13" s="16" t="e">
        <f>E10/E12*1000</f>
        <v>#DIV/0!</v>
      </c>
      <c r="F13" s="26" t="e">
        <f>F10/F12*1000</f>
        <v>#DIV/0!</v>
      </c>
      <c r="G13" s="16" t="e">
        <f t="shared" ref="G13:AE13" si="13">G10/G12*1000</f>
        <v>#DIV/0!</v>
      </c>
      <c r="H13" s="16" t="e">
        <f t="shared" si="13"/>
        <v>#DIV/0!</v>
      </c>
      <c r="I13" s="16" t="e">
        <f t="shared" si="13"/>
        <v>#DIV/0!</v>
      </c>
      <c r="J13" s="16" t="e">
        <f t="shared" si="13"/>
        <v>#DIV/0!</v>
      </c>
      <c r="K13" s="26" t="e">
        <f t="shared" si="13"/>
        <v>#DIV/0!</v>
      </c>
      <c r="L13" s="16" t="e">
        <f t="shared" si="13"/>
        <v>#DIV/0!</v>
      </c>
      <c r="M13" s="16" t="e">
        <f t="shared" si="13"/>
        <v>#DIV/0!</v>
      </c>
      <c r="N13" s="16" t="e">
        <f t="shared" si="13"/>
        <v>#DIV/0!</v>
      </c>
      <c r="O13" s="16" t="e">
        <f t="shared" si="13"/>
        <v>#DIV/0!</v>
      </c>
      <c r="P13" s="26" t="e">
        <f t="shared" si="13"/>
        <v>#DIV/0!</v>
      </c>
      <c r="Q13" s="16" t="e">
        <f t="shared" si="13"/>
        <v>#DIV/0!</v>
      </c>
      <c r="R13" s="16" t="e">
        <f t="shared" si="13"/>
        <v>#DIV/0!</v>
      </c>
      <c r="S13" s="16" t="e">
        <f t="shared" si="13"/>
        <v>#DIV/0!</v>
      </c>
      <c r="T13" s="16" t="e">
        <f t="shared" si="13"/>
        <v>#DIV/0!</v>
      </c>
      <c r="U13" s="26" t="e">
        <f t="shared" si="13"/>
        <v>#DIV/0!</v>
      </c>
      <c r="V13" s="16" t="e">
        <f t="shared" si="13"/>
        <v>#DIV/0!</v>
      </c>
      <c r="W13" s="16" t="e">
        <f t="shared" si="13"/>
        <v>#DIV/0!</v>
      </c>
      <c r="X13" s="16" t="e">
        <f t="shared" si="13"/>
        <v>#DIV/0!</v>
      </c>
      <c r="Y13" s="16" t="e">
        <f t="shared" si="13"/>
        <v>#DIV/0!</v>
      </c>
      <c r="Z13" s="26" t="e">
        <f t="shared" si="13"/>
        <v>#DIV/0!</v>
      </c>
      <c r="AA13" s="16" t="e">
        <f t="shared" si="13"/>
        <v>#DIV/0!</v>
      </c>
      <c r="AB13" s="16" t="e">
        <f t="shared" si="13"/>
        <v>#DIV/0!</v>
      </c>
      <c r="AC13" s="16" t="e">
        <f t="shared" si="13"/>
        <v>#DIV/0!</v>
      </c>
      <c r="AD13" s="16" t="e">
        <f t="shared" si="13"/>
        <v>#DIV/0!</v>
      </c>
      <c r="AE13" s="26" t="e">
        <f t="shared" si="13"/>
        <v>#DIV/0!</v>
      </c>
      <c r="AF13" s="142" t="e">
        <f t="shared" ref="AF13:BD13" si="14">AF10/AF12*1000</f>
        <v>#DIV/0!</v>
      </c>
      <c r="AG13" s="142" t="e">
        <f t="shared" si="14"/>
        <v>#DIV/0!</v>
      </c>
      <c r="AH13" s="142" t="e">
        <f t="shared" si="14"/>
        <v>#DIV/0!</v>
      </c>
      <c r="AI13" s="142" t="e">
        <f t="shared" si="14"/>
        <v>#DIV/0!</v>
      </c>
      <c r="AJ13" s="43" t="e">
        <f t="shared" si="14"/>
        <v>#DIV/0!</v>
      </c>
      <c r="AK13" s="142" t="e">
        <f t="shared" si="14"/>
        <v>#DIV/0!</v>
      </c>
      <c r="AL13" s="142" t="e">
        <f t="shared" si="14"/>
        <v>#DIV/0!</v>
      </c>
      <c r="AM13" s="142" t="e">
        <f t="shared" si="14"/>
        <v>#DIV/0!</v>
      </c>
      <c r="AN13" s="142" t="e">
        <f t="shared" si="14"/>
        <v>#DIV/0!</v>
      </c>
      <c r="AO13" s="43" t="e">
        <f t="shared" si="14"/>
        <v>#DIV/0!</v>
      </c>
      <c r="AP13" s="142" t="e">
        <f t="shared" si="14"/>
        <v>#DIV/0!</v>
      </c>
      <c r="AQ13" s="142" t="e">
        <f t="shared" si="14"/>
        <v>#DIV/0!</v>
      </c>
      <c r="AR13" s="142" t="e">
        <f t="shared" si="14"/>
        <v>#DIV/0!</v>
      </c>
      <c r="AS13" s="142" t="e">
        <f t="shared" si="14"/>
        <v>#DIV/0!</v>
      </c>
      <c r="AT13" s="43" t="e">
        <f t="shared" si="14"/>
        <v>#DIV/0!</v>
      </c>
      <c r="AU13" s="142" t="e">
        <f t="shared" si="14"/>
        <v>#DIV/0!</v>
      </c>
      <c r="AV13" s="142" t="e">
        <f t="shared" si="14"/>
        <v>#DIV/0!</v>
      </c>
      <c r="AW13" s="142" t="e">
        <f t="shared" si="14"/>
        <v>#DIV/0!</v>
      </c>
      <c r="AX13" s="142" t="e">
        <f t="shared" si="14"/>
        <v>#DIV/0!</v>
      </c>
      <c r="AY13" s="43" t="e">
        <f t="shared" si="14"/>
        <v>#DIV/0!</v>
      </c>
      <c r="AZ13" s="142" t="e">
        <f t="shared" si="14"/>
        <v>#DIV/0!</v>
      </c>
      <c r="BA13" s="142" t="e">
        <f t="shared" si="14"/>
        <v>#DIV/0!</v>
      </c>
      <c r="BB13" s="142" t="e">
        <f t="shared" si="14"/>
        <v>#DIV/0!</v>
      </c>
      <c r="BC13" s="142" t="e">
        <f t="shared" si="14"/>
        <v>#DIV/0!</v>
      </c>
      <c r="BD13" s="43" t="e">
        <f t="shared" si="14"/>
        <v>#DIV/0!</v>
      </c>
      <c r="BE13" s="142" t="e">
        <f>BE10*1000/BE12</f>
        <v>#DIV/0!</v>
      </c>
      <c r="BF13" s="142" t="e">
        <f>BF10*1000/BF12</f>
        <v>#DIV/0!</v>
      </c>
      <c r="BG13" s="142" t="e">
        <f>BG10*1000/BG12</f>
        <v>#DIV/0!</v>
      </c>
      <c r="BH13" s="136">
        <v>200000</v>
      </c>
      <c r="BI13" s="43">
        <f>BI9/BI12*1000</f>
        <v>200000</v>
      </c>
      <c r="BJ13" s="142">
        <f>BI13</f>
        <v>200000</v>
      </c>
      <c r="BK13" s="142">
        <f>BJ13</f>
        <v>200000</v>
      </c>
      <c r="BL13" s="142">
        <f>BK13</f>
        <v>200000</v>
      </c>
      <c r="BM13" s="136">
        <v>200000</v>
      </c>
      <c r="BN13" s="43">
        <f>BN9/BN12*1000</f>
        <v>200000</v>
      </c>
      <c r="BO13" s="142">
        <f>BN13</f>
        <v>200000</v>
      </c>
      <c r="BP13" s="142">
        <f>BO13</f>
        <v>200000</v>
      </c>
      <c r="BQ13" s="142">
        <f>BP13</f>
        <v>200000</v>
      </c>
      <c r="BR13" s="136">
        <v>200000</v>
      </c>
      <c r="BS13" s="43">
        <f>BS9/BS12*1000</f>
        <v>200000</v>
      </c>
      <c r="BT13" s="142">
        <f>BS13</f>
        <v>200000</v>
      </c>
      <c r="BU13" s="142">
        <f>BT13</f>
        <v>200000</v>
      </c>
      <c r="BV13" s="142">
        <f>BU13</f>
        <v>200000</v>
      </c>
      <c r="BW13" s="136">
        <v>200000</v>
      </c>
      <c r="BX13" s="43">
        <f>BX9/BX12*1000</f>
        <v>200000</v>
      </c>
      <c r="BY13" s="142">
        <f>BX13</f>
        <v>200000</v>
      </c>
      <c r="BZ13" s="142">
        <f>BY13</f>
        <v>200000</v>
      </c>
      <c r="CA13" s="142">
        <f>CA9/CA12*1000</f>
        <v>162041.58907510861</v>
      </c>
      <c r="CB13" s="136">
        <v>200000</v>
      </c>
      <c r="CC13" s="43">
        <f>CC9/CC12*1000</f>
        <v>272417.95905685681</v>
      </c>
      <c r="CD13" s="142">
        <f>CD9*1000/CD12</f>
        <v>186623.4375</v>
      </c>
      <c r="CE13" s="142">
        <f>CE9*1000/CE12</f>
        <v>180075.21578298396</v>
      </c>
      <c r="CF13" s="142">
        <f>CF9*1000/CF12</f>
        <v>192560.30032848427</v>
      </c>
      <c r="CG13" s="142">
        <f>CG9*1000/CG12</f>
        <v>195650.38684719536</v>
      </c>
      <c r="CH13" s="43">
        <f>CH10/CH12*1000</f>
        <v>162695.81749049432</v>
      </c>
      <c r="CI13" s="142">
        <f>CI9*1000/CI12</f>
        <v>205418.58037578288</v>
      </c>
      <c r="CJ13" s="142">
        <f>CJ9*1000/CJ12</f>
        <v>209830.31048263141</v>
      </c>
      <c r="CK13" s="142">
        <f>CK9*1000/CK12</f>
        <v>221549.02597402598</v>
      </c>
      <c r="CL13" s="142">
        <f>CL9*1000/CL12</f>
        <v>229233.59580052493</v>
      </c>
      <c r="CM13" s="43">
        <f>CM10/CM12*1000</f>
        <v>197857.08270170118</v>
      </c>
      <c r="CN13" s="142">
        <f>CN9*1000/CN12</f>
        <v>230810.66176470587</v>
      </c>
      <c r="CO13" s="142">
        <f>CO9*1000/CO12</f>
        <v>240354.84734868773</v>
      </c>
      <c r="CP13" s="142">
        <f>CP9*1000/CP12</f>
        <v>255651.65945165945</v>
      </c>
      <c r="CQ13" s="142">
        <f>CQ9*1000/CQ12</f>
        <v>245057.61378457531</v>
      </c>
      <c r="CR13" s="43">
        <f>CR10/CR12*1000</f>
        <v>229624.25859049943</v>
      </c>
      <c r="CS13" s="142">
        <f>CS9*1000/CS12</f>
        <v>268782.25559790729</v>
      </c>
      <c r="CT13" s="142">
        <f>CT9*1000/CT12</f>
        <v>319751.13979646494</v>
      </c>
      <c r="CU13" s="142">
        <f>CU9*1000/CU12</f>
        <v>234598.15394356012</v>
      </c>
      <c r="CV13" s="142">
        <f>CV9*1000/CV12</f>
        <v>249426.96057347671</v>
      </c>
      <c r="CW13" s="43">
        <f>CW10/CW12*1000</f>
        <v>252409.4811707364</v>
      </c>
      <c r="CX13" s="142">
        <f>CX9*1000/CX12</f>
        <v>270077.48726117972</v>
      </c>
      <c r="CY13" s="142">
        <f>CY9*1000/CY12</f>
        <v>273789.316213805</v>
      </c>
      <c r="CZ13" s="142">
        <f>CZ9*1000/CZ12</f>
        <v>276854.39476401464</v>
      </c>
      <c r="DA13" s="142">
        <f>DA9*1000/DA12</f>
        <v>295444.69807013904</v>
      </c>
      <c r="DB13" s="43">
        <f>DB10/DB12*1000</f>
        <v>248329.46259988262</v>
      </c>
      <c r="DC13" s="142">
        <f>DC9*1000/DC12</f>
        <v>293542.29702356062</v>
      </c>
      <c r="DD13" s="142">
        <f>DD9*1000/DD12</f>
        <v>280322.69484318834</v>
      </c>
      <c r="DE13" s="142">
        <f>DE9*1000/DE12</f>
        <v>266837.48254710092</v>
      </c>
      <c r="DF13" s="142">
        <f>DF9*1000/DF12</f>
        <v>285828.4029898991</v>
      </c>
      <c r="DG13" s="43">
        <f>DG10/DG12*1000</f>
        <v>253937.66400870253</v>
      </c>
      <c r="DH13" s="142">
        <f>DH9*1000/DH12</f>
        <v>295995.3389031596</v>
      </c>
      <c r="DI13" s="142">
        <f>DI9*1000/DI12</f>
        <v>305436.42009705852</v>
      </c>
      <c r="DJ13" s="98">
        <f>AVERAGE(DF8:DJ8)</f>
        <v>329248.14209463482</v>
      </c>
      <c r="DK13" s="98">
        <f>AVERAGE(DG8:DK8)</f>
        <v>332420.1873276424</v>
      </c>
      <c r="DL13" s="43">
        <f>DL10/DL12*1000</f>
        <v>277283.74936229363</v>
      </c>
      <c r="DM13" s="98">
        <f>AVERAGE(DI8:DM8)</f>
        <v>341176.9449439625</v>
      </c>
      <c r="DN13" s="98">
        <f>AVERAGE(DJ8:DN8)</f>
        <v>344278.48764567578</v>
      </c>
      <c r="DO13" s="98">
        <f>AVERAGE(DK8:DO8)</f>
        <v>347414.34888791613</v>
      </c>
      <c r="DP13" s="98">
        <f>AVERAGE(DL8:DP8)</f>
        <v>350584.90840500861</v>
      </c>
      <c r="DQ13" s="43">
        <f>DQ10/DQ12*1000</f>
        <v>310895.19075706223</v>
      </c>
      <c r="DR13" s="98">
        <f>AVERAGE(DN8:DR8)</f>
        <v>358825.03620059433</v>
      </c>
      <c r="DS13" s="98">
        <f>AVERAGE(DO8:DS8)</f>
        <v>362066.14832388464</v>
      </c>
      <c r="DT13" s="98">
        <f>AVERAGE(DP8:DT8)</f>
        <v>365343.12332202587</v>
      </c>
      <c r="DU13" s="98">
        <f>AVERAGE(DQ8:DU8)</f>
        <v>368656.35801738739</v>
      </c>
      <c r="DV13" s="43">
        <f>DV10/DV12*1000</f>
        <v>331744.62719530787</v>
      </c>
      <c r="DW13" s="98">
        <f>AVERAGE(DS8:DW8)</f>
        <v>375729.030990973</v>
      </c>
      <c r="DX13" s="98">
        <f>AVERAGE(DT8:DX8)</f>
        <v>379115.99315981136</v>
      </c>
      <c r="DY13" s="98">
        <f>AVERAGE(DU8:DY8)</f>
        <v>382540.43203286885</v>
      </c>
      <c r="DZ13" s="98">
        <f>AVERAGE(DV8:DZ8)</f>
        <v>386002.76228952175</v>
      </c>
      <c r="EA13" s="43">
        <f>EA10/EA12*1000</f>
        <v>350036.1218676233</v>
      </c>
      <c r="EB13" s="98">
        <f>AVERAGE(DX8:EB8)</f>
        <v>392636.83738556661</v>
      </c>
      <c r="EC13" s="98">
        <f>AVERAGE(DY8:EC8)</f>
        <v>396176.21285200282</v>
      </c>
      <c r="ED13" s="98">
        <f>AVERAGE(DZ8:ED8)</f>
        <v>399754.75147434796</v>
      </c>
      <c r="EE13" s="98">
        <f>AVERAGE(EA8:EE8)</f>
        <v>403372.8865925502</v>
      </c>
      <c r="EF13" s="43">
        <f>EF10/EF12*1000</f>
        <v>366155.38979840331</v>
      </c>
    </row>
    <row r="14" spans="1:138" s="111" customFormat="1" ht="12.75" customHeight="1">
      <c r="A14" s="111" t="s">
        <v>303</v>
      </c>
      <c r="B14" s="124"/>
      <c r="C14" s="124"/>
      <c r="D14" s="124"/>
      <c r="E14" s="124"/>
      <c r="F14" s="292">
        <f>SUM(B14:E14)</f>
        <v>0</v>
      </c>
      <c r="G14" s="124"/>
      <c r="H14" s="124"/>
      <c r="I14" s="124"/>
      <c r="J14" s="124"/>
      <c r="K14" s="292">
        <f>SUM(G14:J14)</f>
        <v>0</v>
      </c>
      <c r="L14" s="124"/>
      <c r="M14" s="124"/>
      <c r="N14" s="124"/>
      <c r="O14" s="124"/>
      <c r="P14" s="292">
        <f>SUM(L14:O14)</f>
        <v>0</v>
      </c>
      <c r="Q14" s="124"/>
      <c r="R14" s="124"/>
      <c r="S14" s="124"/>
      <c r="T14" s="124"/>
      <c r="U14" s="292">
        <f>SUM(Q14:T14)</f>
        <v>0</v>
      </c>
      <c r="V14" s="124"/>
      <c r="W14" s="124"/>
      <c r="X14" s="124"/>
      <c r="Y14" s="124"/>
      <c r="Z14" s="292">
        <f>SUM(V14:Y14)</f>
        <v>0</v>
      </c>
      <c r="AA14" s="124"/>
      <c r="AB14" s="124"/>
      <c r="AC14" s="124"/>
      <c r="AD14" s="124"/>
      <c r="AE14" s="292">
        <f>SUM(AA14:AD14)</f>
        <v>0</v>
      </c>
      <c r="AF14" s="124">
        <f>AF15+AF17-AF19</f>
        <v>0</v>
      </c>
      <c r="AG14" s="124">
        <f>AG15+AG17-AG19</f>
        <v>0</v>
      </c>
      <c r="AH14" s="124">
        <f>AH15+AH17-AH19</f>
        <v>0</v>
      </c>
      <c r="AI14" s="124">
        <f>AI15+AI17-AI19</f>
        <v>0</v>
      </c>
      <c r="AJ14" s="292">
        <f>SUM(AF14:AI14)</f>
        <v>0</v>
      </c>
      <c r="AK14" s="124">
        <f>AK15+AK17-AK19</f>
        <v>0</v>
      </c>
      <c r="AL14" s="124">
        <f>AL15+AL17-AL19</f>
        <v>0</v>
      </c>
      <c r="AM14" s="124">
        <f>AM15+AM17-AM19</f>
        <v>0</v>
      </c>
      <c r="AN14" s="124">
        <f>AN15+AN17-AN19</f>
        <v>0</v>
      </c>
      <c r="AO14" s="292">
        <f>SUM(AK14:AN14)</f>
        <v>0</v>
      </c>
      <c r="AP14" s="124">
        <f>AP15+AP17-AP19</f>
        <v>0</v>
      </c>
      <c r="AQ14" s="124">
        <f>AQ15+AQ17-AQ19</f>
        <v>0</v>
      </c>
      <c r="AR14" s="124">
        <f>AR15+AR17-AR19</f>
        <v>0</v>
      </c>
      <c r="AS14" s="124">
        <f>AS15+AS17-AS19</f>
        <v>0</v>
      </c>
      <c r="AT14" s="292">
        <f>SUM(AP14:AS14)</f>
        <v>0</v>
      </c>
      <c r="AU14" s="124">
        <f>AU15+AU17-AU19</f>
        <v>0</v>
      </c>
      <c r="AV14" s="124">
        <f>AV15+AV17-AV19</f>
        <v>0</v>
      </c>
      <c r="AW14" s="124">
        <f>AW15+AW17-AW19</f>
        <v>0</v>
      </c>
      <c r="AX14" s="124">
        <f>AX15+AX17-AX19</f>
        <v>0</v>
      </c>
      <c r="AY14" s="292">
        <f>SUM(AU14:AX14)</f>
        <v>0</v>
      </c>
      <c r="AZ14" s="124">
        <f>AZ15+AZ17-AZ19</f>
        <v>0</v>
      </c>
      <c r="BA14" s="124">
        <f>BA15+BA17-BA19</f>
        <v>0</v>
      </c>
      <c r="BB14" s="124">
        <f>BB15+BB17-BB19</f>
        <v>0</v>
      </c>
      <c r="BC14" s="124">
        <f>BC15+BC17-BC19</f>
        <v>0</v>
      </c>
      <c r="BD14" s="292">
        <f>SUM(AZ14:BC14)</f>
        <v>0</v>
      </c>
      <c r="BE14" s="124">
        <f>BE15+BE17-BE19</f>
        <v>0</v>
      </c>
      <c r="BF14" s="124">
        <f>BF15+BF17-BF19</f>
        <v>0</v>
      </c>
      <c r="BG14" s="124">
        <f>BG15+BG17-BG19</f>
        <v>0</v>
      </c>
      <c r="BH14" s="124">
        <f>BH15+BH17-BH19</f>
        <v>603000</v>
      </c>
      <c r="BI14" s="292">
        <f>SUM(BE14:BH14)</f>
        <v>603000</v>
      </c>
      <c r="BJ14" s="124">
        <f>BJ15+BJ17-BJ19</f>
        <v>0</v>
      </c>
      <c r="BK14" s="124">
        <f>BK15+BK17-BK19</f>
        <v>0</v>
      </c>
      <c r="BL14" s="124">
        <f>BL15+BL17-BL19</f>
        <v>0</v>
      </c>
      <c r="BM14" s="124">
        <f>BM15+BM17-BM19</f>
        <v>653000</v>
      </c>
      <c r="BN14" s="292">
        <f>SUM(BJ14:BM14)</f>
        <v>653000</v>
      </c>
      <c r="BO14" s="124">
        <f>BO15+BO17-BO19</f>
        <v>0</v>
      </c>
      <c r="BP14" s="124">
        <f>BP15+BP17-BP19</f>
        <v>0</v>
      </c>
      <c r="BQ14" s="124">
        <f>BQ15+BQ17-BQ19</f>
        <v>0</v>
      </c>
      <c r="BR14" s="124">
        <f>BR15+BR17-BR19</f>
        <v>741000</v>
      </c>
      <c r="BS14" s="292">
        <f>SUM(BO14:BR14)</f>
        <v>741000</v>
      </c>
      <c r="BT14" s="124">
        <f>BT15+BT17-BT19</f>
        <v>0</v>
      </c>
      <c r="BU14" s="124">
        <f>BU15+BU17-BU19</f>
        <v>0</v>
      </c>
      <c r="BV14" s="124">
        <f>BV15+BV17-BV19</f>
        <v>0</v>
      </c>
      <c r="BW14" s="124">
        <f>BW15+BW17-BW19</f>
        <v>887000</v>
      </c>
      <c r="BX14" s="292">
        <f>SUM(BT14:BW14)</f>
        <v>887000</v>
      </c>
      <c r="BY14" s="124">
        <f>BY15+BY17-BY19</f>
        <v>0</v>
      </c>
      <c r="BZ14" s="124">
        <f>BZ15+BZ17-BZ19</f>
        <v>0</v>
      </c>
      <c r="CA14" s="124">
        <f>CA15+CA17-CA19</f>
        <v>261049</v>
      </c>
      <c r="CB14" s="124">
        <f>CB15+CB17-CB19</f>
        <v>720951</v>
      </c>
      <c r="CC14" s="292">
        <f>SUM(BY14:CB14)</f>
        <v>982000</v>
      </c>
      <c r="CD14" s="124">
        <f>CD15+CD17-CD19</f>
        <v>238878</v>
      </c>
      <c r="CE14" s="124">
        <f>CE15+CE17-CE19</f>
        <v>292082</v>
      </c>
      <c r="CF14" s="124">
        <f>CF15+CF17-CF19</f>
        <v>410346</v>
      </c>
      <c r="CG14" s="124">
        <f>CG15+CG17-CG19</f>
        <v>404605</v>
      </c>
      <c r="CH14" s="292">
        <f>SUM(CD14:CG14)</f>
        <v>1345911</v>
      </c>
      <c r="CI14" s="124">
        <f>CI15+CI17-CI19</f>
        <v>590373</v>
      </c>
      <c r="CJ14" s="124">
        <f>CJ15+CJ17-CJ19</f>
        <v>682578</v>
      </c>
      <c r="CK14" s="124">
        <f>CK15+CK17-CK19</f>
        <v>682371</v>
      </c>
      <c r="CL14" s="124">
        <f>CL15+CL17-CL19</f>
        <v>611366</v>
      </c>
      <c r="CM14" s="292">
        <f>SUM(CI14:CL14)</f>
        <v>2566688</v>
      </c>
      <c r="CN14" s="124">
        <f>CN15+CN17-CN19</f>
        <v>753366</v>
      </c>
      <c r="CO14" s="124">
        <f>CO15+CO17-CO19</f>
        <v>897485</v>
      </c>
      <c r="CP14" s="124">
        <f>CP15+CP17-CP19</f>
        <v>885833</v>
      </c>
      <c r="CQ14" s="124">
        <f>CQ15+CQ17-CQ19</f>
        <v>753062.04715999996</v>
      </c>
      <c r="CR14" s="292">
        <f>SUM(CN14:CQ14)</f>
        <v>3289746.0471600001</v>
      </c>
      <c r="CS14" s="124">
        <f>CS15+CS17-CS19</f>
        <v>1078891.9739699997</v>
      </c>
      <c r="CT14" s="124">
        <f>CT15+CT17-CT19</f>
        <v>1193950.7560000001</v>
      </c>
      <c r="CU14" s="124">
        <f>CU15+CU17-CU19</f>
        <v>972643.94625000027</v>
      </c>
      <c r="CV14" s="124">
        <f>CV15+CV17-CV19</f>
        <v>904671.58600000001</v>
      </c>
      <c r="CW14" s="292">
        <f>SUM(CS14:CV14)</f>
        <v>4150158.2622199999</v>
      </c>
      <c r="CX14" s="124">
        <f>CX15+CX17-CX19</f>
        <v>1552135.31929</v>
      </c>
      <c r="CY14" s="124">
        <f>CY15+CY17-CY19</f>
        <v>1749239.9412900002</v>
      </c>
      <c r="CZ14" s="124">
        <f>CZ15+CZ17-CZ19</f>
        <v>1437151.16322</v>
      </c>
      <c r="DA14" s="124">
        <f>DA15+DA17-DA19</f>
        <v>1423748</v>
      </c>
      <c r="DB14" s="292">
        <f>SUM(CX14:DA14)</f>
        <v>6162274.4238000009</v>
      </c>
      <c r="DC14" s="124">
        <f>DC15+DC17-DC19</f>
        <v>2105578.8965500002</v>
      </c>
      <c r="DD14" s="124">
        <f>DD15+DD17-DD19</f>
        <v>2261363.1793000004</v>
      </c>
      <c r="DE14" s="124">
        <f>DE15+DE17-DE19</f>
        <v>1827036.243</v>
      </c>
      <c r="DF14" s="124">
        <f>DF15+DF17-DF19</f>
        <v>1556335.6542800006</v>
      </c>
      <c r="DG14" s="292">
        <f>SUM(DC14:DF14)</f>
        <v>7750313.9731300008</v>
      </c>
      <c r="DH14" s="124">
        <f>DH15+DH17-DH19</f>
        <v>2304619.7087000008</v>
      </c>
      <c r="DI14" s="124">
        <f>DI15+DI17-DI19</f>
        <v>2045507.7053900007</v>
      </c>
      <c r="DJ14" s="124">
        <f>DJ15+DJ17-DJ19</f>
        <v>2113163.0074579474</v>
      </c>
      <c r="DK14" s="124">
        <f>DK15+DK17-DK19</f>
        <v>2169193.1742033567</v>
      </c>
      <c r="DL14" s="292">
        <f>SUM(DH14:DK14)</f>
        <v>8632483.595751306</v>
      </c>
      <c r="DM14" s="124">
        <f>DM15+DM17-DM19</f>
        <v>2265196.8576968303</v>
      </c>
      <c r="DN14" s="124">
        <f>DN15+DN17-DN19</f>
        <v>2313510.1774195712</v>
      </c>
      <c r="DO14" s="124">
        <f>DO15+DO17-DO19</f>
        <v>2349529.1498224647</v>
      </c>
      <c r="DP14" s="124">
        <f>DP15+DP17-DP19</f>
        <v>2381987.0017404603</v>
      </c>
      <c r="DQ14" s="292">
        <f>SUM(DM14:DP14)</f>
        <v>9310223.186679326</v>
      </c>
      <c r="DR14" s="124">
        <f>DR15+DR17-DR19</f>
        <v>2412443.431656308</v>
      </c>
      <c r="DS14" s="124">
        <f>DS15+DS17-DS19</f>
        <v>2441880.6708919248</v>
      </c>
      <c r="DT14" s="124">
        <f>DT15+DT17-DT19</f>
        <v>2470845.5617740247</v>
      </c>
      <c r="DU14" s="124">
        <f>DU15+DU17-DU19</f>
        <v>2499646.9721392319</v>
      </c>
      <c r="DV14" s="292">
        <f>SUM(DR14:DU14)</f>
        <v>9824816.6364614889</v>
      </c>
      <c r="DW14" s="124">
        <f>DW15+DW17-DW19</f>
        <v>2528461.304630579</v>
      </c>
      <c r="DX14" s="124">
        <f>DX15+DX17-DX19</f>
        <v>2557391.1753178136</v>
      </c>
      <c r="DY14" s="124">
        <f>DY15+DY17-DY19</f>
        <v>2586497.9814199326</v>
      </c>
      <c r="DZ14" s="124">
        <f>DZ15+DZ17-DZ19</f>
        <v>2615819.9918221291</v>
      </c>
      <c r="EA14" s="292">
        <f>SUM(DW14:DZ14)</f>
        <v>10288170.453190453</v>
      </c>
      <c r="EB14" s="124">
        <f>EB15+EB17-EB19</f>
        <v>2645382.4067487577</v>
      </c>
      <c r="EC14" s="124">
        <f>EC15+EC17-EC19</f>
        <v>2675202.9615694801</v>
      </c>
      <c r="ED14" s="124">
        <f>ED15+ED17-ED19</f>
        <v>2705295.0573314102</v>
      </c>
      <c r="EE14" s="124">
        <f>EE15+EE17-EE19</f>
        <v>2735669.5176107711</v>
      </c>
      <c r="EF14" s="292">
        <f>SUM(EB14:EE14)</f>
        <v>10761549.943260418</v>
      </c>
    </row>
    <row r="15" spans="1:138" ht="12.75" customHeight="1">
      <c r="A15" s="1" t="s">
        <v>304</v>
      </c>
      <c r="B15" s="83"/>
      <c r="C15" s="83"/>
      <c r="D15" s="83"/>
      <c r="E15" s="83"/>
      <c r="F15" s="43">
        <f>SUM(B15:E15)</f>
        <v>0</v>
      </c>
      <c r="G15" s="83"/>
      <c r="H15" s="83"/>
      <c r="I15" s="83"/>
      <c r="J15" s="83"/>
      <c r="K15" s="43">
        <f>SUM(G15:J15)</f>
        <v>0</v>
      </c>
      <c r="L15" s="83"/>
      <c r="M15" s="83"/>
      <c r="N15" s="83"/>
      <c r="O15" s="83"/>
      <c r="P15" s="43">
        <f>SUM(L15:O15)</f>
        <v>0</v>
      </c>
      <c r="Q15" s="83"/>
      <c r="R15" s="83"/>
      <c r="S15" s="83"/>
      <c r="T15" s="83"/>
      <c r="U15" s="43">
        <f>SUM(Q15:T15)</f>
        <v>0</v>
      </c>
      <c r="V15" s="83"/>
      <c r="W15" s="83"/>
      <c r="X15" s="83"/>
      <c r="Y15" s="83"/>
      <c r="Z15" s="43">
        <f>SUM(V15:Y15)</f>
        <v>0</v>
      </c>
      <c r="AA15" s="83"/>
      <c r="AB15" s="83"/>
      <c r="AC15" s="83"/>
      <c r="AD15" s="83"/>
      <c r="AE15" s="43">
        <f>SUM(AA15:AD15)</f>
        <v>0</v>
      </c>
      <c r="AF15" s="291"/>
      <c r="AG15" s="291"/>
      <c r="AH15" s="291"/>
      <c r="AI15" s="291"/>
      <c r="AJ15" s="43">
        <f>SUM(AF15:AI15)</f>
        <v>0</v>
      </c>
      <c r="AK15" s="291"/>
      <c r="AL15" s="291"/>
      <c r="AM15" s="291"/>
      <c r="AN15" s="291"/>
      <c r="AO15" s="43">
        <f>SUM(AK15:AN15)</f>
        <v>0</v>
      </c>
      <c r="AP15" s="291"/>
      <c r="AQ15" s="291"/>
      <c r="AR15" s="291"/>
      <c r="AS15" s="291"/>
      <c r="AT15" s="43">
        <f>SUM(AP15:AS15)</f>
        <v>0</v>
      </c>
      <c r="AU15" s="291"/>
      <c r="AV15" s="291"/>
      <c r="AW15" s="291"/>
      <c r="AX15" s="291"/>
      <c r="AY15" s="43">
        <f>SUM(AU15:AX15)</f>
        <v>0</v>
      </c>
      <c r="AZ15" s="291"/>
      <c r="BA15" s="291"/>
      <c r="BB15" s="291"/>
      <c r="BC15" s="291"/>
      <c r="BD15" s="43">
        <f>SUM(AZ15:BC15)</f>
        <v>0</v>
      </c>
      <c r="BE15" s="140"/>
      <c r="BF15" s="140"/>
      <c r="BG15" s="140"/>
      <c r="BH15" s="291">
        <f>BH4*80%</f>
        <v>409189.60000000003</v>
      </c>
      <c r="BI15" s="43">
        <f>SUM(BE15:BH15)</f>
        <v>409189.60000000003</v>
      </c>
      <c r="BJ15" s="140"/>
      <c r="BK15" s="140"/>
      <c r="BL15" s="140"/>
      <c r="BM15" s="291">
        <f>BM4*80%</f>
        <v>434387.20000000001</v>
      </c>
      <c r="BN15" s="43">
        <f>SUM(BJ15:BM15)</f>
        <v>434387.20000000001</v>
      </c>
      <c r="BO15" s="140"/>
      <c r="BP15" s="140"/>
      <c r="BQ15" s="140"/>
      <c r="BR15" s="291">
        <f>BR4*80%</f>
        <v>609633.6</v>
      </c>
      <c r="BS15" s="43">
        <f>SUM(BO15:BR15)</f>
        <v>609633.6</v>
      </c>
      <c r="BT15" s="140"/>
      <c r="BU15" s="140"/>
      <c r="BV15" s="140"/>
      <c r="BW15" s="291">
        <f>BW4*80%</f>
        <v>725223.20000000007</v>
      </c>
      <c r="BX15" s="43">
        <f>SUM(BT15:BW15)</f>
        <v>725223.20000000007</v>
      </c>
      <c r="BY15" s="140"/>
      <c r="BZ15" s="140"/>
      <c r="CA15" s="140">
        <f>CA9*44.2%</f>
        <v>115383.658</v>
      </c>
      <c r="CB15" s="291">
        <f>CB4*70%-SUM(BY15:CA15)</f>
        <v>410523.54199999996</v>
      </c>
      <c r="CC15" s="43">
        <f>SUM(BY15:CB15)</f>
        <v>525907.19999999995</v>
      </c>
      <c r="CD15" s="140">
        <f>CD9*16.35%</f>
        <v>39056.553</v>
      </c>
      <c r="CE15" s="140">
        <f>CE9*45.7%</f>
        <v>133481.47400000002</v>
      </c>
      <c r="CF15" s="140">
        <f>CF9*51.2%</f>
        <v>210097.152</v>
      </c>
      <c r="CG15" s="140">
        <f>CG9*61.2%</f>
        <v>247618.26</v>
      </c>
      <c r="CH15" s="43">
        <f>SUM(CD15:CG15)</f>
        <v>630253.43900000001</v>
      </c>
      <c r="CI15" s="140">
        <f>CI9*67.2%</f>
        <v>396730.65600000002</v>
      </c>
      <c r="CJ15" s="140">
        <f>CJ9*55.8%</f>
        <v>380878.52399999998</v>
      </c>
      <c r="CK15" s="140">
        <f>CK9*58.9%</f>
        <v>401916.51899999997</v>
      </c>
      <c r="CL15" s="140">
        <f>CL9*62.4%</f>
        <v>381492.38400000002</v>
      </c>
      <c r="CM15" s="43">
        <f>SUM(CI15:CL15)</f>
        <v>1561018.0830000001</v>
      </c>
      <c r="CN15" s="140">
        <f>CN9*60.9%</f>
        <v>458799.89399999997</v>
      </c>
      <c r="CO15" s="140">
        <f>CO9*45.7%</f>
        <v>410150.64500000002</v>
      </c>
      <c r="CP15" s="140">
        <f>CP9*45%</f>
        <v>398624.85000000003</v>
      </c>
      <c r="CQ15" s="140">
        <f>CQ9*36.9%</f>
        <v>277879.89540203998</v>
      </c>
      <c r="CR15" s="43">
        <f>SUM(CN15:CQ15)</f>
        <v>1545455.2844020398</v>
      </c>
      <c r="CS15" s="140">
        <f>CS9*73.3%</f>
        <v>790827.81692000979</v>
      </c>
      <c r="CT15" s="140">
        <f>CT9*40.5%</f>
        <v>483550.05618000007</v>
      </c>
      <c r="CU15" s="140">
        <f>CU9*54.9%</f>
        <v>533981.52649125003</v>
      </c>
      <c r="CV15" s="140">
        <f>CV9*57.9%</f>
        <v>523804.84829399997</v>
      </c>
      <c r="CW15" s="43">
        <f>SUM(CS15:CV15)</f>
        <v>2332164.2478852598</v>
      </c>
      <c r="CX15" s="140">
        <f>CX9*67.8%</f>
        <v>1052347.74647862</v>
      </c>
      <c r="CY15" s="140">
        <f>CY9*58.3%</f>
        <v>1019806.88577207</v>
      </c>
      <c r="CZ15" s="140">
        <f>CZ9*50.1%</f>
        <v>720012.73277322005</v>
      </c>
      <c r="DA15" s="140">
        <f>DA9*65%</f>
        <v>925436.20000000007</v>
      </c>
      <c r="DB15" s="43">
        <f>SUM(CX15:DA15)</f>
        <v>3717603.5650239103</v>
      </c>
      <c r="DC15" s="140">
        <f>DC9*72.8%</f>
        <v>1532861.4366884001</v>
      </c>
      <c r="DD15" s="140">
        <f>DD9*55%</f>
        <v>1243749.7486150004</v>
      </c>
      <c r="DE15" s="140">
        <f>DE9*56.2%</f>
        <v>1026794.3685660001</v>
      </c>
      <c r="DF15" s="140">
        <f>DF9*37.3%</f>
        <v>580513.19904644019</v>
      </c>
      <c r="DG15" s="43">
        <f>SUM(DC15:DF15)</f>
        <v>4383918.7529158406</v>
      </c>
      <c r="DH15" s="140">
        <f>DH9*57.7%</f>
        <v>1329765.5719199006</v>
      </c>
      <c r="DI15" s="140">
        <f>DI9*61.5%</f>
        <v>1257987.2388148503</v>
      </c>
      <c r="DJ15" s="293">
        <f>DJ16*DJ4</f>
        <v>1140930.8486351322</v>
      </c>
      <c r="DK15" s="293">
        <f>DK16*DK4</f>
        <v>980521.95199014572</v>
      </c>
      <c r="DL15" s="43">
        <f>SUM(DH15:DK15)</f>
        <v>4709205.6113600284</v>
      </c>
      <c r="DM15" s="293">
        <f>DM16*DM4</f>
        <v>1179089.3364761428</v>
      </c>
      <c r="DN15" s="293">
        <f>DN16*DN4</f>
        <v>1192135.9487818987</v>
      </c>
      <c r="DO15" s="293">
        <f>DO16*DO4</f>
        <v>1205326.9217288641</v>
      </c>
      <c r="DP15" s="293">
        <f>DP16*DP4</f>
        <v>1218663.852666162</v>
      </c>
      <c r="DQ15" s="43">
        <f>SUM(DM15:DP15)</f>
        <v>4795216.059653068</v>
      </c>
      <c r="DR15" s="293">
        <f>DR16*DR4</f>
        <v>1232148.356617569</v>
      </c>
      <c r="DS15" s="293">
        <f>DS16*DS4</f>
        <v>1245782.0664770841</v>
      </c>
      <c r="DT15" s="293">
        <f>DT16*DT4</f>
        <v>1259566.6332066627</v>
      </c>
      <c r="DU15" s="293">
        <f>DU16*DU4</f>
        <v>1273503.7260361391</v>
      </c>
      <c r="DV15" s="43">
        <f>SUM(DR15:DU15)</f>
        <v>5011000.7823374551</v>
      </c>
      <c r="DW15" s="293">
        <f>DW16*DW4</f>
        <v>1287595.0326653593</v>
      </c>
      <c r="DX15" s="293">
        <f>DX16*DX4</f>
        <v>1301842.2594685524</v>
      </c>
      <c r="DY15" s="293">
        <f>DY16*DY4</f>
        <v>1316247.1317009621</v>
      </c>
      <c r="DZ15" s="293">
        <f>DZ16*DZ4</f>
        <v>1330811.3937077648</v>
      </c>
      <c r="EA15" s="43">
        <f>SUM(DW15:DZ15)</f>
        <v>5236495.8175426386</v>
      </c>
      <c r="EB15" s="293">
        <f>EB16*EB4</f>
        <v>1345536.8091353001</v>
      </c>
      <c r="EC15" s="293">
        <f>EC16*EC4</f>
        <v>1360425.161144637</v>
      </c>
      <c r="ED15" s="293">
        <f>ED16*ED4</f>
        <v>1375478.2526275052</v>
      </c>
      <c r="EE15" s="293">
        <f>EE16*EE4</f>
        <v>1390697.9064246141</v>
      </c>
      <c r="EF15" s="43">
        <f>SUM(EB15:EE15)</f>
        <v>5472138.1293320563</v>
      </c>
    </row>
    <row r="16" spans="1:138" ht="12.75" customHeight="1">
      <c r="A16" s="1" t="s">
        <v>305</v>
      </c>
      <c r="B16" s="83"/>
      <c r="C16" s="83"/>
      <c r="D16" s="83"/>
      <c r="E16" s="83"/>
      <c r="F16" s="28" t="e">
        <f>F15/F4</f>
        <v>#DIV/0!</v>
      </c>
      <c r="G16" s="83"/>
      <c r="H16" s="83"/>
      <c r="I16" s="83"/>
      <c r="J16" s="83"/>
      <c r="K16" s="28" t="e">
        <f>K15/K4</f>
        <v>#DIV/0!</v>
      </c>
      <c r="L16" s="83"/>
      <c r="M16" s="83"/>
      <c r="N16" s="83"/>
      <c r="O16" s="83"/>
      <c r="P16" s="28" t="e">
        <f>P15/P4</f>
        <v>#DIV/0!</v>
      </c>
      <c r="Q16" s="83"/>
      <c r="R16" s="83"/>
      <c r="S16" s="83"/>
      <c r="T16" s="83"/>
      <c r="U16" s="28" t="e">
        <f>U15/U4</f>
        <v>#DIV/0!</v>
      </c>
      <c r="V16" s="83"/>
      <c r="W16" s="83"/>
      <c r="X16" s="83"/>
      <c r="Y16" s="83"/>
      <c r="Z16" s="28" t="e">
        <f>Z15/Z4</f>
        <v>#DIV/0!</v>
      </c>
      <c r="AA16" s="83"/>
      <c r="AB16" s="83"/>
      <c r="AC16" s="83"/>
      <c r="AD16" s="83"/>
      <c r="AE16" s="28" t="e">
        <f>AE15/AE4</f>
        <v>#DIV/0!</v>
      </c>
      <c r="AF16" s="27" t="e">
        <f>AF15/AF5</f>
        <v>#DIV/0!</v>
      </c>
      <c r="AG16" s="27" t="e">
        <f>AG15/AG5</f>
        <v>#DIV/0!</v>
      </c>
      <c r="AH16" s="27" t="e">
        <f>AH15/AH5</f>
        <v>#DIV/0!</v>
      </c>
      <c r="AI16" s="27" t="e">
        <f>AI15/AI5</f>
        <v>#DIV/0!</v>
      </c>
      <c r="AJ16" s="48" t="e">
        <f>AJ15/AJ4</f>
        <v>#DIV/0!</v>
      </c>
      <c r="AK16" s="27" t="e">
        <f>AK15/AK5</f>
        <v>#DIV/0!</v>
      </c>
      <c r="AL16" s="27" t="e">
        <f>AL15/AL5</f>
        <v>#DIV/0!</v>
      </c>
      <c r="AM16" s="27" t="e">
        <f>AM15/AM5</f>
        <v>#DIV/0!</v>
      </c>
      <c r="AN16" s="27" t="e">
        <f>AN15/AN5</f>
        <v>#DIV/0!</v>
      </c>
      <c r="AO16" s="48" t="e">
        <f>AO15/AO4</f>
        <v>#DIV/0!</v>
      </c>
      <c r="AP16" s="27" t="e">
        <f>AP15/AP5</f>
        <v>#DIV/0!</v>
      </c>
      <c r="AQ16" s="27" t="e">
        <f>AQ15/AQ5</f>
        <v>#DIV/0!</v>
      </c>
      <c r="AR16" s="27" t="e">
        <f>AR15/AR5</f>
        <v>#DIV/0!</v>
      </c>
      <c r="AS16" s="27" t="e">
        <f>AS15/AS5</f>
        <v>#DIV/0!</v>
      </c>
      <c r="AT16" s="48" t="e">
        <f>AT15/AT4</f>
        <v>#DIV/0!</v>
      </c>
      <c r="AU16" s="27" t="e">
        <f>AU15/AU5</f>
        <v>#DIV/0!</v>
      </c>
      <c r="AV16" s="27" t="e">
        <f>AV15/AV5</f>
        <v>#DIV/0!</v>
      </c>
      <c r="AW16" s="27" t="e">
        <f>AW15/AW5</f>
        <v>#DIV/0!</v>
      </c>
      <c r="AX16" s="27" t="e">
        <f>AX15/AX5</f>
        <v>#DIV/0!</v>
      </c>
      <c r="AY16" s="48" t="e">
        <f>AY15/AY4</f>
        <v>#DIV/0!</v>
      </c>
      <c r="AZ16" s="27" t="e">
        <f>AZ15/AZ5</f>
        <v>#DIV/0!</v>
      </c>
      <c r="BA16" s="27" t="e">
        <f>BA15/BA5</f>
        <v>#DIV/0!</v>
      </c>
      <c r="BB16" s="27" t="e">
        <f>BB15/BB5</f>
        <v>#DIV/0!</v>
      </c>
      <c r="BC16" s="27" t="e">
        <f>BC15/BC5</f>
        <v>#DIV/0!</v>
      </c>
      <c r="BD16" s="48" t="e">
        <f>BD15/BD4</f>
        <v>#DIV/0!</v>
      </c>
      <c r="BE16" s="27" t="e">
        <f>BE15/BE5</f>
        <v>#DIV/0!</v>
      </c>
      <c r="BF16" s="27" t="e">
        <f>BF15/BF5</f>
        <v>#DIV/0!</v>
      </c>
      <c r="BG16" s="27" t="e">
        <f>BG15/BG5</f>
        <v>#DIV/0!</v>
      </c>
      <c r="BH16" s="27">
        <f>BH15/BH5</f>
        <v>1</v>
      </c>
      <c r="BI16" s="48">
        <f>BI15/BI4</f>
        <v>0.8</v>
      </c>
      <c r="BJ16" s="27" t="e">
        <f>BJ15/BJ5</f>
        <v>#DIV/0!</v>
      </c>
      <c r="BK16" s="27" t="e">
        <f>BK15/BK5</f>
        <v>#DIV/0!</v>
      </c>
      <c r="BL16" s="27" t="e">
        <f>BL15/BL5</f>
        <v>#DIV/0!</v>
      </c>
      <c r="BM16" s="27">
        <f>BM15/BM5</f>
        <v>1</v>
      </c>
      <c r="BN16" s="48">
        <f>BN15/BN4</f>
        <v>0.8</v>
      </c>
      <c r="BO16" s="27" t="e">
        <f>BO15/BO5</f>
        <v>#DIV/0!</v>
      </c>
      <c r="BP16" s="27" t="e">
        <f>BP15/BP5</f>
        <v>#DIV/0!</v>
      </c>
      <c r="BQ16" s="27" t="e">
        <f>BQ15/BQ5</f>
        <v>#DIV/0!</v>
      </c>
      <c r="BR16" s="27">
        <f>BR15/BR5</f>
        <v>1</v>
      </c>
      <c r="BS16" s="48">
        <f>BS15/BS4</f>
        <v>0.79999999999999993</v>
      </c>
      <c r="BT16" s="27" t="e">
        <f>BT15/BT5</f>
        <v>#DIV/0!</v>
      </c>
      <c r="BU16" s="27" t="e">
        <f>BU15/BU5</f>
        <v>#DIV/0!</v>
      </c>
      <c r="BV16" s="27" t="e">
        <f>BV15/BV5</f>
        <v>#DIV/0!</v>
      </c>
      <c r="BW16" s="27">
        <f>BW15/BW5</f>
        <v>1</v>
      </c>
      <c r="BX16" s="48">
        <f>BX15/BX4</f>
        <v>0.8</v>
      </c>
      <c r="BY16" s="27" t="e">
        <f>BY15/BY5</f>
        <v>#DIV/0!</v>
      </c>
      <c r="BZ16" s="27" t="e">
        <f>BZ15/BZ5</f>
        <v>#DIV/0!</v>
      </c>
      <c r="CA16" s="27">
        <f>CA15/CA5</f>
        <v>0.33626021600638811</v>
      </c>
      <c r="CB16" s="27">
        <f t="shared" ref="CB16:DD16" si="15">CB15/CB4</f>
        <v>0.54642050802879283</v>
      </c>
      <c r="CC16" s="48">
        <f t="shared" si="15"/>
        <v>0.46132210526315787</v>
      </c>
      <c r="CD16" s="27">
        <f t="shared" si="15"/>
        <v>0.24783963880498516</v>
      </c>
      <c r="CE16" s="27">
        <f t="shared" si="15"/>
        <v>0.42847344058960996</v>
      </c>
      <c r="CF16" s="27">
        <f t="shared" si="15"/>
        <v>0.52933196946411021</v>
      </c>
      <c r="CG16" s="27">
        <f t="shared" si="15"/>
        <v>0.36695059276822761</v>
      </c>
      <c r="CH16" s="48">
        <f t="shared" si="15"/>
        <v>0.40903608778668066</v>
      </c>
      <c r="CI16" s="27">
        <f t="shared" si="15"/>
        <v>0.6718611605517405</v>
      </c>
      <c r="CJ16" s="27">
        <f t="shared" si="15"/>
        <v>0.55506358160798264</v>
      </c>
      <c r="CK16" s="27">
        <f t="shared" si="15"/>
        <v>0.55804377388145909</v>
      </c>
      <c r="CL16" s="27">
        <f t="shared" si="15"/>
        <v>0.48406534695426096</v>
      </c>
      <c r="CM16" s="48">
        <f t="shared" si="15"/>
        <v>0.56050737466198497</v>
      </c>
      <c r="CN16" s="27">
        <f t="shared" si="15"/>
        <v>0.58733904371759582</v>
      </c>
      <c r="CO16" s="27">
        <f t="shared" si="15"/>
        <v>0.38828330578481102</v>
      </c>
      <c r="CP16" s="27">
        <f t="shared" si="15"/>
        <v>0.43369045831674186</v>
      </c>
      <c r="CQ16" s="27">
        <f t="shared" si="15"/>
        <v>0.49964101784829512</v>
      </c>
      <c r="CR16" s="48">
        <f t="shared" si="15"/>
        <v>0.46651407776272569</v>
      </c>
      <c r="CS16" s="27">
        <f t="shared" si="15"/>
        <v>0.55692847989057792</v>
      </c>
      <c r="CT16" s="27">
        <f t="shared" si="15"/>
        <v>0.39552087994562313</v>
      </c>
      <c r="CU16" s="27">
        <f t="shared" si="15"/>
        <v>0.567029654611786</v>
      </c>
      <c r="CV16" s="27">
        <f t="shared" si="15"/>
        <v>0.61148818592470111</v>
      </c>
      <c r="CW16" s="48">
        <f t="shared" si="15"/>
        <v>0.52515933111794977</v>
      </c>
      <c r="CX16" s="27">
        <f t="shared" si="15"/>
        <v>0.55847079499214691</v>
      </c>
      <c r="CY16" s="27">
        <f t="shared" si="15"/>
        <v>0.58789102478203636</v>
      </c>
      <c r="CZ16" s="27">
        <f t="shared" si="15"/>
        <v>0.46134049900347091</v>
      </c>
      <c r="DA16" s="27">
        <f t="shared" si="15"/>
        <v>0.66110282840073531</v>
      </c>
      <c r="DB16" s="48">
        <f t="shared" si="15"/>
        <v>0.56502321666998578</v>
      </c>
      <c r="DC16" s="27">
        <f t="shared" si="15"/>
        <v>0.55069390351832892</v>
      </c>
      <c r="DD16" s="27">
        <f t="shared" si="15"/>
        <v>0.55891690597688426</v>
      </c>
      <c r="DE16" s="27">
        <f t="shared" ref="DE16:DF16" si="16">DE15/DE4</f>
        <v>0.51691800534573284</v>
      </c>
      <c r="DF16" s="27">
        <f t="shared" si="16"/>
        <v>0.4501798962464012</v>
      </c>
      <c r="DG16" s="48">
        <f>DG15/DG4</f>
        <v>0.52915930823446222</v>
      </c>
      <c r="DH16" s="27">
        <f t="shared" ref="DH16:DI16" si="17">DH15/DH4</f>
        <v>0.50241295270420894</v>
      </c>
      <c r="DI16" s="27">
        <f t="shared" si="17"/>
        <v>0.55739874909243536</v>
      </c>
      <c r="DJ16" s="294">
        <v>0.5</v>
      </c>
      <c r="DK16" s="294">
        <v>0.5</v>
      </c>
      <c r="DL16" s="48">
        <f>DL15/DL4</f>
        <v>0.51486124025987834</v>
      </c>
      <c r="DM16" s="294">
        <v>0.5</v>
      </c>
      <c r="DN16" s="294">
        <v>0.5</v>
      </c>
      <c r="DO16" s="294">
        <v>0.5</v>
      </c>
      <c r="DP16" s="294">
        <v>0.5</v>
      </c>
      <c r="DQ16" s="48">
        <f>DQ15/DQ4</f>
        <v>0.5</v>
      </c>
      <c r="DR16" s="294">
        <f>DP16</f>
        <v>0.5</v>
      </c>
      <c r="DS16" s="294">
        <f>DR16</f>
        <v>0.5</v>
      </c>
      <c r="DT16" s="294">
        <f>DS16</f>
        <v>0.5</v>
      </c>
      <c r="DU16" s="294">
        <f>DT16</f>
        <v>0.5</v>
      </c>
      <c r="DV16" s="48">
        <f>DV15/DV4</f>
        <v>0.5</v>
      </c>
      <c r="DW16" s="294">
        <f>DU16</f>
        <v>0.5</v>
      </c>
      <c r="DX16" s="294">
        <f>DW16</f>
        <v>0.5</v>
      </c>
      <c r="DY16" s="294">
        <f>DX16</f>
        <v>0.5</v>
      </c>
      <c r="DZ16" s="294">
        <f>DY16</f>
        <v>0.5</v>
      </c>
      <c r="EA16" s="48">
        <f>EA15/EA4</f>
        <v>0.5</v>
      </c>
      <c r="EB16" s="294">
        <f>DZ16</f>
        <v>0.5</v>
      </c>
      <c r="EC16" s="294">
        <f>EB16</f>
        <v>0.5</v>
      </c>
      <c r="ED16" s="294">
        <f>EC16</f>
        <v>0.5</v>
      </c>
      <c r="EE16" s="294">
        <f>ED16</f>
        <v>0.5</v>
      </c>
      <c r="EF16" s="48">
        <f>EF15/EF4</f>
        <v>0.5</v>
      </c>
    </row>
    <row r="17" spans="1:136" ht="12.75" customHeight="1">
      <c r="A17" s="1" t="s">
        <v>306</v>
      </c>
      <c r="B17" s="83"/>
      <c r="C17" s="83"/>
      <c r="D17" s="83"/>
      <c r="E17" s="83"/>
      <c r="F17" s="43">
        <f>SUM(B17:E17)</f>
        <v>0</v>
      </c>
      <c r="G17" s="83"/>
      <c r="H17" s="83"/>
      <c r="I17" s="83"/>
      <c r="J17" s="83"/>
      <c r="K17" s="43">
        <f>SUM(G17:J17)</f>
        <v>0</v>
      </c>
      <c r="L17" s="83"/>
      <c r="M17" s="83"/>
      <c r="N17" s="83"/>
      <c r="O17" s="83"/>
      <c r="P17" s="43">
        <f>SUM(L17:O17)</f>
        <v>0</v>
      </c>
      <c r="Q17" s="83"/>
      <c r="R17" s="83"/>
      <c r="S17" s="83"/>
      <c r="T17" s="83"/>
      <c r="U17" s="43">
        <f>SUM(Q17:T17)</f>
        <v>0</v>
      </c>
      <c r="V17" s="83"/>
      <c r="W17" s="83"/>
      <c r="X17" s="83"/>
      <c r="Y17" s="83"/>
      <c r="Z17" s="43">
        <f>SUM(V17:Y17)</f>
        <v>0</v>
      </c>
      <c r="AA17" s="83"/>
      <c r="AB17" s="83"/>
      <c r="AC17" s="83"/>
      <c r="AD17" s="83"/>
      <c r="AE17" s="43">
        <f>SUM(AA17:AD17)</f>
        <v>0</v>
      </c>
      <c r="AF17" s="224"/>
      <c r="AG17" s="224"/>
      <c r="AH17" s="224"/>
      <c r="AI17" s="224"/>
      <c r="AJ17" s="43">
        <f>SUM(AF17:AI17)</f>
        <v>0</v>
      </c>
      <c r="AK17" s="224"/>
      <c r="AL17" s="224"/>
      <c r="AM17" s="224"/>
      <c r="AN17" s="224"/>
      <c r="AO17" s="43">
        <f>SUM(AK17:AN17)</f>
        <v>0</v>
      </c>
      <c r="AP17" s="224"/>
      <c r="AQ17" s="224"/>
      <c r="AR17" s="224"/>
      <c r="AS17" s="224"/>
      <c r="AT17" s="43">
        <f>SUM(AP17:AS17)</f>
        <v>0</v>
      </c>
      <c r="AU17" s="224"/>
      <c r="AV17" s="224"/>
      <c r="AW17" s="224"/>
      <c r="AX17" s="224"/>
      <c r="AY17" s="43">
        <f>SUM(AU17:AX17)</f>
        <v>0</v>
      </c>
      <c r="AZ17" s="224"/>
      <c r="BA17" s="224"/>
      <c r="BB17" s="224"/>
      <c r="BC17" s="224"/>
      <c r="BD17" s="43">
        <f>SUM(AZ17:BC17)</f>
        <v>0</v>
      </c>
      <c r="BE17" s="94"/>
      <c r="BF17" s="94"/>
      <c r="BG17" s="94"/>
      <c r="BH17" s="224">
        <f>BH9-BH15+BH19</f>
        <v>193810.39999999997</v>
      </c>
      <c r="BI17" s="43">
        <f>SUM(BE17:BH17)</f>
        <v>193810.39999999997</v>
      </c>
      <c r="BJ17" s="94"/>
      <c r="BK17" s="94"/>
      <c r="BL17" s="94"/>
      <c r="BM17" s="224">
        <f>BM9-BM15+BM19</f>
        <v>218612.8</v>
      </c>
      <c r="BN17" s="43">
        <f>SUM(BJ17:BM17)</f>
        <v>218612.8</v>
      </c>
      <c r="BO17" s="94"/>
      <c r="BP17" s="94"/>
      <c r="BQ17" s="94"/>
      <c r="BR17" s="224">
        <f>BR9-BR15+BR19</f>
        <v>131366.40000000002</v>
      </c>
      <c r="BS17" s="43">
        <f>SUM(BO17:BR17)</f>
        <v>131366.40000000002</v>
      </c>
      <c r="BT17" s="94"/>
      <c r="BU17" s="94"/>
      <c r="BV17" s="94"/>
      <c r="BW17" s="224">
        <f>BW9-BW15+BW19</f>
        <v>161776.79999999993</v>
      </c>
      <c r="BX17" s="43">
        <f>SUM(BT17:BW17)</f>
        <v>161776.79999999993</v>
      </c>
      <c r="BY17" s="94"/>
      <c r="BZ17" s="94"/>
      <c r="CA17" s="94">
        <f>CA9-CA15+CA19</f>
        <v>186705.342</v>
      </c>
      <c r="CB17" s="224">
        <f>CB9-CB15+CB19</f>
        <v>310427.45800000004</v>
      </c>
      <c r="CC17" s="43">
        <f>SUM(BY17:CB17)</f>
        <v>497132.80000000005</v>
      </c>
      <c r="CD17" s="94">
        <f>CD9-CD15+CD19</f>
        <v>240273.44699999999</v>
      </c>
      <c r="CE17" s="94">
        <f>CE9-CE15+CE19</f>
        <v>200288.52599999998</v>
      </c>
      <c r="CF17" s="94">
        <f>CF9-CF15+CF19</f>
        <v>257335.848</v>
      </c>
      <c r="CG17" s="94">
        <f>CG9-CG15+CG19</f>
        <v>200986.74</v>
      </c>
      <c r="CH17" s="43">
        <f>SUM(CD17:CG17)</f>
        <v>898884.56099999999</v>
      </c>
      <c r="CI17" s="94">
        <f>CI9-CI15+CI19</f>
        <v>236787.34399999998</v>
      </c>
      <c r="CJ17" s="94">
        <f>CJ9-CJ15+CJ19</f>
        <v>355590.47600000002</v>
      </c>
      <c r="CK17" s="94">
        <f>CK9-CK15+CK19</f>
        <v>346785.48100000003</v>
      </c>
      <c r="CL17" s="94">
        <f>CL9-CL15+CL19</f>
        <v>290201.61599999998</v>
      </c>
      <c r="CM17" s="43">
        <f>SUM(CI17:CL17)</f>
        <v>1229364.9170000001</v>
      </c>
      <c r="CN17" s="94">
        <f>CN9-CN15+CN19</f>
        <v>353940.10600000003</v>
      </c>
      <c r="CO17" s="94">
        <f>CO9-CO15+CO19</f>
        <v>577269.35499999998</v>
      </c>
      <c r="CP17" s="94">
        <f>CP9-CP15+CP19</f>
        <v>568639.14999999991</v>
      </c>
      <c r="CQ17" s="94">
        <f>CQ9-CQ15+CQ19</f>
        <v>557582.15175795997</v>
      </c>
      <c r="CR17" s="43">
        <f>SUM(CN17:CQ17)</f>
        <v>2057430.76275796</v>
      </c>
      <c r="CS17" s="94">
        <f>CS9-CS15+CS19</f>
        <v>373209.20131998986</v>
      </c>
      <c r="CT17" s="94">
        <f>CT9-CT15+CT19</f>
        <v>858718.69981999998</v>
      </c>
      <c r="CU17" s="94">
        <f>CU9-CU15+CU19</f>
        <v>620341.41975875024</v>
      </c>
      <c r="CV17" s="94">
        <f>CV9-CV15+CV19</f>
        <v>501366.73770600004</v>
      </c>
      <c r="CW17" s="43">
        <f>SUM(CS17:CV17)</f>
        <v>2353636.0586047401</v>
      </c>
      <c r="CX17" s="94">
        <f>CX9-CX15+CX19</f>
        <v>627187.57281138003</v>
      </c>
      <c r="CY17" s="94">
        <f>CY9-CY15+CY19</f>
        <v>906393.11422792997</v>
      </c>
      <c r="CZ17" s="94">
        <f>CZ9-CZ15+CZ19</f>
        <v>870238.43044677994</v>
      </c>
      <c r="DA17" s="94">
        <f>DA9-DA15+DA19</f>
        <v>605611.79999999993</v>
      </c>
      <c r="DB17" s="43">
        <f>SUM(CX17:DA17)</f>
        <v>3009430.9174860897</v>
      </c>
      <c r="DC17" s="94">
        <f>DC9-DC15+DC19</f>
        <v>692517.45986160007</v>
      </c>
      <c r="DD17" s="94">
        <f>DD9-DD15+DD19</f>
        <v>1254213.430685</v>
      </c>
      <c r="DE17" s="94">
        <f>DE9-DE15+DE19</f>
        <v>1025041.8744339999</v>
      </c>
      <c r="DF17" s="94">
        <f>DF9-DF15+DF19</f>
        <v>1133522.4552335604</v>
      </c>
      <c r="DG17" s="43">
        <f>SUM(DC17:DF17)</f>
        <v>4105295.2202141606</v>
      </c>
      <c r="DH17" s="94">
        <f>DH9-DH15+DH19</f>
        <v>1204154.1367801002</v>
      </c>
      <c r="DI17" s="94">
        <f>DI9-DI15+DI19</f>
        <v>958720.46657515038</v>
      </c>
      <c r="DJ17" s="293">
        <f>DJ18*SUM(DI25:DI27)</f>
        <v>1203304.4188228154</v>
      </c>
      <c r="DK17" s="293">
        <f>DK18*SUM(DJ25:DJ27)</f>
        <v>1429631.8815912101</v>
      </c>
      <c r="DL17" s="43">
        <f>SUM(DH17:DK17)</f>
        <v>4795810.9037692761</v>
      </c>
      <c r="DM17" s="293">
        <f>DM18*SUM(DL25:DL27)</f>
        <v>1335964.7099908306</v>
      </c>
      <c r="DN17" s="293">
        <f>DN18*SUM(DM25:DM27)</f>
        <v>1377806.5268557859</v>
      </c>
      <c r="DO17" s="293">
        <f>DO18*SUM(DN25:DN27)</f>
        <v>1409649.3009206874</v>
      </c>
      <c r="DP17" s="293">
        <f>DP18*SUM(DO25:DO27)</f>
        <v>1437155.4130565564</v>
      </c>
      <c r="DQ17" s="43">
        <f>SUM(DM17:DP17)</f>
        <v>5560575.9508238602</v>
      </c>
      <c r="DR17" s="293">
        <f>DR18*SUM(DQ25:DQ27)</f>
        <v>1462058.7296728953</v>
      </c>
      <c r="DS17" s="293">
        <f>DS18*SUM(DR25:DR27)</f>
        <v>1485392.7063833687</v>
      </c>
      <c r="DT17" s="293">
        <f>DT18*SUM(DS25:DS27)</f>
        <v>1507750.2643113779</v>
      </c>
      <c r="DU17" s="293">
        <f>DU18*SUM(DT25:DT27)</f>
        <v>1529479.7313990633</v>
      </c>
      <c r="DV17" s="43">
        <f>SUM(DR17:DU17)</f>
        <v>5984681.4317667047</v>
      </c>
      <c r="DW17" s="293">
        <f>DW18*SUM(DV25:DV27)</f>
        <v>1550791.9473689343</v>
      </c>
      <c r="DX17" s="293">
        <f>DX18*SUM(DW25:DW27)</f>
        <v>1571819.8896839975</v>
      </c>
      <c r="DY17" s="293">
        <f>DY18*SUM(DX25:DX27)</f>
        <v>1592651.8943126781</v>
      </c>
      <c r="DZ17" s="293">
        <f>DZ18*SUM(DY25:DY27)</f>
        <v>1613350.2212045742</v>
      </c>
      <c r="EA17" s="43">
        <f>SUM(DW17:DZ17)</f>
        <v>6328613.9525701841</v>
      </c>
      <c r="EB17" s="293">
        <f>EB18*SUM(EA25:EA27)</f>
        <v>1633961.4792216043</v>
      </c>
      <c r="EC17" s="293">
        <f>EC18*SUM(EB25:EB27)</f>
        <v>1654522.5244064333</v>
      </c>
      <c r="ED17" s="293">
        <f>ED18*SUM(EC25:EC27)</f>
        <v>1675063.8367303407</v>
      </c>
      <c r="EE17" s="293">
        <f>EE18*SUM(ED25:ED27)</f>
        <v>1695611.4882959607</v>
      </c>
      <c r="EF17" s="43">
        <f>SUM(EB17:EE17)</f>
        <v>6659159.3286543395</v>
      </c>
    </row>
    <row r="18" spans="1:136" ht="12.75" customHeight="1">
      <c r="A18" s="1" t="s">
        <v>305</v>
      </c>
      <c r="B18" s="83"/>
      <c r="C18" s="83"/>
      <c r="D18" s="83"/>
      <c r="E18" s="83"/>
      <c r="F18" s="28" t="e">
        <f>F17/AVERAGE(A24:D24)</f>
        <v>#DIV/0!</v>
      </c>
      <c r="G18" s="83"/>
      <c r="H18" s="83"/>
      <c r="I18" s="83"/>
      <c r="J18" s="83"/>
      <c r="K18" s="28" t="e">
        <f>K17/AVERAGE(F24:I24)</f>
        <v>#DIV/0!</v>
      </c>
      <c r="L18" s="83"/>
      <c r="M18" s="83"/>
      <c r="N18" s="83"/>
      <c r="O18" s="83"/>
      <c r="P18" s="28" t="e">
        <f>P17/AVERAGE(K24:N24)</f>
        <v>#DIV/0!</v>
      </c>
      <c r="Q18" s="83"/>
      <c r="R18" s="83"/>
      <c r="S18" s="83"/>
      <c r="T18" s="83"/>
      <c r="U18" s="28" t="e">
        <f>U17/AVERAGE(P24:S24)</f>
        <v>#DIV/0!</v>
      </c>
      <c r="V18" s="83"/>
      <c r="W18" s="83"/>
      <c r="X18" s="83"/>
      <c r="Y18" s="83"/>
      <c r="Z18" s="28" t="e">
        <f>Z17/AVERAGE(U24:X24)</f>
        <v>#DIV/0!</v>
      </c>
      <c r="AA18" s="83"/>
      <c r="AB18" s="83"/>
      <c r="AC18" s="83"/>
      <c r="AD18" s="83"/>
      <c r="AE18" s="28" t="e">
        <f>AE17/AVERAGE(Z24:AC24)</f>
        <v>#DIV/0!</v>
      </c>
      <c r="AF18" s="27" t="e">
        <f>AF17/AE24</f>
        <v>#DIV/0!</v>
      </c>
      <c r="AG18" s="27" t="e">
        <f>AG17/AF24</f>
        <v>#DIV/0!</v>
      </c>
      <c r="AH18" s="27" t="e">
        <f>AH17/AG24</f>
        <v>#DIV/0!</v>
      </c>
      <c r="AI18" s="27" t="e">
        <f>AI17/AH24</f>
        <v>#DIV/0!</v>
      </c>
      <c r="AJ18" s="48" t="e">
        <f>AJ17/AVERAGE(AE24:AH24)</f>
        <v>#DIV/0!</v>
      </c>
      <c r="AK18" s="27" t="e">
        <f>AK17/AJ24</f>
        <v>#DIV/0!</v>
      </c>
      <c r="AL18" s="27" t="e">
        <f>AL17/AK24</f>
        <v>#DIV/0!</v>
      </c>
      <c r="AM18" s="27" t="e">
        <f>AM17/AL24</f>
        <v>#DIV/0!</v>
      </c>
      <c r="AN18" s="27" t="e">
        <f>AN17/AM24</f>
        <v>#DIV/0!</v>
      </c>
      <c r="AO18" s="48" t="e">
        <f>AO17/AVERAGE(AJ24:AM24)</f>
        <v>#DIV/0!</v>
      </c>
      <c r="AP18" s="27" t="e">
        <f>AP17/AO24</f>
        <v>#DIV/0!</v>
      </c>
      <c r="AQ18" s="27" t="e">
        <f>AQ17/AP24</f>
        <v>#DIV/0!</v>
      </c>
      <c r="AR18" s="27" t="e">
        <f>AR17/AQ24</f>
        <v>#DIV/0!</v>
      </c>
      <c r="AS18" s="27" t="e">
        <f>AS17/AR24</f>
        <v>#DIV/0!</v>
      </c>
      <c r="AT18" s="48" t="e">
        <f>AT17/AVERAGE(AO24:AR24)</f>
        <v>#DIV/0!</v>
      </c>
      <c r="AU18" s="27" t="e">
        <f>AU17/AT24</f>
        <v>#DIV/0!</v>
      </c>
      <c r="AV18" s="27" t="e">
        <f>AV17/AU24</f>
        <v>#DIV/0!</v>
      </c>
      <c r="AW18" s="27" t="e">
        <f>AW17/AV24</f>
        <v>#DIV/0!</v>
      </c>
      <c r="AX18" s="27" t="e">
        <f>AX17/AW24</f>
        <v>#DIV/0!</v>
      </c>
      <c r="AY18" s="48" t="e">
        <f>AY17/AVERAGE(AT24:AW24)</f>
        <v>#DIV/0!</v>
      </c>
      <c r="AZ18" s="27" t="e">
        <f>AZ17/AY24</f>
        <v>#DIV/0!</v>
      </c>
      <c r="BA18" s="27" t="e">
        <f>BA17/AZ24</f>
        <v>#DIV/0!</v>
      </c>
      <c r="BB18" s="27" t="e">
        <f>BB17/BA24</f>
        <v>#DIV/0!</v>
      </c>
      <c r="BC18" s="27" t="e">
        <f>BC17/BB24</f>
        <v>#DIV/0!</v>
      </c>
      <c r="BD18" s="48" t="e">
        <f>BD17/AVERAGE(AY24:BB24)</f>
        <v>#DIV/0!</v>
      </c>
      <c r="BE18" s="27" t="e">
        <f>BE17/SUM(BD25:BD27)</f>
        <v>#DIV/0!</v>
      </c>
      <c r="BF18" s="27" t="e">
        <f>BF17/SUM(BE25:BE27)</f>
        <v>#DIV/0!</v>
      </c>
      <c r="BG18" s="27" t="e">
        <f>BG17/SUM(BF25:BF27)</f>
        <v>#DIV/0!</v>
      </c>
      <c r="BH18" s="420" t="e">
        <f>BH17/SUM(BC25:BC27)</f>
        <v>#DIV/0!</v>
      </c>
      <c r="BI18" s="48" t="e">
        <f>BI17/(AVERAGE(BD26:BG26)+AVERAGE(BD27:BG27))</f>
        <v>#DIV/0!</v>
      </c>
      <c r="BJ18" s="27">
        <f>BJ17/SUM(BI25:BI27)</f>
        <v>0</v>
      </c>
      <c r="BK18" s="27" t="e">
        <f>BK17/SUM(BJ25:BJ27)</f>
        <v>#DIV/0!</v>
      </c>
      <c r="BL18" s="27" t="e">
        <f>BL17/SUM(BK25:BK27)</f>
        <v>#DIV/0!</v>
      </c>
      <c r="BM18" s="420">
        <f>BM17/SUM(BH25:BH27)</f>
        <v>0.45245243422128306</v>
      </c>
      <c r="BN18" s="48">
        <f>BN17/AVERAGE(BI24:BL24)</f>
        <v>0.45245243422128306</v>
      </c>
      <c r="BO18" s="27">
        <f>BO17/SUM(BN25:BN27)</f>
        <v>0</v>
      </c>
      <c r="BP18" s="27" t="e">
        <f>BP17/SUM(BO25:BO27)</f>
        <v>#DIV/0!</v>
      </c>
      <c r="BQ18" s="27" t="e">
        <f>BQ17/SUM(BP25:BP27)</f>
        <v>#DIV/0!</v>
      </c>
      <c r="BR18" s="420">
        <f>BR17/SUM(BM25:BM27)</f>
        <v>0.35204056201545203</v>
      </c>
      <c r="BS18" s="48">
        <f>BS17/AVERAGE(BN24:BQ24)</f>
        <v>0.35204056201545203</v>
      </c>
      <c r="BT18" s="27">
        <f>BT17/SUM(BS25:BS27)</f>
        <v>0</v>
      </c>
      <c r="BU18" s="27" t="e">
        <f>BU17/SUM(BT25:BT27)</f>
        <v>#DIV/0!</v>
      </c>
      <c r="BV18" s="27" t="e">
        <f>BV17/SUM(BU25:BU27)</f>
        <v>#DIV/0!</v>
      </c>
      <c r="BW18" s="420">
        <f>BW17/SUM(BR25:BR27)</f>
        <v>0.41039373514392463</v>
      </c>
      <c r="BX18" s="48">
        <f>BX17/AVERAGE(BS24:BV24)</f>
        <v>0.41039373514392458</v>
      </c>
      <c r="BY18" s="27">
        <f>BY17/SUM(BX25:BX27)</f>
        <v>0</v>
      </c>
      <c r="BZ18" s="27" t="e">
        <f>BZ17/SUM(BY25:BY27)</f>
        <v>#DIV/0!</v>
      </c>
      <c r="CA18" s="27" t="e">
        <f>CA17/SUM(BZ25:BZ27)</f>
        <v>#DIV/0!</v>
      </c>
      <c r="CB18" s="420">
        <f>CB17/SUM(BW25:BW27)</f>
        <v>0.75031774015778496</v>
      </c>
      <c r="CC18" s="48">
        <f>CC17/AVERAGE(BX24:CA24)</f>
        <v>1.2015933173485962</v>
      </c>
      <c r="CD18" s="27">
        <f>CD17/SUM(CC25:CC27)</f>
        <v>0.54106745287373914</v>
      </c>
      <c r="CE18" s="27">
        <f>CE17/SUM(CD25:CD27)</f>
        <v>0.40166395466131349</v>
      </c>
      <c r="CF18" s="27">
        <f>CF17/SUM(CE25:CE27)</f>
        <v>0.49669817581013448</v>
      </c>
      <c r="CG18" s="27">
        <f>CG17/SUM(CF25:CF27)</f>
        <v>0.42492989251312929</v>
      </c>
      <c r="CH18" s="48">
        <f>CH17/AVERAGE(CC24:CF24)</f>
        <v>1.8593113996734927</v>
      </c>
      <c r="CI18" s="27">
        <f>CI17/SUM(CH25:CH27)</f>
        <v>0.31651915123419655</v>
      </c>
      <c r="CJ18" s="27">
        <f>CJ17/SUM(CI25:CI27)</f>
        <v>0.46438647496934266</v>
      </c>
      <c r="CK18" s="27">
        <f>CK17/SUM(CJ25:CJ27)</f>
        <v>0.45986487389653674</v>
      </c>
      <c r="CL18" s="27">
        <f>CL17/SUM(CK25:CK27)</f>
        <v>0.36000428727735556</v>
      </c>
      <c r="CM18" s="48">
        <f>CM17/AVERAGE(CH24:CK24)</f>
        <v>1.5996795305703138</v>
      </c>
      <c r="CN18" s="27">
        <f>CN17/SUM(CM25:CM27)</f>
        <v>0.35410299337695345</v>
      </c>
      <c r="CO18" s="27">
        <f>CO17/SUM(CN25:CN27)</f>
        <v>0.54079236892372573</v>
      </c>
      <c r="CP18" s="27">
        <f>CP17/SUM(CO25:CO27)</f>
        <v>0.45187252354059698</v>
      </c>
      <c r="CQ18" s="27">
        <f>CQ17/SUM(CP25:CP27)</f>
        <v>0.42513227429231032</v>
      </c>
      <c r="CR18" s="48">
        <f>CR17/AVERAGE(CM24:CP24)</f>
        <v>1.7748150192886818</v>
      </c>
      <c r="CS18" s="27">
        <f>CS17/SUM(CR25:CR27)</f>
        <v>0.34498909347383055</v>
      </c>
      <c r="CT18" s="27">
        <f>CT17/SUM(CS25:CS27)</f>
        <v>0.61036264807880325</v>
      </c>
      <c r="CU18" s="27">
        <f>CU17/SUM(CT25:CT27)</f>
        <v>0.43191512142627325</v>
      </c>
      <c r="CV18" s="27">
        <f>CV17/SUM(CU25:CU27)</f>
        <v>0.3490330172552033</v>
      </c>
      <c r="CW18" s="48">
        <f>CW17/AVERAGE(CR24:CU24)</f>
        <v>1.7559855504106636</v>
      </c>
      <c r="CX18" s="27">
        <f>CX17/SUM(CW25:CW27)</f>
        <v>0.44050918273724066</v>
      </c>
      <c r="CY18" s="27">
        <f>CY17/SUM(CX25:CX27)</f>
        <v>0.53642349453175153</v>
      </c>
      <c r="CZ18" s="27">
        <f>CZ17/SUM(CY25:CY27)</f>
        <v>0.50807543980111447</v>
      </c>
      <c r="DA18" s="27">
        <f>DA17/SUM(CZ25:CZ27)</f>
        <v>0.32910512952510984</v>
      </c>
      <c r="DB18" s="48">
        <f>DB17/AVERAGE(CW24:CZ24)</f>
        <v>1.8057128193993708</v>
      </c>
      <c r="DC18" s="27">
        <f>DC17/SUM(DB25:DB27)</f>
        <v>0.37774469458630505</v>
      </c>
      <c r="DD18" s="27">
        <f>DD17/SUM(DC25:DC27)</f>
        <v>0.49553145330844189</v>
      </c>
      <c r="DE18" s="27">
        <f>DE17/SUM(DD25:DD27)</f>
        <v>0.41039051186520326</v>
      </c>
      <c r="DF18" s="27">
        <f>DF17/SUM(DE25:DE27)</f>
        <v>0.42323963425748812</v>
      </c>
      <c r="DG18" s="48">
        <f>DG17/AVERAGE(DB24:DE24)</f>
        <v>1.7212490572137105</v>
      </c>
      <c r="DH18" s="27">
        <f>DH17/SUM(DG25:DG27)</f>
        <v>0.50041297320139055</v>
      </c>
      <c r="DI18" s="27">
        <f>DI17/SUM(DH25:DH27)</f>
        <v>0.34176820043043665</v>
      </c>
      <c r="DJ18" s="294">
        <v>0.4</v>
      </c>
      <c r="DK18" s="294">
        <v>0.45</v>
      </c>
      <c r="DL18" s="48">
        <f>DL17/AVERAGE(DG24:DJ24)</f>
        <v>1.6832251020942808</v>
      </c>
      <c r="DM18" s="294">
        <v>0.45</v>
      </c>
      <c r="DN18" s="294">
        <v>0.45</v>
      </c>
      <c r="DO18" s="294">
        <v>0.45</v>
      </c>
      <c r="DP18" s="294">
        <v>0.45</v>
      </c>
      <c r="DQ18" s="48">
        <f>DQ17/AVERAGE(DL24:DO24)</f>
        <v>1.8</v>
      </c>
      <c r="DR18" s="294">
        <f>DP18</f>
        <v>0.45</v>
      </c>
      <c r="DS18" s="294">
        <f>DR18</f>
        <v>0.45</v>
      </c>
      <c r="DT18" s="294">
        <f>DS18</f>
        <v>0.45</v>
      </c>
      <c r="DU18" s="294">
        <f>DT18</f>
        <v>0.45</v>
      </c>
      <c r="DV18" s="48">
        <f>DV17/AVERAGE(DQ24:DT24)</f>
        <v>1.8000000000000003</v>
      </c>
      <c r="DW18" s="294">
        <f>DU18</f>
        <v>0.45</v>
      </c>
      <c r="DX18" s="294">
        <f>DW18</f>
        <v>0.45</v>
      </c>
      <c r="DY18" s="294">
        <f>DX18</f>
        <v>0.45</v>
      </c>
      <c r="DZ18" s="294">
        <f>DY18</f>
        <v>0.45</v>
      </c>
      <c r="EA18" s="48">
        <f>EA17/AVERAGE(DV24:DY24)</f>
        <v>1.8</v>
      </c>
      <c r="EB18" s="294">
        <f>DZ18</f>
        <v>0.45</v>
      </c>
      <c r="EC18" s="294">
        <f>EB18</f>
        <v>0.45</v>
      </c>
      <c r="ED18" s="294">
        <f>EC18</f>
        <v>0.45</v>
      </c>
      <c r="EE18" s="294">
        <f>ED18</f>
        <v>0.45</v>
      </c>
      <c r="EF18" s="48">
        <f>EF17/AVERAGE(EA24:ED24)</f>
        <v>1.8</v>
      </c>
    </row>
    <row r="19" spans="1:136" ht="12.75" customHeight="1">
      <c r="A19" s="1" t="s">
        <v>307</v>
      </c>
      <c r="B19" s="83"/>
      <c r="C19" s="83"/>
      <c r="D19" s="83"/>
      <c r="E19" s="83"/>
      <c r="F19" s="43">
        <f>SUM(B19:E19)</f>
        <v>0</v>
      </c>
      <c r="G19" s="83"/>
      <c r="H19" s="83"/>
      <c r="I19" s="83"/>
      <c r="J19" s="83"/>
      <c r="K19" s="43">
        <f>SUM(G19:J19)</f>
        <v>0</v>
      </c>
      <c r="L19" s="83"/>
      <c r="M19" s="83"/>
      <c r="N19" s="83"/>
      <c r="O19" s="83"/>
      <c r="P19" s="43">
        <f>SUM(L19:O19)</f>
        <v>0</v>
      </c>
      <c r="Q19" s="83"/>
      <c r="R19" s="83"/>
      <c r="S19" s="83"/>
      <c r="T19" s="83"/>
      <c r="U19" s="43">
        <f>SUM(Q19:T19)</f>
        <v>0</v>
      </c>
      <c r="V19" s="83"/>
      <c r="W19" s="83"/>
      <c r="X19" s="83"/>
      <c r="Y19" s="83"/>
      <c r="Z19" s="43">
        <f>SUM(V19:Y19)</f>
        <v>0</v>
      </c>
      <c r="AA19" s="83"/>
      <c r="AB19" s="83"/>
      <c r="AC19" s="83"/>
      <c r="AD19" s="83"/>
      <c r="AE19" s="43">
        <f>SUM(AA19:AD19)</f>
        <v>0</v>
      </c>
      <c r="AF19" s="224"/>
      <c r="AG19" s="224"/>
      <c r="AH19" s="224"/>
      <c r="AI19" s="224"/>
      <c r="AJ19" s="43">
        <f>SUM(AF19:AI19)</f>
        <v>0</v>
      </c>
      <c r="AK19" s="224"/>
      <c r="AL19" s="224"/>
      <c r="AM19" s="224"/>
      <c r="AN19" s="224"/>
      <c r="AO19" s="43">
        <f>SUM(AK19:AN19)</f>
        <v>0</v>
      </c>
      <c r="AP19" s="224"/>
      <c r="AQ19" s="224"/>
      <c r="AR19" s="224"/>
      <c r="AS19" s="224"/>
      <c r="AT19" s="43">
        <f>SUM(AP19:AS19)</f>
        <v>0</v>
      </c>
      <c r="AU19" s="224"/>
      <c r="AV19" s="224"/>
      <c r="AW19" s="224"/>
      <c r="AX19" s="224"/>
      <c r="AY19" s="43">
        <f>SUM(AU19:AX19)</f>
        <v>0</v>
      </c>
      <c r="AZ19" s="224"/>
      <c r="BA19" s="224"/>
      <c r="BB19" s="224"/>
      <c r="BC19" s="224"/>
      <c r="BD19" s="43">
        <f>SUM(AZ19:BC19)</f>
        <v>0</v>
      </c>
      <c r="BE19" s="94"/>
      <c r="BF19" s="94"/>
      <c r="BG19" s="94"/>
      <c r="BH19" s="224"/>
      <c r="BI19" s="43">
        <f>SUM(BE19:BH19)</f>
        <v>0</v>
      </c>
      <c r="BJ19" s="94"/>
      <c r="BK19" s="94"/>
      <c r="BL19" s="94"/>
      <c r="BM19" s="224"/>
      <c r="BN19" s="43">
        <f>SUM(BJ19:BM19)</f>
        <v>0</v>
      </c>
      <c r="BO19" s="94"/>
      <c r="BP19" s="94"/>
      <c r="BQ19" s="94"/>
      <c r="BR19" s="224"/>
      <c r="BS19" s="43">
        <f>SUM(BO19:BR19)</f>
        <v>0</v>
      </c>
      <c r="BT19" s="94"/>
      <c r="BU19" s="94"/>
      <c r="BV19" s="94"/>
      <c r="BW19" s="224"/>
      <c r="BX19" s="43">
        <f>SUM(BT19:BW19)</f>
        <v>0</v>
      </c>
      <c r="BY19" s="94"/>
      <c r="BZ19" s="94"/>
      <c r="CA19" s="94">
        <v>41040</v>
      </c>
      <c r="CB19" s="224"/>
      <c r="CC19" s="43">
        <f>SUM(BY19:CB19)</f>
        <v>41040</v>
      </c>
      <c r="CD19" s="94">
        <v>40452</v>
      </c>
      <c r="CE19" s="94">
        <v>41688</v>
      </c>
      <c r="CF19" s="94">
        <v>57087</v>
      </c>
      <c r="CG19" s="94">
        <v>44000</v>
      </c>
      <c r="CH19" s="43">
        <f>SUM(CD19:CG19)</f>
        <v>183227</v>
      </c>
      <c r="CI19" s="94">
        <v>43145</v>
      </c>
      <c r="CJ19" s="94">
        <v>53891</v>
      </c>
      <c r="CK19" s="94">
        <v>66331</v>
      </c>
      <c r="CL19" s="94">
        <f>671694-611366</f>
        <v>60328</v>
      </c>
      <c r="CM19" s="43">
        <f>SUM(CI19:CL19)</f>
        <v>223695</v>
      </c>
      <c r="CN19" s="94">
        <v>59374</v>
      </c>
      <c r="CO19" s="94">
        <v>89935</v>
      </c>
      <c r="CP19" s="94">
        <v>81431</v>
      </c>
      <c r="CQ19" s="94">
        <v>82400</v>
      </c>
      <c r="CR19" s="43">
        <f>SUM(CN19:CQ19)</f>
        <v>313140</v>
      </c>
      <c r="CS19" s="94">
        <v>85145.044269999984</v>
      </c>
      <c r="CT19" s="94">
        <v>148318</v>
      </c>
      <c r="CU19" s="224">
        <v>181679</v>
      </c>
      <c r="CV19" s="94">
        <v>120500</v>
      </c>
      <c r="CW19" s="43">
        <f>SUM(CS19:CV19)</f>
        <v>535642.04426999995</v>
      </c>
      <c r="CX19" s="94">
        <v>127400</v>
      </c>
      <c r="CY19" s="94">
        <f>1926200-CY9</f>
        <v>176960.05870999978</v>
      </c>
      <c r="CZ19" s="94">
        <v>153100</v>
      </c>
      <c r="DA19" s="94">
        <v>107300</v>
      </c>
      <c r="DB19" s="43">
        <f>SUM(CX19:DA19)</f>
        <v>564760.05870999978</v>
      </c>
      <c r="DC19" s="94">
        <v>119800</v>
      </c>
      <c r="DD19" s="94">
        <v>236600</v>
      </c>
      <c r="DE19" s="94">
        <v>224800</v>
      </c>
      <c r="DF19" s="94">
        <v>157700</v>
      </c>
      <c r="DG19" s="43">
        <f>SUM(DC19:DF19)</f>
        <v>738900</v>
      </c>
      <c r="DH19" s="94">
        <v>229300</v>
      </c>
      <c r="DI19" s="94">
        <v>171200</v>
      </c>
      <c r="DJ19" s="293">
        <f>('Balance Sheet'!DI8+'Balance Sheet'!DI107)*DJ20</f>
        <v>231072.26</v>
      </c>
      <c r="DK19" s="293">
        <f>('Balance Sheet'!DJ8+'Balance Sheet'!DJ107)*DK20</f>
        <v>240960.65937799923</v>
      </c>
      <c r="DL19" s="43">
        <f>SUM(DH19:DK19)</f>
        <v>872532.91937799926</v>
      </c>
      <c r="DM19" s="293">
        <f>('Balance Sheet'!DL8+'Balance Sheet'!DL107)*DM20</f>
        <v>249857.18877014308</v>
      </c>
      <c r="DN19" s="293">
        <f>('Balance Sheet'!DM8+'Balance Sheet'!DM107)*DN20</f>
        <v>256432.29821811325</v>
      </c>
      <c r="DO19" s="293">
        <f>('Balance Sheet'!DN8+'Balance Sheet'!DN107)*DO20</f>
        <v>265447.07282708696</v>
      </c>
      <c r="DP19" s="293">
        <f>('Balance Sheet'!DO8+'Balance Sheet'!DO107)*DP20</f>
        <v>273832.26398225775</v>
      </c>
      <c r="DQ19" s="43">
        <f>SUM(DM19:DP19)</f>
        <v>1045568.823797601</v>
      </c>
      <c r="DR19" s="293">
        <f>('Balance Sheet'!DQ8+'Balance Sheet'!DQ107)*DR20</f>
        <v>281763.65463415638</v>
      </c>
      <c r="DS19" s="293">
        <f>('Balance Sheet'!DR8+'Balance Sheet'!DR107)*DS20</f>
        <v>289294.10196852754</v>
      </c>
      <c r="DT19" s="293">
        <f>('Balance Sheet'!DS8+'Balance Sheet'!DS107)*DT20</f>
        <v>296471.33574401581</v>
      </c>
      <c r="DU19" s="293">
        <f>('Balance Sheet'!DT8+'Balance Sheet'!DT107)*DU20</f>
        <v>303336.48529597069</v>
      </c>
      <c r="DV19" s="43">
        <f>SUM(DR19:DU19)</f>
        <v>1170865.5776426704</v>
      </c>
      <c r="DW19" s="293">
        <f>('Balance Sheet'!DV8+'Balance Sheet'!DV107)*DW20</f>
        <v>309925.6754037147</v>
      </c>
      <c r="DX19" s="293">
        <f>('Balance Sheet'!DW8+'Balance Sheet'!DW107)*DX20</f>
        <v>316270.97383473639</v>
      </c>
      <c r="DY19" s="293">
        <f>('Balance Sheet'!DX8+'Balance Sheet'!DX107)*DY20</f>
        <v>322401.04459370777</v>
      </c>
      <c r="DZ19" s="293">
        <f>('Balance Sheet'!DY8+'Balance Sheet'!DY107)*DZ20</f>
        <v>328341.62309020991</v>
      </c>
      <c r="EA19" s="43">
        <f>SUM(DW19:DZ19)</f>
        <v>1276939.3169223689</v>
      </c>
      <c r="EB19" s="293">
        <f>('Balance Sheet'!EA8+'Balance Sheet'!EA107)*EB20</f>
        <v>334115.88160814671</v>
      </c>
      <c r="EC19" s="293">
        <f>('Balance Sheet'!EB8+'Balance Sheet'!EB107)*EC20</f>
        <v>339744.72398159065</v>
      </c>
      <c r="ED19" s="293">
        <f>('Balance Sheet'!EC8+'Balance Sheet'!EC107)*ED20</f>
        <v>345247.03202643583</v>
      </c>
      <c r="EE19" s="293">
        <f>('Balance Sheet'!ED8+'Balance Sheet'!ED107)*EE20</f>
        <v>350639.87710980355</v>
      </c>
      <c r="EF19" s="43">
        <f>SUM(EB19:EE19)</f>
        <v>1369747.5147259769</v>
      </c>
    </row>
    <row r="20" spans="1:136" ht="12.75" customHeight="1">
      <c r="A20" s="1" t="s">
        <v>308</v>
      </c>
      <c r="F20" s="48" t="e">
        <f>F19/('Balance Sheet'!A8+'Balance Sheet'!A107)</f>
        <v>#VALUE!</v>
      </c>
      <c r="K20" s="48" t="e">
        <f>K19/('Balance Sheet'!F8+'Balance Sheet'!F107)</f>
        <v>#DIV/0!</v>
      </c>
      <c r="P20" s="48" t="e">
        <f>P19/('Balance Sheet'!K8+'Balance Sheet'!K107)</f>
        <v>#DIV/0!</v>
      </c>
      <c r="U20" s="48" t="e">
        <f>U19/('Balance Sheet'!P8+'Balance Sheet'!P107)</f>
        <v>#DIV/0!</v>
      </c>
      <c r="Z20" s="48" t="e">
        <f>Z19/('Balance Sheet'!U8+'Balance Sheet'!U107)</f>
        <v>#DIV/0!</v>
      </c>
      <c r="AE20" s="48" t="e">
        <f>AE19/('Balance Sheet'!Z8+'Balance Sheet'!Z107)</f>
        <v>#DIV/0!</v>
      </c>
      <c r="AF20" s="295" t="e">
        <f>AF19/('Balance Sheet'!AE8+'Balance Sheet'!AE107)</f>
        <v>#DIV/0!</v>
      </c>
      <c r="AG20" s="295" t="e">
        <f>AG19/('Balance Sheet'!AF8+'Balance Sheet'!AF107)</f>
        <v>#DIV/0!</v>
      </c>
      <c r="AH20" s="295" t="e">
        <f>AH19/('Balance Sheet'!AG8+'Balance Sheet'!AG107)</f>
        <v>#DIV/0!</v>
      </c>
      <c r="AI20" s="295" t="e">
        <f>AI19/('Balance Sheet'!AH8+'Balance Sheet'!AH107)</f>
        <v>#DIV/0!</v>
      </c>
      <c r="AJ20" s="48" t="e">
        <f>AJ19/('Balance Sheet'!AE8+'Balance Sheet'!AE107)</f>
        <v>#DIV/0!</v>
      </c>
      <c r="AK20" s="295">
        <f>AK19/('Balance Sheet'!AJ8+'Balance Sheet'!AJ107)</f>
        <v>0</v>
      </c>
      <c r="AL20" s="295" t="e">
        <f>AL19/('Balance Sheet'!AK8+'Balance Sheet'!AK107)</f>
        <v>#DIV/0!</v>
      </c>
      <c r="AM20" s="295" t="e">
        <f>AM19/('Balance Sheet'!AL8+'Balance Sheet'!AL107)</f>
        <v>#DIV/0!</v>
      </c>
      <c r="AN20" s="295" t="e">
        <f>AN19/('Balance Sheet'!AM8+'Balance Sheet'!AM107)</f>
        <v>#DIV/0!</v>
      </c>
      <c r="AO20" s="48">
        <f>AO19/('Balance Sheet'!AJ8+'Balance Sheet'!AJ107)</f>
        <v>0</v>
      </c>
      <c r="AP20" s="295">
        <f>AP19/('Balance Sheet'!AO8+'Balance Sheet'!AO107)</f>
        <v>0</v>
      </c>
      <c r="AQ20" s="295" t="e">
        <f>AQ19/('Balance Sheet'!AP8+'Balance Sheet'!AP107)</f>
        <v>#DIV/0!</v>
      </c>
      <c r="AR20" s="295" t="e">
        <f>AR19/('Balance Sheet'!AQ8+'Balance Sheet'!AQ107)</f>
        <v>#DIV/0!</v>
      </c>
      <c r="AS20" s="295" t="e">
        <f>AS19/('Balance Sheet'!AR8+'Balance Sheet'!AR107)</f>
        <v>#DIV/0!</v>
      </c>
      <c r="AT20" s="48">
        <f>AT19/('Balance Sheet'!AO8+'Balance Sheet'!AO107)</f>
        <v>0</v>
      </c>
      <c r="AU20" s="295">
        <f>AU19/('Balance Sheet'!AT8+'Balance Sheet'!AT107)</f>
        <v>0</v>
      </c>
      <c r="AV20" s="295" t="e">
        <f>AV19/('Balance Sheet'!AU8+'Balance Sheet'!AU107)</f>
        <v>#DIV/0!</v>
      </c>
      <c r="AW20" s="295" t="e">
        <f>AW19/('Balance Sheet'!AV8+'Balance Sheet'!AV107)</f>
        <v>#DIV/0!</v>
      </c>
      <c r="AX20" s="295" t="e">
        <f>AX19/('Balance Sheet'!AW8+'Balance Sheet'!AW107)</f>
        <v>#DIV/0!</v>
      </c>
      <c r="AY20" s="48">
        <f>AY19/('Balance Sheet'!AT8+'Balance Sheet'!AT107)</f>
        <v>0</v>
      </c>
      <c r="AZ20" s="295">
        <f>AZ19/('Balance Sheet'!AY8+'Balance Sheet'!AY107)</f>
        <v>0</v>
      </c>
      <c r="BA20" s="295" t="e">
        <f>BA19/('Balance Sheet'!AZ8+'Balance Sheet'!AZ107)</f>
        <v>#DIV/0!</v>
      </c>
      <c r="BB20" s="295" t="e">
        <f>BB19/('Balance Sheet'!BA8+'Balance Sheet'!BA107)</f>
        <v>#DIV/0!</v>
      </c>
      <c r="BC20" s="295" t="e">
        <f>BC19/('Balance Sheet'!BB8+'Balance Sheet'!BB107)</f>
        <v>#DIV/0!</v>
      </c>
      <c r="BD20" s="48">
        <f>BD19/('Balance Sheet'!AY8+'Balance Sheet'!AY107)</f>
        <v>0</v>
      </c>
      <c r="BE20" s="295">
        <f>BE19/('Balance Sheet'!BD8+'Balance Sheet'!BD107)</f>
        <v>0</v>
      </c>
      <c r="BF20" s="295" t="e">
        <f>BF19/('Balance Sheet'!BE8+'Balance Sheet'!BE107)</f>
        <v>#DIV/0!</v>
      </c>
      <c r="BG20" s="295" t="e">
        <f>BG19/('Balance Sheet'!BF8+'Balance Sheet'!BF107)</f>
        <v>#DIV/0!</v>
      </c>
      <c r="BH20" s="295" t="e">
        <f>BH19/('Balance Sheet'!BG8+'Balance Sheet'!BG107)</f>
        <v>#DIV/0!</v>
      </c>
      <c r="BI20" s="48">
        <f>BI19/('Balance Sheet'!BD8+'Balance Sheet'!BD107)</f>
        <v>0</v>
      </c>
      <c r="BJ20" s="295">
        <f>BJ19/('Balance Sheet'!BI8+'Balance Sheet'!BI107)</f>
        <v>0</v>
      </c>
      <c r="BK20" s="295" t="e">
        <f>BK19/('Balance Sheet'!BJ8+'Balance Sheet'!BJ107)</f>
        <v>#DIV/0!</v>
      </c>
      <c r="BL20" s="295" t="e">
        <f>BL19/('Balance Sheet'!BK8+'Balance Sheet'!BK107)</f>
        <v>#DIV/0!</v>
      </c>
      <c r="BM20" s="295" t="e">
        <f>BM19/('Balance Sheet'!BL8+'Balance Sheet'!BL107)</f>
        <v>#DIV/0!</v>
      </c>
      <c r="BN20" s="48">
        <f>BN19/('Balance Sheet'!BI8+'Balance Sheet'!BI107)</f>
        <v>0</v>
      </c>
      <c r="BO20" s="295">
        <f>BO19/('Balance Sheet'!BN8+'Balance Sheet'!BN107)</f>
        <v>0</v>
      </c>
      <c r="BP20" s="295" t="e">
        <f>BP19/('Balance Sheet'!BO8+'Balance Sheet'!BO107)</f>
        <v>#DIV/0!</v>
      </c>
      <c r="BQ20" s="295" t="e">
        <f>BQ19/('Balance Sheet'!BP8+'Balance Sheet'!BP107)</f>
        <v>#DIV/0!</v>
      </c>
      <c r="BR20" s="295" t="e">
        <f>BR19/('Balance Sheet'!BQ8+'Balance Sheet'!BQ107)</f>
        <v>#DIV/0!</v>
      </c>
      <c r="BS20" s="48">
        <f>BS19/('Balance Sheet'!BN8+'Balance Sheet'!BN107)</f>
        <v>0</v>
      </c>
      <c r="BT20" s="295">
        <f>BT19/('Balance Sheet'!BS8+'Balance Sheet'!BS107)</f>
        <v>0</v>
      </c>
      <c r="BU20" s="295" t="e">
        <f>BU19/('Balance Sheet'!BT8+'Balance Sheet'!BT107)</f>
        <v>#DIV/0!</v>
      </c>
      <c r="BV20" s="295" t="e">
        <f>BV19/('Balance Sheet'!BU8+'Balance Sheet'!BU107)</f>
        <v>#DIV/0!</v>
      </c>
      <c r="BW20" s="295" t="e">
        <f>BW19/('Balance Sheet'!BV8+'Balance Sheet'!BV107)</f>
        <v>#DIV/0!</v>
      </c>
      <c r="BX20" s="48">
        <f>BX19/('Balance Sheet'!BS8+'Balance Sheet'!BS107)</f>
        <v>0</v>
      </c>
      <c r="BY20" s="295">
        <f>BY19/('Balance Sheet'!BX8+'Balance Sheet'!BX107)</f>
        <v>0</v>
      </c>
      <c r="BZ20" s="295" t="e">
        <f>BZ19/('Balance Sheet'!BY8+'Balance Sheet'!BY107)</f>
        <v>#DIV/0!</v>
      </c>
      <c r="CA20" s="295" t="e">
        <f>CA19/('Balance Sheet'!BZ8+'Balance Sheet'!BZ107)</f>
        <v>#DIV/0!</v>
      </c>
      <c r="CB20" s="295" t="e">
        <f>CB19/('Balance Sheet'!CA8+'Balance Sheet'!CA107)</f>
        <v>#DIV/0!</v>
      </c>
      <c r="CC20" s="48">
        <f>CC19/('Balance Sheet'!BX8+'Balance Sheet'!BX107)</f>
        <v>3.2933461407905477E-2</v>
      </c>
      <c r="CD20" s="295">
        <f>CD19/('Balance Sheet'!CC8+'Balance Sheet'!CC107)</f>
        <v>3.0420664273241516E-2</v>
      </c>
      <c r="CE20" s="295">
        <f>CE19/('Balance Sheet'!CD8+'Balance Sheet'!CD107)</f>
        <v>3.3420261715089224E-2</v>
      </c>
      <c r="CF20" s="295">
        <f>CF19/('Balance Sheet'!CE8+'Balance Sheet'!CE107)</f>
        <v>4.2753983541584911E-2</v>
      </c>
      <c r="CG20" s="295">
        <f>CG19/('Balance Sheet'!CF8+'Balance Sheet'!CF107)</f>
        <v>2.825707775577151E-2</v>
      </c>
      <c r="CH20" s="48">
        <f>CH19/('Balance Sheet'!CC8+'Balance Sheet'!CC107)</f>
        <v>0.1377901476513701</v>
      </c>
      <c r="CI20" s="295">
        <f>CI19/('Balance Sheet'!CH8+'Balance Sheet'!CH107)</f>
        <v>2.7343789610310594E-2</v>
      </c>
      <c r="CJ20" s="295">
        <f>CJ19/('Balance Sheet'!CI8+'Balance Sheet'!CI107)</f>
        <v>2.8205673061020262E-2</v>
      </c>
      <c r="CK20" s="295">
        <f>CK19/('Balance Sheet'!CJ8+'Balance Sheet'!CJ107)</f>
        <v>2.9859796571104453E-2</v>
      </c>
      <c r="CL20" s="295">
        <f>CL19/('Balance Sheet'!CK8+'Balance Sheet'!CK107)</f>
        <v>2.3813292544530518E-2</v>
      </c>
      <c r="CM20" s="48">
        <f>CM19/('Balance Sheet'!CH8+'Balance Sheet'!CH107)</f>
        <v>0.14177005485869576</v>
      </c>
      <c r="CN20" s="295">
        <f>CN19/('Balance Sheet'!CM8+'Balance Sheet'!CM107)</f>
        <v>2.0923423034513042E-2</v>
      </c>
      <c r="CO20" s="295">
        <f>CO19/('Balance Sheet'!CN8+'Balance Sheet'!CN107)</f>
        <v>2.6015707487814402E-2</v>
      </c>
      <c r="CP20" s="295">
        <f>CP19/('Balance Sheet'!CO8+'Balance Sheet'!CO107)</f>
        <v>2.2485868841866336E-2</v>
      </c>
      <c r="CQ20" s="295">
        <f>CQ19/('Balance Sheet'!CP8+'Balance Sheet'!CP107)</f>
        <v>2.2139194273041823E-2</v>
      </c>
      <c r="CR20" s="48">
        <f>CR19/('Balance Sheet'!CM8+'Balance Sheet'!CM107)</f>
        <v>0.11035067014227462</v>
      </c>
      <c r="CS20" s="295">
        <f>CS19/('Balance Sheet'!CR8+'Balance Sheet'!CR107)</f>
        <v>2.3432302647385099E-2</v>
      </c>
      <c r="CT20" s="295">
        <f>CT19/('Balance Sheet'!CS8+'Balance Sheet'!CS107)</f>
        <v>3.740615863179178E-2</v>
      </c>
      <c r="CU20" s="295">
        <f>CU19/('Balance Sheet'!CT8+'Balance Sheet'!CT107)</f>
        <v>4.1943813726701119E-2</v>
      </c>
      <c r="CV20" s="295">
        <f>CV19/('Balance Sheet'!CU8+'Balance Sheet'!CU107)</f>
        <v>2.6662099814051213E-2</v>
      </c>
      <c r="CW20" s="48">
        <f>CW19/('Balance Sheet'!CR8+'Balance Sheet'!CR107)</f>
        <v>0.1474111218052537</v>
      </c>
      <c r="CX20" s="295">
        <f>CX19/('Balance Sheet'!CW8+'Balance Sheet'!CW107)</f>
        <v>2.7739565111552681E-2</v>
      </c>
      <c r="CY20" s="295">
        <f>CY19/('Balance Sheet'!CX8+'Balance Sheet'!CX107)</f>
        <v>3.2537712496235216E-2</v>
      </c>
      <c r="CZ20" s="295">
        <f>CZ19/('Balance Sheet'!CY8+'Balance Sheet'!CY107)</f>
        <v>2.462530451899269E-2</v>
      </c>
      <c r="DA20" s="295">
        <f>DA19/('Balance Sheet'!CZ8+'Balance Sheet'!CZ107)</f>
        <v>1.611625815031317E-2</v>
      </c>
      <c r="DB20" s="48">
        <f>DB19/('Balance Sheet'!CW8+'Balance Sheet'!CW107)</f>
        <v>0.12296859043163542</v>
      </c>
      <c r="DC20" s="295">
        <f>DC19/('Balance Sheet'!DB8+'Balance Sheet'!DB107)</f>
        <v>1.7108092584770026E-2</v>
      </c>
      <c r="DD20" s="295">
        <f>DD19/('Balance Sheet'!DC8+'Balance Sheet'!DC107)</f>
        <v>2.8413062034625028E-2</v>
      </c>
      <c r="DE20" s="295">
        <f>DE19/('Balance Sheet'!DD8+'Balance Sheet'!DD107)</f>
        <v>2.3869888719385779E-2</v>
      </c>
      <c r="DF20" s="295">
        <f>DF19/('Balance Sheet'!DE8+'Balance Sheet'!DE107)</f>
        <v>1.5929445787611095E-2</v>
      </c>
      <c r="DG20" s="48">
        <f>DG19/('Balance Sheet'!DB8+'Balance Sheet'!DB107)</f>
        <v>0.1055189449990532</v>
      </c>
      <c r="DH20" s="295">
        <f>DH19/('Balance Sheet'!DG8+'Balance Sheet'!DG107)</f>
        <v>2.3021584467327924E-2</v>
      </c>
      <c r="DI20" s="295">
        <f>DI19/('Balance Sheet'!DH8+'Balance Sheet'!DH107)</f>
        <v>1.5533585935571912E-2</v>
      </c>
      <c r="DJ20" s="294">
        <v>0.02</v>
      </c>
      <c r="DK20" s="294">
        <v>0.02</v>
      </c>
      <c r="DL20" s="48">
        <f>DL19/('Balance Sheet'!DG8+'Balance Sheet'!DG107)</f>
        <v>8.7601789376296715E-2</v>
      </c>
      <c r="DM20" s="294">
        <v>0.02</v>
      </c>
      <c r="DN20" s="294">
        <f>DM20</f>
        <v>0.02</v>
      </c>
      <c r="DO20" s="294">
        <f>DN20</f>
        <v>0.02</v>
      </c>
      <c r="DP20" s="294">
        <f>DO20</f>
        <v>0.02</v>
      </c>
      <c r="DQ20" s="48">
        <f>DQ19/('Balance Sheet'!DL8+'Balance Sheet'!DL107)</f>
        <v>8.3693315284954675E-2</v>
      </c>
      <c r="DR20" s="294">
        <f>DP20</f>
        <v>0.02</v>
      </c>
      <c r="DS20" s="294">
        <f>DR20</f>
        <v>0.02</v>
      </c>
      <c r="DT20" s="294">
        <f>DS20</f>
        <v>0.02</v>
      </c>
      <c r="DU20" s="294">
        <f>DT20</f>
        <v>0.02</v>
      </c>
      <c r="DV20" s="48">
        <f>DV19/('Balance Sheet'!DQ8+'Balance Sheet'!DQ107)</f>
        <v>8.3109766528470769E-2</v>
      </c>
      <c r="DW20" s="294">
        <f>DU20</f>
        <v>0.02</v>
      </c>
      <c r="DX20" s="294">
        <f>DW20</f>
        <v>0.02</v>
      </c>
      <c r="DY20" s="294">
        <f>DX20</f>
        <v>0.02</v>
      </c>
      <c r="DZ20" s="294">
        <f>DY20</f>
        <v>0.02</v>
      </c>
      <c r="EA20" s="48">
        <f>EA19/('Balance Sheet'!DV8+'Balance Sheet'!DV107)</f>
        <v>8.2402938398634135E-2</v>
      </c>
      <c r="EB20" s="294">
        <f>DZ20</f>
        <v>0.02</v>
      </c>
      <c r="EC20" s="294">
        <f>EB20</f>
        <v>0.02</v>
      </c>
      <c r="ED20" s="294">
        <f>EC20</f>
        <v>0.02</v>
      </c>
      <c r="EE20" s="294">
        <f>ED20</f>
        <v>0.02</v>
      </c>
      <c r="EF20" s="48">
        <f>EF19/('Balance Sheet'!EA8+'Balance Sheet'!EA107)</f>
        <v>8.199236193940794E-2</v>
      </c>
    </row>
    <row r="21" spans="1:136" s="92" customFormat="1" ht="12.75" customHeight="1">
      <c r="A21" s="92" t="s">
        <v>309</v>
      </c>
      <c r="F21" s="296">
        <f>SUM(B21:E21)</f>
        <v>0</v>
      </c>
      <c r="K21" s="296">
        <f>SUM(G21:J21)</f>
        <v>0</v>
      </c>
      <c r="P21" s="296">
        <f>SUM(L21:O21)</f>
        <v>0</v>
      </c>
      <c r="U21" s="296">
        <f>SUM(Q21:T21)</f>
        <v>0</v>
      </c>
      <c r="Z21" s="296">
        <f>SUM(V21:Y21)</f>
        <v>0</v>
      </c>
      <c r="AE21" s="296">
        <f>SUM(AA21:AD21)</f>
        <v>0</v>
      </c>
      <c r="AF21" s="170">
        <f>AF17-AF19</f>
        <v>0</v>
      </c>
      <c r="AG21" s="170">
        <f>AG17-AG19</f>
        <v>0</v>
      </c>
      <c r="AH21" s="170">
        <f>AH17-AH19</f>
        <v>0</v>
      </c>
      <c r="AI21" s="170">
        <f>AI17-AI19</f>
        <v>0</v>
      </c>
      <c r="AJ21" s="296">
        <f>SUM(AF21:AI21)</f>
        <v>0</v>
      </c>
      <c r="AK21" s="170">
        <f>AK17-AK19</f>
        <v>0</v>
      </c>
      <c r="AL21" s="170">
        <f>AL17-AL19</f>
        <v>0</v>
      </c>
      <c r="AM21" s="170">
        <f>AM17-AM19</f>
        <v>0</v>
      </c>
      <c r="AN21" s="170">
        <f>AN17-AN19</f>
        <v>0</v>
      </c>
      <c r="AO21" s="296">
        <f>SUM(AK21:AN21)</f>
        <v>0</v>
      </c>
      <c r="AP21" s="170">
        <f>AP17-AP19</f>
        <v>0</v>
      </c>
      <c r="AQ21" s="170">
        <f>AQ17-AQ19</f>
        <v>0</v>
      </c>
      <c r="AR21" s="170">
        <f>AR17-AR19</f>
        <v>0</v>
      </c>
      <c r="AS21" s="170">
        <f>AS17-AS19</f>
        <v>0</v>
      </c>
      <c r="AT21" s="296">
        <f>SUM(AP21:AS21)</f>
        <v>0</v>
      </c>
      <c r="AU21" s="170">
        <f>AU17-AU19</f>
        <v>0</v>
      </c>
      <c r="AV21" s="170">
        <f>AV17-AV19</f>
        <v>0</v>
      </c>
      <c r="AW21" s="170">
        <f>AW17-AW19</f>
        <v>0</v>
      </c>
      <c r="AX21" s="170">
        <f>AX17-AX19</f>
        <v>0</v>
      </c>
      <c r="AY21" s="296">
        <f>SUM(AU21:AX21)</f>
        <v>0</v>
      </c>
      <c r="AZ21" s="170">
        <f>AZ17-AZ19</f>
        <v>0</v>
      </c>
      <c r="BA21" s="170">
        <f>BA17-BA19</f>
        <v>0</v>
      </c>
      <c r="BB21" s="170">
        <f>BB17-BB19</f>
        <v>0</v>
      </c>
      <c r="BC21" s="170">
        <f>BC17-BC19</f>
        <v>0</v>
      </c>
      <c r="BD21" s="296">
        <f>SUM(AZ21:BC21)</f>
        <v>0</v>
      </c>
      <c r="BE21" s="170">
        <f>BE17-BE19</f>
        <v>0</v>
      </c>
      <c r="BF21" s="170">
        <f>BF17-BF19</f>
        <v>0</v>
      </c>
      <c r="BG21" s="170">
        <f>BG17-BG19</f>
        <v>0</v>
      </c>
      <c r="BH21" s="170">
        <f>BH17-BH19</f>
        <v>193810.39999999997</v>
      </c>
      <c r="BI21" s="296">
        <f>SUM(BE21:BH21)</f>
        <v>193810.39999999997</v>
      </c>
      <c r="BJ21" s="170">
        <f>BJ17-BJ19</f>
        <v>0</v>
      </c>
      <c r="BK21" s="170">
        <f>BK17-BK19</f>
        <v>0</v>
      </c>
      <c r="BL21" s="170">
        <f>BL17-BL19</f>
        <v>0</v>
      </c>
      <c r="BM21" s="170">
        <f>BM17-BM19</f>
        <v>218612.8</v>
      </c>
      <c r="BN21" s="296">
        <f>SUM(BJ21:BM21)</f>
        <v>218612.8</v>
      </c>
      <c r="BO21" s="170">
        <f>BO17-BO19</f>
        <v>0</v>
      </c>
      <c r="BP21" s="170">
        <f>BP17-BP19</f>
        <v>0</v>
      </c>
      <c r="BQ21" s="170">
        <f>BQ17-BQ19</f>
        <v>0</v>
      </c>
      <c r="BR21" s="170">
        <f>BR17-BR19</f>
        <v>131366.40000000002</v>
      </c>
      <c r="BS21" s="296">
        <f>SUM(BO21:BR21)</f>
        <v>131366.40000000002</v>
      </c>
      <c r="BT21" s="170">
        <f>BT17-BT19</f>
        <v>0</v>
      </c>
      <c r="BU21" s="170">
        <f>BU17-BU19</f>
        <v>0</v>
      </c>
      <c r="BV21" s="170">
        <f>BV17-BV19</f>
        <v>0</v>
      </c>
      <c r="BW21" s="170">
        <f>BW17-BW19</f>
        <v>161776.79999999993</v>
      </c>
      <c r="BX21" s="296">
        <f>SUM(BT21:BW21)</f>
        <v>161776.79999999993</v>
      </c>
      <c r="BY21" s="170">
        <f>BY17-BY19</f>
        <v>0</v>
      </c>
      <c r="BZ21" s="170">
        <f>BZ17-BZ19</f>
        <v>0</v>
      </c>
      <c r="CA21" s="170">
        <f>CA17-CA19</f>
        <v>145665.342</v>
      </c>
      <c r="CB21" s="170">
        <f>CB17-CB19</f>
        <v>310427.45800000004</v>
      </c>
      <c r="CC21" s="296">
        <f>SUM(BY21:CB21)</f>
        <v>456092.80000000005</v>
      </c>
      <c r="CD21" s="170">
        <f>CD17-CD19</f>
        <v>199821.44699999999</v>
      </c>
      <c r="CE21" s="170">
        <f>CE17-CE19</f>
        <v>158600.52599999998</v>
      </c>
      <c r="CF21" s="170">
        <f>CF17-CF19</f>
        <v>200248.848</v>
      </c>
      <c r="CG21" s="170">
        <f>CG17-CG19</f>
        <v>156986.74</v>
      </c>
      <c r="CH21" s="296">
        <f>SUM(CD21:CG21)</f>
        <v>715657.56099999999</v>
      </c>
      <c r="CI21" s="170">
        <f>CI17-CI19</f>
        <v>193642.34399999998</v>
      </c>
      <c r="CJ21" s="170">
        <f>CJ17-CJ19</f>
        <v>301699.47600000002</v>
      </c>
      <c r="CK21" s="170">
        <f>CK17-CK19</f>
        <v>280454.48100000003</v>
      </c>
      <c r="CL21" s="170">
        <f>CL17-CL19</f>
        <v>229873.61599999998</v>
      </c>
      <c r="CM21" s="296">
        <f>SUM(CI21:CL21)</f>
        <v>1005669.9169999999</v>
      </c>
      <c r="CN21" s="170">
        <f>CN17-CN19</f>
        <v>294566.10600000003</v>
      </c>
      <c r="CO21" s="170">
        <f>CO17-CO19</f>
        <v>487334.35499999998</v>
      </c>
      <c r="CP21" s="170">
        <f>CP17-CP19</f>
        <v>487208.14999999991</v>
      </c>
      <c r="CQ21" s="170">
        <f>CQ17-CQ19</f>
        <v>475182.15175795997</v>
      </c>
      <c r="CR21" s="296">
        <f>SUM(CN21:CQ21)</f>
        <v>1744290.76275796</v>
      </c>
      <c r="CS21" s="170">
        <f>CS17-CS19</f>
        <v>288064.15704998991</v>
      </c>
      <c r="CT21" s="170">
        <f>CT17-CT19</f>
        <v>710400.69981999998</v>
      </c>
      <c r="CU21" s="170">
        <f>CU17-CU19</f>
        <v>438662.41975875024</v>
      </c>
      <c r="CV21" s="170">
        <f>CV17-CV19</f>
        <v>380866.73770600004</v>
      </c>
      <c r="CW21" s="296">
        <f>SUM(CS21:CV21)</f>
        <v>1817994.0143347401</v>
      </c>
      <c r="CX21" s="170">
        <f>CX17-CX19</f>
        <v>499787.57281138003</v>
      </c>
      <c r="CY21" s="170">
        <f>CY17-CY19</f>
        <v>729433.05551793019</v>
      </c>
      <c r="CZ21" s="170">
        <f>CZ17-CZ19</f>
        <v>717138.43044677994</v>
      </c>
      <c r="DA21" s="170">
        <f>DA17-DA19</f>
        <v>498311.79999999993</v>
      </c>
      <c r="DB21" s="296">
        <f>SUM(CX21:DA21)</f>
        <v>2444670.8587760897</v>
      </c>
      <c r="DC21" s="170">
        <f>DC17-DC19</f>
        <v>572717.45986160007</v>
      </c>
      <c r="DD21" s="170">
        <f>DD17-DD19</f>
        <v>1017613.430685</v>
      </c>
      <c r="DE21" s="170">
        <f>DE17-DE19</f>
        <v>800241.87443399988</v>
      </c>
      <c r="DF21" s="170">
        <f>DF17-DF19</f>
        <v>975822.45523356041</v>
      </c>
      <c r="DG21" s="296">
        <f>SUM(DC21:DF21)</f>
        <v>3366395.2202141606</v>
      </c>
      <c r="DH21" s="170">
        <f>DH17-DH19</f>
        <v>974854.13678010018</v>
      </c>
      <c r="DI21" s="170">
        <f>DI17-DI19</f>
        <v>787520.46657515038</v>
      </c>
      <c r="DJ21" s="170">
        <f>DJ17-DJ19</f>
        <v>972232.1588228154</v>
      </c>
      <c r="DK21" s="170">
        <f>DK17-DK19</f>
        <v>1188671.222213211</v>
      </c>
      <c r="DL21" s="296">
        <f>SUM(DH21:DK21)</f>
        <v>3923277.9843912772</v>
      </c>
      <c r="DM21" s="170">
        <f>DM17-DM19</f>
        <v>1086107.5212206875</v>
      </c>
      <c r="DN21" s="170">
        <f>DN17-DN19</f>
        <v>1121374.2286376725</v>
      </c>
      <c r="DO21" s="170">
        <f>DO17-DO19</f>
        <v>1144202.2280936004</v>
      </c>
      <c r="DP21" s="170">
        <f>DP17-DP19</f>
        <v>1163323.1490742986</v>
      </c>
      <c r="DQ21" s="296">
        <f>SUM(DM21:DP21)</f>
        <v>4515007.127026259</v>
      </c>
      <c r="DR21" s="170">
        <f>DR17-DR19</f>
        <v>1180295.075038739</v>
      </c>
      <c r="DS21" s="170">
        <f>DS17-DS19</f>
        <v>1196098.6044148412</v>
      </c>
      <c r="DT21" s="170">
        <f>DT17-DT19</f>
        <v>1211278.928567362</v>
      </c>
      <c r="DU21" s="170">
        <f>DU17-DU19</f>
        <v>1226143.2461030926</v>
      </c>
      <c r="DV21" s="296">
        <f>SUM(DR21:DU21)</f>
        <v>4813815.8541240348</v>
      </c>
      <c r="DW21" s="170">
        <f>DW17-DW19</f>
        <v>1240866.2719652196</v>
      </c>
      <c r="DX21" s="170">
        <f>DX17-DX19</f>
        <v>1255548.915849261</v>
      </c>
      <c r="DY21" s="170">
        <f>DY17-DY19</f>
        <v>1270250.8497189702</v>
      </c>
      <c r="DZ21" s="170">
        <f>DZ17-DZ19</f>
        <v>1285008.5981143643</v>
      </c>
      <c r="EA21" s="296">
        <f>SUM(DW21:DZ21)</f>
        <v>5051674.6356478147</v>
      </c>
      <c r="EB21" s="170">
        <f>EB17-EB19</f>
        <v>1299845.5976134576</v>
      </c>
      <c r="EC21" s="170">
        <f>EC17-EC19</f>
        <v>1314777.8004248426</v>
      </c>
      <c r="ED21" s="170">
        <f>ED17-ED19</f>
        <v>1329816.8047039048</v>
      </c>
      <c r="EE21" s="170">
        <f>EE17-EE19</f>
        <v>1344971.6111861572</v>
      </c>
      <c r="EF21" s="296">
        <f>SUM(EB21:EE21)</f>
        <v>5289411.813928362</v>
      </c>
    </row>
    <row r="22" spans="1:136" s="70" customFormat="1" ht="12.75" customHeight="1">
      <c r="B22" s="97"/>
      <c r="C22" s="101"/>
      <c r="D22" s="101"/>
      <c r="E22" s="97"/>
      <c r="F22" s="100"/>
      <c r="G22" s="97"/>
      <c r="H22" s="101"/>
      <c r="I22" s="101"/>
      <c r="J22" s="97"/>
      <c r="K22" s="100"/>
      <c r="L22" s="97"/>
      <c r="M22" s="101"/>
      <c r="N22" s="101"/>
      <c r="O22" s="97"/>
      <c r="P22" s="100"/>
      <c r="Q22" s="97"/>
      <c r="R22" s="101"/>
      <c r="S22" s="101"/>
      <c r="T22" s="97"/>
      <c r="U22" s="100"/>
      <c r="V22" s="97"/>
      <c r="W22" s="101"/>
      <c r="X22" s="101"/>
      <c r="Y22" s="97"/>
      <c r="Z22" s="100"/>
      <c r="AA22" s="97"/>
      <c r="AB22" s="101"/>
      <c r="AC22" s="101"/>
      <c r="AD22" s="97"/>
      <c r="AE22" s="100"/>
      <c r="AF22" s="282"/>
      <c r="AG22" s="282"/>
      <c r="AI22" s="282"/>
      <c r="AJ22" s="100"/>
      <c r="AK22" s="282"/>
      <c r="AL22" s="282"/>
      <c r="AN22" s="282"/>
      <c r="AO22" s="100"/>
      <c r="AP22" s="282"/>
      <c r="AQ22" s="282"/>
      <c r="AS22" s="282"/>
      <c r="AT22" s="100"/>
      <c r="AU22" s="282"/>
      <c r="AV22" s="282"/>
      <c r="AX22" s="282"/>
      <c r="AY22" s="100"/>
      <c r="AZ22" s="282"/>
      <c r="BA22" s="282"/>
      <c r="BC22" s="282"/>
      <c r="BD22" s="100"/>
      <c r="BE22" s="282"/>
      <c r="BF22" s="282"/>
      <c r="BH22" s="282"/>
      <c r="BI22" s="100"/>
      <c r="BJ22" s="282"/>
      <c r="BK22" s="282"/>
      <c r="BM22" s="282"/>
      <c r="BN22" s="100"/>
      <c r="BO22" s="282"/>
      <c r="BP22" s="282"/>
      <c r="BR22" s="282"/>
      <c r="BS22" s="100"/>
      <c r="BT22" s="282"/>
      <c r="BU22" s="282"/>
      <c r="BW22" s="282"/>
      <c r="BX22" s="100"/>
      <c r="BY22" s="282"/>
      <c r="BZ22" s="282"/>
      <c r="CB22" s="282"/>
      <c r="CC22" s="304"/>
      <c r="CD22" s="424"/>
      <c r="CE22" s="470">
        <f>CE19+CE9</f>
        <v>333770</v>
      </c>
      <c r="CF22" s="460"/>
      <c r="CG22" s="282"/>
      <c r="CH22" s="100"/>
      <c r="CI22" s="467"/>
      <c r="CJ22" s="470"/>
      <c r="CK22" s="467"/>
      <c r="CL22" s="467"/>
      <c r="CM22" s="100"/>
      <c r="CN22" s="470"/>
      <c r="CP22" s="475"/>
      <c r="CR22" s="100"/>
      <c r="CS22" s="470"/>
      <c r="CT22" s="467"/>
      <c r="CU22" s="475"/>
      <c r="CV22" s="467"/>
      <c r="CW22" s="100"/>
      <c r="DB22" s="100"/>
      <c r="DG22" s="100"/>
      <c r="DI22" s="470"/>
      <c r="DL22" s="100"/>
      <c r="DQ22" s="100"/>
      <c r="DV22" s="100"/>
      <c r="EA22" s="100"/>
      <c r="EF22" s="100"/>
    </row>
    <row r="23" spans="1:136" s="8" customFormat="1" ht="12.75" customHeight="1" thickBot="1">
      <c r="A23" s="4" t="s">
        <v>230</v>
      </c>
      <c r="B23" s="30" t="str">
        <f>Macro!B$9</f>
        <v>1Q04</v>
      </c>
      <c r="C23" s="30" t="str">
        <f>Macro!C$9</f>
        <v>2Q04</v>
      </c>
      <c r="D23" s="30" t="str">
        <f>Macro!D$9</f>
        <v>3Q04</v>
      </c>
      <c r="E23" s="31" t="str">
        <f>Macro!E$9</f>
        <v>4Q04</v>
      </c>
      <c r="F23" s="29" t="str">
        <f>Macro!F$9</f>
        <v>2004</v>
      </c>
      <c r="G23" s="30" t="str">
        <f>Macro!G$9</f>
        <v>1Q05</v>
      </c>
      <c r="H23" s="30" t="str">
        <f>Macro!H$9</f>
        <v>2Q05</v>
      </c>
      <c r="I23" s="30" t="str">
        <f>Macro!I$9</f>
        <v>3Q05</v>
      </c>
      <c r="J23" s="31" t="str">
        <f>Macro!J$9</f>
        <v>4Q05</v>
      </c>
      <c r="K23" s="29" t="str">
        <f>Macro!K$9</f>
        <v>2005</v>
      </c>
      <c r="L23" s="30" t="str">
        <f>Macro!L$9</f>
        <v>1Q06</v>
      </c>
      <c r="M23" s="30" t="str">
        <f>Macro!M$9</f>
        <v>2Q06</v>
      </c>
      <c r="N23" s="30" t="str">
        <f>Macro!N$9</f>
        <v>3Q06</v>
      </c>
      <c r="O23" s="31" t="str">
        <f>Macro!O$9</f>
        <v>4Q06</v>
      </c>
      <c r="P23" s="29" t="str">
        <f>Macro!P$9</f>
        <v>2006</v>
      </c>
      <c r="Q23" s="30" t="str">
        <f>Macro!Q$9</f>
        <v>1Q07</v>
      </c>
      <c r="R23" s="30" t="str">
        <f>Macro!R$9</f>
        <v>2Q07</v>
      </c>
      <c r="S23" s="30" t="str">
        <f>Macro!S$9</f>
        <v>3Q07</v>
      </c>
      <c r="T23" s="31" t="str">
        <f>Macro!T$9</f>
        <v>4Q07</v>
      </c>
      <c r="U23" s="29" t="str">
        <f>Macro!U$9</f>
        <v>2007</v>
      </c>
      <c r="V23" s="30" t="str">
        <f>Macro!V$9</f>
        <v>1Q08</v>
      </c>
      <c r="W23" s="30" t="str">
        <f>Macro!W$9</f>
        <v>2Q08</v>
      </c>
      <c r="X23" s="30" t="str">
        <f>Macro!X$9</f>
        <v>3Q08</v>
      </c>
      <c r="Y23" s="31" t="str">
        <f>Macro!Y$9</f>
        <v>4Q08</v>
      </c>
      <c r="Z23" s="29" t="str">
        <f>Macro!Z$9</f>
        <v>2008</v>
      </c>
      <c r="AA23" s="30" t="str">
        <f>Macro!AA$9</f>
        <v>1Q09</v>
      </c>
      <c r="AB23" s="30" t="str">
        <f>Macro!AB$9</f>
        <v>2Q09</v>
      </c>
      <c r="AC23" s="30" t="str">
        <f>Macro!AC$9</f>
        <v>3Q09</v>
      </c>
      <c r="AD23" s="31" t="str">
        <f>Macro!AD$9</f>
        <v>4Q09</v>
      </c>
      <c r="AE23" s="29" t="str">
        <f>Macro!AE$9</f>
        <v>2009</v>
      </c>
      <c r="AF23" s="30" t="str">
        <f>Macro!AF$9</f>
        <v>1Q10</v>
      </c>
      <c r="AG23" s="30" t="str">
        <f>Macro!AG$9</f>
        <v>2Q10</v>
      </c>
      <c r="AH23" s="30" t="str">
        <f>Macro!AH$9</f>
        <v>3Q10</v>
      </c>
      <c r="AI23" s="31" t="str">
        <f>Macro!AI$9</f>
        <v>4Q10</v>
      </c>
      <c r="AJ23" s="29" t="str">
        <f>Macro!AJ$9</f>
        <v>2010</v>
      </c>
      <c r="AK23" s="30" t="str">
        <f>Macro!AK$9</f>
        <v>1Q11</v>
      </c>
      <c r="AL23" s="30" t="str">
        <f>Macro!AL$9</f>
        <v>2Q11</v>
      </c>
      <c r="AM23" s="30" t="str">
        <f>Macro!AM$9</f>
        <v>3Q11</v>
      </c>
      <c r="AN23" s="31" t="str">
        <f>Macro!AN$9</f>
        <v>4Q11</v>
      </c>
      <c r="AO23" s="29" t="str">
        <f>Macro!AO$9</f>
        <v>2011</v>
      </c>
      <c r="AP23" s="30" t="str">
        <f>Macro!AP$9</f>
        <v>1Q12</v>
      </c>
      <c r="AQ23" s="30" t="str">
        <f>Macro!AQ$9</f>
        <v>2Q12</v>
      </c>
      <c r="AR23" s="30" t="str">
        <f>Macro!AR$9</f>
        <v>3Q12</v>
      </c>
      <c r="AS23" s="31" t="str">
        <f>Macro!AS$9</f>
        <v>4Q12</v>
      </c>
      <c r="AT23" s="29" t="str">
        <f>Macro!AT$9</f>
        <v>2012</v>
      </c>
      <c r="AU23" s="30" t="str">
        <f>Macro!AU$9</f>
        <v>1Q13</v>
      </c>
      <c r="AV23" s="30" t="str">
        <f>Macro!AV$9</f>
        <v>2Q13</v>
      </c>
      <c r="AW23" s="30" t="str">
        <f>Macro!AW$9</f>
        <v>3Q13</v>
      </c>
      <c r="AX23" s="31" t="str">
        <f>Macro!AX$9</f>
        <v>4Q13</v>
      </c>
      <c r="AY23" s="29" t="str">
        <f>Macro!AY$9</f>
        <v>2013</v>
      </c>
      <c r="AZ23" s="30" t="str">
        <f>Macro!AZ$9</f>
        <v>1Q14</v>
      </c>
      <c r="BA23" s="30" t="str">
        <f>Macro!BA$9</f>
        <v>2Q14</v>
      </c>
      <c r="BB23" s="30" t="str">
        <f>Macro!BB$9</f>
        <v>3Q14</v>
      </c>
      <c r="BC23" s="31" t="str">
        <f>Macro!BC$9</f>
        <v>4Q14</v>
      </c>
      <c r="BD23" s="29" t="str">
        <f>Macro!BD$9</f>
        <v>2014</v>
      </c>
      <c r="BE23" s="30" t="str">
        <f>Macro!BE$9</f>
        <v>1Q15</v>
      </c>
      <c r="BF23" s="30" t="str">
        <f>Macro!BF$9</f>
        <v>2Q15</v>
      </c>
      <c r="BG23" s="30" t="str">
        <f>Macro!BG$9</f>
        <v>3Q15</v>
      </c>
      <c r="BH23" s="31" t="str">
        <f>Macro!BH$9</f>
        <v>4Q15</v>
      </c>
      <c r="BI23" s="29" t="str">
        <f>Macro!BI$9</f>
        <v>2015</v>
      </c>
      <c r="BJ23" s="30" t="str">
        <f>Macro!BJ$9</f>
        <v>1Q16</v>
      </c>
      <c r="BK23" s="30" t="str">
        <f>Macro!BK$9</f>
        <v>2Q16</v>
      </c>
      <c r="BL23" s="30" t="str">
        <f>Macro!BL$9</f>
        <v>3Q16</v>
      </c>
      <c r="BM23" s="31" t="str">
        <f>Macro!BM$9</f>
        <v>4Q16</v>
      </c>
      <c r="BN23" s="29" t="str">
        <f>Macro!BN$9</f>
        <v>2016</v>
      </c>
      <c r="BO23" s="30" t="str">
        <f>Macro!BO$9</f>
        <v>1Q17</v>
      </c>
      <c r="BP23" s="30" t="str">
        <f>Macro!BP$9</f>
        <v>2Q17</v>
      </c>
      <c r="BQ23" s="30" t="str">
        <f>Macro!BQ$9</f>
        <v>3Q17</v>
      </c>
      <c r="BR23" s="31" t="str">
        <f>Macro!BR$9</f>
        <v>4Q17</v>
      </c>
      <c r="BS23" s="29" t="str">
        <f>Macro!BS$9</f>
        <v>2017</v>
      </c>
      <c r="BT23" s="30" t="str">
        <f>Macro!BT$9</f>
        <v>1Q18</v>
      </c>
      <c r="BU23" s="30" t="str">
        <f>Macro!BU$9</f>
        <v>2Q18</v>
      </c>
      <c r="BV23" s="30" t="str">
        <f>Macro!BV$9</f>
        <v>3Q18</v>
      </c>
      <c r="BW23" s="31" t="str">
        <f>Macro!BW$9</f>
        <v>4Q18</v>
      </c>
      <c r="BX23" s="29" t="str">
        <f>Macro!BX$9</f>
        <v>2018</v>
      </c>
      <c r="BY23" s="30" t="str">
        <f>Macro!BY$9</f>
        <v>1Q19</v>
      </c>
      <c r="BZ23" s="30" t="str">
        <f>Macro!BZ$9</f>
        <v>2Q19</v>
      </c>
      <c r="CA23" s="30" t="str">
        <f>Macro!CA$9</f>
        <v>3Q19</v>
      </c>
      <c r="CB23" s="31" t="str">
        <f>Macro!CB$9</f>
        <v>4Q19</v>
      </c>
      <c r="CC23" s="29" t="str">
        <f>Macro!CC$9</f>
        <v>2019</v>
      </c>
      <c r="CD23" s="30" t="str">
        <f>Macro!CD$9</f>
        <v>1Q20</v>
      </c>
      <c r="CE23" s="30" t="str">
        <f>Macro!CE$9</f>
        <v>2Q20</v>
      </c>
      <c r="CF23" s="30" t="str">
        <f>Macro!CF$9</f>
        <v>3Q20</v>
      </c>
      <c r="CG23" s="31" t="str">
        <f>Macro!CG$9</f>
        <v>4Q20</v>
      </c>
      <c r="CH23" s="29" t="str">
        <f>Macro!CH$9</f>
        <v>2020</v>
      </c>
      <c r="CI23" s="30" t="str">
        <f>Macro!CI$9</f>
        <v>1Q21</v>
      </c>
      <c r="CJ23" s="30" t="str">
        <f>Macro!CJ$9</f>
        <v>2Q21</v>
      </c>
      <c r="CK23" s="30" t="str">
        <f>Macro!CK$9</f>
        <v>3Q21</v>
      </c>
      <c r="CL23" s="31" t="str">
        <f>Macro!CL$9</f>
        <v>4Q21</v>
      </c>
      <c r="CM23" s="29" t="str">
        <f>Macro!CM$9</f>
        <v>2021</v>
      </c>
      <c r="CN23" s="30" t="str">
        <f>Macro!CN$9</f>
        <v>1Q22</v>
      </c>
      <c r="CO23" s="30" t="str">
        <f>Macro!CO$9</f>
        <v>2Q22</v>
      </c>
      <c r="CP23" s="30" t="str">
        <f>Macro!CP$9</f>
        <v>3Q22</v>
      </c>
      <c r="CQ23" s="31" t="str">
        <f>Macro!CQ$9</f>
        <v>4Q22</v>
      </c>
      <c r="CR23" s="29" t="str">
        <f>Macro!CR$9</f>
        <v>2022</v>
      </c>
      <c r="CS23" s="30" t="str">
        <f>Macro!CS$9</f>
        <v>1Q23</v>
      </c>
      <c r="CT23" s="30" t="str">
        <f>Macro!CT$9</f>
        <v>2Q23</v>
      </c>
      <c r="CU23" s="30" t="str">
        <f>Macro!CU$9</f>
        <v>3Q23</v>
      </c>
      <c r="CV23" s="31" t="str">
        <f>Macro!CV$9</f>
        <v>4Q23</v>
      </c>
      <c r="CW23" s="29" t="str">
        <f>Macro!CW$9</f>
        <v>2023</v>
      </c>
      <c r="CX23" s="31" t="str">
        <f>Macro!CX$9</f>
        <v>1Q24</v>
      </c>
      <c r="CY23" s="30" t="str">
        <f>Macro!CY$9</f>
        <v>2Q24</v>
      </c>
      <c r="CZ23" s="30" t="str">
        <f>Macro!CZ$9</f>
        <v>3Q24</v>
      </c>
      <c r="DA23" s="31" t="str">
        <f>Macro!DA$9</f>
        <v>4Q24</v>
      </c>
      <c r="DB23" s="29" t="str">
        <f>Macro!DB$9</f>
        <v>2024</v>
      </c>
      <c r="DC23" s="31" t="str">
        <f>Macro!DC$9</f>
        <v>1Q25</v>
      </c>
      <c r="DD23" s="30" t="str">
        <f>Macro!DD$9</f>
        <v>2Q25</v>
      </c>
      <c r="DE23" s="30" t="str">
        <f>Macro!DE$9</f>
        <v>3Q25</v>
      </c>
      <c r="DF23" s="31" t="str">
        <f>Macro!DF$9</f>
        <v>4Q25</v>
      </c>
      <c r="DG23" s="29" t="str">
        <f>Macro!DG$9</f>
        <v>2025</v>
      </c>
      <c r="DH23" s="30" t="str">
        <f>Macro!DH$9</f>
        <v>1Q26</v>
      </c>
      <c r="DI23" s="30" t="str">
        <f>Macro!DI$9</f>
        <v>2Q26</v>
      </c>
      <c r="DJ23" s="30" t="str">
        <f>Macro!DJ$9</f>
        <v>3Q26E</v>
      </c>
      <c r="DK23" s="31" t="str">
        <f>Macro!DK$9</f>
        <v>4Q26E</v>
      </c>
      <c r="DL23" s="29" t="str">
        <f>Macro!DL$9</f>
        <v>2026E</v>
      </c>
      <c r="DM23" s="30" t="str">
        <f>Macro!DM$9</f>
        <v>1Q27E</v>
      </c>
      <c r="DN23" s="30" t="str">
        <f>Macro!DN$9</f>
        <v>2Q27E</v>
      </c>
      <c r="DO23" s="30" t="str">
        <f>Macro!DO$9</f>
        <v>3Q27E</v>
      </c>
      <c r="DP23" s="31" t="str">
        <f>Macro!DP$9</f>
        <v>4Q27E</v>
      </c>
      <c r="DQ23" s="29" t="str">
        <f>Macro!DQ$9</f>
        <v>2027E</v>
      </c>
      <c r="DR23" s="30" t="str">
        <f>Macro!DR$9</f>
        <v>1Q28E</v>
      </c>
      <c r="DS23" s="30" t="str">
        <f>Macro!DS$9</f>
        <v>2Q28E</v>
      </c>
      <c r="DT23" s="30" t="str">
        <f>Macro!DT$9</f>
        <v>3Q28E</v>
      </c>
      <c r="DU23" s="31" t="str">
        <f>Macro!DU$9</f>
        <v>4Q28E</v>
      </c>
      <c r="DV23" s="29" t="str">
        <f>Macro!DV$9</f>
        <v>2028E</v>
      </c>
      <c r="DW23" s="30" t="str">
        <f>Macro!DW$9</f>
        <v>1Q29E</v>
      </c>
      <c r="DX23" s="30" t="str">
        <f>Macro!DX$9</f>
        <v>2Q29E</v>
      </c>
      <c r="DY23" s="30" t="str">
        <f>Macro!DY$9</f>
        <v>3Q29E</v>
      </c>
      <c r="DZ23" s="31" t="str">
        <f>Macro!DZ$9</f>
        <v>4Q29E</v>
      </c>
      <c r="EA23" s="29" t="str">
        <f>Macro!EA$9</f>
        <v>2029E</v>
      </c>
      <c r="EB23" s="30" t="str">
        <f>Macro!EB$9</f>
        <v>1Q30E</v>
      </c>
      <c r="EC23" s="30" t="str">
        <f>Macro!EC$9</f>
        <v>2Q30E</v>
      </c>
      <c r="ED23" s="30" t="str">
        <f>Macro!ED$9</f>
        <v>3Q30E</v>
      </c>
      <c r="EE23" s="31" t="str">
        <f>Macro!EE$9</f>
        <v>4Q30E</v>
      </c>
      <c r="EF23" s="29" t="str">
        <f>Macro!EF$9</f>
        <v>2030E</v>
      </c>
    </row>
    <row r="24" spans="1:136" ht="12.75" customHeight="1">
      <c r="A24" s="9" t="s">
        <v>138</v>
      </c>
      <c r="B24" s="102"/>
      <c r="C24" s="102"/>
      <c r="D24" s="102"/>
      <c r="E24" s="102"/>
      <c r="F24" s="26">
        <f>E24</f>
        <v>0</v>
      </c>
      <c r="G24" s="102"/>
      <c r="H24" s="102"/>
      <c r="I24" s="102"/>
      <c r="J24" s="102"/>
      <c r="K24" s="26">
        <f>J24</f>
        <v>0</v>
      </c>
      <c r="L24" s="102"/>
      <c r="M24" s="102"/>
      <c r="N24" s="102"/>
      <c r="O24" s="102"/>
      <c r="P24" s="26">
        <f>O24</f>
        <v>0</v>
      </c>
      <c r="Q24" s="102"/>
      <c r="R24" s="102"/>
      <c r="S24" s="102"/>
      <c r="T24" s="102"/>
      <c r="U24" s="26">
        <f>T24</f>
        <v>0</v>
      </c>
      <c r="V24" s="102"/>
      <c r="W24" s="102"/>
      <c r="X24" s="102"/>
      <c r="Y24" s="102"/>
      <c r="Z24" s="26">
        <f>Y24</f>
        <v>0</v>
      </c>
      <c r="AA24" s="102"/>
      <c r="AB24" s="102"/>
      <c r="AC24" s="102"/>
      <c r="AD24" s="102"/>
      <c r="AE24" s="26">
        <f>AD24</f>
        <v>0</v>
      </c>
      <c r="AF24" s="258"/>
      <c r="AG24" s="258"/>
      <c r="AH24" s="258"/>
      <c r="AI24" s="258"/>
      <c r="AJ24" s="26">
        <f>AI24</f>
        <v>0</v>
      </c>
      <c r="AK24" s="258"/>
      <c r="AL24" s="258"/>
      <c r="AM24" s="258"/>
      <c r="AN24" s="258"/>
      <c r="AO24" s="26">
        <f>AN24</f>
        <v>0</v>
      </c>
      <c r="AP24" s="258"/>
      <c r="AQ24" s="258"/>
      <c r="AR24" s="258"/>
      <c r="AS24" s="258"/>
      <c r="AT24" s="26">
        <f>AS24</f>
        <v>0</v>
      </c>
      <c r="AU24" s="258"/>
      <c r="AV24" s="258"/>
      <c r="AW24" s="258"/>
      <c r="AX24" s="258"/>
      <c r="AY24" s="26">
        <f>AX24</f>
        <v>0</v>
      </c>
      <c r="AZ24" s="258"/>
      <c r="BA24" s="258"/>
      <c r="BB24" s="258"/>
      <c r="BC24" s="258"/>
      <c r="BD24" s="26">
        <f>BC24</f>
        <v>0</v>
      </c>
      <c r="BE24" s="98"/>
      <c r="BF24" s="98"/>
      <c r="BG24" s="98"/>
      <c r="BH24" s="98">
        <f>BM24-BM4+BM9</f>
        <v>483173</v>
      </c>
      <c r="BI24" s="26">
        <f>BH24</f>
        <v>483173</v>
      </c>
      <c r="BJ24" s="98"/>
      <c r="BK24" s="98"/>
      <c r="BL24" s="98"/>
      <c r="BM24" s="98">
        <f>BR24-BR4+BR9</f>
        <v>373157</v>
      </c>
      <c r="BN24" s="26">
        <f>BM24</f>
        <v>373157</v>
      </c>
      <c r="BO24" s="98"/>
      <c r="BP24" s="98"/>
      <c r="BQ24" s="98"/>
      <c r="BR24" s="98">
        <f>BW24-BW4+BW9</f>
        <v>394199</v>
      </c>
      <c r="BS24" s="26">
        <f>BR24</f>
        <v>394199</v>
      </c>
      <c r="BT24" s="98"/>
      <c r="BU24" s="98"/>
      <c r="BV24" s="98"/>
      <c r="BW24" s="98">
        <f>CB24-CB4+CB9</f>
        <v>413728</v>
      </c>
      <c r="BX24" s="26">
        <f>BW24</f>
        <v>413728</v>
      </c>
      <c r="BY24" s="98"/>
      <c r="BZ24" s="98"/>
      <c r="CA24" s="98"/>
      <c r="CB24" s="258">
        <v>444073</v>
      </c>
      <c r="CC24" s="26">
        <f>CB24</f>
        <v>444073</v>
      </c>
      <c r="CD24" s="456">
        <f>CE24-CE4+CE9</f>
        <v>498647</v>
      </c>
      <c r="CE24" s="258">
        <v>518093</v>
      </c>
      <c r="CF24" s="98">
        <v>472988</v>
      </c>
      <c r="CG24" s="98">
        <v>748098</v>
      </c>
      <c r="CH24" s="26">
        <f>CG24</f>
        <v>748098</v>
      </c>
      <c r="CI24" s="98">
        <v>765721</v>
      </c>
      <c r="CJ24" s="98">
        <v>754103</v>
      </c>
      <c r="CK24" s="98">
        <v>806106</v>
      </c>
      <c r="CL24" s="98">
        <v>999540</v>
      </c>
      <c r="CM24" s="26">
        <f>CL24</f>
        <v>999540</v>
      </c>
      <c r="CN24" s="98">
        <v>1067451</v>
      </c>
      <c r="CO24" s="98">
        <v>1258406.1220286</v>
      </c>
      <c r="CP24" s="98">
        <v>1311549.8057307701</v>
      </c>
      <c r="CQ24" s="98">
        <v>1081800</v>
      </c>
      <c r="CR24" s="26">
        <f>CQ24</f>
        <v>1081800</v>
      </c>
      <c r="CS24" s="98">
        <v>1406899.1648209963</v>
      </c>
      <c r="CT24" s="98">
        <v>1436257.702</v>
      </c>
      <c r="CU24" s="98">
        <v>1436445.0149981501</v>
      </c>
      <c r="CV24" s="98">
        <v>1423778.6574939373</v>
      </c>
      <c r="CW24" s="26">
        <f>CV24</f>
        <v>1423778.6574939373</v>
      </c>
      <c r="CX24" s="98">
        <v>1689696.8970740701</v>
      </c>
      <c r="CY24" s="98">
        <v>1712813.4176047435</v>
      </c>
      <c r="CZ24" s="98">
        <v>1840177.3344398551</v>
      </c>
      <c r="DA24" s="98">
        <v>1833295</v>
      </c>
      <c r="DB24" s="26">
        <f>DA24</f>
        <v>1833295</v>
      </c>
      <c r="DC24" s="98">
        <v>2531047.0653500967</v>
      </c>
      <c r="DD24" s="98">
        <v>2497723.131500381</v>
      </c>
      <c r="DE24" s="98">
        <v>2678204.8832032457</v>
      </c>
      <c r="DF24" s="98">
        <v>2406320.7815667279</v>
      </c>
      <c r="DG24" s="26">
        <f>DF24</f>
        <v>2406320.7815667279</v>
      </c>
      <c r="DH24" s="98">
        <v>2805177.501498674</v>
      </c>
      <c r="DI24" s="98">
        <v>3008261.0470570386</v>
      </c>
      <c r="DJ24" s="307">
        <f>DI24+DJ4-DJ9</f>
        <v>3176959.7368693557</v>
      </c>
      <c r="DK24" s="307">
        <f>DJ24+DK4-DK9</f>
        <v>2968810.4666462904</v>
      </c>
      <c r="DL24" s="26">
        <f>DK24</f>
        <v>2968810.4666462904</v>
      </c>
      <c r="DM24" s="307">
        <f>DL24+DM4-DM9</f>
        <v>3061792.2819017461</v>
      </c>
      <c r="DN24" s="307">
        <f>DM24+DN4-DN9</f>
        <v>3132554.0020459723</v>
      </c>
      <c r="DO24" s="307">
        <f>DN24+DO4-DO9</f>
        <v>3193678.6956812362</v>
      </c>
      <c r="DP24" s="307">
        <f>DO24+DP4-DP9</f>
        <v>3249019.3992731003</v>
      </c>
      <c r="DQ24" s="26">
        <f>DP24</f>
        <v>3249019.3992731003</v>
      </c>
      <c r="DR24" s="307">
        <f>DQ24+DR4-DR9</f>
        <v>3300872.6808519303</v>
      </c>
      <c r="DS24" s="307">
        <f>DR24+DS4-DS9</f>
        <v>3350556.1429141732</v>
      </c>
      <c r="DT24" s="307">
        <f>DS24+DT4-DT9</f>
        <v>3398843.8475534739</v>
      </c>
      <c r="DU24" s="307">
        <f>DT24+DU4-DU9</f>
        <v>3446204.3274865206</v>
      </c>
      <c r="DV24" s="26">
        <f>DU24</f>
        <v>3446204.3274865206</v>
      </c>
      <c r="DW24" s="307">
        <f>DV24+DW4-DW9</f>
        <v>3492933.0881866603</v>
      </c>
      <c r="DX24" s="307">
        <f>DW24+DX4-DX9</f>
        <v>3539226.4318059515</v>
      </c>
      <c r="DY24" s="307">
        <f>DX24+DY4-DY9</f>
        <v>3585222.7137879427</v>
      </c>
      <c r="DZ24" s="307">
        <f>DY24+DZ4-DZ9</f>
        <v>3631025.5093813427</v>
      </c>
      <c r="EA24" s="26">
        <f>DZ24</f>
        <v>3631025.5093813427</v>
      </c>
      <c r="EB24" s="307">
        <f>EA24+EB4-EB9</f>
        <v>3676716.7209031852</v>
      </c>
      <c r="EC24" s="307">
        <f>EB24+EC4-EC9</f>
        <v>3722364.0816229791</v>
      </c>
      <c r="ED24" s="307">
        <f>EC24+ED4-ED9</f>
        <v>3768025.5295465793</v>
      </c>
      <c r="EE24" s="307">
        <f>ED24+EE4-EE9</f>
        <v>3813751.8247850365</v>
      </c>
      <c r="EF24" s="26">
        <f>EE24</f>
        <v>3813751.8247850365</v>
      </c>
    </row>
    <row r="25" spans="1:136" s="131" customFormat="1" ht="12.75" customHeight="1" outlineLevel="1">
      <c r="A25" s="125" t="s">
        <v>287</v>
      </c>
      <c r="B25" s="280"/>
      <c r="C25" s="280"/>
      <c r="D25" s="280"/>
      <c r="E25" s="280"/>
      <c r="F25" s="130"/>
      <c r="G25" s="280"/>
      <c r="H25" s="280"/>
      <c r="I25" s="280"/>
      <c r="J25" s="280"/>
      <c r="K25" s="130"/>
      <c r="L25" s="280"/>
      <c r="M25" s="280"/>
      <c r="N25" s="280"/>
      <c r="O25" s="280"/>
      <c r="P25" s="130"/>
      <c r="Q25" s="280"/>
      <c r="R25" s="280"/>
      <c r="S25" s="280"/>
      <c r="T25" s="280"/>
      <c r="U25" s="130"/>
      <c r="V25" s="280"/>
      <c r="W25" s="280"/>
      <c r="X25" s="280"/>
      <c r="Y25" s="280"/>
      <c r="Z25" s="130"/>
      <c r="AA25" s="280"/>
      <c r="AB25" s="280"/>
      <c r="AC25" s="280"/>
      <c r="AD25" s="280"/>
      <c r="AE25" s="130"/>
      <c r="AF25" s="273"/>
      <c r="AG25" s="273"/>
      <c r="AH25" s="417"/>
      <c r="AI25" s="273"/>
      <c r="AJ25" s="130">
        <f>AI25</f>
        <v>0</v>
      </c>
      <c r="AK25" s="273"/>
      <c r="AL25" s="273"/>
      <c r="AM25" s="417"/>
      <c r="AN25" s="273"/>
      <c r="AO25" s="130">
        <f>AN25</f>
        <v>0</v>
      </c>
      <c r="AP25" s="273"/>
      <c r="AQ25" s="273"/>
      <c r="AR25" s="417"/>
      <c r="AS25" s="273"/>
      <c r="AT25" s="130">
        <f>AS25</f>
        <v>0</v>
      </c>
      <c r="AU25" s="273"/>
      <c r="AV25" s="273"/>
      <c r="AW25" s="417"/>
      <c r="AX25" s="273"/>
      <c r="AY25" s="130">
        <f>AX25</f>
        <v>0</v>
      </c>
      <c r="AZ25" s="273"/>
      <c r="BA25" s="273"/>
      <c r="BB25" s="417"/>
      <c r="BC25" s="273"/>
      <c r="BD25" s="130">
        <f>BC25</f>
        <v>0</v>
      </c>
      <c r="BE25" s="271"/>
      <c r="BF25" s="271"/>
      <c r="BG25" s="308"/>
      <c r="BH25" s="417">
        <f>BM25/BM24*BH24</f>
        <v>202295.43346476826</v>
      </c>
      <c r="BI25" s="130">
        <f>BH25</f>
        <v>202295.43346476826</v>
      </c>
      <c r="BJ25" s="271"/>
      <c r="BK25" s="271"/>
      <c r="BL25" s="308"/>
      <c r="BM25" s="417">
        <f>BR25/BR24*BM24</f>
        <v>156233.80666016627</v>
      </c>
      <c r="BN25" s="130">
        <f>BM25</f>
        <v>156233.80666016627</v>
      </c>
      <c r="BO25" s="271"/>
      <c r="BP25" s="271"/>
      <c r="BQ25" s="308"/>
      <c r="BR25" s="417">
        <f>BW25/BW24*BR24</f>
        <v>165043.69568742078</v>
      </c>
      <c r="BS25" s="130">
        <f>BR25</f>
        <v>165043.69568742078</v>
      </c>
      <c r="BT25" s="271"/>
      <c r="BU25" s="271"/>
      <c r="BV25" s="308"/>
      <c r="BW25" s="417">
        <f>CB25/CB24*BW24</f>
        <v>173220.12011538644</v>
      </c>
      <c r="BX25" s="130">
        <f>BW25</f>
        <v>173220.12011538644</v>
      </c>
      <c r="BY25" s="271"/>
      <c r="BZ25" s="271"/>
      <c r="CA25" s="308"/>
      <c r="CB25" s="273">
        <f>54559+37567+7488+31657+54654</f>
        <v>185925</v>
      </c>
      <c r="CC25" s="130">
        <f>CB25</f>
        <v>185925</v>
      </c>
      <c r="CD25" s="457">
        <f>CE25/$CE$24*$CD$24</f>
        <v>303399.1821101617</v>
      </c>
      <c r="CE25" s="273">
        <v>315231</v>
      </c>
      <c r="CF25" s="273">
        <f>CF4*50%</f>
        <v>198455</v>
      </c>
      <c r="CG25" s="273">
        <f>CG4*50%</f>
        <v>337400</v>
      </c>
      <c r="CH25" s="130">
        <f>CG25</f>
        <v>337400</v>
      </c>
      <c r="CI25" s="273">
        <f>CI4*50%</f>
        <v>295247.5</v>
      </c>
      <c r="CJ25" s="273">
        <f>CJ4*50%</f>
        <v>343094.5</v>
      </c>
      <c r="CK25" s="273">
        <f>CK4*50%</f>
        <v>360112</v>
      </c>
      <c r="CL25" s="273">
        <f>CL4*50%</f>
        <v>394050.5</v>
      </c>
      <c r="CM25" s="130">
        <f>CL25</f>
        <v>394050.5</v>
      </c>
      <c r="CN25" s="273">
        <f>CN4*50%</f>
        <v>390575</v>
      </c>
      <c r="CO25" s="273">
        <f>CO4*50%</f>
        <v>528159</v>
      </c>
      <c r="CP25" s="273">
        <f>CP4*50%</f>
        <v>459573</v>
      </c>
      <c r="CQ25" s="273">
        <f>CQ4*50%</f>
        <v>278079.54658999998</v>
      </c>
      <c r="CR25" s="130">
        <f>CQ25</f>
        <v>278079.54658999998</v>
      </c>
      <c r="CS25" s="273">
        <f>CS4*50%</f>
        <v>709990.46149999998</v>
      </c>
      <c r="CT25" s="273">
        <f>CT4*50%</f>
        <v>611282.59050000005</v>
      </c>
      <c r="CU25" s="273">
        <f>CU4*50%</f>
        <v>470858.554</v>
      </c>
      <c r="CV25" s="273">
        <f>CV4*50%</f>
        <v>428303.32650000002</v>
      </c>
      <c r="CW25" s="130">
        <f>CV25</f>
        <v>428303.32650000002</v>
      </c>
      <c r="CX25" s="273">
        <f>CX4*50%</f>
        <v>942169.005</v>
      </c>
      <c r="CY25" s="273">
        <f>CY4*50%</f>
        <v>867343.47250000003</v>
      </c>
      <c r="CZ25" s="273">
        <f>CZ4*50%</f>
        <v>780348.5</v>
      </c>
      <c r="DA25" s="273">
        <f>DA4*50%</f>
        <v>699918.5</v>
      </c>
      <c r="DB25" s="130">
        <f>DA25</f>
        <v>699918.5</v>
      </c>
      <c r="DC25" s="273">
        <f>DC4*50%</f>
        <v>1391754.5</v>
      </c>
      <c r="DD25" s="273">
        <f>DD4*50%</f>
        <v>1112642.8055</v>
      </c>
      <c r="DE25" s="273">
        <f>DE4*50%</f>
        <v>993188.821</v>
      </c>
      <c r="DF25" s="273">
        <f>DF4*50%</f>
        <v>644756.91150000005</v>
      </c>
      <c r="DG25" s="130">
        <f>DF25</f>
        <v>644756.91150000005</v>
      </c>
      <c r="DH25" s="273">
        <f>DH4*50%</f>
        <v>1323379.06971</v>
      </c>
      <c r="DI25" s="273">
        <f>DI4*50%</f>
        <v>1128444.6196400002</v>
      </c>
      <c r="DJ25" s="281">
        <f>60%*DJ4+20%*DI4</f>
        <v>1820494.8662181587</v>
      </c>
      <c r="DK25" s="281">
        <f>60%*DK4+20%*DJ4</f>
        <v>1632998.6818422277</v>
      </c>
      <c r="DL25" s="130">
        <f>DK25</f>
        <v>1632998.6818422277</v>
      </c>
      <c r="DM25" s="418">
        <f>60%*DM4+20%*DK4</f>
        <v>1807115.9845674294</v>
      </c>
      <c r="DN25" s="281">
        <f>60%*DN4+20%*DM4</f>
        <v>1902198.8731287355</v>
      </c>
      <c r="DO25" s="281">
        <f>60%*DO4+20%*DN4</f>
        <v>1923246.6855873964</v>
      </c>
      <c r="DP25" s="281">
        <f>60%*DP4+20%*DO4</f>
        <v>1944527.3918909398</v>
      </c>
      <c r="DQ25" s="130">
        <f>DP25</f>
        <v>1944527.3918909398</v>
      </c>
      <c r="DR25" s="418">
        <f>60%*DR4+20%*DP4</f>
        <v>1966043.5690075476</v>
      </c>
      <c r="DS25" s="281">
        <f>60%*DS4+20%*DR4</f>
        <v>1987797.8224195286</v>
      </c>
      <c r="DT25" s="281">
        <f>60%*DT4+20%*DS4</f>
        <v>2009792.786438829</v>
      </c>
      <c r="DU25" s="281">
        <f>60%*DU4+20%*DT4</f>
        <v>2032031.124526032</v>
      </c>
      <c r="DV25" s="130">
        <f>DU25</f>
        <v>2032031.124526032</v>
      </c>
      <c r="DW25" s="418">
        <f>60%*DW4+20%*DU4</f>
        <v>2054515.5296128867</v>
      </c>
      <c r="DX25" s="281">
        <f>60%*DX4+20%*DW4</f>
        <v>2077248.7244284067</v>
      </c>
      <c r="DY25" s="281">
        <f>60%*DY4+20%*DX4</f>
        <v>2100233.4618285755</v>
      </c>
      <c r="DZ25" s="281">
        <f>60%*DZ4+20%*DY4</f>
        <v>2123472.5251297029</v>
      </c>
      <c r="EA25" s="130">
        <f>DZ25</f>
        <v>2123472.5251297029</v>
      </c>
      <c r="EB25" s="418">
        <f>60%*EB4+20%*DZ4</f>
        <v>2146968.7284454657</v>
      </c>
      <c r="EC25" s="281">
        <f>60%*EC4+20%*EB4</f>
        <v>2170724.9170276844</v>
      </c>
      <c r="ED25" s="281">
        <f>60%*ED4+20%*EC4</f>
        <v>2194743.9676108612</v>
      </c>
      <c r="EE25" s="281">
        <f>60%*EE4+20%*ED4</f>
        <v>2219028.7887605391</v>
      </c>
      <c r="EF25" s="130">
        <f>EE25</f>
        <v>2219028.7887605391</v>
      </c>
    </row>
    <row r="26" spans="1:136" s="131" customFormat="1" ht="12.75" customHeight="1" outlineLevel="1">
      <c r="A26" s="125" t="s">
        <v>288</v>
      </c>
      <c r="B26" s="280"/>
      <c r="C26" s="280"/>
      <c r="D26" s="280"/>
      <c r="E26" s="280"/>
      <c r="F26" s="130"/>
      <c r="G26" s="280"/>
      <c r="H26" s="280"/>
      <c r="I26" s="280"/>
      <c r="J26" s="280"/>
      <c r="K26" s="130"/>
      <c r="L26" s="280"/>
      <c r="M26" s="280"/>
      <c r="N26" s="280"/>
      <c r="O26" s="280"/>
      <c r="P26" s="130"/>
      <c r="Q26" s="280"/>
      <c r="R26" s="280"/>
      <c r="S26" s="280"/>
      <c r="T26" s="280"/>
      <c r="U26" s="130"/>
      <c r="V26" s="280"/>
      <c r="W26" s="280"/>
      <c r="X26" s="280"/>
      <c r="Y26" s="280"/>
      <c r="Z26" s="130"/>
      <c r="AA26" s="280"/>
      <c r="AB26" s="280"/>
      <c r="AC26" s="280"/>
      <c r="AD26" s="280"/>
      <c r="AE26" s="130"/>
      <c r="AF26" s="273"/>
      <c r="AG26" s="273"/>
      <c r="AH26" s="273"/>
      <c r="AI26" s="273"/>
      <c r="AJ26" s="130">
        <f>AI26</f>
        <v>0</v>
      </c>
      <c r="AK26" s="273"/>
      <c r="AL26" s="273"/>
      <c r="AM26" s="273"/>
      <c r="AN26" s="273"/>
      <c r="AO26" s="130">
        <f>AN26</f>
        <v>0</v>
      </c>
      <c r="AP26" s="273"/>
      <c r="AQ26" s="273"/>
      <c r="AR26" s="273"/>
      <c r="AS26" s="273"/>
      <c r="AT26" s="130">
        <f>AS26</f>
        <v>0</v>
      </c>
      <c r="AU26" s="273"/>
      <c r="AV26" s="273"/>
      <c r="AW26" s="273"/>
      <c r="AX26" s="273"/>
      <c r="AY26" s="130">
        <f>AX26</f>
        <v>0</v>
      </c>
      <c r="AZ26" s="273"/>
      <c r="BA26" s="273"/>
      <c r="BB26" s="273"/>
      <c r="BC26" s="273"/>
      <c r="BD26" s="130">
        <f>BC26</f>
        <v>0</v>
      </c>
      <c r="BE26" s="271"/>
      <c r="BF26" s="271"/>
      <c r="BG26" s="271"/>
      <c r="BH26" s="417">
        <f>BH24-BH25-BH27</f>
        <v>280730.67997603992</v>
      </c>
      <c r="BI26" s="130">
        <f>BH26</f>
        <v>280730.67997603992</v>
      </c>
      <c r="BJ26" s="271"/>
      <c r="BK26" s="271"/>
      <c r="BL26" s="271"/>
      <c r="BM26" s="417">
        <f>BM24-BM25-BM27</f>
        <v>216809.75209256131</v>
      </c>
      <c r="BN26" s="130">
        <f>BM26</f>
        <v>216809.75209256131</v>
      </c>
      <c r="BO26" s="271"/>
      <c r="BP26" s="271"/>
      <c r="BQ26" s="271"/>
      <c r="BR26" s="417">
        <f>BR24-BR25-BR27</f>
        <v>229035.46621163635</v>
      </c>
      <c r="BS26" s="130">
        <f>BR26</f>
        <v>229035.46621163635</v>
      </c>
      <c r="BT26" s="271"/>
      <c r="BU26" s="271"/>
      <c r="BV26" s="271"/>
      <c r="BW26" s="417">
        <f>BW24-BW25-BW27</f>
        <v>240382.10488816028</v>
      </c>
      <c r="BX26" s="130">
        <f>BW26</f>
        <v>240382.10488816028</v>
      </c>
      <c r="BY26" s="271"/>
      <c r="BZ26" s="271"/>
      <c r="CA26" s="271"/>
      <c r="CB26" s="273">
        <f>CB24-CB25-CB27</f>
        <v>258013</v>
      </c>
      <c r="CC26" s="130">
        <f>CB26</f>
        <v>258013</v>
      </c>
      <c r="CD26" s="457">
        <f>CE26/$CE$24*$CD$24</f>
        <v>178835.84427892289</v>
      </c>
      <c r="CE26" s="273">
        <f>CE24-CE25-CE27</f>
        <v>185810</v>
      </c>
      <c r="CF26" s="271">
        <f>CF24-CF25-CF27</f>
        <v>258001</v>
      </c>
      <c r="CG26" s="271">
        <f>CG24-CG25-CG27</f>
        <v>394373</v>
      </c>
      <c r="CH26" s="130">
        <f>CG26</f>
        <v>394373</v>
      </c>
      <c r="CI26" s="271">
        <f>CI24-CI25-CI27</f>
        <v>453396.5</v>
      </c>
      <c r="CJ26" s="271">
        <f>CJ24-CJ25-CJ27</f>
        <v>387682.5</v>
      </c>
      <c r="CK26" s="271">
        <f>CK24-CK25-CK27</f>
        <v>424970</v>
      </c>
      <c r="CL26" s="271">
        <f>CL24-CL25-CL27</f>
        <v>584614.5</v>
      </c>
      <c r="CM26" s="130">
        <f>CL26</f>
        <v>584614.5</v>
      </c>
      <c r="CN26" s="271">
        <f>CN24-CN25-CN27</f>
        <v>655749</v>
      </c>
      <c r="CO26" s="271">
        <f>CO24-CO25-CO27</f>
        <v>704564.55040231091</v>
      </c>
      <c r="CP26" s="271">
        <f>CP24-CP25-CP27</f>
        <v>825905.62748565676</v>
      </c>
      <c r="CQ26" s="271">
        <f>CQ24-CQ25-CQ27</f>
        <v>778188.7554881731</v>
      </c>
      <c r="CR26" s="130">
        <f>CQ26</f>
        <v>778188.7554881731</v>
      </c>
      <c r="CS26" s="271">
        <f>CS24-CS25-CS27</f>
        <v>669879.12066287594</v>
      </c>
      <c r="CT26" s="271">
        <f>CT24-CT25-CT27</f>
        <v>800475.5405</v>
      </c>
      <c r="CU26" s="271">
        <f>CU24-CU25-CU27</f>
        <v>939989.43971342826</v>
      </c>
      <c r="CV26" s="271">
        <f>CV24-CV25-CV27</f>
        <v>968716.48862054036</v>
      </c>
      <c r="CW26" s="130">
        <f>CV26</f>
        <v>968716.48862054036</v>
      </c>
      <c r="CX26" s="271">
        <f>CX24-CX25-CX27</f>
        <v>721690.98496686108</v>
      </c>
      <c r="CY26" s="271">
        <f>CY24-CY25-CY27</f>
        <v>820257.35640278889</v>
      </c>
      <c r="CZ26" s="271">
        <f>CZ24-CZ25-CZ27</f>
        <v>1036621.5484095825</v>
      </c>
      <c r="DA26" s="271">
        <f>DA24-DA25-DA27</f>
        <v>1108237.67</v>
      </c>
      <c r="DB26" s="130">
        <f>DA26</f>
        <v>1108237.67</v>
      </c>
      <c r="DC26" s="271">
        <f>DC24-DC25-DC27</f>
        <v>1113636.8239674161</v>
      </c>
      <c r="DD26" s="271">
        <f>DD24-DD25-DD27</f>
        <v>1351665.9541085265</v>
      </c>
      <c r="DE26" s="271">
        <f>DE24-DE25-DE27</f>
        <v>1632200.4354905954</v>
      </c>
      <c r="DF26" s="271">
        <f>DF24-DF25-DF27</f>
        <v>1699784.6529817709</v>
      </c>
      <c r="DG26" s="130">
        <f>DF26</f>
        <v>1699784.6529817709</v>
      </c>
      <c r="DH26" s="271">
        <f>DH24-DH25-DH27</f>
        <v>1415631.234098509</v>
      </c>
      <c r="DI26" s="271">
        <f>DI24-DI25-DI27</f>
        <v>1816761.9680967215</v>
      </c>
      <c r="DJ26" s="281">
        <f>DJ24-DJ25-DJ27</f>
        <v>1202114.3984579009</v>
      </c>
      <c r="DK26" s="281">
        <f>DK24-DK25-DK27</f>
        <v>1088653.2880681227</v>
      </c>
      <c r="DL26" s="130">
        <f>DK26</f>
        <v>1088653.2880681227</v>
      </c>
      <c r="DM26" s="418">
        <f>DM24-DM25-DM27</f>
        <v>913595.59736448852</v>
      </c>
      <c r="DN26" s="281">
        <f>DN24-DN25-DN27</f>
        <v>801641.60001851921</v>
      </c>
      <c r="DO26" s="281">
        <f>DO24-DO25-DO27</f>
        <v>760907.99546801543</v>
      </c>
      <c r="DP26" s="281">
        <f>DP24-DP25-DP27</f>
        <v>717817.70385009504</v>
      </c>
      <c r="DQ26" s="130">
        <f>DP26</f>
        <v>717817.70385009504</v>
      </c>
      <c r="DR26" s="418">
        <f>DR24-DR25-DR27</f>
        <v>671506.29511532316</v>
      </c>
      <c r="DS26" s="281">
        <f>DS24-DS25-DS27</f>
        <v>617928.29248611175</v>
      </c>
      <c r="DT26" s="281">
        <f>DT24-DT25-DT27</f>
        <v>570719.65797721071</v>
      </c>
      <c r="DU26" s="281">
        <f>DU24-DU25-DU27</f>
        <v>524472.60174499161</v>
      </c>
      <c r="DV26" s="130">
        <f>DU26</f>
        <v>524472.60174499161</v>
      </c>
      <c r="DW26" s="418">
        <f>DW24-DW25-DW27</f>
        <v>479352.74200936104</v>
      </c>
      <c r="DX26" s="281">
        <f>DX24-DX25-DX27</f>
        <v>430985.73015002615</v>
      </c>
      <c r="DY26" s="281">
        <f>DY24-DY25-DY27</f>
        <v>384339.99659836199</v>
      </c>
      <c r="DZ26" s="281">
        <f>DZ24-DZ25-DZ27</f>
        <v>339388.16172144283</v>
      </c>
      <c r="EA26" s="130">
        <f>DZ26</f>
        <v>339388.16172144283</v>
      </c>
      <c r="EB26" s="418">
        <f>EB24-EB25-EB27</f>
        <v>296087.38832984539</v>
      </c>
      <c r="EC26" s="281">
        <f>EC24-EC25-EC27</f>
        <v>254386.57111537782</v>
      </c>
      <c r="ED26" s="281">
        <f>ED24-ED25-ED27</f>
        <v>214230.41167016607</v>
      </c>
      <c r="EE26" s="281">
        <f>EE24-EE25-EE27</f>
        <v>175561.75198780512</v>
      </c>
      <c r="EF26" s="130">
        <f>EE26</f>
        <v>175561.75198780512</v>
      </c>
    </row>
    <row r="27" spans="1:136" s="131" customFormat="1" ht="12.75" customHeight="1" outlineLevel="1">
      <c r="A27" s="125" t="s">
        <v>289</v>
      </c>
      <c r="B27" s="280"/>
      <c r="C27" s="280"/>
      <c r="D27" s="280"/>
      <c r="E27" s="280"/>
      <c r="F27" s="130"/>
      <c r="G27" s="280"/>
      <c r="H27" s="280"/>
      <c r="I27" s="280"/>
      <c r="J27" s="280"/>
      <c r="K27" s="130"/>
      <c r="L27" s="280"/>
      <c r="M27" s="280"/>
      <c r="N27" s="280"/>
      <c r="O27" s="280"/>
      <c r="P27" s="130"/>
      <c r="Q27" s="280"/>
      <c r="R27" s="280"/>
      <c r="S27" s="280"/>
      <c r="T27" s="280"/>
      <c r="U27" s="130"/>
      <c r="V27" s="280"/>
      <c r="W27" s="280"/>
      <c r="X27" s="280"/>
      <c r="Y27" s="280"/>
      <c r="Z27" s="130"/>
      <c r="AA27" s="280"/>
      <c r="AB27" s="280"/>
      <c r="AC27" s="280"/>
      <c r="AD27" s="280"/>
      <c r="AE27" s="130"/>
      <c r="AF27" s="273"/>
      <c r="AG27" s="273"/>
      <c r="AH27" s="417"/>
      <c r="AI27" s="273"/>
      <c r="AJ27" s="130">
        <f>AI27</f>
        <v>0</v>
      </c>
      <c r="AK27" s="273"/>
      <c r="AL27" s="273"/>
      <c r="AM27" s="417"/>
      <c r="AN27" s="273"/>
      <c r="AO27" s="130">
        <f>AN27</f>
        <v>0</v>
      </c>
      <c r="AP27" s="273"/>
      <c r="AQ27" s="273"/>
      <c r="AR27" s="417"/>
      <c r="AS27" s="273"/>
      <c r="AT27" s="130">
        <f>AS27</f>
        <v>0</v>
      </c>
      <c r="AU27" s="273"/>
      <c r="AV27" s="273"/>
      <c r="AW27" s="417"/>
      <c r="AX27" s="273"/>
      <c r="AY27" s="130">
        <f>AX27</f>
        <v>0</v>
      </c>
      <c r="AZ27" s="273"/>
      <c r="BA27" s="273"/>
      <c r="BB27" s="417"/>
      <c r="BC27" s="273"/>
      <c r="BD27" s="130">
        <f>BC27</f>
        <v>0</v>
      </c>
      <c r="BE27" s="271"/>
      <c r="BF27" s="271"/>
      <c r="BG27" s="308"/>
      <c r="BH27" s="417">
        <f>BM27/BM24*BH24</f>
        <v>146.88655919184458</v>
      </c>
      <c r="BI27" s="130">
        <f>BH27</f>
        <v>146.88655919184458</v>
      </c>
      <c r="BJ27" s="271"/>
      <c r="BK27" s="271"/>
      <c r="BL27" s="308"/>
      <c r="BM27" s="417">
        <f>BR27/BR24*BM24</f>
        <v>113.44124727240791</v>
      </c>
      <c r="BN27" s="130">
        <f>BM27</f>
        <v>113.44124727240791</v>
      </c>
      <c r="BO27" s="271"/>
      <c r="BP27" s="271"/>
      <c r="BQ27" s="308"/>
      <c r="BR27" s="417">
        <f>BW27/BW24*BR24</f>
        <v>119.83810094286299</v>
      </c>
      <c r="BS27" s="130">
        <f>BR27</f>
        <v>119.83810094286299</v>
      </c>
      <c r="BT27" s="271"/>
      <c r="BU27" s="271"/>
      <c r="BV27" s="308"/>
      <c r="BW27" s="417">
        <f>CB27/CB24*BW24</f>
        <v>125.77499645328582</v>
      </c>
      <c r="BX27" s="130">
        <f>BW27</f>
        <v>125.77499645328582</v>
      </c>
      <c r="BY27" s="271"/>
      <c r="BZ27" s="271"/>
      <c r="CA27" s="308"/>
      <c r="CB27" s="273">
        <f>135</f>
        <v>135</v>
      </c>
      <c r="CC27" s="130">
        <f>CB27</f>
        <v>135</v>
      </c>
      <c r="CD27" s="457">
        <f>CE27/$CE$24*$CD$24</f>
        <v>16411.973610915415</v>
      </c>
      <c r="CE27" s="273">
        <v>17052</v>
      </c>
      <c r="CF27" s="271">
        <v>16532</v>
      </c>
      <c r="CG27" s="271">
        <v>16325</v>
      </c>
      <c r="CH27" s="130">
        <f>CG27</f>
        <v>16325</v>
      </c>
      <c r="CI27" s="271">
        <v>17077</v>
      </c>
      <c r="CJ27" s="271">
        <v>23326</v>
      </c>
      <c r="CK27" s="271">
        <v>21024</v>
      </c>
      <c r="CL27" s="271">
        <v>20875</v>
      </c>
      <c r="CM27" s="130">
        <f>CL27</f>
        <v>20875</v>
      </c>
      <c r="CN27" s="271">
        <v>21127</v>
      </c>
      <c r="CO27" s="271">
        <v>25682.571626288998</v>
      </c>
      <c r="CP27" s="271">
        <v>26071.1782451133</v>
      </c>
      <c r="CQ27" s="271">
        <v>25531.69792182701</v>
      </c>
      <c r="CR27" s="130">
        <f>CQ27</f>
        <v>25531.69792182701</v>
      </c>
      <c r="CS27" s="271">
        <v>27029.582658120438</v>
      </c>
      <c r="CT27" s="271">
        <v>24499.571</v>
      </c>
      <c r="CU27" s="271">
        <v>25597.021284721799</v>
      </c>
      <c r="CV27" s="271">
        <v>26758.842373396939</v>
      </c>
      <c r="CW27" s="130">
        <f>CV27</f>
        <v>26758.842373396939</v>
      </c>
      <c r="CX27" s="271">
        <v>25836.907107209001</v>
      </c>
      <c r="CY27" s="271">
        <v>25212.588701954566</v>
      </c>
      <c r="CZ27" s="271">
        <v>23207.286030272626</v>
      </c>
      <c r="DA27" s="271">
        <v>25138.83</v>
      </c>
      <c r="DB27" s="130">
        <f>DA27</f>
        <v>25138.83</v>
      </c>
      <c r="DC27" s="271">
        <v>25655.741382680517</v>
      </c>
      <c r="DD27" s="271">
        <v>33414.371891854622</v>
      </c>
      <c r="DE27" s="271">
        <v>52815.626712650199</v>
      </c>
      <c r="DF27" s="271">
        <v>61779.217084957018</v>
      </c>
      <c r="DG27" s="130">
        <f>DF27</f>
        <v>61779.217084957018</v>
      </c>
      <c r="DH27" s="271">
        <v>66167.197690165078</v>
      </c>
      <c r="DI27" s="271">
        <v>63054.459320317001</v>
      </c>
      <c r="DJ27" s="271">
        <f>DI27*95%+DJ52*5%</f>
        <v>154350.47219329607</v>
      </c>
      <c r="DK27" s="271">
        <f>DJ27*95%+DK52*5%</f>
        <v>247158.49673593993</v>
      </c>
      <c r="DL27" s="130">
        <f>DK27</f>
        <v>247158.49673593993</v>
      </c>
      <c r="DM27" s="419">
        <f>DL27*95%+DM52*5%</f>
        <v>341080.69996982819</v>
      </c>
      <c r="DN27" s="271">
        <f>DM27*95%+DN52*5%</f>
        <v>428713.52889871754</v>
      </c>
      <c r="DO27" s="271">
        <f>DN27*95%+DO52*5%</f>
        <v>509524.01462582441</v>
      </c>
      <c r="DP27" s="271">
        <f>DO27*95%+DP52*5%</f>
        <v>586674.30353206547</v>
      </c>
      <c r="DQ27" s="130">
        <f>DP27</f>
        <v>586674.30353206547</v>
      </c>
      <c r="DR27" s="419">
        <f>DQ27*95%+DR52*5%</f>
        <v>663322.81672905956</v>
      </c>
      <c r="DS27" s="271">
        <f>DR27*95%+DS52*5%</f>
        <v>744830.02800853283</v>
      </c>
      <c r="DT27" s="271">
        <f>DS27*95%+DT52*5%</f>
        <v>818331.40313743416</v>
      </c>
      <c r="DU27" s="271">
        <f>DT27*95%+DU52*5%</f>
        <v>889700.60121549701</v>
      </c>
      <c r="DV27" s="130">
        <f>DU27</f>
        <v>889700.60121549701</v>
      </c>
      <c r="DW27" s="419">
        <f>DV27*95%+DW52*5%</f>
        <v>959064.81656441255</v>
      </c>
      <c r="DX27" s="271">
        <f>DW27*95%+DX52*5%</f>
        <v>1030991.9772275187</v>
      </c>
      <c r="DY27" s="271">
        <f>DX27*95%+DY52*5%</f>
        <v>1100649.2553610052</v>
      </c>
      <c r="DZ27" s="271">
        <f>DY27*95%+DZ52*5%</f>
        <v>1168164.822530197</v>
      </c>
      <c r="EA27" s="130">
        <f>DZ27</f>
        <v>1168164.822530197</v>
      </c>
      <c r="EB27" s="419">
        <f>EA27*95%+EB52*5%</f>
        <v>1233660.6041278741</v>
      </c>
      <c r="EC27" s="271">
        <f>EB27*95%+EC52*5%</f>
        <v>1297252.5934799169</v>
      </c>
      <c r="ED27" s="271">
        <f>EC27*95%+ED52*5%</f>
        <v>1359051.1502655521</v>
      </c>
      <c r="EE27" s="271">
        <f>ED27*95%+EE52*5%</f>
        <v>1419161.2840366922</v>
      </c>
      <c r="EF27" s="130">
        <f>EE27</f>
        <v>1419161.2840366922</v>
      </c>
    </row>
    <row r="28" spans="1:136" ht="12.75" customHeight="1">
      <c r="A28" s="9" t="s">
        <v>231</v>
      </c>
      <c r="B28" s="44"/>
      <c r="C28" s="44"/>
      <c r="D28" s="44"/>
      <c r="E28" s="44"/>
      <c r="F28" s="26" t="e">
        <f>#REF!+SUM(B5:E5)</f>
        <v>#REF!</v>
      </c>
      <c r="G28" s="44"/>
      <c r="H28" s="44"/>
      <c r="I28" s="44"/>
      <c r="J28" s="44"/>
      <c r="K28" s="26" t="e">
        <f>#REF!+SUM(G5:J5)</f>
        <v>#REF!</v>
      </c>
      <c r="L28" s="44"/>
      <c r="M28" s="44"/>
      <c r="N28" s="44"/>
      <c r="O28" s="44"/>
      <c r="P28" s="26" t="e">
        <f>#REF!+SUM(L5:O5)</f>
        <v>#REF!</v>
      </c>
      <c r="Q28" s="44"/>
      <c r="R28" s="44"/>
      <c r="S28" s="44"/>
      <c r="T28" s="44"/>
      <c r="U28" s="26" t="e">
        <f>#REF!+SUM(Q5:T5)</f>
        <v>#REF!</v>
      </c>
      <c r="V28" s="44"/>
      <c r="W28" s="44"/>
      <c r="X28" s="44"/>
      <c r="Y28" s="44"/>
      <c r="Z28" s="26" t="e">
        <f>#REF!+SUM(V5:Y5)</f>
        <v>#REF!</v>
      </c>
      <c r="AA28" s="44"/>
      <c r="AB28" s="44"/>
      <c r="AC28" s="44"/>
      <c r="AD28" s="44"/>
      <c r="AE28" s="26" t="e">
        <f>#REF!+SUM(AA5:AD5)</f>
        <v>#REF!</v>
      </c>
      <c r="AF28" s="44">
        <f>AE24+AF5</f>
        <v>0</v>
      </c>
      <c r="AG28" s="44">
        <f>AF24+AG5</f>
        <v>0</v>
      </c>
      <c r="AH28" s="44">
        <f>AG24+AH5</f>
        <v>0</v>
      </c>
      <c r="AI28" s="44">
        <f>AH24+AI5</f>
        <v>0</v>
      </c>
      <c r="AJ28" s="26">
        <f>AE24+SUM(AF5:AI5)</f>
        <v>0</v>
      </c>
      <c r="AK28" s="44">
        <f>AJ24+AK5</f>
        <v>0</v>
      </c>
      <c r="AL28" s="44">
        <f>AK24+AL5</f>
        <v>0</v>
      </c>
      <c r="AM28" s="44">
        <f>AL24+AM5</f>
        <v>0</v>
      </c>
      <c r="AN28" s="44">
        <f>AM24+AN5</f>
        <v>0</v>
      </c>
      <c r="AO28" s="26">
        <f>AJ24+SUM(AK5:AN5)</f>
        <v>0</v>
      </c>
      <c r="AP28" s="44">
        <f>AO24+AP5</f>
        <v>0</v>
      </c>
      <c r="AQ28" s="44">
        <f>AP24+AQ5</f>
        <v>0</v>
      </c>
      <c r="AR28" s="44">
        <f>AQ24+AR5</f>
        <v>0</v>
      </c>
      <c r="AS28" s="44">
        <f>AR24+AS5</f>
        <v>0</v>
      </c>
      <c r="AT28" s="26">
        <f>AO24+SUM(AP5:AS5)</f>
        <v>0</v>
      </c>
      <c r="AU28" s="44">
        <f>AT24+AU5</f>
        <v>0</v>
      </c>
      <c r="AV28" s="44">
        <f>AU24+AV5</f>
        <v>0</v>
      </c>
      <c r="AW28" s="44">
        <f>AV24+AW5</f>
        <v>0</v>
      </c>
      <c r="AX28" s="44">
        <f>AW24+AX5</f>
        <v>0</v>
      </c>
      <c r="AY28" s="26">
        <f>AT24+SUM(AU5:AX5)</f>
        <v>0</v>
      </c>
      <c r="AZ28" s="44">
        <f>AY24+AZ5</f>
        <v>0</v>
      </c>
      <c r="BA28" s="44">
        <f>AZ24+BA5</f>
        <v>0</v>
      </c>
      <c r="BB28" s="44">
        <f>BA24+BB5</f>
        <v>0</v>
      </c>
      <c r="BC28" s="44">
        <f>BB24+BC5</f>
        <v>0</v>
      </c>
      <c r="BD28" s="26">
        <f>AY24+SUM(AZ5:BC5)</f>
        <v>0</v>
      </c>
      <c r="BE28" s="44">
        <f>BD24+BE5</f>
        <v>0</v>
      </c>
      <c r="BF28" s="44">
        <f>BE24+BF5</f>
        <v>0</v>
      </c>
      <c r="BG28" s="44">
        <f>BF24+BG5</f>
        <v>0</v>
      </c>
      <c r="BH28" s="44">
        <f>BC24+BH5</f>
        <v>409189.60000000003</v>
      </c>
      <c r="BI28" s="26">
        <f>BD24+SUM(BE5:BH5)</f>
        <v>409189.60000000003</v>
      </c>
      <c r="BJ28" s="44">
        <f>BI24+BJ5</f>
        <v>483173</v>
      </c>
      <c r="BK28" s="44">
        <f>BJ24+BK5</f>
        <v>0</v>
      </c>
      <c r="BL28" s="44">
        <f>BK24+BL5</f>
        <v>0</v>
      </c>
      <c r="BM28" s="44">
        <f>BH24+BM5</f>
        <v>917560.2</v>
      </c>
      <c r="BN28" s="26">
        <f>BI24+SUM(BJ5:BM5)</f>
        <v>917560.2</v>
      </c>
      <c r="BO28" s="44">
        <f>BN24+BO5</f>
        <v>373157</v>
      </c>
      <c r="BP28" s="44">
        <f>BO24+BP5</f>
        <v>0</v>
      </c>
      <c r="BQ28" s="44">
        <f>BP24+BQ5</f>
        <v>0</v>
      </c>
      <c r="BR28" s="44">
        <f>BM24+BR5</f>
        <v>982790.6</v>
      </c>
      <c r="BS28" s="26">
        <f>BN24+SUM(BO5:BR5)</f>
        <v>982790.6</v>
      </c>
      <c r="BT28" s="44">
        <f>BS24+BT5</f>
        <v>394199</v>
      </c>
      <c r="BU28" s="44">
        <f>BT24+BU5</f>
        <v>0</v>
      </c>
      <c r="BV28" s="44">
        <f>BU24+BV5</f>
        <v>0</v>
      </c>
      <c r="BW28" s="44">
        <f>BR24+BW5</f>
        <v>1119422.2000000002</v>
      </c>
      <c r="BX28" s="26">
        <f>BS24+SUM(BT5:BW5)</f>
        <v>1119422.2000000002</v>
      </c>
      <c r="BY28" s="44">
        <f>BX24+BY5</f>
        <v>413728</v>
      </c>
      <c r="BZ28" s="44">
        <f>BY24+BZ5</f>
        <v>0</v>
      </c>
      <c r="CA28" s="44">
        <f>BZ24+CA5</f>
        <v>343138</v>
      </c>
      <c r="CB28" s="44">
        <f>BW24+CB5</f>
        <v>1014764.8</v>
      </c>
      <c r="CC28" s="26">
        <f>BX24+SUM(BY4:CB4)</f>
        <v>1553728</v>
      </c>
      <c r="CD28" s="44">
        <f>CC24+CD4</f>
        <v>601661</v>
      </c>
      <c r="CE28" s="44">
        <f>CD24+CE4</f>
        <v>810175</v>
      </c>
      <c r="CF28" s="44">
        <f t="shared" ref="CF28:DH28" si="18">CE24+CF4</f>
        <v>915003</v>
      </c>
      <c r="CG28" s="44">
        <f t="shared" si="18"/>
        <v>1147788</v>
      </c>
      <c r="CH28" s="26">
        <f>CC24+SUM(CD4:CG4)</f>
        <v>1984899</v>
      </c>
      <c r="CI28" s="44">
        <f t="shared" si="18"/>
        <v>1338593</v>
      </c>
      <c r="CJ28" s="44">
        <f t="shared" si="18"/>
        <v>1451910</v>
      </c>
      <c r="CK28" s="44">
        <f t="shared" si="18"/>
        <v>1474327</v>
      </c>
      <c r="CL28" s="44">
        <f t="shared" si="18"/>
        <v>1594207</v>
      </c>
      <c r="CM28" s="26">
        <f>CH24+SUM(CI4:CL4)</f>
        <v>3533107</v>
      </c>
      <c r="CN28" s="44">
        <f t="shared" si="18"/>
        <v>1780690</v>
      </c>
      <c r="CO28" s="44">
        <f t="shared" si="18"/>
        <v>2123769</v>
      </c>
      <c r="CP28" s="44">
        <f t="shared" si="18"/>
        <v>2177552.1220286</v>
      </c>
      <c r="CQ28" s="44">
        <f t="shared" si="18"/>
        <v>1867708.8989107702</v>
      </c>
      <c r="CR28" s="26">
        <f>CM24+SUM(CN4:CQ4)</f>
        <v>4312313.0931799999</v>
      </c>
      <c r="CS28" s="44">
        <f t="shared" si="18"/>
        <v>2501780.923</v>
      </c>
      <c r="CT28" s="44">
        <f t="shared" si="18"/>
        <v>2629464.3458209964</v>
      </c>
      <c r="CU28" s="44">
        <f t="shared" si="18"/>
        <v>2377974.81</v>
      </c>
      <c r="CV28" s="44">
        <f t="shared" si="18"/>
        <v>2293051.66799815</v>
      </c>
      <c r="CW28" s="26">
        <f>CR24+SUM(CS4:CV4)</f>
        <v>5522669.8650000002</v>
      </c>
      <c r="CX28" s="44">
        <f t="shared" si="18"/>
        <v>3308116.6674939375</v>
      </c>
      <c r="CY28" s="44">
        <f>CX24+CY4</f>
        <v>3424383.8420740701</v>
      </c>
      <c r="CZ28" s="44">
        <f t="shared" si="18"/>
        <v>3273510.4176047435</v>
      </c>
      <c r="DA28" s="44">
        <f t="shared" si="18"/>
        <v>3240014.3344398551</v>
      </c>
      <c r="DB28" s="26">
        <f>CW24+SUM(CX4:DA4)</f>
        <v>8003337.6124939378</v>
      </c>
      <c r="DC28" s="44">
        <f t="shared" si="18"/>
        <v>4616804</v>
      </c>
      <c r="DD28" s="44">
        <f>DC24+DD4</f>
        <v>4756332.6763500962</v>
      </c>
      <c r="DE28" s="44">
        <f t="shared" si="18"/>
        <v>4484100.773500381</v>
      </c>
      <c r="DF28" s="44">
        <f t="shared" si="18"/>
        <v>3967718.7062032456</v>
      </c>
      <c r="DG28" s="26">
        <f>DB24+SUM(DC4:DF4)</f>
        <v>10117981.075999999</v>
      </c>
      <c r="DH28" s="44">
        <f t="shared" si="18"/>
        <v>5053078.9209867278</v>
      </c>
      <c r="DI28" s="44">
        <f>DH24+DI4</f>
        <v>5062066.7407786744</v>
      </c>
      <c r="DJ28" s="44">
        <f>DI24+DJ4</f>
        <v>5290122.744327303</v>
      </c>
      <c r="DK28" s="44">
        <f>DJ24+DK4</f>
        <v>5138003.6408496471</v>
      </c>
      <c r="DL28" s="26">
        <f>DG24+SUM(DH4:DK4)</f>
        <v>11552873.761517283</v>
      </c>
      <c r="DM28" s="44">
        <f>DL24+DM4</f>
        <v>5326989.1395985764</v>
      </c>
      <c r="DN28" s="44">
        <f>DM24+DN4</f>
        <v>5446064.1794655435</v>
      </c>
      <c r="DO28" s="44">
        <f>DN24+DO4</f>
        <v>5543207.8455037009</v>
      </c>
      <c r="DP28" s="44">
        <f>DO24+DP4</f>
        <v>5631006.4010135606</v>
      </c>
      <c r="DQ28" s="26">
        <f>DL24+SUM(DM4:DP4)</f>
        <v>12559242.585952427</v>
      </c>
      <c r="DR28" s="44">
        <f>DQ24+DR4</f>
        <v>5713316.1125082383</v>
      </c>
      <c r="DS28" s="44">
        <f>DR24+DS4</f>
        <v>5792436.813806098</v>
      </c>
      <c r="DT28" s="44">
        <f>DS24+DT4</f>
        <v>5869689.4093274986</v>
      </c>
      <c r="DU28" s="44">
        <f>DT24+DU4</f>
        <v>5945851.2996257525</v>
      </c>
      <c r="DV28" s="26">
        <f>DQ24+SUM(DR4:DU4)</f>
        <v>13271020.963948011</v>
      </c>
      <c r="DW28" s="44">
        <f>DV24+DW4</f>
        <v>6021394.3928172393</v>
      </c>
      <c r="DX28" s="44">
        <f>DW24+DX4</f>
        <v>6096617.6071237652</v>
      </c>
      <c r="DY28" s="44">
        <f>DX24+DY4</f>
        <v>6171720.6952078752</v>
      </c>
      <c r="DZ28" s="44">
        <f>DY24+DZ4</f>
        <v>6246845.5012034718</v>
      </c>
      <c r="EA28" s="26">
        <f>DV24+SUM(DW4:DZ4)</f>
        <v>13919195.962571798</v>
      </c>
      <c r="EB28" s="44">
        <f>EA24+EB4</f>
        <v>6322099.1276519429</v>
      </c>
      <c r="EC28" s="44">
        <f>EB24+EC4</f>
        <v>6397567.0431924593</v>
      </c>
      <c r="ED28" s="44">
        <f>EC24+ED4</f>
        <v>6473320.5868779896</v>
      </c>
      <c r="EE28" s="44">
        <f>ED24+EE4</f>
        <v>6549421.3423958076</v>
      </c>
      <c r="EF28" s="26">
        <f>EA24+SUM(EB4:EE4)</f>
        <v>14575301.768045455</v>
      </c>
    </row>
    <row r="29" spans="1:136" ht="12.75" customHeight="1">
      <c r="A29" s="9" t="s">
        <v>316</v>
      </c>
      <c r="B29" s="44"/>
      <c r="C29" s="44"/>
      <c r="D29" s="44"/>
      <c r="E29" s="44"/>
      <c r="F29" s="26"/>
      <c r="G29" s="44"/>
      <c r="H29" s="44"/>
      <c r="I29" s="44"/>
      <c r="J29" s="44"/>
      <c r="K29" s="26"/>
      <c r="L29" s="44"/>
      <c r="M29" s="44"/>
      <c r="N29" s="44"/>
      <c r="O29" s="44"/>
      <c r="P29" s="26"/>
      <c r="Q29" s="44"/>
      <c r="R29" s="44"/>
      <c r="S29" s="44"/>
      <c r="T29" s="44"/>
      <c r="U29" s="26"/>
      <c r="V29" s="44"/>
      <c r="W29" s="44"/>
      <c r="X29" s="44"/>
      <c r="Y29" s="44"/>
      <c r="Z29" s="26"/>
      <c r="AA29" s="44"/>
      <c r="AB29" s="44"/>
      <c r="AC29" s="44"/>
      <c r="AD29" s="44"/>
      <c r="AE29" s="26"/>
      <c r="AF29" s="60" t="e">
        <f>(AF17+AF15)/AF28</f>
        <v>#DIV/0!</v>
      </c>
      <c r="AG29" s="60" t="e">
        <f>(AG17+AG15)/AG28</f>
        <v>#DIV/0!</v>
      </c>
      <c r="AH29" s="60" t="e">
        <f>(AH17+AH15)/AH28</f>
        <v>#DIV/0!</v>
      </c>
      <c r="AI29" s="60" t="e">
        <f>(AI17+AI15)/AI28</f>
        <v>#DIV/0!</v>
      </c>
      <c r="AJ29" s="48" t="e">
        <f>(AJ17+AJ15)/AJ28</f>
        <v>#DIV/0!</v>
      </c>
      <c r="AK29" s="60" t="e">
        <f t="shared" ref="AK29:BG29" si="19">(AK17+AK15)/AK28</f>
        <v>#DIV/0!</v>
      </c>
      <c r="AL29" s="60" t="e">
        <f t="shared" si="19"/>
        <v>#DIV/0!</v>
      </c>
      <c r="AM29" s="60" t="e">
        <f t="shared" si="19"/>
        <v>#DIV/0!</v>
      </c>
      <c r="AN29" s="60" t="e">
        <f t="shared" si="19"/>
        <v>#DIV/0!</v>
      </c>
      <c r="AO29" s="48" t="e">
        <f t="shared" si="19"/>
        <v>#DIV/0!</v>
      </c>
      <c r="AP29" s="60" t="e">
        <f t="shared" si="19"/>
        <v>#DIV/0!</v>
      </c>
      <c r="AQ29" s="60" t="e">
        <f t="shared" si="19"/>
        <v>#DIV/0!</v>
      </c>
      <c r="AR29" s="60" t="e">
        <f t="shared" si="19"/>
        <v>#DIV/0!</v>
      </c>
      <c r="AS29" s="60" t="e">
        <f t="shared" si="19"/>
        <v>#DIV/0!</v>
      </c>
      <c r="AT29" s="48" t="e">
        <f t="shared" si="19"/>
        <v>#DIV/0!</v>
      </c>
      <c r="AU29" s="60" t="e">
        <f t="shared" si="19"/>
        <v>#DIV/0!</v>
      </c>
      <c r="AV29" s="60" t="e">
        <f t="shared" si="19"/>
        <v>#DIV/0!</v>
      </c>
      <c r="AW29" s="60" t="e">
        <f t="shared" si="19"/>
        <v>#DIV/0!</v>
      </c>
      <c r="AX29" s="60" t="e">
        <f t="shared" si="19"/>
        <v>#DIV/0!</v>
      </c>
      <c r="AY29" s="48" t="e">
        <f t="shared" si="19"/>
        <v>#DIV/0!</v>
      </c>
      <c r="AZ29" s="60" t="e">
        <f t="shared" si="19"/>
        <v>#DIV/0!</v>
      </c>
      <c r="BA29" s="60" t="e">
        <f t="shared" si="19"/>
        <v>#DIV/0!</v>
      </c>
      <c r="BB29" s="60" t="e">
        <f t="shared" si="19"/>
        <v>#DIV/0!</v>
      </c>
      <c r="BC29" s="60" t="e">
        <f t="shared" si="19"/>
        <v>#DIV/0!</v>
      </c>
      <c r="BD29" s="48" t="e">
        <f t="shared" si="19"/>
        <v>#DIV/0!</v>
      </c>
      <c r="BE29" s="60" t="e">
        <f t="shared" si="19"/>
        <v>#DIV/0!</v>
      </c>
      <c r="BF29" s="60" t="e">
        <f t="shared" si="19"/>
        <v>#DIV/0!</v>
      </c>
      <c r="BG29" s="60" t="e">
        <f t="shared" si="19"/>
        <v>#DIV/0!</v>
      </c>
      <c r="BH29" s="60">
        <f t="shared" ref="BH29:BM29" si="20">(BH17+BH15)/BH28</f>
        <v>1.4736444914533506</v>
      </c>
      <c r="BI29" s="48">
        <f t="shared" si="20"/>
        <v>1.4736444914533506</v>
      </c>
      <c r="BJ29" s="60">
        <f t="shared" si="20"/>
        <v>0</v>
      </c>
      <c r="BK29" s="60" t="e">
        <f t="shared" si="20"/>
        <v>#DIV/0!</v>
      </c>
      <c r="BL29" s="60" t="e">
        <f t="shared" si="20"/>
        <v>#DIV/0!</v>
      </c>
      <c r="BM29" s="60">
        <f t="shared" si="20"/>
        <v>0.71166992639828974</v>
      </c>
      <c r="BN29" s="48">
        <f t="shared" ref="BN29:BY29" si="21">(BN17+BN15)/BN28</f>
        <v>0.71166992639828974</v>
      </c>
      <c r="BO29" s="60">
        <f t="shared" si="21"/>
        <v>0</v>
      </c>
      <c r="BP29" s="60" t="e">
        <f>(BP17+BP15)/BP28</f>
        <v>#DIV/0!</v>
      </c>
      <c r="BQ29" s="60" t="e">
        <f>(BQ17+BQ15)/BQ28</f>
        <v>#DIV/0!</v>
      </c>
      <c r="BR29" s="60">
        <f>(BR17+BR15)/BR28</f>
        <v>0.753975465373804</v>
      </c>
      <c r="BS29" s="48">
        <f t="shared" si="21"/>
        <v>0.753975465373804</v>
      </c>
      <c r="BT29" s="60">
        <f>(BT17+BT15)/BT28</f>
        <v>0</v>
      </c>
      <c r="BU29" s="60" t="e">
        <f t="shared" si="21"/>
        <v>#DIV/0!</v>
      </c>
      <c r="BV29" s="60" t="e">
        <f>(BV17+BV15)/BV28</f>
        <v>#DIV/0!</v>
      </c>
      <c r="BW29" s="60">
        <f>(BW17+BW15)/BW28</f>
        <v>0.79237306531887597</v>
      </c>
      <c r="BX29" s="48">
        <f t="shared" si="21"/>
        <v>0.79237306531887597</v>
      </c>
      <c r="BY29" s="60">
        <f t="shared" si="21"/>
        <v>0</v>
      </c>
      <c r="BZ29" s="60" t="e">
        <f>(BZ17+BZ15)/BZ28</f>
        <v>#DIV/0!</v>
      </c>
      <c r="CA29" s="60">
        <f>(CA17+CA15)/CA28</f>
        <v>0.8803717454784955</v>
      </c>
      <c r="CB29" s="60">
        <f>(CB17+CB15)/CB28</f>
        <v>0.7104611827292393</v>
      </c>
      <c r="CC29" s="48">
        <f>(CC17+CC15)/CC28</f>
        <v>0.65844214688800096</v>
      </c>
      <c r="CD29" s="60">
        <f>(CD17+CD14)/CD28</f>
        <v>0.79638109666406831</v>
      </c>
      <c r="CE29" s="60">
        <f t="shared" ref="CE29:DG29" si="22">(CE17+CE15)/CE28</f>
        <v>0.41197272194279017</v>
      </c>
      <c r="CF29" s="60">
        <f t="shared" si="22"/>
        <v>0.51085406277356471</v>
      </c>
      <c r="CG29" s="60">
        <f t="shared" si="22"/>
        <v>0.39084308252046546</v>
      </c>
      <c r="CH29" s="48">
        <f t="shared" si="22"/>
        <v>0.77038579796755402</v>
      </c>
      <c r="CI29" s="60">
        <f t="shared" si="22"/>
        <v>0.47327156200577769</v>
      </c>
      <c r="CJ29" s="60">
        <f t="shared" si="22"/>
        <v>0.50724149568499421</v>
      </c>
      <c r="CK29" s="60">
        <f t="shared" si="22"/>
        <v>0.50782628277173247</v>
      </c>
      <c r="CL29" s="60">
        <f t="shared" si="22"/>
        <v>0.4213342432946286</v>
      </c>
      <c r="CM29" s="48">
        <f t="shared" si="22"/>
        <v>0.78978162846469124</v>
      </c>
      <c r="CN29" s="60">
        <f t="shared" si="22"/>
        <v>0.45641857931475999</v>
      </c>
      <c r="CO29" s="60">
        <f t="shared" si="22"/>
        <v>0.46493757089400967</v>
      </c>
      <c r="CP29" s="60">
        <f t="shared" si="22"/>
        <v>0.44419786337830586</v>
      </c>
      <c r="CQ29" s="60">
        <f t="shared" si="22"/>
        <v>0.44731919821511446</v>
      </c>
      <c r="CR29" s="48">
        <f t="shared" si="22"/>
        <v>0.83548804766936524</v>
      </c>
      <c r="CS29" s="60">
        <f t="shared" si="22"/>
        <v>0.46528335376550461</v>
      </c>
      <c r="CT29" s="60">
        <f t="shared" si="22"/>
        <v>0.51047231658921932</v>
      </c>
      <c r="CU29" s="60">
        <f t="shared" si="22"/>
        <v>0.48542269724463577</v>
      </c>
      <c r="CV29" s="60">
        <f t="shared" si="22"/>
        <v>0.44707740357851677</v>
      </c>
      <c r="CW29" s="48">
        <f t="shared" si="22"/>
        <v>0.84846648831687865</v>
      </c>
      <c r="CX29" s="60">
        <f t="shared" si="22"/>
        <v>0.50770135642233294</v>
      </c>
      <c r="CY29" s="60">
        <f t="shared" si="22"/>
        <v>0.56249535356799985</v>
      </c>
      <c r="CZ29" s="60">
        <f t="shared" si="22"/>
        <v>0.48579382997155718</v>
      </c>
      <c r="DA29" s="60">
        <f t="shared" si="22"/>
        <v>0.47254358838035598</v>
      </c>
      <c r="DB29" s="48">
        <f t="shared" si="22"/>
        <v>0.84052864045226428</v>
      </c>
      <c r="DC29" s="60">
        <f t="shared" si="22"/>
        <v>0.48201719123228975</v>
      </c>
      <c r="DD29" s="60">
        <f t="shared" si="22"/>
        <v>0.52518680867732781</v>
      </c>
      <c r="DE29" s="60">
        <f t="shared" ref="DE29:DF29" si="23">(DE17+DE15)/DE28</f>
        <v>0.45758031468108479</v>
      </c>
      <c r="DF29" s="60">
        <f t="shared" si="23"/>
        <v>0.43199525500641667</v>
      </c>
      <c r="DG29" s="48">
        <f t="shared" si="22"/>
        <v>0.83902251935087546</v>
      </c>
      <c r="DH29" s="60">
        <f t="shared" ref="DH29:DI29" si="24">(DH17+DH15)/DH28</f>
        <v>0.50146054481278435</v>
      </c>
      <c r="DI29" s="60">
        <f t="shared" si="24"/>
        <v>0.43790566559164229</v>
      </c>
      <c r="DJ29" s="60">
        <f>(DJ17+DJ15)/DJ28</f>
        <v>0.44313438095018015</v>
      </c>
      <c r="DK29" s="60">
        <f>(DK17+DK15)/DK28</f>
        <v>0.46908371462010101</v>
      </c>
      <c r="DL29" s="48">
        <f>(DL17+DL15)/DL28</f>
        <v>0.82274044634596399</v>
      </c>
      <c r="DM29" s="60">
        <f>(DM17+DM14)/DM28</f>
        <v>0.67602194660359904</v>
      </c>
      <c r="DN29" s="60">
        <f>(DN17+DN15)/DN28</f>
        <v>0.471889862283975</v>
      </c>
      <c r="DO29" s="60">
        <f>(DO17+DO15)/DO28</f>
        <v>0.47174421301388769</v>
      </c>
      <c r="DP29" s="60">
        <f>(DP17+DP15)/DP28</f>
        <v>0.47164202570337699</v>
      </c>
      <c r="DQ29" s="48">
        <f>(DQ17+DQ15)/DQ28</f>
        <v>0.82455545703527777</v>
      </c>
      <c r="DR29" s="60">
        <f>(DR17+DR14)/DR28</f>
        <v>0.67815294743567656</v>
      </c>
      <c r="DS29" s="60">
        <f>(DS17+DS15)/DS28</f>
        <v>0.47150704628331552</v>
      </c>
      <c r="DT29" s="60">
        <f>(DT17+DT15)/DT28</f>
        <v>0.47145882934120997</v>
      </c>
      <c r="DU29" s="60">
        <f>(DU17+DU15)/DU28</f>
        <v>0.47141835814353944</v>
      </c>
      <c r="DV29" s="48">
        <f>(DV17+DV15)/DV28</f>
        <v>0.82854832676212142</v>
      </c>
      <c r="DW29" s="60">
        <f>(DW17+DW14)/DW28</f>
        <v>0.67745990145829771</v>
      </c>
      <c r="DX29" s="60">
        <f>(DX17+DX15)/DX28</f>
        <v>0.47135351670977987</v>
      </c>
      <c r="DY29" s="60">
        <f>(DY17+DY15)/DY28</f>
        <v>0.47132706900885818</v>
      </c>
      <c r="DZ29" s="60">
        <f>(DZ17+DZ15)/DZ28</f>
        <v>0.47130373471620807</v>
      </c>
      <c r="EA29" s="48">
        <f>(EA17+EA15)/EA28</f>
        <v>0.83087484372021025</v>
      </c>
      <c r="EB29" s="60">
        <f>(EB17+EB14)/EB28</f>
        <v>0.67688655295725009</v>
      </c>
      <c r="EC29" s="60">
        <f>(EC17+EC15)/EC28</f>
        <v>0.47126472691821564</v>
      </c>
      <c r="ED29" s="60">
        <f>(ED17+ED15)/ED28</f>
        <v>0.47124841855377481</v>
      </c>
      <c r="EE29" s="60">
        <f>(EE17+EE15)/EE28</f>
        <v>0.47123390500810092</v>
      </c>
      <c r="EF29" s="48">
        <f>(EF17+EF15)/EF28</f>
        <v>0.83231878495872813</v>
      </c>
    </row>
    <row r="30" spans="1:136" s="92" customFormat="1" ht="12.75" customHeight="1">
      <c r="A30" s="92" t="s">
        <v>317</v>
      </c>
      <c r="B30" s="93"/>
      <c r="C30" s="93"/>
      <c r="D30" s="93"/>
      <c r="E30" s="93"/>
      <c r="F30" s="103" t="e">
        <f>F10/F28</f>
        <v>#REF!</v>
      </c>
      <c r="G30" s="93"/>
      <c r="H30" s="93"/>
      <c r="I30" s="93"/>
      <c r="J30" s="93"/>
      <c r="K30" s="103" t="e">
        <f>K10/K28</f>
        <v>#REF!</v>
      </c>
      <c r="L30" s="93"/>
      <c r="M30" s="93"/>
      <c r="N30" s="93"/>
      <c r="O30" s="93"/>
      <c r="P30" s="103" t="e">
        <f>P10/P28</f>
        <v>#REF!</v>
      </c>
      <c r="Q30" s="93"/>
      <c r="R30" s="93"/>
      <c r="S30" s="93"/>
      <c r="T30" s="93"/>
      <c r="U30" s="103" t="e">
        <f>U10/U28</f>
        <v>#REF!</v>
      </c>
      <c r="V30" s="93"/>
      <c r="W30" s="93"/>
      <c r="X30" s="93"/>
      <c r="Y30" s="93"/>
      <c r="Z30" s="103" t="e">
        <f>Z10/Z28</f>
        <v>#REF!</v>
      </c>
      <c r="AA30" s="93"/>
      <c r="AB30" s="93"/>
      <c r="AC30" s="93"/>
      <c r="AD30" s="93"/>
      <c r="AE30" s="103" t="e">
        <f t="shared" ref="AE30:AJ30" si="25">AE10/AE28</f>
        <v>#REF!</v>
      </c>
      <c r="AF30" s="105" t="e">
        <f t="shared" si="25"/>
        <v>#DIV/0!</v>
      </c>
      <c r="AG30" s="105" t="e">
        <f t="shared" si="25"/>
        <v>#DIV/0!</v>
      </c>
      <c r="AH30" s="105" t="e">
        <f t="shared" si="25"/>
        <v>#DIV/0!</v>
      </c>
      <c r="AI30" s="105" t="e">
        <f t="shared" si="25"/>
        <v>#DIV/0!</v>
      </c>
      <c r="AJ30" s="104" t="e">
        <f t="shared" si="25"/>
        <v>#DIV/0!</v>
      </c>
      <c r="AK30" s="105" t="e">
        <f t="shared" ref="AK30:BG30" si="26">AK10/AK28</f>
        <v>#DIV/0!</v>
      </c>
      <c r="AL30" s="105" t="e">
        <f t="shared" si="26"/>
        <v>#DIV/0!</v>
      </c>
      <c r="AM30" s="105" t="e">
        <f t="shared" si="26"/>
        <v>#DIV/0!</v>
      </c>
      <c r="AN30" s="105" t="e">
        <f t="shared" si="26"/>
        <v>#DIV/0!</v>
      </c>
      <c r="AO30" s="104" t="e">
        <f t="shared" si="26"/>
        <v>#DIV/0!</v>
      </c>
      <c r="AP30" s="105" t="e">
        <f t="shared" si="26"/>
        <v>#DIV/0!</v>
      </c>
      <c r="AQ30" s="105" t="e">
        <f t="shared" si="26"/>
        <v>#DIV/0!</v>
      </c>
      <c r="AR30" s="105" t="e">
        <f t="shared" si="26"/>
        <v>#DIV/0!</v>
      </c>
      <c r="AS30" s="105" t="e">
        <f t="shared" si="26"/>
        <v>#DIV/0!</v>
      </c>
      <c r="AT30" s="104" t="e">
        <f t="shared" si="26"/>
        <v>#DIV/0!</v>
      </c>
      <c r="AU30" s="105" t="e">
        <f t="shared" si="26"/>
        <v>#DIV/0!</v>
      </c>
      <c r="AV30" s="105" t="e">
        <f t="shared" si="26"/>
        <v>#DIV/0!</v>
      </c>
      <c r="AW30" s="105" t="e">
        <f t="shared" si="26"/>
        <v>#DIV/0!</v>
      </c>
      <c r="AX30" s="105" t="e">
        <f t="shared" si="26"/>
        <v>#DIV/0!</v>
      </c>
      <c r="AY30" s="104" t="e">
        <f t="shared" si="26"/>
        <v>#DIV/0!</v>
      </c>
      <c r="AZ30" s="105" t="e">
        <f t="shared" si="26"/>
        <v>#DIV/0!</v>
      </c>
      <c r="BA30" s="105" t="e">
        <f t="shared" si="26"/>
        <v>#DIV/0!</v>
      </c>
      <c r="BB30" s="105" t="e">
        <f t="shared" si="26"/>
        <v>#DIV/0!</v>
      </c>
      <c r="BC30" s="105" t="e">
        <f t="shared" si="26"/>
        <v>#DIV/0!</v>
      </c>
      <c r="BD30" s="104" t="e">
        <f t="shared" si="26"/>
        <v>#DIV/0!</v>
      </c>
      <c r="BE30" s="105" t="e">
        <f t="shared" si="26"/>
        <v>#DIV/0!</v>
      </c>
      <c r="BF30" s="105" t="e">
        <f t="shared" si="26"/>
        <v>#DIV/0!</v>
      </c>
      <c r="BG30" s="105" t="e">
        <f t="shared" si="26"/>
        <v>#DIV/0!</v>
      </c>
      <c r="BH30" s="105">
        <f t="shared" ref="BH30:BM30" si="27">BH10/BH28</f>
        <v>1.1789155931626805</v>
      </c>
      <c r="BI30" s="104">
        <f t="shared" si="27"/>
        <v>1.1789155931626805</v>
      </c>
      <c r="BJ30" s="105">
        <f t="shared" si="27"/>
        <v>0</v>
      </c>
      <c r="BK30" s="105" t="e">
        <f t="shared" si="27"/>
        <v>#DIV/0!</v>
      </c>
      <c r="BL30" s="105" t="e">
        <f t="shared" si="27"/>
        <v>#DIV/0!</v>
      </c>
      <c r="BM30" s="105">
        <f t="shared" si="27"/>
        <v>0.56933594111863184</v>
      </c>
      <c r="BN30" s="104">
        <f t="shared" ref="BN30:BY30" si="28">BN10/BN28</f>
        <v>0.56933594111863184</v>
      </c>
      <c r="BO30" s="105">
        <f t="shared" si="28"/>
        <v>0</v>
      </c>
      <c r="BP30" s="105" t="e">
        <f>BP10/BP28</f>
        <v>#DIV/0!</v>
      </c>
      <c r="BQ30" s="105" t="e">
        <f>BQ10/BQ28</f>
        <v>#DIV/0!</v>
      </c>
      <c r="BR30" s="105">
        <f t="shared" si="28"/>
        <v>0.6031803722990432</v>
      </c>
      <c r="BS30" s="104">
        <f t="shared" si="28"/>
        <v>0.6031803722990432</v>
      </c>
      <c r="BT30" s="105">
        <f>BT10/BT28</f>
        <v>0</v>
      </c>
      <c r="BU30" s="105" t="e">
        <f t="shared" si="28"/>
        <v>#DIV/0!</v>
      </c>
      <c r="BV30" s="105" t="e">
        <f>BV10/BV28</f>
        <v>#DIV/0!</v>
      </c>
      <c r="BW30" s="105">
        <f>BW10/BW28</f>
        <v>0.63389845225510077</v>
      </c>
      <c r="BX30" s="104">
        <f t="shared" si="28"/>
        <v>0.63389845225510077</v>
      </c>
      <c r="BY30" s="105">
        <f t="shared" si="28"/>
        <v>0</v>
      </c>
      <c r="BZ30" s="105" t="e">
        <f>BZ10/BZ28</f>
        <v>#DIV/0!</v>
      </c>
      <c r="CA30" s="105">
        <f>CA10/CA28</f>
        <v>0.59037763232285556</v>
      </c>
      <c r="CB30" s="105">
        <f>CB10/CB28</f>
        <v>0.56836894618339151</v>
      </c>
      <c r="CC30" s="104">
        <f t="shared" ref="CC30:CL30" si="29">CC9/CC28</f>
        <v>0.63202825719817113</v>
      </c>
      <c r="CD30" s="105">
        <f t="shared" si="29"/>
        <v>0.39703088616347076</v>
      </c>
      <c r="CE30" s="105">
        <f t="shared" si="29"/>
        <v>0.36051717221587931</v>
      </c>
      <c r="CF30" s="105">
        <f t="shared" si="29"/>
        <v>0.44846410339638232</v>
      </c>
      <c r="CG30" s="105">
        <f t="shared" si="29"/>
        <v>0.35250847717522749</v>
      </c>
      <c r="CH30" s="104">
        <f t="shared" si="29"/>
        <v>0.67807530761011015</v>
      </c>
      <c r="CI30" s="105">
        <f t="shared" si="29"/>
        <v>0.44103995762715031</v>
      </c>
      <c r="CJ30" s="105">
        <f t="shared" si="29"/>
        <v>0.47012418125090399</v>
      </c>
      <c r="CK30" s="105">
        <f t="shared" si="29"/>
        <v>0.46283558532130253</v>
      </c>
      <c r="CL30" s="105">
        <f t="shared" si="29"/>
        <v>0.38349223156089518</v>
      </c>
      <c r="CM30" s="104">
        <f t="shared" ref="CM30:DG30" si="30">CM9/CM28</f>
        <v>0.72646766712697919</v>
      </c>
      <c r="CN30" s="105">
        <f t="shared" si="30"/>
        <v>0.42307532473367065</v>
      </c>
      <c r="CO30" s="105">
        <f t="shared" si="30"/>
        <v>0.42259068665189103</v>
      </c>
      <c r="CP30" s="105">
        <f t="shared" si="30"/>
        <v>0.40680220282156143</v>
      </c>
      <c r="CQ30" s="105">
        <f>CQ9/CQ28</f>
        <v>0.40320097398431765</v>
      </c>
      <c r="CR30" s="104">
        <f t="shared" si="30"/>
        <v>0.7628727265566112</v>
      </c>
      <c r="CS30" s="105">
        <f>CS9/CS28</f>
        <v>0.4312495806692182</v>
      </c>
      <c r="CT30" s="105">
        <f>CT9/CT28</f>
        <v>0.45406615149490204</v>
      </c>
      <c r="CU30" s="105">
        <f>CU9/CU28</f>
        <v>0.40902197204099072</v>
      </c>
      <c r="CV30" s="105">
        <f>CV9/CV28</f>
        <v>0.3945273447718623</v>
      </c>
      <c r="CW30" s="104">
        <f t="shared" si="30"/>
        <v>0.75147679721391414</v>
      </c>
      <c r="CX30" s="105">
        <f t="shared" si="30"/>
        <v>0.4691900181579205</v>
      </c>
      <c r="CY30" s="105">
        <f t="shared" si="30"/>
        <v>0.51081888653887764</v>
      </c>
      <c r="CZ30" s="105">
        <f t="shared" si="30"/>
        <v>0.43902446605670992</v>
      </c>
      <c r="DA30" s="105">
        <f t="shared" si="30"/>
        <v>0.43942645094690375</v>
      </c>
      <c r="DB30" s="104">
        <f t="shared" si="30"/>
        <v>0.76996307317838619</v>
      </c>
      <c r="DC30" s="105">
        <f>DC9/DC28</f>
        <v>0.45606850465170284</v>
      </c>
      <c r="DD30" s="105">
        <f t="shared" si="30"/>
        <v>0.47544260109141906</v>
      </c>
      <c r="DE30" s="105">
        <f t="shared" ref="DE30:DF30" si="31">DE9/DE28</f>
        <v>0.40744763226491409</v>
      </c>
      <c r="DF30" s="105">
        <f t="shared" si="31"/>
        <v>0.3922494938582165</v>
      </c>
      <c r="DG30" s="104">
        <f t="shared" si="30"/>
        <v>0.76599411630783343</v>
      </c>
      <c r="DH30" s="105">
        <f>DH9/DH28</f>
        <v>0.45608227077719415</v>
      </c>
      <c r="DI30" s="105">
        <f t="shared" ref="DI30" si="32">DI9/DI28</f>
        <v>0.40408548724020771</v>
      </c>
      <c r="DJ30" s="105">
        <f t="shared" ref="DJ30:EF30" si="33">DJ9/DJ28</f>
        <v>0.39945443793793467</v>
      </c>
      <c r="DK30" s="105">
        <f t="shared" si="33"/>
        <v>0.42218599398357914</v>
      </c>
      <c r="DL30" s="104">
        <f t="shared" si="33"/>
        <v>0.74721526210267963</v>
      </c>
      <c r="DM30" s="105">
        <f t="shared" si="33"/>
        <v>0.42523023763242135</v>
      </c>
      <c r="DN30" s="105">
        <f t="shared" si="33"/>
        <v>0.42480406054388631</v>
      </c>
      <c r="DO30" s="105">
        <f t="shared" si="33"/>
        <v>0.42385730705159358</v>
      </c>
      <c r="DP30" s="105">
        <f t="shared" si="33"/>
        <v>0.42301266098928803</v>
      </c>
      <c r="DQ30" s="104">
        <f t="shared" si="33"/>
        <v>0.74130451123643837</v>
      </c>
      <c r="DR30" s="105">
        <f t="shared" si="33"/>
        <v>0.4222492479235857</v>
      </c>
      <c r="DS30" s="105">
        <f t="shared" si="33"/>
        <v>0.42156362674026515</v>
      </c>
      <c r="DT30" s="105">
        <f t="shared" si="33"/>
        <v>0.42094996676444491</v>
      </c>
      <c r="DU30" s="105">
        <f t="shared" si="33"/>
        <v>0.42040186445573674</v>
      </c>
      <c r="DV30" s="104">
        <f t="shared" si="33"/>
        <v>0.74032108480210645</v>
      </c>
      <c r="DW30" s="105">
        <f t="shared" si="33"/>
        <v>0.41991292044359574</v>
      </c>
      <c r="DX30" s="105">
        <f t="shared" si="33"/>
        <v>0.41947705106673538</v>
      </c>
      <c r="DY30" s="105">
        <f t="shared" si="33"/>
        <v>0.4190886317049729</v>
      </c>
      <c r="DZ30" s="105">
        <f t="shared" si="33"/>
        <v>0.41874254634890268</v>
      </c>
      <c r="EA30" s="104">
        <f t="shared" si="33"/>
        <v>0.73913539839908582</v>
      </c>
      <c r="EB30" s="105">
        <f t="shared" si="33"/>
        <v>0.41843418670520988</v>
      </c>
      <c r="EC30" s="105">
        <f t="shared" si="33"/>
        <v>0.41815942584237825</v>
      </c>
      <c r="ED30" s="105">
        <f t="shared" si="33"/>
        <v>0.41791458047285496</v>
      </c>
      <c r="EE30" s="105">
        <f t="shared" si="33"/>
        <v>0.41769636958645434</v>
      </c>
      <c r="EF30" s="104">
        <f t="shared" si="33"/>
        <v>0.73834148441809855</v>
      </c>
    </row>
    <row r="31" spans="1:136" ht="12.75" customHeight="1">
      <c r="B31" s="66"/>
      <c r="C31" s="66"/>
      <c r="D31" s="66"/>
      <c r="E31" s="66"/>
      <c r="F31" s="69"/>
      <c r="G31" s="66"/>
      <c r="H31" s="66"/>
      <c r="I31" s="66"/>
      <c r="J31" s="66"/>
      <c r="K31" s="69"/>
      <c r="L31" s="66"/>
      <c r="M31" s="66"/>
      <c r="N31" s="66"/>
      <c r="O31" s="66"/>
      <c r="P31" s="69"/>
      <c r="Q31" s="66"/>
      <c r="R31" s="66"/>
      <c r="S31" s="66"/>
      <c r="T31" s="66"/>
      <c r="U31" s="69"/>
      <c r="V31" s="66"/>
      <c r="W31" s="66"/>
      <c r="X31" s="66"/>
      <c r="Y31" s="66"/>
      <c r="Z31" s="69"/>
      <c r="AA31" s="66"/>
      <c r="AB31" s="66"/>
      <c r="AC31" s="66"/>
      <c r="AD31" s="66"/>
      <c r="AE31" s="69"/>
      <c r="AF31" s="66"/>
      <c r="AG31" s="66"/>
      <c r="AH31" s="66"/>
      <c r="AI31" s="66"/>
      <c r="AJ31" s="69"/>
      <c r="AK31" s="66"/>
      <c r="AL31" s="66"/>
      <c r="AM31" s="66"/>
      <c r="AN31" s="66"/>
      <c r="AO31" s="69"/>
      <c r="AP31" s="66"/>
      <c r="AQ31" s="66"/>
      <c r="AR31" s="66"/>
      <c r="AS31" s="66"/>
      <c r="AT31" s="69"/>
      <c r="AU31" s="66"/>
      <c r="AV31" s="66"/>
      <c r="AW31" s="66"/>
      <c r="AX31" s="66"/>
      <c r="AY31" s="69"/>
      <c r="AZ31" s="66"/>
      <c r="BA31" s="66"/>
      <c r="BB31" s="66"/>
      <c r="BC31" s="66"/>
      <c r="BD31" s="69"/>
      <c r="BE31" s="66"/>
      <c r="BF31" s="66"/>
      <c r="BG31" s="66"/>
      <c r="BH31" s="66"/>
      <c r="BI31" s="69"/>
      <c r="BJ31" s="66"/>
      <c r="BK31" s="66"/>
      <c r="BL31" s="66"/>
      <c r="BM31" s="66"/>
      <c r="BN31" s="69"/>
      <c r="BO31" s="66"/>
      <c r="BP31" s="66"/>
      <c r="BQ31" s="66"/>
      <c r="BR31" s="66"/>
      <c r="BS31" s="69"/>
      <c r="BT31" s="66"/>
      <c r="BU31" s="66"/>
      <c r="BV31" s="66"/>
      <c r="BW31" s="66"/>
      <c r="BX31" s="69"/>
      <c r="BY31" s="66"/>
      <c r="BZ31" s="66"/>
      <c r="CA31" s="66"/>
      <c r="CB31" s="66">
        <f>(64.8%+69.5%+64.5%)/3</f>
        <v>0.66266666666666663</v>
      </c>
      <c r="CC31" s="69"/>
      <c r="CD31" s="66"/>
      <c r="CE31" s="425"/>
      <c r="CF31" s="66"/>
      <c r="CG31" s="66"/>
      <c r="CH31" s="69"/>
      <c r="CI31" s="66"/>
      <c r="CJ31" s="66"/>
      <c r="CK31" s="66"/>
      <c r="CL31" s="66"/>
      <c r="CM31" s="69"/>
      <c r="CN31" s="66"/>
      <c r="CO31" s="66"/>
      <c r="CP31" s="66"/>
      <c r="CQ31" s="66"/>
      <c r="CR31" s="69"/>
      <c r="CS31" s="66"/>
      <c r="CT31" s="66"/>
      <c r="CU31" s="66"/>
      <c r="CV31" s="66"/>
      <c r="CW31" s="69"/>
      <c r="CX31" s="66"/>
      <c r="CY31" s="66"/>
      <c r="CZ31" s="66"/>
      <c r="DA31" s="66"/>
      <c r="DB31" s="69"/>
      <c r="DC31" s="66"/>
      <c r="DD31" s="66">
        <f>DD30-CY30</f>
        <v>-3.5376285447458578E-2</v>
      </c>
      <c r="DE31" s="66"/>
      <c r="DF31" s="66"/>
      <c r="DG31" s="69"/>
      <c r="DH31" s="66"/>
      <c r="DI31" s="66"/>
      <c r="DJ31" s="66"/>
      <c r="DK31" s="66"/>
      <c r="DL31" s="69"/>
      <c r="DM31" s="66"/>
      <c r="DN31" s="66"/>
      <c r="DO31" s="66"/>
      <c r="DP31" s="66"/>
      <c r="DQ31" s="69"/>
      <c r="DR31" s="66"/>
      <c r="DS31" s="66"/>
      <c r="DT31" s="66"/>
      <c r="DU31" s="66"/>
      <c r="DV31" s="69"/>
      <c r="DW31" s="66"/>
      <c r="DX31" s="66"/>
      <c r="DY31" s="66"/>
      <c r="DZ31" s="66"/>
      <c r="EA31" s="69"/>
      <c r="EB31" s="66"/>
      <c r="EC31" s="66"/>
      <c r="ED31" s="66"/>
      <c r="EE31" s="66"/>
      <c r="EF31" s="69"/>
    </row>
    <row r="32" spans="1:136" s="8" customFormat="1" ht="12.75" customHeight="1" thickBot="1">
      <c r="A32" s="4" t="s">
        <v>232</v>
      </c>
      <c r="B32" s="30" t="str">
        <f>Macro!B$9</f>
        <v>1Q04</v>
      </c>
      <c r="C32" s="30" t="str">
        <f>Macro!C$9</f>
        <v>2Q04</v>
      </c>
      <c r="D32" s="30" t="str">
        <f>Macro!D$9</f>
        <v>3Q04</v>
      </c>
      <c r="E32" s="31" t="str">
        <f>Macro!E$9</f>
        <v>4Q04</v>
      </c>
      <c r="F32" s="29" t="str">
        <f>Macro!F$9</f>
        <v>2004</v>
      </c>
      <c r="G32" s="30" t="str">
        <f>Macro!G$9</f>
        <v>1Q05</v>
      </c>
      <c r="H32" s="30" t="str">
        <f>Macro!H$9</f>
        <v>2Q05</v>
      </c>
      <c r="I32" s="30" t="str">
        <f>Macro!I$9</f>
        <v>3Q05</v>
      </c>
      <c r="J32" s="31" t="str">
        <f>Macro!J$9</f>
        <v>4Q05</v>
      </c>
      <c r="K32" s="29" t="str">
        <f>Macro!K$9</f>
        <v>2005</v>
      </c>
      <c r="L32" s="30" t="str">
        <f>Macro!L$9</f>
        <v>1Q06</v>
      </c>
      <c r="M32" s="30" t="str">
        <f>Macro!M$9</f>
        <v>2Q06</v>
      </c>
      <c r="N32" s="30" t="str">
        <f>Macro!N$9</f>
        <v>3Q06</v>
      </c>
      <c r="O32" s="31" t="str">
        <f>Macro!O$9</f>
        <v>4Q06</v>
      </c>
      <c r="P32" s="29" t="str">
        <f>Macro!P$9</f>
        <v>2006</v>
      </c>
      <c r="Q32" s="30" t="str">
        <f>Macro!Q$9</f>
        <v>1Q07</v>
      </c>
      <c r="R32" s="30" t="str">
        <f>Macro!R$9</f>
        <v>2Q07</v>
      </c>
      <c r="S32" s="30" t="str">
        <f>Macro!S$9</f>
        <v>3Q07</v>
      </c>
      <c r="T32" s="31" t="str">
        <f>Macro!T$9</f>
        <v>4Q07</v>
      </c>
      <c r="U32" s="29" t="str">
        <f>Macro!U$9</f>
        <v>2007</v>
      </c>
      <c r="V32" s="30" t="str">
        <f>Macro!V$9</f>
        <v>1Q08</v>
      </c>
      <c r="W32" s="30" t="str">
        <f>Macro!W$9</f>
        <v>2Q08</v>
      </c>
      <c r="X32" s="30" t="str">
        <f>Macro!X$9</f>
        <v>3Q08</v>
      </c>
      <c r="Y32" s="31" t="str">
        <f>Macro!Y$9</f>
        <v>4Q08</v>
      </c>
      <c r="Z32" s="29" t="str">
        <f>Macro!Z$9</f>
        <v>2008</v>
      </c>
      <c r="AA32" s="30" t="str">
        <f>Macro!AA$9</f>
        <v>1Q09</v>
      </c>
      <c r="AB32" s="30" t="str">
        <f>Macro!AB$9</f>
        <v>2Q09</v>
      </c>
      <c r="AC32" s="30" t="str">
        <f>Macro!AC$9</f>
        <v>3Q09</v>
      </c>
      <c r="AD32" s="31" t="str">
        <f>Macro!AD$9</f>
        <v>4Q09</v>
      </c>
      <c r="AE32" s="29" t="str">
        <f>Macro!AE$9</f>
        <v>2009</v>
      </c>
      <c r="AF32" s="30" t="str">
        <f>Macro!AF$9</f>
        <v>1Q10</v>
      </c>
      <c r="AG32" s="30" t="str">
        <f>Macro!AG$9</f>
        <v>2Q10</v>
      </c>
      <c r="AH32" s="30" t="str">
        <f>Macro!AH$9</f>
        <v>3Q10</v>
      </c>
      <c r="AI32" s="31" t="str">
        <f>Macro!AI$9</f>
        <v>4Q10</v>
      </c>
      <c r="AJ32" s="29" t="str">
        <f>Macro!AJ$9</f>
        <v>2010</v>
      </c>
      <c r="AK32" s="30" t="str">
        <f>Macro!AK$9</f>
        <v>1Q11</v>
      </c>
      <c r="AL32" s="30" t="str">
        <f>Macro!AL$9</f>
        <v>2Q11</v>
      </c>
      <c r="AM32" s="30" t="str">
        <f>Macro!AM$9</f>
        <v>3Q11</v>
      </c>
      <c r="AN32" s="31" t="str">
        <f>Macro!AN$9</f>
        <v>4Q11</v>
      </c>
      <c r="AO32" s="29" t="str">
        <f>Macro!AO$9</f>
        <v>2011</v>
      </c>
      <c r="AP32" s="30" t="str">
        <f>Macro!AP$9</f>
        <v>1Q12</v>
      </c>
      <c r="AQ32" s="30" t="str">
        <f>Macro!AQ$9</f>
        <v>2Q12</v>
      </c>
      <c r="AR32" s="30" t="str">
        <f>Macro!AR$9</f>
        <v>3Q12</v>
      </c>
      <c r="AS32" s="31" t="str">
        <f>Macro!AS$9</f>
        <v>4Q12</v>
      </c>
      <c r="AT32" s="29" t="str">
        <f>Macro!AT$9</f>
        <v>2012</v>
      </c>
      <c r="AU32" s="30" t="str">
        <f>Macro!AU$9</f>
        <v>1Q13</v>
      </c>
      <c r="AV32" s="30" t="str">
        <f>Macro!AV$9</f>
        <v>2Q13</v>
      </c>
      <c r="AW32" s="30" t="str">
        <f>Macro!AW$9</f>
        <v>3Q13</v>
      </c>
      <c r="AX32" s="31" t="str">
        <f>Macro!AX$9</f>
        <v>4Q13</v>
      </c>
      <c r="AY32" s="29" t="str">
        <f>Macro!AY$9</f>
        <v>2013</v>
      </c>
      <c r="AZ32" s="30" t="str">
        <f>Macro!AZ$9</f>
        <v>1Q14</v>
      </c>
      <c r="BA32" s="30" t="str">
        <f>Macro!BA$9</f>
        <v>2Q14</v>
      </c>
      <c r="BB32" s="30" t="str">
        <f>Macro!BB$9</f>
        <v>3Q14</v>
      </c>
      <c r="BC32" s="31" t="str">
        <f>Macro!BC$9</f>
        <v>4Q14</v>
      </c>
      <c r="BD32" s="29" t="str">
        <f>Macro!BD$9</f>
        <v>2014</v>
      </c>
      <c r="BE32" s="30" t="str">
        <f>Macro!BE$9</f>
        <v>1Q15</v>
      </c>
      <c r="BF32" s="30" t="str">
        <f>Macro!BF$9</f>
        <v>2Q15</v>
      </c>
      <c r="BG32" s="30" t="str">
        <f>Macro!BG$9</f>
        <v>3Q15</v>
      </c>
      <c r="BH32" s="31" t="str">
        <f>Macro!BH$9</f>
        <v>4Q15</v>
      </c>
      <c r="BI32" s="29" t="str">
        <f>Macro!BI$9</f>
        <v>2015</v>
      </c>
      <c r="BJ32" s="30" t="str">
        <f>Macro!BJ$9</f>
        <v>1Q16</v>
      </c>
      <c r="BK32" s="30" t="str">
        <f>Macro!BK$9</f>
        <v>2Q16</v>
      </c>
      <c r="BL32" s="30" t="str">
        <f>Macro!BL$9</f>
        <v>3Q16</v>
      </c>
      <c r="BM32" s="31" t="str">
        <f>Macro!BM$9</f>
        <v>4Q16</v>
      </c>
      <c r="BN32" s="29" t="str">
        <f>Macro!BN$9</f>
        <v>2016</v>
      </c>
      <c r="BO32" s="30" t="str">
        <f>Macro!BO$9</f>
        <v>1Q17</v>
      </c>
      <c r="BP32" s="30" t="str">
        <f>Macro!BP$9</f>
        <v>2Q17</v>
      </c>
      <c r="BQ32" s="30" t="str">
        <f>Macro!BQ$9</f>
        <v>3Q17</v>
      </c>
      <c r="BR32" s="31" t="str">
        <f>Macro!BR$9</f>
        <v>4Q17</v>
      </c>
      <c r="BS32" s="29" t="str">
        <f>Macro!BS$9</f>
        <v>2017</v>
      </c>
      <c r="BT32" s="30" t="str">
        <f>Macro!BT$9</f>
        <v>1Q18</v>
      </c>
      <c r="BU32" s="30" t="str">
        <f>Macro!BU$9</f>
        <v>2Q18</v>
      </c>
      <c r="BV32" s="30" t="str">
        <f>Macro!BV$9</f>
        <v>3Q18</v>
      </c>
      <c r="BW32" s="31" t="str">
        <f>Macro!BW$9</f>
        <v>4Q18</v>
      </c>
      <c r="BX32" s="29" t="str">
        <f>Macro!BX$9</f>
        <v>2018</v>
      </c>
      <c r="BY32" s="30" t="str">
        <f>Macro!BY$9</f>
        <v>1Q19</v>
      </c>
      <c r="BZ32" s="30" t="str">
        <f>Macro!BZ$9</f>
        <v>2Q19</v>
      </c>
      <c r="CA32" s="30" t="str">
        <f>Macro!CA$9</f>
        <v>3Q19</v>
      </c>
      <c r="CB32" s="31" t="str">
        <f>Macro!CB$9</f>
        <v>4Q19</v>
      </c>
      <c r="CC32" s="29" t="str">
        <f>Macro!CC$9</f>
        <v>2019</v>
      </c>
      <c r="CD32" s="30" t="str">
        <f>Macro!CD$9</f>
        <v>1Q20</v>
      </c>
      <c r="CE32" s="30" t="str">
        <f>Macro!CE$9</f>
        <v>2Q20</v>
      </c>
      <c r="CF32" s="30" t="str">
        <f>Macro!CF$9</f>
        <v>3Q20</v>
      </c>
      <c r="CG32" s="31" t="str">
        <f>Macro!CG$9</f>
        <v>4Q20</v>
      </c>
      <c r="CH32" s="29" t="str">
        <f>Macro!CH$9</f>
        <v>2020</v>
      </c>
      <c r="CI32" s="30" t="str">
        <f>Macro!CI$9</f>
        <v>1Q21</v>
      </c>
      <c r="CJ32" s="30" t="str">
        <f>Macro!CJ$9</f>
        <v>2Q21</v>
      </c>
      <c r="CK32" s="30" t="str">
        <f>Macro!CK$9</f>
        <v>3Q21</v>
      </c>
      <c r="CL32" s="31" t="str">
        <f>Macro!CL$9</f>
        <v>4Q21</v>
      </c>
      <c r="CM32" s="29" t="str">
        <f>Macro!CM$9</f>
        <v>2021</v>
      </c>
      <c r="CN32" s="30" t="str">
        <f>Macro!CN$9</f>
        <v>1Q22</v>
      </c>
      <c r="CO32" s="30" t="str">
        <f>Macro!CO$9</f>
        <v>2Q22</v>
      </c>
      <c r="CP32" s="30" t="str">
        <f>Macro!CP$9</f>
        <v>3Q22</v>
      </c>
      <c r="CQ32" s="31" t="str">
        <f>Macro!CQ$9</f>
        <v>4Q22</v>
      </c>
      <c r="CR32" s="29" t="str">
        <f>Macro!CR$9</f>
        <v>2022</v>
      </c>
      <c r="CS32" s="30" t="str">
        <f>Macro!CS$9</f>
        <v>1Q23</v>
      </c>
      <c r="CT32" s="30" t="str">
        <f>Macro!CT$9</f>
        <v>2Q23</v>
      </c>
      <c r="CU32" s="30" t="str">
        <f>Macro!CU$9</f>
        <v>3Q23</v>
      </c>
      <c r="CV32" s="31" t="str">
        <f>Macro!CV$9</f>
        <v>4Q23</v>
      </c>
      <c r="CW32" s="29" t="str">
        <f>Macro!CW$9</f>
        <v>2023</v>
      </c>
      <c r="CX32" s="31" t="str">
        <f>Macro!CX$9</f>
        <v>1Q24</v>
      </c>
      <c r="CY32" s="30" t="str">
        <f>Macro!CY$9</f>
        <v>2Q24</v>
      </c>
      <c r="CZ32" s="30" t="str">
        <f>Macro!CZ$9</f>
        <v>3Q24</v>
      </c>
      <c r="DA32" s="31" t="str">
        <f>Macro!DA$9</f>
        <v>4Q24</v>
      </c>
      <c r="DB32" s="29" t="str">
        <f>Macro!DB$9</f>
        <v>2024</v>
      </c>
      <c r="DC32" s="31" t="str">
        <f>Macro!DC$9</f>
        <v>1Q25</v>
      </c>
      <c r="DD32" s="30" t="str">
        <f>Macro!DD$9</f>
        <v>2Q25</v>
      </c>
      <c r="DE32" s="30" t="str">
        <f>Macro!DE$9</f>
        <v>3Q25</v>
      </c>
      <c r="DF32" s="31" t="str">
        <f>Macro!DF$9</f>
        <v>4Q25</v>
      </c>
      <c r="DG32" s="29" t="str">
        <f>Macro!DG$9</f>
        <v>2025</v>
      </c>
      <c r="DH32" s="30" t="str">
        <f>Macro!DH$9</f>
        <v>1Q26</v>
      </c>
      <c r="DI32" s="30" t="str">
        <f>Macro!DI$9</f>
        <v>2Q26</v>
      </c>
      <c r="DJ32" s="30" t="str">
        <f>Macro!DJ$9</f>
        <v>3Q26E</v>
      </c>
      <c r="DK32" s="31" t="str">
        <f>Macro!DK$9</f>
        <v>4Q26E</v>
      </c>
      <c r="DL32" s="29" t="str">
        <f>Macro!DL$9</f>
        <v>2026E</v>
      </c>
      <c r="DM32" s="30" t="str">
        <f>Macro!DM$9</f>
        <v>1Q27E</v>
      </c>
      <c r="DN32" s="30" t="str">
        <f>Macro!DN$9</f>
        <v>2Q27E</v>
      </c>
      <c r="DO32" s="30" t="str">
        <f>Macro!DO$9</f>
        <v>3Q27E</v>
      </c>
      <c r="DP32" s="31" t="str">
        <f>Macro!DP$9</f>
        <v>4Q27E</v>
      </c>
      <c r="DQ32" s="29" t="str">
        <f>Macro!DQ$9</f>
        <v>2027E</v>
      </c>
      <c r="DR32" s="30" t="str">
        <f>Macro!DR$9</f>
        <v>1Q28E</v>
      </c>
      <c r="DS32" s="30" t="str">
        <f>Macro!DS$9</f>
        <v>2Q28E</v>
      </c>
      <c r="DT32" s="30" t="str">
        <f>Macro!DT$9</f>
        <v>3Q28E</v>
      </c>
      <c r="DU32" s="31" t="str">
        <f>Macro!DU$9</f>
        <v>4Q28E</v>
      </c>
      <c r="DV32" s="29" t="str">
        <f>Macro!DV$9</f>
        <v>2028E</v>
      </c>
      <c r="DW32" s="30" t="str">
        <f>Macro!DW$9</f>
        <v>1Q29E</v>
      </c>
      <c r="DX32" s="30" t="str">
        <f>Macro!DX$9</f>
        <v>2Q29E</v>
      </c>
      <c r="DY32" s="30" t="str">
        <f>Macro!DY$9</f>
        <v>3Q29E</v>
      </c>
      <c r="DZ32" s="31" t="str">
        <f>Macro!DZ$9</f>
        <v>4Q29E</v>
      </c>
      <c r="EA32" s="29" t="str">
        <f>Macro!EA$9</f>
        <v>2029E</v>
      </c>
      <c r="EB32" s="30" t="str">
        <f>Macro!EB$9</f>
        <v>1Q30E</v>
      </c>
      <c r="EC32" s="30" t="str">
        <f>Macro!EC$9</f>
        <v>2Q30E</v>
      </c>
      <c r="ED32" s="30" t="str">
        <f>Macro!ED$9</f>
        <v>3Q30E</v>
      </c>
      <c r="EE32" s="31" t="str">
        <f>Macro!EE$9</f>
        <v>4Q30E</v>
      </c>
      <c r="EF32" s="29" t="str">
        <f>Macro!EF$9</f>
        <v>2030E</v>
      </c>
    </row>
    <row r="33" spans="1:136" ht="12.75" customHeight="1">
      <c r="A33" s="1" t="s">
        <v>312</v>
      </c>
      <c r="B33" s="295">
        <f>'Balance Sheet'!B107</f>
        <v>0</v>
      </c>
      <c r="C33" s="295">
        <f>'Balance Sheet'!C107</f>
        <v>0</v>
      </c>
      <c r="D33" s="295">
        <f>'Balance Sheet'!D107</f>
        <v>0</v>
      </c>
      <c r="E33" s="295">
        <f>'Balance Sheet'!E107</f>
        <v>0</v>
      </c>
      <c r="F33" s="79">
        <f>'Balance Sheet'!F107</f>
        <v>0</v>
      </c>
      <c r="G33" s="295">
        <f>'Balance Sheet'!G107</f>
        <v>0</v>
      </c>
      <c r="H33" s="295">
        <f>'Balance Sheet'!H107</f>
        <v>0</v>
      </c>
      <c r="I33" s="295">
        <f>'Balance Sheet'!I107</f>
        <v>0</v>
      </c>
      <c r="J33" s="295">
        <f>'Balance Sheet'!J107</f>
        <v>0</v>
      </c>
      <c r="K33" s="79">
        <f>'Balance Sheet'!K107</f>
        <v>0</v>
      </c>
      <c r="L33" s="295">
        <f>'Balance Sheet'!L107</f>
        <v>0</v>
      </c>
      <c r="M33" s="295">
        <f>'Balance Sheet'!M107</f>
        <v>0</v>
      </c>
      <c r="N33" s="295">
        <f>'Balance Sheet'!N107</f>
        <v>0</v>
      </c>
      <c r="O33" s="295">
        <f>'Balance Sheet'!O107</f>
        <v>0</v>
      </c>
      <c r="P33" s="79">
        <f>'Balance Sheet'!P107</f>
        <v>0</v>
      </c>
      <c r="Q33" s="295">
        <f>'Balance Sheet'!Q107</f>
        <v>0</v>
      </c>
      <c r="R33" s="295">
        <f>'Balance Sheet'!R107</f>
        <v>0</v>
      </c>
      <c r="S33" s="295">
        <f>'Balance Sheet'!S107</f>
        <v>0</v>
      </c>
      <c r="T33" s="295">
        <f>'Balance Sheet'!T107</f>
        <v>0</v>
      </c>
      <c r="U33" s="79">
        <f>'Balance Sheet'!U107</f>
        <v>0</v>
      </c>
      <c r="V33" s="295">
        <f>'Balance Sheet'!V107</f>
        <v>0</v>
      </c>
      <c r="W33" s="295">
        <f>'Balance Sheet'!W107</f>
        <v>0</v>
      </c>
      <c r="X33" s="295">
        <f>'Balance Sheet'!X107</f>
        <v>0</v>
      </c>
      <c r="Y33" s="295">
        <f>'Balance Sheet'!Y107</f>
        <v>0</v>
      </c>
      <c r="Z33" s="79">
        <f>'Balance Sheet'!Z107</f>
        <v>0</v>
      </c>
      <c r="AA33" s="295">
        <f>'Balance Sheet'!AA107</f>
        <v>0</v>
      </c>
      <c r="AB33" s="295">
        <f>'Balance Sheet'!AB107</f>
        <v>0</v>
      </c>
      <c r="AC33" s="295">
        <f>'Balance Sheet'!AC107</f>
        <v>0</v>
      </c>
      <c r="AD33" s="295">
        <f>'Balance Sheet'!AD107</f>
        <v>0</v>
      </c>
      <c r="AE33" s="79">
        <f>'Balance Sheet'!AE107</f>
        <v>0</v>
      </c>
      <c r="AF33" s="52">
        <f>'Balance Sheet'!AF107</f>
        <v>0</v>
      </c>
      <c r="AG33" s="52">
        <f>'Balance Sheet'!AG107</f>
        <v>0</v>
      </c>
      <c r="AH33" s="52">
        <f>'Balance Sheet'!AH107</f>
        <v>0</v>
      </c>
      <c r="AI33" s="52">
        <f>'Balance Sheet'!AI107</f>
        <v>0</v>
      </c>
      <c r="AJ33" s="79">
        <f>'Balance Sheet'!AJ107</f>
        <v>0</v>
      </c>
      <c r="AK33" s="52">
        <f>'Balance Sheet'!AK107</f>
        <v>0</v>
      </c>
      <c r="AL33" s="52">
        <f>'Balance Sheet'!AL107</f>
        <v>0</v>
      </c>
      <c r="AM33" s="52">
        <f>'Balance Sheet'!AM107</f>
        <v>0</v>
      </c>
      <c r="AN33" s="52">
        <f>'Balance Sheet'!AN107</f>
        <v>0</v>
      </c>
      <c r="AO33" s="79">
        <f>'Balance Sheet'!AO107</f>
        <v>0</v>
      </c>
      <c r="AP33" s="52">
        <f>'Balance Sheet'!AP107</f>
        <v>0</v>
      </c>
      <c r="AQ33" s="52">
        <f>'Balance Sheet'!AQ107</f>
        <v>0</v>
      </c>
      <c r="AR33" s="52">
        <f>'Balance Sheet'!AR107</f>
        <v>0</v>
      </c>
      <c r="AS33" s="52">
        <f>'Balance Sheet'!AS107</f>
        <v>0</v>
      </c>
      <c r="AT33" s="79">
        <f>'Balance Sheet'!AT107</f>
        <v>0</v>
      </c>
      <c r="AU33" s="52">
        <f>'Balance Sheet'!AU107</f>
        <v>0</v>
      </c>
      <c r="AV33" s="52">
        <f>'Balance Sheet'!AV107</f>
        <v>0</v>
      </c>
      <c r="AW33" s="52">
        <f>'Balance Sheet'!AW107</f>
        <v>0</v>
      </c>
      <c r="AX33" s="52">
        <f>'Balance Sheet'!AX107</f>
        <v>0</v>
      </c>
      <c r="AY33" s="79">
        <f>'Balance Sheet'!AY107</f>
        <v>0</v>
      </c>
      <c r="AZ33" s="52">
        <f>'Balance Sheet'!AZ107</f>
        <v>0</v>
      </c>
      <c r="BA33" s="52">
        <f>'Balance Sheet'!BA107</f>
        <v>0</v>
      </c>
      <c r="BB33" s="52">
        <f>'Balance Sheet'!BB107</f>
        <v>0</v>
      </c>
      <c r="BC33" s="52">
        <f>'Balance Sheet'!BC107</f>
        <v>707918</v>
      </c>
      <c r="BD33" s="79">
        <f>'Balance Sheet'!BD107</f>
        <v>707918</v>
      </c>
      <c r="BE33" s="52">
        <f>'Balance Sheet'!BE107</f>
        <v>0</v>
      </c>
      <c r="BF33" s="52">
        <f>'Balance Sheet'!BF107</f>
        <v>0</v>
      </c>
      <c r="BG33" s="52">
        <f>'Balance Sheet'!BG107</f>
        <v>0</v>
      </c>
      <c r="BH33" s="52">
        <f>'Balance Sheet'!BH107</f>
        <v>717207</v>
      </c>
      <c r="BI33" s="79">
        <f>'Balance Sheet'!BI107</f>
        <v>717207</v>
      </c>
      <c r="BJ33" s="52">
        <f>'Balance Sheet'!BJ107</f>
        <v>0</v>
      </c>
      <c r="BK33" s="52">
        <f>'Balance Sheet'!BK107</f>
        <v>0</v>
      </c>
      <c r="BL33" s="52">
        <f>'Balance Sheet'!BL107</f>
        <v>0</v>
      </c>
      <c r="BM33" s="52">
        <f>'Balance Sheet'!BM107</f>
        <v>868619</v>
      </c>
      <c r="BN33" s="79">
        <f>'Balance Sheet'!BN107</f>
        <v>868619</v>
      </c>
      <c r="BO33" s="52">
        <f>'Balance Sheet'!BO107</f>
        <v>0</v>
      </c>
      <c r="BP33" s="52">
        <f>'Balance Sheet'!BP107</f>
        <v>0</v>
      </c>
      <c r="BQ33" s="52">
        <f>'Balance Sheet'!BQ107</f>
        <v>0</v>
      </c>
      <c r="BR33" s="52">
        <f>'Balance Sheet'!BR107</f>
        <v>734452</v>
      </c>
      <c r="BS33" s="79">
        <f>'Balance Sheet'!BS107</f>
        <v>734452</v>
      </c>
      <c r="BT33" s="52">
        <f>'Balance Sheet'!BT107</f>
        <v>0</v>
      </c>
      <c r="BU33" s="52">
        <f>'Balance Sheet'!BU107</f>
        <v>0</v>
      </c>
      <c r="BV33" s="52">
        <f>'Balance Sheet'!BV107</f>
        <v>0</v>
      </c>
      <c r="BW33" s="52">
        <f>'Balance Sheet'!BW107</f>
        <v>689084</v>
      </c>
      <c r="BX33" s="79">
        <f>'Balance Sheet'!BX107</f>
        <v>689084</v>
      </c>
      <c r="BY33" s="52">
        <f>'Balance Sheet'!BY107</f>
        <v>0</v>
      </c>
      <c r="BZ33" s="52">
        <f>'Balance Sheet'!BZ107</f>
        <v>0</v>
      </c>
      <c r="CA33" s="52">
        <f>'Balance Sheet'!CA107</f>
        <v>0</v>
      </c>
      <c r="CB33" s="52">
        <f>'Balance Sheet'!CB107</f>
        <v>670419</v>
      </c>
      <c r="CC33" s="79">
        <f>'Balance Sheet'!CC107</f>
        <v>670419</v>
      </c>
      <c r="CD33" s="52">
        <f>'Balance Sheet'!CD107</f>
        <v>641933</v>
      </c>
      <c r="CE33" s="52">
        <f>'Balance Sheet'!CE107</f>
        <v>649571</v>
      </c>
      <c r="CF33" s="52">
        <f>'Balance Sheet'!CF107</f>
        <v>726078</v>
      </c>
      <c r="CG33" s="52">
        <f>'Balance Sheet'!CG107</f>
        <v>778550</v>
      </c>
      <c r="CH33" s="79">
        <f>'Balance Sheet'!CH107</f>
        <v>778550</v>
      </c>
      <c r="CI33" s="52">
        <f>'Balance Sheet'!CI107</f>
        <v>972631</v>
      </c>
      <c r="CJ33" s="52">
        <f>'Balance Sheet'!CJ107</f>
        <v>1172291</v>
      </c>
      <c r="CK33" s="52">
        <f>'Balance Sheet'!CK107</f>
        <v>1427093</v>
      </c>
      <c r="CL33" s="52">
        <f>'Balance Sheet'!CL107</f>
        <v>1560016</v>
      </c>
      <c r="CM33" s="79">
        <f>'Balance Sheet'!CM107</f>
        <v>1560016</v>
      </c>
      <c r="CN33" s="52">
        <f>'Balance Sheet'!CN107</f>
        <v>1826371</v>
      </c>
      <c r="CO33" s="52">
        <f>'Balance Sheet'!CO107</f>
        <v>2064638</v>
      </c>
      <c r="CP33" s="52">
        <f>'Balance Sheet'!CP107</f>
        <v>2322205</v>
      </c>
      <c r="CQ33" s="52">
        <f>'Balance Sheet'!CQ107</f>
        <v>2454399</v>
      </c>
      <c r="CR33" s="79">
        <f>'Balance Sheet'!CR107</f>
        <v>2454399</v>
      </c>
      <c r="CS33" s="52">
        <f>'Balance Sheet'!CS107</f>
        <v>2914433</v>
      </c>
      <c r="CT33" s="52">
        <f>'Balance Sheet'!CT107</f>
        <v>3245796</v>
      </c>
      <c r="CU33" s="52">
        <f>'Balance Sheet'!CU107</f>
        <v>3439133</v>
      </c>
      <c r="CV33" s="52">
        <f>'Balance Sheet'!CV107</f>
        <v>3501917</v>
      </c>
      <c r="CW33" s="79">
        <f>'Balance Sheet'!CW107</f>
        <v>3501917</v>
      </c>
      <c r="CX33" s="52">
        <f>'Balance Sheet'!CX107</f>
        <v>4153406</v>
      </c>
      <c r="CY33" s="52">
        <f>'Balance Sheet'!CY107</f>
        <v>4837930</v>
      </c>
      <c r="CZ33" s="52">
        <f>'Balance Sheet'!CZ107</f>
        <v>5203643</v>
      </c>
      <c r="DA33" s="52">
        <f>'Balance Sheet'!DA107</f>
        <v>5565297</v>
      </c>
      <c r="DB33" s="79">
        <f>'Balance Sheet'!DB107</f>
        <v>5565297</v>
      </c>
      <c r="DC33" s="52">
        <f>'Balance Sheet'!DC107</f>
        <v>6430448</v>
      </c>
      <c r="DD33" s="52">
        <f>'Balance Sheet'!DD107</f>
        <v>7284016</v>
      </c>
      <c r="DE33" s="52">
        <f>'Balance Sheet'!DE107</f>
        <v>7701127</v>
      </c>
      <c r="DF33" s="52">
        <f>'Balance Sheet'!DF107</f>
        <v>7802275</v>
      </c>
      <c r="DG33" s="79">
        <f>'Balance Sheet'!DG107</f>
        <v>7802275</v>
      </c>
      <c r="DH33" s="52">
        <f>'Balance Sheet'!DH107</f>
        <v>8471900</v>
      </c>
      <c r="DI33" s="52">
        <f>'Balance Sheet'!DI107</f>
        <v>8831273</v>
      </c>
      <c r="DJ33" s="52">
        <f>'Balance Sheet'!DJ107</f>
        <v>9230338.5992607754</v>
      </c>
      <c r="DK33" s="52">
        <f>'Balance Sheet'!DK107</f>
        <v>9543417.3653678335</v>
      </c>
      <c r="DL33" s="79">
        <f>'Balance Sheet'!DL107</f>
        <v>9543417.3653678335</v>
      </c>
      <c r="DM33" s="52">
        <f>'Balance Sheet'!DM107</f>
        <v>9912484.7304392047</v>
      </c>
      <c r="DN33" s="52">
        <f>'Balance Sheet'!DN107</f>
        <v>10267425.996443989</v>
      </c>
      <c r="DO33" s="52">
        <f>'Balance Sheet'!DO107</f>
        <v>10605415.714015443</v>
      </c>
      <c r="DP33" s="52">
        <f>'Balance Sheet'!DP107</f>
        <v>10926968.326922832</v>
      </c>
      <c r="DQ33" s="79">
        <f>'Balance Sheet'!DQ107</f>
        <v>10926968.326922832</v>
      </c>
      <c r="DR33" s="52">
        <f>'Balance Sheet'!DR107</f>
        <v>11233093.455788163</v>
      </c>
      <c r="DS33" s="52">
        <f>'Balance Sheet'!DS107</f>
        <v>11525044.274936209</v>
      </c>
      <c r="DT33" s="52">
        <f>'Balance Sheet'!DT107</f>
        <v>11804140.779006494</v>
      </c>
      <c r="DU33" s="52">
        <f>'Balance Sheet'!DU107</f>
        <v>12071679.818070838</v>
      </c>
      <c r="DV33" s="79">
        <f>'Balance Sheet'!DV107</f>
        <v>12071679.818070838</v>
      </c>
      <c r="DW33" s="52">
        <f>'Balance Sheet'!DW107</f>
        <v>12328891.057583869</v>
      </c>
      <c r="DX33" s="52">
        <f>'Balance Sheet'!DX107</f>
        <v>12576917.879947564</v>
      </c>
      <c r="DY33" s="52">
        <f>'Balance Sheet'!DY107</f>
        <v>12816811.594715217</v>
      </c>
      <c r="DZ33" s="52">
        <f>'Balance Sheet'!DZ107</f>
        <v>13049532.559549935</v>
      </c>
      <c r="EA33" s="79">
        <f>'Balance Sheet'!EA107</f>
        <v>13049532.559549935</v>
      </c>
      <c r="EB33" s="52">
        <f>'Balance Sheet'!EB107</f>
        <v>13275954.710067891</v>
      </c>
      <c r="EC33" s="52">
        <f>'Balance Sheet'!EC107</f>
        <v>13496871.598125506</v>
      </c>
      <c r="ED33" s="52">
        <f>'Balance Sheet'!ED107</f>
        <v>13713002.922061326</v>
      </c>
      <c r="EE33" s="52">
        <f>'Balance Sheet'!EE107</f>
        <v>13925001.018910039</v>
      </c>
      <c r="EF33" s="79">
        <f>'Balance Sheet'!EF107</f>
        <v>13925001.018910039</v>
      </c>
    </row>
    <row r="34" spans="1:136" ht="12.75" customHeight="1">
      <c r="A34" s="1" t="s">
        <v>313</v>
      </c>
      <c r="B34" s="295">
        <f>B14</f>
        <v>0</v>
      </c>
      <c r="C34" s="295">
        <f>C14</f>
        <v>0</v>
      </c>
      <c r="D34" s="295">
        <f>D14</f>
        <v>0</v>
      </c>
      <c r="E34" s="295">
        <f>E14</f>
        <v>0</v>
      </c>
      <c r="F34" s="79">
        <f>F14</f>
        <v>0</v>
      </c>
      <c r="G34" s="295">
        <f t="shared" ref="G34:AE34" si="34">G14</f>
        <v>0</v>
      </c>
      <c r="H34" s="295">
        <f t="shared" si="34"/>
        <v>0</v>
      </c>
      <c r="I34" s="295">
        <f t="shared" si="34"/>
        <v>0</v>
      </c>
      <c r="J34" s="295">
        <f t="shared" si="34"/>
        <v>0</v>
      </c>
      <c r="K34" s="79">
        <f t="shared" si="34"/>
        <v>0</v>
      </c>
      <c r="L34" s="295">
        <f t="shared" si="34"/>
        <v>0</v>
      </c>
      <c r="M34" s="295">
        <f t="shared" si="34"/>
        <v>0</v>
      </c>
      <c r="N34" s="295">
        <f t="shared" si="34"/>
        <v>0</v>
      </c>
      <c r="O34" s="295">
        <f t="shared" si="34"/>
        <v>0</v>
      </c>
      <c r="P34" s="79">
        <f t="shared" si="34"/>
        <v>0</v>
      </c>
      <c r="Q34" s="295">
        <f t="shared" si="34"/>
        <v>0</v>
      </c>
      <c r="R34" s="295">
        <f t="shared" si="34"/>
        <v>0</v>
      </c>
      <c r="S34" s="295">
        <f t="shared" si="34"/>
        <v>0</v>
      </c>
      <c r="T34" s="295">
        <f t="shared" si="34"/>
        <v>0</v>
      </c>
      <c r="U34" s="79">
        <f t="shared" si="34"/>
        <v>0</v>
      </c>
      <c r="V34" s="295">
        <f t="shared" si="34"/>
        <v>0</v>
      </c>
      <c r="W34" s="295">
        <f t="shared" si="34"/>
        <v>0</v>
      </c>
      <c r="X34" s="295">
        <f t="shared" si="34"/>
        <v>0</v>
      </c>
      <c r="Y34" s="295">
        <f t="shared" si="34"/>
        <v>0</v>
      </c>
      <c r="Z34" s="79">
        <f t="shared" si="34"/>
        <v>0</v>
      </c>
      <c r="AA34" s="295">
        <f t="shared" si="34"/>
        <v>0</v>
      </c>
      <c r="AB34" s="295">
        <f t="shared" si="34"/>
        <v>0</v>
      </c>
      <c r="AC34" s="295">
        <f t="shared" si="34"/>
        <v>0</v>
      </c>
      <c r="AD34" s="295">
        <f t="shared" si="34"/>
        <v>0</v>
      </c>
      <c r="AE34" s="79">
        <f t="shared" si="34"/>
        <v>0</v>
      </c>
      <c r="AF34" s="52">
        <f>AF14</f>
        <v>0</v>
      </c>
      <c r="AG34" s="52">
        <f>AG14</f>
        <v>0</v>
      </c>
      <c r="AH34" s="52">
        <f>AH14</f>
        <v>0</v>
      </c>
      <c r="AI34" s="52">
        <f>AI14</f>
        <v>0</v>
      </c>
      <c r="AJ34" s="79">
        <f>AJ14</f>
        <v>0</v>
      </c>
      <c r="AK34" s="52">
        <f t="shared" ref="AK34:BG34" si="35">AK14</f>
        <v>0</v>
      </c>
      <c r="AL34" s="52">
        <f t="shared" si="35"/>
        <v>0</v>
      </c>
      <c r="AM34" s="52">
        <f t="shared" si="35"/>
        <v>0</v>
      </c>
      <c r="AN34" s="52">
        <f t="shared" si="35"/>
        <v>0</v>
      </c>
      <c r="AO34" s="79">
        <f t="shared" si="35"/>
        <v>0</v>
      </c>
      <c r="AP34" s="52">
        <f t="shared" si="35"/>
        <v>0</v>
      </c>
      <c r="AQ34" s="52">
        <f t="shared" si="35"/>
        <v>0</v>
      </c>
      <c r="AR34" s="52">
        <f t="shared" si="35"/>
        <v>0</v>
      </c>
      <c r="AS34" s="52">
        <f t="shared" si="35"/>
        <v>0</v>
      </c>
      <c r="AT34" s="79">
        <f t="shared" si="35"/>
        <v>0</v>
      </c>
      <c r="AU34" s="52">
        <f t="shared" si="35"/>
        <v>0</v>
      </c>
      <c r="AV34" s="52">
        <f t="shared" si="35"/>
        <v>0</v>
      </c>
      <c r="AW34" s="52">
        <f t="shared" si="35"/>
        <v>0</v>
      </c>
      <c r="AX34" s="52">
        <f t="shared" si="35"/>
        <v>0</v>
      </c>
      <c r="AY34" s="79">
        <f t="shared" si="35"/>
        <v>0</v>
      </c>
      <c r="AZ34" s="52">
        <f t="shared" si="35"/>
        <v>0</v>
      </c>
      <c r="BA34" s="52">
        <f t="shared" si="35"/>
        <v>0</v>
      </c>
      <c r="BB34" s="52">
        <f t="shared" si="35"/>
        <v>0</v>
      </c>
      <c r="BC34" s="52">
        <f t="shared" si="35"/>
        <v>0</v>
      </c>
      <c r="BD34" s="79">
        <f t="shared" si="35"/>
        <v>0</v>
      </c>
      <c r="BE34" s="52">
        <f t="shared" si="35"/>
        <v>0</v>
      </c>
      <c r="BF34" s="52">
        <f t="shared" si="35"/>
        <v>0</v>
      </c>
      <c r="BG34" s="52">
        <f t="shared" si="35"/>
        <v>0</v>
      </c>
      <c r="BH34" s="52">
        <f t="shared" ref="BH34:BM34" si="36">BH14</f>
        <v>603000</v>
      </c>
      <c r="BI34" s="79">
        <f t="shared" si="36"/>
        <v>603000</v>
      </c>
      <c r="BJ34" s="52">
        <f t="shared" si="36"/>
        <v>0</v>
      </c>
      <c r="BK34" s="52">
        <f t="shared" si="36"/>
        <v>0</v>
      </c>
      <c r="BL34" s="52">
        <f t="shared" si="36"/>
        <v>0</v>
      </c>
      <c r="BM34" s="52">
        <f t="shared" si="36"/>
        <v>653000</v>
      </c>
      <c r="BN34" s="79">
        <f t="shared" ref="BN34:CC34" si="37">BN14</f>
        <v>653000</v>
      </c>
      <c r="BO34" s="52">
        <f t="shared" si="37"/>
        <v>0</v>
      </c>
      <c r="BP34" s="52">
        <f t="shared" si="37"/>
        <v>0</v>
      </c>
      <c r="BQ34" s="52">
        <f t="shared" si="37"/>
        <v>0</v>
      </c>
      <c r="BR34" s="52">
        <f>BR14</f>
        <v>741000</v>
      </c>
      <c r="BS34" s="79">
        <f t="shared" si="37"/>
        <v>741000</v>
      </c>
      <c r="BT34" s="52">
        <f>BT14</f>
        <v>0</v>
      </c>
      <c r="BU34" s="52">
        <f>BU14</f>
        <v>0</v>
      </c>
      <c r="BV34" s="52">
        <f>BV14</f>
        <v>0</v>
      </c>
      <c r="BW34" s="52">
        <f>BW14</f>
        <v>887000</v>
      </c>
      <c r="BX34" s="79">
        <f t="shared" si="37"/>
        <v>887000</v>
      </c>
      <c r="BY34" s="52">
        <f t="shared" si="37"/>
        <v>0</v>
      </c>
      <c r="BZ34" s="52">
        <f t="shared" si="37"/>
        <v>0</v>
      </c>
      <c r="CA34" s="52">
        <f t="shared" si="37"/>
        <v>261049</v>
      </c>
      <c r="CB34" s="52">
        <f t="shared" si="37"/>
        <v>720951</v>
      </c>
      <c r="CC34" s="79">
        <f t="shared" si="37"/>
        <v>982000</v>
      </c>
      <c r="CD34" s="52">
        <f>CD14</f>
        <v>238878</v>
      </c>
      <c r="CE34" s="52">
        <f>CE14</f>
        <v>292082</v>
      </c>
      <c r="CF34" s="52">
        <f>CF14</f>
        <v>410346</v>
      </c>
      <c r="CG34" s="52">
        <f>CG14</f>
        <v>404605</v>
      </c>
      <c r="CH34" s="79">
        <f t="shared" ref="CH34:DG34" si="38">CH14</f>
        <v>1345911</v>
      </c>
      <c r="CI34" s="52">
        <f t="shared" si="38"/>
        <v>590373</v>
      </c>
      <c r="CJ34" s="52">
        <f t="shared" si="38"/>
        <v>682578</v>
      </c>
      <c r="CK34" s="52">
        <f t="shared" si="38"/>
        <v>682371</v>
      </c>
      <c r="CL34" s="52">
        <f t="shared" si="38"/>
        <v>611366</v>
      </c>
      <c r="CM34" s="79">
        <f t="shared" si="38"/>
        <v>2566688</v>
      </c>
      <c r="CN34" s="52">
        <f>CN14</f>
        <v>753366</v>
      </c>
      <c r="CO34" s="52">
        <f>CO14</f>
        <v>897485</v>
      </c>
      <c r="CP34" s="52">
        <f>CP14</f>
        <v>885833</v>
      </c>
      <c r="CQ34" s="52">
        <f>CQ14</f>
        <v>753062.04715999996</v>
      </c>
      <c r="CR34" s="79">
        <f t="shared" si="38"/>
        <v>3289746.0471600001</v>
      </c>
      <c r="CS34" s="52">
        <f t="shared" si="38"/>
        <v>1078891.9739699997</v>
      </c>
      <c r="CT34" s="52">
        <f t="shared" si="38"/>
        <v>1193950.7560000001</v>
      </c>
      <c r="CU34" s="52">
        <f>CU14</f>
        <v>972643.94625000027</v>
      </c>
      <c r="CV34" s="52">
        <f>CV14</f>
        <v>904671.58600000001</v>
      </c>
      <c r="CW34" s="79">
        <f t="shared" si="38"/>
        <v>4150158.2622199999</v>
      </c>
      <c r="CX34" s="52">
        <f t="shared" si="38"/>
        <v>1552135.31929</v>
      </c>
      <c r="CY34" s="52">
        <f>CY14</f>
        <v>1749239.9412900002</v>
      </c>
      <c r="CZ34" s="52">
        <f>CZ14</f>
        <v>1437151.16322</v>
      </c>
      <c r="DA34" s="52">
        <f>DA14</f>
        <v>1423748</v>
      </c>
      <c r="DB34" s="79">
        <f t="shared" si="38"/>
        <v>6162274.4238000009</v>
      </c>
      <c r="DC34" s="52">
        <f>DC14</f>
        <v>2105578.8965500002</v>
      </c>
      <c r="DD34" s="52">
        <f>DD14</f>
        <v>2261363.1793000004</v>
      </c>
      <c r="DE34" s="52">
        <f>DE14</f>
        <v>1827036.243</v>
      </c>
      <c r="DF34" s="52">
        <f>DF14</f>
        <v>1556335.6542800006</v>
      </c>
      <c r="DG34" s="79">
        <f t="shared" si="38"/>
        <v>7750313.9731300008</v>
      </c>
      <c r="DH34" s="52">
        <f>DH14</f>
        <v>2304619.7087000008</v>
      </c>
      <c r="DI34" s="52">
        <f>DI14</f>
        <v>2045507.7053900007</v>
      </c>
      <c r="DJ34" s="52">
        <f t="shared" ref="DJ34:EF34" si="39">DJ14</f>
        <v>2113163.0074579474</v>
      </c>
      <c r="DK34" s="52">
        <f t="shared" si="39"/>
        <v>2169193.1742033567</v>
      </c>
      <c r="DL34" s="79">
        <f t="shared" si="39"/>
        <v>8632483.595751306</v>
      </c>
      <c r="DM34" s="52">
        <f t="shared" si="39"/>
        <v>2265196.8576968303</v>
      </c>
      <c r="DN34" s="52">
        <f t="shared" si="39"/>
        <v>2313510.1774195712</v>
      </c>
      <c r="DO34" s="52">
        <f t="shared" si="39"/>
        <v>2349529.1498224647</v>
      </c>
      <c r="DP34" s="52">
        <f t="shared" si="39"/>
        <v>2381987.0017404603</v>
      </c>
      <c r="DQ34" s="79">
        <f t="shared" si="39"/>
        <v>9310223.186679326</v>
      </c>
      <c r="DR34" s="52">
        <f t="shared" si="39"/>
        <v>2412443.431656308</v>
      </c>
      <c r="DS34" s="52">
        <f t="shared" si="39"/>
        <v>2441880.6708919248</v>
      </c>
      <c r="DT34" s="52">
        <f t="shared" si="39"/>
        <v>2470845.5617740247</v>
      </c>
      <c r="DU34" s="52">
        <f t="shared" si="39"/>
        <v>2499646.9721392319</v>
      </c>
      <c r="DV34" s="79">
        <f t="shared" si="39"/>
        <v>9824816.6364614889</v>
      </c>
      <c r="DW34" s="52">
        <f t="shared" si="39"/>
        <v>2528461.304630579</v>
      </c>
      <c r="DX34" s="52">
        <f t="shared" si="39"/>
        <v>2557391.1753178136</v>
      </c>
      <c r="DY34" s="52">
        <f t="shared" si="39"/>
        <v>2586497.9814199326</v>
      </c>
      <c r="DZ34" s="52">
        <f t="shared" si="39"/>
        <v>2615819.9918221291</v>
      </c>
      <c r="EA34" s="79">
        <f t="shared" si="39"/>
        <v>10288170.453190453</v>
      </c>
      <c r="EB34" s="52">
        <f t="shared" si="39"/>
        <v>2645382.4067487577</v>
      </c>
      <c r="EC34" s="52">
        <f t="shared" si="39"/>
        <v>2675202.9615694801</v>
      </c>
      <c r="ED34" s="52">
        <f t="shared" si="39"/>
        <v>2705295.0573314102</v>
      </c>
      <c r="EE34" s="52">
        <f t="shared" si="39"/>
        <v>2735669.5176107711</v>
      </c>
      <c r="EF34" s="79">
        <f t="shared" si="39"/>
        <v>10761549.943260418</v>
      </c>
    </row>
    <row r="35" spans="1:136" ht="12.75" customHeight="1">
      <c r="A35" s="1" t="s">
        <v>233</v>
      </c>
      <c r="B35" s="52"/>
      <c r="C35" s="52"/>
      <c r="D35" s="52"/>
      <c r="E35" s="52"/>
      <c r="F35" s="79">
        <f>B35</f>
        <v>0</v>
      </c>
      <c r="G35" s="52"/>
      <c r="H35" s="52"/>
      <c r="I35" s="52"/>
      <c r="J35" s="52"/>
      <c r="K35" s="79">
        <f>G35</f>
        <v>0</v>
      </c>
      <c r="L35" s="52"/>
      <c r="M35" s="52"/>
      <c r="N35" s="52"/>
      <c r="O35" s="52"/>
      <c r="P35" s="79">
        <f>L35</f>
        <v>0</v>
      </c>
      <c r="Q35" s="52"/>
      <c r="R35" s="52"/>
      <c r="S35" s="52"/>
      <c r="T35" s="52"/>
      <c r="U35" s="79">
        <f>Q35</f>
        <v>0</v>
      </c>
      <c r="V35" s="52"/>
      <c r="W35" s="52"/>
      <c r="X35" s="52"/>
      <c r="Y35" s="52"/>
      <c r="Z35" s="79">
        <f>V35</f>
        <v>0</v>
      </c>
      <c r="AA35" s="52"/>
      <c r="AB35" s="52"/>
      <c r="AC35" s="52"/>
      <c r="AD35" s="52"/>
      <c r="AE35" s="79">
        <f>AA35</f>
        <v>0</v>
      </c>
      <c r="AF35" s="52">
        <f>AE33+AF10</f>
        <v>0</v>
      </c>
      <c r="AG35" s="52">
        <f>AF33+AG10</f>
        <v>0</v>
      </c>
      <c r="AH35" s="52">
        <f>AG33+AH10</f>
        <v>0</v>
      </c>
      <c r="AI35" s="52">
        <f>AH33+AI10</f>
        <v>0</v>
      </c>
      <c r="AJ35" s="79">
        <f>AE33+AJ10</f>
        <v>0</v>
      </c>
      <c r="AK35" s="52">
        <f>AJ33+AK10</f>
        <v>0</v>
      </c>
      <c r="AL35" s="52">
        <f>AK33+AL10</f>
        <v>0</v>
      </c>
      <c r="AM35" s="52">
        <f>AL33+AM10</f>
        <v>0</v>
      </c>
      <c r="AN35" s="52">
        <f>AM33+AN10</f>
        <v>0</v>
      </c>
      <c r="AO35" s="79">
        <f>AJ33+AO10</f>
        <v>0</v>
      </c>
      <c r="AP35" s="52">
        <f>AO33+AP10</f>
        <v>0</v>
      </c>
      <c r="AQ35" s="52">
        <f>AP33+AQ10</f>
        <v>0</v>
      </c>
      <c r="AR35" s="52">
        <f>AQ33+AR10</f>
        <v>0</v>
      </c>
      <c r="AS35" s="52">
        <f>AR33+AS10</f>
        <v>0</v>
      </c>
      <c r="AT35" s="79">
        <f>AO33+AT10</f>
        <v>0</v>
      </c>
      <c r="AU35" s="52">
        <f>AT33+AU10</f>
        <v>0</v>
      </c>
      <c r="AV35" s="52">
        <f>AU33+AV10</f>
        <v>0</v>
      </c>
      <c r="AW35" s="52">
        <f>AV33+AW10</f>
        <v>0</v>
      </c>
      <c r="AX35" s="52">
        <f>AW33+AX10</f>
        <v>0</v>
      </c>
      <c r="AY35" s="79">
        <f>AT33+AY10</f>
        <v>0</v>
      </c>
      <c r="AZ35" s="52">
        <f>AY33+AZ10</f>
        <v>0</v>
      </c>
      <c r="BA35" s="52">
        <f>AZ33+BA10</f>
        <v>0</v>
      </c>
      <c r="BB35" s="52">
        <f>BA33+BB10</f>
        <v>0</v>
      </c>
      <c r="BC35" s="52">
        <f>BB33+BC10</f>
        <v>0</v>
      </c>
      <c r="BD35" s="79">
        <f>AY33+BD10</f>
        <v>0</v>
      </c>
      <c r="BE35" s="49">
        <f>BD33+BE10</f>
        <v>707918</v>
      </c>
      <c r="BF35" s="49">
        <f>BE33+BF10</f>
        <v>0</v>
      </c>
      <c r="BG35" s="49">
        <f>BF33+BG10</f>
        <v>0</v>
      </c>
      <c r="BH35" s="52">
        <f>BG33+BH10</f>
        <v>482400</v>
      </c>
      <c r="BI35" s="79">
        <f>BD33+BI10</f>
        <v>1190318</v>
      </c>
      <c r="BJ35" s="49">
        <f>BI33+BJ10</f>
        <v>717207</v>
      </c>
      <c r="BK35" s="49">
        <f>BJ33+BK10</f>
        <v>0</v>
      </c>
      <c r="BL35" s="49">
        <f>BK33+BL10</f>
        <v>0</v>
      </c>
      <c r="BM35" s="52">
        <f>BL33+BM10</f>
        <v>522400</v>
      </c>
      <c r="BN35" s="79">
        <f>BI33+BN10</f>
        <v>1239607</v>
      </c>
      <c r="BO35" s="49">
        <f>BN33+BO10</f>
        <v>868619</v>
      </c>
      <c r="BP35" s="49">
        <f>BO33+BP10</f>
        <v>0</v>
      </c>
      <c r="BQ35" s="49">
        <f>BP33+BQ10</f>
        <v>0</v>
      </c>
      <c r="BR35" s="52">
        <f>BQ33+BR10</f>
        <v>592800</v>
      </c>
      <c r="BS35" s="79">
        <f>BN33+BS10</f>
        <v>1461419</v>
      </c>
      <c r="BT35" s="49">
        <f>BS33+BT10</f>
        <v>734452</v>
      </c>
      <c r="BU35" s="49">
        <f>BT33+BU10</f>
        <v>0</v>
      </c>
      <c r="BV35" s="49">
        <f>BU33+BV10</f>
        <v>0</v>
      </c>
      <c r="BW35" s="52">
        <f>BV33+BW10</f>
        <v>709600</v>
      </c>
      <c r="BX35" s="79">
        <f>BS33+BX10</f>
        <v>1444052</v>
      </c>
      <c r="BY35" s="49">
        <f>BX33+BY10</f>
        <v>689084</v>
      </c>
      <c r="BZ35" s="49">
        <f>BY33+BZ10</f>
        <v>0</v>
      </c>
      <c r="CA35" s="49">
        <f>BZ33+CA10</f>
        <v>202581</v>
      </c>
      <c r="CB35" s="52">
        <f>CA33+CB10</f>
        <v>576760.80000000005</v>
      </c>
      <c r="CC35" s="79">
        <f>BX33+CC10</f>
        <v>1468425.8</v>
      </c>
      <c r="CD35" s="49">
        <f>CC33+CD10</f>
        <v>844159</v>
      </c>
      <c r="CE35" s="49">
        <f>CD33+CE10</f>
        <v>890140</v>
      </c>
      <c r="CF35" s="49">
        <f>CE33+CF10</f>
        <v>1012890</v>
      </c>
      <c r="CG35" s="49">
        <f>CF33+CG10</f>
        <v>1096115</v>
      </c>
      <c r="CH35" s="79">
        <f>CC33+CH10</f>
        <v>1825722</v>
      </c>
      <c r="CI35" s="49">
        <f>CH33+CI10</f>
        <v>1304629</v>
      </c>
      <c r="CJ35" s="49">
        <f>CI33+CJ10</f>
        <v>1590910</v>
      </c>
      <c r="CK35" s="49">
        <f>CJ33+CK10</f>
        <v>1811868</v>
      </c>
      <c r="CL35" s="49">
        <f>CK33+CL10</f>
        <v>1992513</v>
      </c>
      <c r="CM35" s="79">
        <f>CH33+CM10</f>
        <v>3127905</v>
      </c>
      <c r="CN35" s="49">
        <f>CM33+CN10</f>
        <v>2267028</v>
      </c>
      <c r="CO35" s="49">
        <f>CN33+CO10</f>
        <v>2671171</v>
      </c>
      <c r="CP35" s="49">
        <f>CO33+CP10</f>
        <v>2901338</v>
      </c>
      <c r="CQ35" s="49">
        <f>CP33+CQ10</f>
        <v>3041886.9642810002</v>
      </c>
      <c r="CR35" s="79">
        <f>CM33+CR10</f>
        <v>4668209.9642810002</v>
      </c>
      <c r="CS35" s="49">
        <f>CR33+CS10</f>
        <v>3515604.8846230498</v>
      </c>
      <c r="CT35" s="49">
        <f>CS33+CT10</f>
        <v>4046950</v>
      </c>
      <c r="CU35" s="49">
        <f>CT33+CU10</f>
        <v>4119435.2086279499</v>
      </c>
      <c r="CV35" s="49">
        <f>CU33+CV10</f>
        <v>4289418.4639999997</v>
      </c>
      <c r="CW35" s="79">
        <f>CR33+CW10</f>
        <v>6372046.5572509998</v>
      </c>
      <c r="CX35" s="49">
        <f>CW33+CX10</f>
        <v>4829232.3189665005</v>
      </c>
      <c r="CY35" s="49">
        <f>CX33+CY10</f>
        <v>5788724.6456909999</v>
      </c>
      <c r="CZ35" s="49">
        <f>CY33+CZ10</f>
        <v>6197513.3140795007</v>
      </c>
      <c r="DA35" s="49">
        <f>CZ33+DA10</f>
        <v>6380930</v>
      </c>
      <c r="DB35" s="79">
        <f>CW33+DB10</f>
        <v>9001421.2787370011</v>
      </c>
      <c r="DC35" s="49">
        <f>DB33+DC10</f>
        <v>7484539</v>
      </c>
      <c r="DD35" s="49">
        <f>DC33+DD10</f>
        <v>8437683.8972826004</v>
      </c>
      <c r="DE35" s="49">
        <f>DD33+DE10</f>
        <v>8914224.9649999999</v>
      </c>
      <c r="DF35" s="49">
        <f>DE33+DF10</f>
        <v>9135851.903204998</v>
      </c>
      <c r="DG35" s="79">
        <f>DB33+DG10</f>
        <v>12556708.765487598</v>
      </c>
      <c r="DH35" s="49">
        <f>DG33+DH10</f>
        <v>9695877.8102420028</v>
      </c>
      <c r="DI35" s="49">
        <f>DH33+DI10</f>
        <v>10220668.196760003</v>
      </c>
      <c r="DJ35" s="52">
        <f>DI33+DJ10</f>
        <v>10733119.706712153</v>
      </c>
      <c r="DK35" s="52">
        <f>DJ33+DK10</f>
        <v>11291072.114753963</v>
      </c>
      <c r="DL35" s="79">
        <f>DG33+DL10</f>
        <v>15407226.229207348</v>
      </c>
      <c r="DM35" s="52">
        <f>DL33+DM10</f>
        <v>11576552.084740974</v>
      </c>
      <c r="DN35" s="52">
        <f>DM33+DN10</f>
        <v>11987710.618945388</v>
      </c>
      <c r="DO35" s="52">
        <f>DN33+DO10</f>
        <v>12374933.562060907</v>
      </c>
      <c r="DP35" s="52">
        <f>DO33+DP10</f>
        <v>12757747.24665907</v>
      </c>
      <c r="DQ35" s="79">
        <f>DL33+DQ10</f>
        <v>17911617.071507704</v>
      </c>
      <c r="DR35" s="52">
        <f>DQ33+DR10</f>
        <v>13121496.390353944</v>
      </c>
      <c r="DS35" s="52">
        <f>DR33+DS10</f>
        <v>13454399.700529063</v>
      </c>
      <c r="DT35" s="52">
        <f>DS33+DT10</f>
        <v>13782779.407007223</v>
      </c>
      <c r="DU35" s="52">
        <f>DT33+DU10</f>
        <v>14091317.758513892</v>
      </c>
      <c r="DV35" s="79">
        <f>DQ33+DV10</f>
        <v>19887714.746673256</v>
      </c>
      <c r="DW35" s="52">
        <f>DV33+DW10</f>
        <v>14391543.065069394</v>
      </c>
      <c r="DX35" s="52">
        <f>DW33+DX10</f>
        <v>14678494.199907109</v>
      </c>
      <c r="DY35" s="52">
        <f>DX33+DY10</f>
        <v>14956496.022853902</v>
      </c>
      <c r="DZ35" s="52">
        <f>DY33+DZ10</f>
        <v>15223365.987191577</v>
      </c>
      <c r="EA35" s="79">
        <f>DV33+EA10</f>
        <v>21527278.742775328</v>
      </c>
      <c r="EB35" s="52">
        <f>EA33+EB10</f>
        <v>15483284.373758793</v>
      </c>
      <c r="EC35" s="52">
        <f>EB33+EC10</f>
        <v>15737141.434711812</v>
      </c>
      <c r="ED35" s="52">
        <f>EC33+ED10</f>
        <v>15985743.050870404</v>
      </c>
      <c r="EE35" s="52">
        <f>ED33+EE10</f>
        <v>16229818.878263235</v>
      </c>
      <c r="EF35" s="79">
        <f>EA33+EF10</f>
        <v>22950158.507349521</v>
      </c>
    </row>
    <row r="36" spans="1:136" ht="12.75" customHeight="1">
      <c r="A36" s="9" t="s">
        <v>234</v>
      </c>
      <c r="B36" s="52"/>
      <c r="C36" s="52"/>
      <c r="D36" s="52"/>
      <c r="E36" s="52"/>
      <c r="F36" s="79">
        <f>SUM(B36:E36)</f>
        <v>0</v>
      </c>
      <c r="G36" s="52"/>
      <c r="H36" s="52"/>
      <c r="I36" s="52"/>
      <c r="J36" s="52"/>
      <c r="K36" s="79">
        <f>SUM(G36:J36)</f>
        <v>0</v>
      </c>
      <c r="L36" s="52"/>
      <c r="M36" s="52"/>
      <c r="N36" s="52"/>
      <c r="O36" s="52"/>
      <c r="P36" s="79">
        <f>SUM(L36:O36)</f>
        <v>0</v>
      </c>
      <c r="Q36" s="52"/>
      <c r="R36" s="52"/>
      <c r="S36" s="52"/>
      <c r="T36" s="52"/>
      <c r="U36" s="79">
        <f>SUM(Q36:T36)</f>
        <v>0</v>
      </c>
      <c r="V36" s="52"/>
      <c r="W36" s="52"/>
      <c r="X36" s="52"/>
      <c r="Y36" s="52"/>
      <c r="Z36" s="79">
        <f>SUM(V36:Y36)</f>
        <v>0</v>
      </c>
      <c r="AA36" s="52"/>
      <c r="AB36" s="52"/>
      <c r="AC36" s="52"/>
      <c r="AD36" s="52"/>
      <c r="AE36" s="79">
        <f>SUM(AA36:AD36)</f>
        <v>0</v>
      </c>
      <c r="AF36" s="52">
        <f>'Income Statement'!AF5</f>
        <v>0</v>
      </c>
      <c r="AG36" s="52">
        <f>'Income Statement'!AG5</f>
        <v>0</v>
      </c>
      <c r="AH36" s="52">
        <f>'Income Statement'!AH5</f>
        <v>0</v>
      </c>
      <c r="AI36" s="52">
        <f>'Income Statement'!AI5</f>
        <v>244646.20812908499</v>
      </c>
      <c r="AJ36" s="79">
        <f>SUM(AF36:AI36)</f>
        <v>244646.20812908499</v>
      </c>
      <c r="AK36" s="52">
        <f>'Income Statement'!AK5</f>
        <v>0</v>
      </c>
      <c r="AL36" s="52">
        <f>'Income Statement'!AL5</f>
        <v>0</v>
      </c>
      <c r="AM36" s="52">
        <f>'Income Statement'!AM5</f>
        <v>0</v>
      </c>
      <c r="AN36" s="52">
        <f>'Income Statement'!AN5</f>
        <v>433385.81392973859</v>
      </c>
      <c r="AO36" s="79">
        <f>SUM(AK36:AN36)</f>
        <v>433385.81392973859</v>
      </c>
      <c r="AP36" s="52">
        <f>'Income Statement'!AP5</f>
        <v>0</v>
      </c>
      <c r="AQ36" s="52">
        <f>'Income Statement'!AQ5</f>
        <v>0</v>
      </c>
      <c r="AR36" s="52">
        <f>'Income Statement'!AR5</f>
        <v>0</v>
      </c>
      <c r="AS36" s="52">
        <f>'Income Statement'!AS5</f>
        <v>494249.75183823536</v>
      </c>
      <c r="AT36" s="79">
        <f>SUM(AP36:AS36)</f>
        <v>494249.75183823536</v>
      </c>
      <c r="AU36" s="52">
        <f>'Income Statement'!AU5</f>
        <v>0</v>
      </c>
      <c r="AV36" s="52">
        <f>'Income Statement'!AV5</f>
        <v>0</v>
      </c>
      <c r="AW36" s="52">
        <f>'Income Statement'!AW5</f>
        <v>0</v>
      </c>
      <c r="AX36" s="52">
        <f>'Income Statement'!AX5</f>
        <v>753085.35334967321</v>
      </c>
      <c r="AY36" s="79">
        <f>SUM(AU36:AX36)</f>
        <v>753085.35334967321</v>
      </c>
      <c r="AZ36" s="52">
        <f>'Income Statement'!AZ5</f>
        <v>0</v>
      </c>
      <c r="BA36" s="52">
        <f>'Income Statement'!BA5</f>
        <v>0</v>
      </c>
      <c r="BB36" s="52">
        <f>'Income Statement'!BB5</f>
        <v>0</v>
      </c>
      <c r="BC36" s="52">
        <f>'Income Statement'!BC5</f>
        <v>469124</v>
      </c>
      <c r="BD36" s="79">
        <f>SUM(AZ36:BC36)</f>
        <v>469124</v>
      </c>
      <c r="BE36" s="52">
        <f>'Income Statement'!BE5</f>
        <v>0</v>
      </c>
      <c r="BF36" s="52">
        <f>'Income Statement'!BF5</f>
        <v>0</v>
      </c>
      <c r="BG36" s="52">
        <f>'Income Statement'!BG5</f>
        <v>0</v>
      </c>
      <c r="BH36" s="52">
        <f>'Income Statement'!BH5</f>
        <v>452833</v>
      </c>
      <c r="BI36" s="79">
        <f>SUM(BE36:BH36)</f>
        <v>452833</v>
      </c>
      <c r="BJ36" s="52">
        <f>'Income Statement'!BJ5</f>
        <v>0</v>
      </c>
      <c r="BK36" s="52">
        <f>'Income Statement'!BK5</f>
        <v>0</v>
      </c>
      <c r="BL36" s="52">
        <f>'Income Statement'!BL5</f>
        <v>0</v>
      </c>
      <c r="BM36" s="52">
        <f>'Income Statement'!BM5</f>
        <v>556908</v>
      </c>
      <c r="BN36" s="79">
        <f>SUM(BJ36:BM36)</f>
        <v>556908</v>
      </c>
      <c r="BO36" s="52">
        <f>'Income Statement'!BO5</f>
        <v>0</v>
      </c>
      <c r="BP36" s="52">
        <f>'Income Statement'!BP5</f>
        <v>0</v>
      </c>
      <c r="BQ36" s="52">
        <f>'Income Statement'!BQ5</f>
        <v>0</v>
      </c>
      <c r="BR36" s="52">
        <f>'Income Statement'!BR5</f>
        <v>729363</v>
      </c>
      <c r="BS36" s="79">
        <f>SUM(BO36:BR36)</f>
        <v>729363</v>
      </c>
      <c r="BT36" s="52">
        <f>'Income Statement'!BT5</f>
        <v>0</v>
      </c>
      <c r="BU36" s="52">
        <f>'Income Statement'!BU5</f>
        <v>0</v>
      </c>
      <c r="BV36" s="52">
        <f>'Income Statement'!BV5</f>
        <v>0</v>
      </c>
      <c r="BW36" s="52">
        <f>'Income Statement'!BW5</f>
        <v>920094</v>
      </c>
      <c r="BX36" s="79">
        <f>SUM(BT36:BW36)</f>
        <v>920094</v>
      </c>
      <c r="BY36" s="52">
        <f>'Income Statement'!BY5</f>
        <v>191656</v>
      </c>
      <c r="BZ36" s="52">
        <f>'Income Statement'!BZ5</f>
        <v>245086</v>
      </c>
      <c r="CA36" s="52">
        <f>'Income Statement'!CA5</f>
        <v>266934</v>
      </c>
      <c r="CB36" s="52">
        <f>CB38+CB40</f>
        <v>504665.69999999995</v>
      </c>
      <c r="CC36" s="79">
        <f>SUM(BY36:CB36)</f>
        <v>1208341.7</v>
      </c>
      <c r="CD36" s="52">
        <f>'Income Statement'!CD5</f>
        <v>232257</v>
      </c>
      <c r="CE36" s="52">
        <f>'Income Statement'!CE5</f>
        <v>251775</v>
      </c>
      <c r="CF36" s="52">
        <f>'Income Statement'!CF5</f>
        <v>333406</v>
      </c>
      <c r="CG36" s="52">
        <f>'Income Statement'!CG5</f>
        <v>345365</v>
      </c>
      <c r="CH36" s="79">
        <f>SUM(CD36:CG36)</f>
        <v>1162803</v>
      </c>
      <c r="CI36" s="52">
        <f>'Income Statement'!CI5</f>
        <v>345862</v>
      </c>
      <c r="CJ36" s="52">
        <f>'Income Statement'!CJ5</f>
        <v>460710</v>
      </c>
      <c r="CK36" s="52">
        <f>'Income Statement'!CK5</f>
        <v>465624</v>
      </c>
      <c r="CL36" s="52">
        <f>'Income Statement'!CL5</f>
        <v>501724</v>
      </c>
      <c r="CM36" s="79">
        <f>SUM(CI36:CL36)</f>
        <v>1773920</v>
      </c>
      <c r="CN36" s="52">
        <f>'Income Statement'!CN5</f>
        <v>457105</v>
      </c>
      <c r="CO36" s="52">
        <f>'Income Statement'!CO5</f>
        <v>614651</v>
      </c>
      <c r="CP36" s="52">
        <f>'Income Statement'!CP5</f>
        <v>639061</v>
      </c>
      <c r="CQ36" s="52">
        <f>'Income Statement'!CQ5</f>
        <v>592245</v>
      </c>
      <c r="CR36" s="79">
        <f>SUM(CN36:CQ36)</f>
        <v>2303062</v>
      </c>
      <c r="CS36" s="52">
        <f>'Income Statement'!CS5</f>
        <v>605847</v>
      </c>
      <c r="CT36" s="52">
        <f>'Income Statement'!CT5</f>
        <v>742179</v>
      </c>
      <c r="CU36" s="52">
        <f>'Income Statement'!CU5</f>
        <v>766518</v>
      </c>
      <c r="CV36" s="52">
        <f>'Income Statement'!CV5</f>
        <v>828108</v>
      </c>
      <c r="CW36" s="79">
        <f>SUM(CS36:CV36)</f>
        <v>2942652</v>
      </c>
      <c r="CX36" s="52">
        <f>'Income Statement'!CX5</f>
        <v>853164</v>
      </c>
      <c r="CY36" s="52">
        <f>'Income Statement'!CY5</f>
        <v>1016939</v>
      </c>
      <c r="CZ36" s="52">
        <f>'Income Statement'!CZ5</f>
        <v>1078346</v>
      </c>
      <c r="DA36" s="52">
        <f>'Income Statement'!DA5</f>
        <v>1056460</v>
      </c>
      <c r="DB36" s="79">
        <f>SUM(CX36:DA36)</f>
        <v>4004909</v>
      </c>
      <c r="DC36" s="52">
        <f>'Income Statement'!DC5</f>
        <v>1237993</v>
      </c>
      <c r="DD36" s="52">
        <f>'Income Statement'!DD5</f>
        <v>1375106</v>
      </c>
      <c r="DE36" s="52">
        <f>'Income Statement'!DE5</f>
        <v>1447097</v>
      </c>
      <c r="DF36" s="52">
        <f>'Income Statement'!DF5</f>
        <v>1452104</v>
      </c>
      <c r="DG36" s="79">
        <f>SUM(DC36:DF36)</f>
        <v>5512300</v>
      </c>
      <c r="DH36" s="52">
        <f>'Income Statement'!DH5</f>
        <v>1643035</v>
      </c>
      <c r="DI36" s="52">
        <f>'Income Statement'!DI5</f>
        <v>1725199</v>
      </c>
      <c r="DJ36" s="52">
        <f>DJ38+DJ40</f>
        <v>1714097.408197172</v>
      </c>
      <c r="DK36" s="52">
        <f>DK38+DK40</f>
        <v>1856114.4080962976</v>
      </c>
      <c r="DL36" s="79">
        <f>SUM(DH36:DK36)</f>
        <v>6938445.8162934696</v>
      </c>
      <c r="DM36" s="52">
        <f>DM38+DM40</f>
        <v>1896129.4926254589</v>
      </c>
      <c r="DN36" s="52">
        <f>DN38+DN40</f>
        <v>1958568.9114147874</v>
      </c>
      <c r="DO36" s="52">
        <f>DO38+DO40</f>
        <v>2011539.4322510122</v>
      </c>
      <c r="DP36" s="52">
        <f>DP38+DP40</f>
        <v>2060434.3888330709</v>
      </c>
      <c r="DQ36" s="79">
        <f>SUM(DM36:DP36)</f>
        <v>7926672.2251243293</v>
      </c>
      <c r="DR36" s="52">
        <f>DR38+DR40</f>
        <v>2106318.3027909775</v>
      </c>
      <c r="DS36" s="52">
        <f>DS38+DS40</f>
        <v>2149929.8517438797</v>
      </c>
      <c r="DT36" s="52">
        <f>DT38+DT40</f>
        <v>2191749.057703739</v>
      </c>
      <c r="DU36" s="52">
        <f>DU38+DU40</f>
        <v>2232107.9330748878</v>
      </c>
      <c r="DV36" s="79">
        <f>SUM(DR36:DU36)</f>
        <v>8680105.1453134846</v>
      </c>
      <c r="DW36" s="52">
        <f>DW38+DW40</f>
        <v>2271250.0651175482</v>
      </c>
      <c r="DX36" s="52">
        <f>DX38+DX40</f>
        <v>2309364.3529541171</v>
      </c>
      <c r="DY36" s="52">
        <f>DY38+DY40</f>
        <v>2346604.2666522795</v>
      </c>
      <c r="DZ36" s="52">
        <f>DZ38+DZ40</f>
        <v>2383099.026987412</v>
      </c>
      <c r="EA36" s="79">
        <f>SUM(DW36:DZ36)</f>
        <v>9310317.7117113564</v>
      </c>
      <c r="EB36" s="52">
        <f>EB38+EB40</f>
        <v>2418960.2562308013</v>
      </c>
      <c r="EC36" s="52">
        <f>EC38+EC40</f>
        <v>2454286.0735118645</v>
      </c>
      <c r="ED36" s="52">
        <f>ED38+ED40</f>
        <v>2489163.73339559</v>
      </c>
      <c r="EE36" s="52">
        <f>EE38+EE40</f>
        <v>2523671.4207620574</v>
      </c>
      <c r="EF36" s="79">
        <f>SUM(EB36:EE36)</f>
        <v>9886081.4839003123</v>
      </c>
    </row>
    <row r="37" spans="1:136" s="107" customFormat="1" ht="12.75" customHeight="1">
      <c r="A37" s="107" t="s">
        <v>235</v>
      </c>
      <c r="B37" s="93"/>
      <c r="C37" s="93"/>
      <c r="D37" s="93"/>
      <c r="E37" s="93"/>
      <c r="F37" s="103" t="e">
        <f>#REF!/F35</f>
        <v>#REF!</v>
      </c>
      <c r="G37" s="93"/>
      <c r="H37" s="93"/>
      <c r="I37" s="93"/>
      <c r="J37" s="93"/>
      <c r="K37" s="103" t="e">
        <f>#REF!/K35</f>
        <v>#REF!</v>
      </c>
      <c r="L37" s="93"/>
      <c r="M37" s="93"/>
      <c r="N37" s="93"/>
      <c r="O37" s="93"/>
      <c r="P37" s="103" t="e">
        <f>#REF!/P35</f>
        <v>#REF!</v>
      </c>
      <c r="Q37" s="93"/>
      <c r="R37" s="93"/>
      <c r="S37" s="93"/>
      <c r="T37" s="93"/>
      <c r="U37" s="103" t="e">
        <f>#REF!/U35</f>
        <v>#REF!</v>
      </c>
      <c r="V37" s="93"/>
      <c r="W37" s="93"/>
      <c r="X37" s="93"/>
      <c r="Y37" s="93"/>
      <c r="Z37" s="103" t="e">
        <f>#REF!/Z35</f>
        <v>#REF!</v>
      </c>
      <c r="AA37" s="93"/>
      <c r="AB37" s="93"/>
      <c r="AC37" s="93"/>
      <c r="AD37" s="93"/>
      <c r="AE37" s="103" t="e">
        <f>#REF!/AE35</f>
        <v>#REF!</v>
      </c>
      <c r="AF37" s="93" t="e">
        <f t="shared" ref="AF37:BH37" si="40">AF36/AF35</f>
        <v>#DIV/0!</v>
      </c>
      <c r="AG37" s="93" t="e">
        <f t="shared" si="40"/>
        <v>#DIV/0!</v>
      </c>
      <c r="AH37" s="93" t="e">
        <f t="shared" si="40"/>
        <v>#DIV/0!</v>
      </c>
      <c r="AI37" s="105" t="e">
        <f t="shared" si="40"/>
        <v>#DIV/0!</v>
      </c>
      <c r="AJ37" s="104" t="e">
        <f t="shared" si="40"/>
        <v>#DIV/0!</v>
      </c>
      <c r="AK37" s="93" t="e">
        <f t="shared" si="40"/>
        <v>#DIV/0!</v>
      </c>
      <c r="AL37" s="93" t="e">
        <f t="shared" si="40"/>
        <v>#DIV/0!</v>
      </c>
      <c r="AM37" s="93" t="e">
        <f t="shared" si="40"/>
        <v>#DIV/0!</v>
      </c>
      <c r="AN37" s="105" t="e">
        <f t="shared" si="40"/>
        <v>#DIV/0!</v>
      </c>
      <c r="AO37" s="104" t="e">
        <f t="shared" si="40"/>
        <v>#DIV/0!</v>
      </c>
      <c r="AP37" s="93" t="e">
        <f t="shared" si="40"/>
        <v>#DIV/0!</v>
      </c>
      <c r="AQ37" s="93" t="e">
        <f t="shared" si="40"/>
        <v>#DIV/0!</v>
      </c>
      <c r="AR37" s="93" t="e">
        <f t="shared" si="40"/>
        <v>#DIV/0!</v>
      </c>
      <c r="AS37" s="105" t="e">
        <f t="shared" si="40"/>
        <v>#DIV/0!</v>
      </c>
      <c r="AT37" s="104" t="e">
        <f t="shared" si="40"/>
        <v>#DIV/0!</v>
      </c>
      <c r="AU37" s="93" t="e">
        <f t="shared" si="40"/>
        <v>#DIV/0!</v>
      </c>
      <c r="AV37" s="93" t="e">
        <f t="shared" si="40"/>
        <v>#DIV/0!</v>
      </c>
      <c r="AW37" s="93" t="e">
        <f t="shared" si="40"/>
        <v>#DIV/0!</v>
      </c>
      <c r="AX37" s="105" t="e">
        <f t="shared" si="40"/>
        <v>#DIV/0!</v>
      </c>
      <c r="AY37" s="104" t="e">
        <f t="shared" si="40"/>
        <v>#DIV/0!</v>
      </c>
      <c r="AZ37" s="93" t="e">
        <f t="shared" si="40"/>
        <v>#DIV/0!</v>
      </c>
      <c r="BA37" s="93" t="e">
        <f t="shared" si="40"/>
        <v>#DIV/0!</v>
      </c>
      <c r="BB37" s="93" t="e">
        <f t="shared" si="40"/>
        <v>#DIV/0!</v>
      </c>
      <c r="BC37" s="105" t="e">
        <f t="shared" si="40"/>
        <v>#DIV/0!</v>
      </c>
      <c r="BD37" s="104" t="e">
        <f t="shared" si="40"/>
        <v>#DIV/0!</v>
      </c>
      <c r="BE37" s="93">
        <f t="shared" si="40"/>
        <v>0</v>
      </c>
      <c r="BF37" s="93" t="e">
        <f t="shared" si="40"/>
        <v>#DIV/0!</v>
      </c>
      <c r="BG37" s="93" t="e">
        <f t="shared" si="40"/>
        <v>#DIV/0!</v>
      </c>
      <c r="BH37" s="105">
        <f t="shared" si="40"/>
        <v>0.93870854063018239</v>
      </c>
      <c r="BI37" s="104">
        <f t="shared" ref="BI37:CC37" si="41">BI36/BI35</f>
        <v>0.38043027157448683</v>
      </c>
      <c r="BJ37" s="93">
        <f>BJ36/BJ35</f>
        <v>0</v>
      </c>
      <c r="BK37" s="93" t="e">
        <f>BK36/BK35</f>
        <v>#DIV/0!</v>
      </c>
      <c r="BL37" s="93" t="e">
        <f>BL36/BL35</f>
        <v>#DIV/0!</v>
      </c>
      <c r="BM37" s="105">
        <f>BM36/BM35</f>
        <v>1.0660566615620215</v>
      </c>
      <c r="BN37" s="104">
        <f t="shared" si="41"/>
        <v>0.44926174182624007</v>
      </c>
      <c r="BO37" s="93">
        <f t="shared" si="41"/>
        <v>0</v>
      </c>
      <c r="BP37" s="93" t="e">
        <f t="shared" si="41"/>
        <v>#DIV/0!</v>
      </c>
      <c r="BQ37" s="93" t="e">
        <f t="shared" si="41"/>
        <v>#DIV/0!</v>
      </c>
      <c r="BR37" s="105">
        <f t="shared" si="41"/>
        <v>1.2303694331983805</v>
      </c>
      <c r="BS37" s="104">
        <f t="shared" si="41"/>
        <v>0.49907863521686802</v>
      </c>
      <c r="BT37" s="93">
        <f>BT36/BT35</f>
        <v>0</v>
      </c>
      <c r="BU37" s="93" t="e">
        <f>BU36/BU35</f>
        <v>#DIV/0!</v>
      </c>
      <c r="BV37" s="93" t="e">
        <f>BV36/BV35</f>
        <v>#DIV/0!</v>
      </c>
      <c r="BW37" s="105">
        <f>BW36/BW35</f>
        <v>1.2966375422773393</v>
      </c>
      <c r="BX37" s="104">
        <f t="shared" si="41"/>
        <v>0.63716126566079334</v>
      </c>
      <c r="BY37" s="93">
        <f t="shared" si="41"/>
        <v>0.27813154854850786</v>
      </c>
      <c r="BZ37" s="93" t="e">
        <f t="shared" si="41"/>
        <v>#DIV/0!</v>
      </c>
      <c r="CA37" s="93">
        <f t="shared" si="41"/>
        <v>1.3176655263820398</v>
      </c>
      <c r="CB37" s="105">
        <f t="shared" si="41"/>
        <v>0.87499999999999989</v>
      </c>
      <c r="CC37" s="104">
        <f t="shared" si="41"/>
        <v>0.8228823683157841</v>
      </c>
      <c r="CD37" s="93">
        <f>CD36/CD35</f>
        <v>0.27513418680604007</v>
      </c>
      <c r="CE37" s="93">
        <f>CE36/CE35</f>
        <v>0.28284876536275194</v>
      </c>
      <c r="CF37" s="93">
        <f>CF36/CF35</f>
        <v>0.32916308779828019</v>
      </c>
      <c r="CG37" s="93">
        <f>CG36/CG35</f>
        <v>0.31508099058949107</v>
      </c>
      <c r="CH37" s="104">
        <f t="shared" ref="CH37:DG37" si="42">CH36/CH35</f>
        <v>0.63690036051490861</v>
      </c>
      <c r="CI37" s="93">
        <f t="shared" si="42"/>
        <v>0.26510371914161035</v>
      </c>
      <c r="CJ37" s="93">
        <f t="shared" si="42"/>
        <v>0.28958897737772721</v>
      </c>
      <c r="CK37" s="93">
        <f t="shared" si="42"/>
        <v>0.25698560822311561</v>
      </c>
      <c r="CL37" s="93">
        <f t="shared" si="42"/>
        <v>0.25180463063478131</v>
      </c>
      <c r="CM37" s="104">
        <f t="shared" si="42"/>
        <v>0.56712719855622218</v>
      </c>
      <c r="CN37" s="93">
        <f>CN36/CN35</f>
        <v>0.20163182810269656</v>
      </c>
      <c r="CO37" s="93">
        <f>CO36/CO35</f>
        <v>0.23010544813491909</v>
      </c>
      <c r="CP37" s="93">
        <f>CP36/CP35</f>
        <v>0.22026423670733986</v>
      </c>
      <c r="CQ37" s="93">
        <f>CQ36/CQ35</f>
        <v>0.19469658371739884</v>
      </c>
      <c r="CR37" s="104">
        <f t="shared" si="42"/>
        <v>0.49335013155405888</v>
      </c>
      <c r="CS37" s="93">
        <f t="shared" si="42"/>
        <v>0.17233079935971249</v>
      </c>
      <c r="CT37" s="93">
        <f t="shared" si="42"/>
        <v>0.18339218423751219</v>
      </c>
      <c r="CU37" s="93">
        <f>CU36/CU35</f>
        <v>0.18607356620018362</v>
      </c>
      <c r="CV37" s="93">
        <f>CV36/CV35</f>
        <v>0.19305833808244643</v>
      </c>
      <c r="CW37" s="104">
        <f t="shared" si="42"/>
        <v>0.46180641863820687</v>
      </c>
      <c r="CX37" s="93">
        <f t="shared" si="42"/>
        <v>0.17666658873487057</v>
      </c>
      <c r="CY37" s="93">
        <f>CY36/CY35</f>
        <v>0.17567582882992838</v>
      </c>
      <c r="CZ37" s="93">
        <f>CZ36/CZ35</f>
        <v>0.17399656045114342</v>
      </c>
      <c r="DA37" s="93">
        <f>DA36/DA35</f>
        <v>0.16556520757945942</v>
      </c>
      <c r="DB37" s="104">
        <f t="shared" si="42"/>
        <v>0.44491962724379153</v>
      </c>
      <c r="DC37" s="93">
        <f>DC36/DC35</f>
        <v>0.16540671376019284</v>
      </c>
      <c r="DD37" s="93">
        <f>DD36/DD35</f>
        <v>0.16297197391370161</v>
      </c>
      <c r="DE37" s="93">
        <f>DE36/DE35</f>
        <v>0.16233570564819147</v>
      </c>
      <c r="DF37" s="93">
        <f>DF36/DF35</f>
        <v>0.15894565885974787</v>
      </c>
      <c r="DG37" s="104">
        <f t="shared" si="42"/>
        <v>0.43899242253278048</v>
      </c>
      <c r="DH37" s="93">
        <f>DH36/DH35</f>
        <v>0.16945706537931204</v>
      </c>
      <c r="DI37" s="93">
        <f>DI36/DI35</f>
        <v>0.16879512834071805</v>
      </c>
      <c r="DJ37" s="93">
        <f t="shared" ref="DJ37:EF37" si="43">DJ36/DJ35</f>
        <v>0.15970169485068073</v>
      </c>
      <c r="DK37" s="93">
        <f t="shared" si="43"/>
        <v>0.16438779145435856</v>
      </c>
      <c r="DL37" s="104">
        <f t="shared" si="43"/>
        <v>0.4503371153946138</v>
      </c>
      <c r="DM37" s="93">
        <f t="shared" si="43"/>
        <v>0.16379052059246058</v>
      </c>
      <c r="DN37" s="93">
        <f t="shared" si="43"/>
        <v>0.16338139730529225</v>
      </c>
      <c r="DO37" s="93">
        <f t="shared" si="43"/>
        <v>0.16254951367318796</v>
      </c>
      <c r="DP37" s="93">
        <f t="shared" si="43"/>
        <v>0.1615045626000034</v>
      </c>
      <c r="DQ37" s="104">
        <f t="shared" si="43"/>
        <v>0.44254364044737277</v>
      </c>
      <c r="DR37" s="93">
        <f t="shared" si="43"/>
        <v>0.16052424511120572</v>
      </c>
      <c r="DS37" s="93">
        <f t="shared" si="43"/>
        <v>0.15979381463294409</v>
      </c>
      <c r="DT37" s="93">
        <f t="shared" si="43"/>
        <v>0.15902083266234709</v>
      </c>
      <c r="DU37" s="93">
        <f t="shared" si="43"/>
        <v>0.15840306572650106</v>
      </c>
      <c r="DV37" s="104">
        <f t="shared" si="43"/>
        <v>0.43645563383623354</v>
      </c>
      <c r="DW37" s="93">
        <f t="shared" si="43"/>
        <v>0.1578183836749403</v>
      </c>
      <c r="DX37" s="93">
        <f t="shared" si="43"/>
        <v>0.15732978611448656</v>
      </c>
      <c r="DY37" s="93">
        <f t="shared" si="43"/>
        <v>0.15689532247838059</v>
      </c>
      <c r="DZ37" s="93">
        <f t="shared" si="43"/>
        <v>0.15654218843536119</v>
      </c>
      <c r="EA37" s="104">
        <f t="shared" si="43"/>
        <v>0.4324892998766019</v>
      </c>
      <c r="EB37" s="93">
        <f t="shared" si="43"/>
        <v>0.15623043521247187</v>
      </c>
      <c r="EC37" s="93">
        <f t="shared" si="43"/>
        <v>0.15595501150535404</v>
      </c>
      <c r="ED37" s="93">
        <f t="shared" si="43"/>
        <v>0.15571148150414305</v>
      </c>
      <c r="EE37" s="93">
        <f t="shared" si="43"/>
        <v>0.15549596946778235</v>
      </c>
      <c r="EF37" s="104">
        <f t="shared" si="43"/>
        <v>0.43076310260490835</v>
      </c>
    </row>
    <row r="38" spans="1:136" ht="12.75" customHeight="1">
      <c r="A38" s="1" t="s">
        <v>310</v>
      </c>
      <c r="B38" s="295"/>
      <c r="C38" s="295"/>
      <c r="D38" s="295"/>
      <c r="E38" s="295"/>
      <c r="F38" s="79"/>
      <c r="G38" s="295"/>
      <c r="H38" s="295"/>
      <c r="I38" s="295"/>
      <c r="J38" s="295"/>
      <c r="K38" s="79"/>
      <c r="L38" s="295"/>
      <c r="M38" s="295"/>
      <c r="N38" s="295"/>
      <c r="O38" s="295"/>
      <c r="P38" s="79"/>
      <c r="Q38" s="295"/>
      <c r="R38" s="295"/>
      <c r="S38" s="295"/>
      <c r="T38" s="295"/>
      <c r="U38" s="79"/>
      <c r="V38" s="295"/>
      <c r="W38" s="295"/>
      <c r="X38" s="295"/>
      <c r="Y38" s="295"/>
      <c r="Z38" s="79"/>
      <c r="AA38" s="295"/>
      <c r="AB38" s="295"/>
      <c r="AC38" s="295"/>
      <c r="AD38" s="295"/>
      <c r="AE38" s="79"/>
      <c r="AF38" s="16"/>
      <c r="AG38" s="16"/>
      <c r="AH38" s="16"/>
      <c r="AI38" s="16"/>
      <c r="AJ38" s="79">
        <f>SUM(AF38:AI38)</f>
        <v>0</v>
      </c>
      <c r="AK38" s="16"/>
      <c r="AL38" s="16"/>
      <c r="AM38" s="16"/>
      <c r="AN38" s="16"/>
      <c r="AO38" s="79">
        <f>SUM(AK38:AN38)</f>
        <v>0</v>
      </c>
      <c r="AP38" s="16"/>
      <c r="AQ38" s="16"/>
      <c r="AR38" s="16"/>
      <c r="AS38" s="16"/>
      <c r="AT38" s="79">
        <f>SUM(AP38:AS38)</f>
        <v>0</v>
      </c>
      <c r="AU38" s="16"/>
      <c r="AV38" s="16"/>
      <c r="AW38" s="16"/>
      <c r="AX38" s="16"/>
      <c r="AY38" s="79">
        <f>SUM(AU38:AX38)</f>
        <v>0</v>
      </c>
      <c r="AZ38" s="16"/>
      <c r="BA38" s="16"/>
      <c r="BB38" s="16"/>
      <c r="BC38" s="16"/>
      <c r="BD38" s="79">
        <f>SUM(AZ38:BC38)</f>
        <v>0</v>
      </c>
      <c r="BE38" s="16">
        <f>BE36-BE40</f>
        <v>-176979.5</v>
      </c>
      <c r="BF38" s="16">
        <f>BF36-BF40</f>
        <v>0</v>
      </c>
      <c r="BG38" s="16">
        <f>BG36-BG40</f>
        <v>0</v>
      </c>
      <c r="BH38" s="16">
        <f>BH36-BH40</f>
        <v>452833</v>
      </c>
      <c r="BI38" s="79">
        <f>SUM(BE38:BH38)</f>
        <v>275853.5</v>
      </c>
      <c r="BJ38" s="16">
        <f>BJ36-BJ40</f>
        <v>-179301.75</v>
      </c>
      <c r="BK38" s="16">
        <f>BK36-BK40</f>
        <v>0</v>
      </c>
      <c r="BL38" s="16">
        <f>BL36-BL40</f>
        <v>0</v>
      </c>
      <c r="BM38" s="16">
        <f>BM36-BM40</f>
        <v>556908</v>
      </c>
      <c r="BN38" s="79">
        <f>SUM(BJ38:BM38)</f>
        <v>377606.25</v>
      </c>
      <c r="BO38" s="16">
        <f>BO36-BO40</f>
        <v>-217154.75</v>
      </c>
      <c r="BP38" s="16">
        <f>BP36-BP40</f>
        <v>0</v>
      </c>
      <c r="BQ38" s="16">
        <f>BQ36-BQ40</f>
        <v>0</v>
      </c>
      <c r="BR38" s="16">
        <f>BR36-BR40</f>
        <v>729363</v>
      </c>
      <c r="BS38" s="79">
        <f>SUM(BO38:BR38)</f>
        <v>512208.25</v>
      </c>
      <c r="BT38" s="16">
        <f>BT36-BT40</f>
        <v>-183613</v>
      </c>
      <c r="BU38" s="16">
        <f>BU36-BU40</f>
        <v>0</v>
      </c>
      <c r="BV38" s="16">
        <f>BV36-BV40</f>
        <v>0</v>
      </c>
      <c r="BW38" s="16">
        <f>BW36-BW40</f>
        <v>920094</v>
      </c>
      <c r="BX38" s="79">
        <f>SUM(BT38:BW38)</f>
        <v>736481</v>
      </c>
      <c r="BY38" s="16">
        <f>BY36-BY40</f>
        <v>53839.199999999983</v>
      </c>
      <c r="BZ38" s="16">
        <f>BZ36-BZ40</f>
        <v>245086</v>
      </c>
      <c r="CA38" s="16">
        <f>CA36-CA40</f>
        <v>266934</v>
      </c>
      <c r="CB38" s="16">
        <f>CB34*CB39</f>
        <v>504665.69999999995</v>
      </c>
      <c r="CC38" s="79">
        <f>SUM(BY38:CB38)</f>
        <v>1070524.8999999999</v>
      </c>
      <c r="CD38" s="16">
        <f>CD36-CD40</f>
        <v>98173.199999999983</v>
      </c>
      <c r="CE38" s="16">
        <f>CE36-CE40</f>
        <v>123388.4</v>
      </c>
      <c r="CF38" s="16">
        <f>CF36-CF40</f>
        <v>203491.8</v>
      </c>
      <c r="CG38" s="16">
        <f>CG36-CG40</f>
        <v>200149.4</v>
      </c>
      <c r="CH38" s="79">
        <f>SUM(CD38:CG38)</f>
        <v>625202.79999999993</v>
      </c>
      <c r="CI38" s="16">
        <f>CI36-CI40</f>
        <v>229079.5</v>
      </c>
      <c r="CJ38" s="16">
        <f>CJ36-CJ40</f>
        <v>314815.34999999998</v>
      </c>
      <c r="CK38" s="16">
        <f>CK36-CK40</f>
        <v>289780.34999999998</v>
      </c>
      <c r="CL38" s="16">
        <f>CL36-CL40</f>
        <v>287660.05000000005</v>
      </c>
      <c r="CM38" s="79">
        <f>SUM(CI38:CL38)</f>
        <v>1121335.25</v>
      </c>
      <c r="CN38" s="16">
        <f>CN36-CN40</f>
        <v>301103.40000000002</v>
      </c>
      <c r="CO38" s="16">
        <f>CO36-CO40</f>
        <v>432013.9</v>
      </c>
      <c r="CP38" s="16">
        <f>CP36-CP40</f>
        <v>432597.19999999995</v>
      </c>
      <c r="CQ38" s="16">
        <f>CQ36-CQ40</f>
        <v>360024.5</v>
      </c>
      <c r="CR38" s="79">
        <f>SUM(CN38:CQ38)</f>
        <v>1525739</v>
      </c>
      <c r="CS38" s="16">
        <f>CS36-CS40</f>
        <v>360407.1</v>
      </c>
      <c r="CT38" s="16">
        <f>CT36-CT40</f>
        <v>450735.7</v>
      </c>
      <c r="CU38" s="16">
        <f>CU36-CU40</f>
        <v>441938.39999999997</v>
      </c>
      <c r="CV38" s="16">
        <f>CV36-CV40</f>
        <v>484194.69999999995</v>
      </c>
      <c r="CW38" s="79">
        <f>SUM(CS38:CV38)</f>
        <v>1737275.9</v>
      </c>
      <c r="CX38" s="16">
        <f>CX36-CX40</f>
        <v>502972.3</v>
      </c>
      <c r="CY38" s="16">
        <f>CY36-CY40</f>
        <v>601598.39999999991</v>
      </c>
      <c r="CZ38" s="16">
        <f>CZ36-CZ40</f>
        <v>594553</v>
      </c>
      <c r="DA38" s="16">
        <f>DA36-DA40</f>
        <v>536095.69999999995</v>
      </c>
      <c r="DB38" s="79">
        <f>SUM(CX38:DA38)</f>
        <v>2235219.4</v>
      </c>
      <c r="DC38" s="16">
        <f>DC36-DC40</f>
        <v>681463.29999999993</v>
      </c>
      <c r="DD38" s="16">
        <f>DD36-DD40</f>
        <v>732061.2</v>
      </c>
      <c r="DE38" s="16">
        <f>DE36-DE40</f>
        <v>718695.39999999991</v>
      </c>
      <c r="DF38" s="16">
        <f>DF36-DF40</f>
        <v>681991.29999999993</v>
      </c>
      <c r="DG38" s="79">
        <f>SUM(DC38:DF38)</f>
        <v>2814211.1999999997</v>
      </c>
      <c r="DH38" s="16">
        <f>DH36-DH40</f>
        <v>862807.5</v>
      </c>
      <c r="DI38" s="16">
        <f>DI36-DI40</f>
        <v>878009</v>
      </c>
      <c r="DJ38" s="52">
        <f>DJ34*DJ39</f>
        <v>830970.10819717206</v>
      </c>
      <c r="DK38" s="52">
        <f>DK34*DK39</f>
        <v>933080.54817021999</v>
      </c>
      <c r="DL38" s="79">
        <f>SUM(DH38:DK38)</f>
        <v>3504867.1563673923</v>
      </c>
      <c r="DM38" s="52">
        <f>DM34*DM39</f>
        <v>941787.75608867547</v>
      </c>
      <c r="DN38" s="52">
        <f>DN34*DN39</f>
        <v>967320.43837086693</v>
      </c>
      <c r="DO38" s="52">
        <f>DO34*DO39</f>
        <v>984796.83260661329</v>
      </c>
      <c r="DP38" s="52">
        <f>DP34*DP39</f>
        <v>999892.81743152649</v>
      </c>
      <c r="DQ38" s="79">
        <f>SUM(DM38:DP38)</f>
        <v>3893797.8444976825</v>
      </c>
      <c r="DR38" s="52">
        <f>DR34*DR39</f>
        <v>1013621.4700986942</v>
      </c>
      <c r="DS38" s="52">
        <f>DS34*DS39</f>
        <v>1026620.5061650635</v>
      </c>
      <c r="DT38" s="52">
        <f>DT34*DT39</f>
        <v>1039244.6302101179</v>
      </c>
      <c r="DU38" s="52">
        <f>DU34*DU39</f>
        <v>1051693.8551742381</v>
      </c>
      <c r="DV38" s="79">
        <f>SUM(DR38:DU38)</f>
        <v>4131180.461648114</v>
      </c>
      <c r="DW38" s="52">
        <f>DW34*DW39</f>
        <v>1064082.0833104646</v>
      </c>
      <c r="DX38" s="52">
        <f>DX34*DX39</f>
        <v>1076475.2471957302</v>
      </c>
      <c r="DY38" s="52">
        <f>DY34*DY39</f>
        <v>1088912.4786575234</v>
      </c>
      <c r="DZ38" s="52">
        <f>DZ34*DZ39</f>
        <v>1101417.8675158899</v>
      </c>
      <c r="EA38" s="79">
        <f>SUM(DW38:DZ38)</f>
        <v>4330887.6766796084</v>
      </c>
      <c r="EB38" s="52">
        <f>EB34*EB39</f>
        <v>1114007.0002758075</v>
      </c>
      <c r="EC38" s="52">
        <f>EC34*EC39</f>
        <v>1126690.6025050753</v>
      </c>
      <c r="ED38" s="52">
        <f>ED34*ED39</f>
        <v>1139476.5735830392</v>
      </c>
      <c r="EE38" s="52">
        <f>EE34*EE39</f>
        <v>1152371.1285559249</v>
      </c>
      <c r="EF38" s="79">
        <f>SUM(EB38:EE38)</f>
        <v>4532545.3049198464</v>
      </c>
    </row>
    <row r="39" spans="1:136" ht="12.75" customHeight="1">
      <c r="A39" s="147" t="s">
        <v>235</v>
      </c>
      <c r="B39" s="301" t="e">
        <f>B38/B34</f>
        <v>#DIV/0!</v>
      </c>
      <c r="C39" s="301" t="e">
        <f>C38/C34</f>
        <v>#DIV/0!</v>
      </c>
      <c r="D39" s="301" t="e">
        <f>D38/D34</f>
        <v>#DIV/0!</v>
      </c>
      <c r="E39" s="301" t="e">
        <f>E38/E34</f>
        <v>#DIV/0!</v>
      </c>
      <c r="F39" s="76" t="e">
        <f>F38/F34</f>
        <v>#DIV/0!</v>
      </c>
      <c r="G39" s="301" t="e">
        <f t="shared" ref="G39:AE39" si="44">G38/G34</f>
        <v>#DIV/0!</v>
      </c>
      <c r="H39" s="301" t="e">
        <f t="shared" si="44"/>
        <v>#DIV/0!</v>
      </c>
      <c r="I39" s="301" t="e">
        <f t="shared" si="44"/>
        <v>#DIV/0!</v>
      </c>
      <c r="J39" s="301" t="e">
        <f t="shared" si="44"/>
        <v>#DIV/0!</v>
      </c>
      <c r="K39" s="76" t="e">
        <f t="shared" si="44"/>
        <v>#DIV/0!</v>
      </c>
      <c r="L39" s="301" t="e">
        <f t="shared" si="44"/>
        <v>#DIV/0!</v>
      </c>
      <c r="M39" s="301" t="e">
        <f t="shared" si="44"/>
        <v>#DIV/0!</v>
      </c>
      <c r="N39" s="301" t="e">
        <f t="shared" si="44"/>
        <v>#DIV/0!</v>
      </c>
      <c r="O39" s="301" t="e">
        <f t="shared" si="44"/>
        <v>#DIV/0!</v>
      </c>
      <c r="P39" s="76" t="e">
        <f t="shared" si="44"/>
        <v>#DIV/0!</v>
      </c>
      <c r="Q39" s="301" t="e">
        <f t="shared" si="44"/>
        <v>#DIV/0!</v>
      </c>
      <c r="R39" s="301" t="e">
        <f t="shared" si="44"/>
        <v>#DIV/0!</v>
      </c>
      <c r="S39" s="301" t="e">
        <f t="shared" si="44"/>
        <v>#DIV/0!</v>
      </c>
      <c r="T39" s="301" t="e">
        <f t="shared" si="44"/>
        <v>#DIV/0!</v>
      </c>
      <c r="U39" s="76" t="e">
        <f t="shared" si="44"/>
        <v>#DIV/0!</v>
      </c>
      <c r="V39" s="301" t="e">
        <f t="shared" si="44"/>
        <v>#DIV/0!</v>
      </c>
      <c r="W39" s="301" t="e">
        <f t="shared" si="44"/>
        <v>#DIV/0!</v>
      </c>
      <c r="X39" s="301" t="e">
        <f t="shared" si="44"/>
        <v>#DIV/0!</v>
      </c>
      <c r="Y39" s="301" t="e">
        <f t="shared" si="44"/>
        <v>#DIV/0!</v>
      </c>
      <c r="Z39" s="76" t="e">
        <f t="shared" si="44"/>
        <v>#DIV/0!</v>
      </c>
      <c r="AA39" s="301" t="e">
        <f t="shared" si="44"/>
        <v>#DIV/0!</v>
      </c>
      <c r="AB39" s="301" t="e">
        <f t="shared" si="44"/>
        <v>#DIV/0!</v>
      </c>
      <c r="AC39" s="301" t="e">
        <f t="shared" si="44"/>
        <v>#DIV/0!</v>
      </c>
      <c r="AD39" s="301" t="e">
        <f t="shared" si="44"/>
        <v>#DIV/0!</v>
      </c>
      <c r="AE39" s="76" t="e">
        <f t="shared" si="44"/>
        <v>#DIV/0!</v>
      </c>
      <c r="AF39" s="68" t="e">
        <f>AF38/AF34</f>
        <v>#DIV/0!</v>
      </c>
      <c r="AG39" s="68" t="e">
        <f>AG38/AG34</f>
        <v>#DIV/0!</v>
      </c>
      <c r="AH39" s="68" t="e">
        <f>AH38/AH34</f>
        <v>#DIV/0!</v>
      </c>
      <c r="AI39" s="68" t="e">
        <f>AI38/AI34</f>
        <v>#DIV/0!</v>
      </c>
      <c r="AJ39" s="28" t="e">
        <f>AJ38/AJ34</f>
        <v>#DIV/0!</v>
      </c>
      <c r="AK39" s="68" t="e">
        <f t="shared" ref="AK39:BD39" si="45">AK38/AK34</f>
        <v>#DIV/0!</v>
      </c>
      <c r="AL39" s="68" t="e">
        <f t="shared" si="45"/>
        <v>#DIV/0!</v>
      </c>
      <c r="AM39" s="68" t="e">
        <f t="shared" si="45"/>
        <v>#DIV/0!</v>
      </c>
      <c r="AN39" s="68" t="e">
        <f t="shared" si="45"/>
        <v>#DIV/0!</v>
      </c>
      <c r="AO39" s="28" t="e">
        <f t="shared" si="45"/>
        <v>#DIV/0!</v>
      </c>
      <c r="AP39" s="68" t="e">
        <f t="shared" si="45"/>
        <v>#DIV/0!</v>
      </c>
      <c r="AQ39" s="68" t="e">
        <f t="shared" si="45"/>
        <v>#DIV/0!</v>
      </c>
      <c r="AR39" s="68" t="e">
        <f t="shared" si="45"/>
        <v>#DIV/0!</v>
      </c>
      <c r="AS39" s="68" t="e">
        <f t="shared" si="45"/>
        <v>#DIV/0!</v>
      </c>
      <c r="AT39" s="28" t="e">
        <f t="shared" si="45"/>
        <v>#DIV/0!</v>
      </c>
      <c r="AU39" s="68" t="e">
        <f t="shared" si="45"/>
        <v>#DIV/0!</v>
      </c>
      <c r="AV39" s="68" t="e">
        <f t="shared" si="45"/>
        <v>#DIV/0!</v>
      </c>
      <c r="AW39" s="68" t="e">
        <f t="shared" si="45"/>
        <v>#DIV/0!</v>
      </c>
      <c r="AX39" s="68" t="e">
        <f t="shared" si="45"/>
        <v>#DIV/0!</v>
      </c>
      <c r="AY39" s="28" t="e">
        <f t="shared" si="45"/>
        <v>#DIV/0!</v>
      </c>
      <c r="AZ39" s="68" t="e">
        <f t="shared" si="45"/>
        <v>#DIV/0!</v>
      </c>
      <c r="BA39" s="68" t="e">
        <f t="shared" si="45"/>
        <v>#DIV/0!</v>
      </c>
      <c r="BB39" s="68" t="e">
        <f t="shared" si="45"/>
        <v>#DIV/0!</v>
      </c>
      <c r="BC39" s="68" t="e">
        <f t="shared" si="45"/>
        <v>#DIV/0!</v>
      </c>
      <c r="BD39" s="28" t="e">
        <f t="shared" si="45"/>
        <v>#DIV/0!</v>
      </c>
      <c r="BE39" s="68" t="e">
        <f>BE38/(BE10)</f>
        <v>#DIV/0!</v>
      </c>
      <c r="BF39" s="68" t="e">
        <f>BF38/(BF10)</f>
        <v>#DIV/0!</v>
      </c>
      <c r="BG39" s="68" t="e">
        <f>BG38/(BG10)</f>
        <v>#DIV/0!</v>
      </c>
      <c r="BH39" s="68">
        <f>BH38/(BH10)</f>
        <v>0.93870854063018239</v>
      </c>
      <c r="BI39" s="28">
        <f>BI38/BI34</f>
        <v>0.45746849087893865</v>
      </c>
      <c r="BJ39" s="68" t="e">
        <f>BJ38/(BJ10)</f>
        <v>#DIV/0!</v>
      </c>
      <c r="BK39" s="68" t="e">
        <f>BK38/(BK10)</f>
        <v>#DIV/0!</v>
      </c>
      <c r="BL39" s="68" t="e">
        <f>BL38/(BL10)</f>
        <v>#DIV/0!</v>
      </c>
      <c r="BM39" s="68">
        <f>BM38/(BM10)</f>
        <v>1.0660566615620215</v>
      </c>
      <c r="BN39" s="28">
        <f>BN38/BN34</f>
        <v>0.5782637825421133</v>
      </c>
      <c r="BO39" s="68" t="e">
        <f>BO38/(BO10)</f>
        <v>#DIV/0!</v>
      </c>
      <c r="BP39" s="68" t="e">
        <f>BP38/(BP10)</f>
        <v>#DIV/0!</v>
      </c>
      <c r="BQ39" s="68" t="e">
        <f>BQ38/(BQ10)</f>
        <v>#DIV/0!</v>
      </c>
      <c r="BR39" s="68">
        <f>BR38/(BR10)</f>
        <v>1.2303694331983805</v>
      </c>
      <c r="BS39" s="28">
        <f>BS38/BS34</f>
        <v>0.69123920377867742</v>
      </c>
      <c r="BT39" s="68" t="e">
        <f>BT38/(BT10)</f>
        <v>#DIV/0!</v>
      </c>
      <c r="BU39" s="68" t="e">
        <f>BU38/(BU10)</f>
        <v>#DIV/0!</v>
      </c>
      <c r="BV39" s="68" t="e">
        <f>BV38/(BV10)</f>
        <v>#DIV/0!</v>
      </c>
      <c r="BW39" s="68">
        <f>BW38/(BW10)</f>
        <v>1.2966375422773393</v>
      </c>
      <c r="BX39" s="28">
        <f>BX38/BX34</f>
        <v>0.83030552423900794</v>
      </c>
      <c r="BY39" s="68" t="e">
        <f>BY38/(BY10)</f>
        <v>#DIV/0!</v>
      </c>
      <c r="BZ39" s="68" t="e">
        <f>BZ38/(BZ10)</f>
        <v>#DIV/0!</v>
      </c>
      <c r="CA39" s="68">
        <f>CA38/(CA10)</f>
        <v>1.3176655263820398</v>
      </c>
      <c r="CB39" s="60">
        <v>0.7</v>
      </c>
      <c r="CC39" s="48">
        <f>CC38/CC34</f>
        <v>1.0901475560081466</v>
      </c>
      <c r="CD39" s="60">
        <f>CD38/(CD9)</f>
        <v>0.4109763142692085</v>
      </c>
      <c r="CE39" s="60">
        <f>CE38/(CE9)</f>
        <v>0.42244438205709356</v>
      </c>
      <c r="CF39" s="60">
        <f>CF38/(CF9)</f>
        <v>0.49590296968899411</v>
      </c>
      <c r="CG39" s="60">
        <f>CG38/(CG9)</f>
        <v>0.49467851361204135</v>
      </c>
      <c r="CH39" s="48">
        <f>CH38/CH34</f>
        <v>0.46452016515207911</v>
      </c>
      <c r="CI39" s="60">
        <f>CI38/(CI9)</f>
        <v>0.38802502824485535</v>
      </c>
      <c r="CJ39" s="60">
        <f>CJ38/(CJ9)</f>
        <v>0.46121520177913727</v>
      </c>
      <c r="CK39" s="60">
        <f>CK38/(CK9)</f>
        <v>0.42466686010982291</v>
      </c>
      <c r="CL39" s="60">
        <f>CL38/(CL9)</f>
        <v>0.47052019575835102</v>
      </c>
      <c r="CM39" s="48">
        <f>CM38/CM34</f>
        <v>0.43688023242404217</v>
      </c>
      <c r="CN39" s="60">
        <f>CN38/(CN9)</f>
        <v>0.39967744761510343</v>
      </c>
      <c r="CO39" s="60">
        <f>CO38/(CO9)</f>
        <v>0.48136057984256009</v>
      </c>
      <c r="CP39" s="60">
        <f>CP38/(CP9)</f>
        <v>0.48835073879613872</v>
      </c>
      <c r="CQ39" s="60">
        <f>CQ38/(CQ9)</f>
        <v>0.47808079209110255</v>
      </c>
      <c r="CR39" s="48">
        <f>CR38/CR34</f>
        <v>0.46378625526950717</v>
      </c>
      <c r="CS39" s="60">
        <f>CS38/(CS9)</f>
        <v>0.33405299946185502</v>
      </c>
      <c r="CT39" s="60">
        <f>CT38/(CT9)</f>
        <v>0.37751615611858619</v>
      </c>
      <c r="CU39" s="60">
        <f>CU38/(CU9)</f>
        <v>0.45436811867680899</v>
      </c>
      <c r="CV39" s="60">
        <f>CV38/(CV9)</f>
        <v>0.53521599162947509</v>
      </c>
      <c r="CW39" s="48">
        <f>CW38/CW34</f>
        <v>0.41860473510489632</v>
      </c>
      <c r="CX39" s="60">
        <f>CX38/(CX9)</f>
        <v>0.32405183604099469</v>
      </c>
      <c r="CY39" s="60">
        <f>CY38/(CY9)</f>
        <v>0.34391988531678691</v>
      </c>
      <c r="CZ39" s="60">
        <f>CZ38/(CZ9)</f>
        <v>0.41370247975020108</v>
      </c>
      <c r="DA39" s="60">
        <f>DA38/(DA9)</f>
        <v>0.37653833403102233</v>
      </c>
      <c r="DB39" s="48">
        <f>DB38/DB34</f>
        <v>0.36272636469533265</v>
      </c>
      <c r="DC39" s="60">
        <f>DC38/(DC9)</f>
        <v>0.32364652833317259</v>
      </c>
      <c r="DD39" s="60">
        <f>DD38/(DD9)</f>
        <v>0.32372562120986148</v>
      </c>
      <c r="DE39" s="60">
        <f>DE38/(DE9)</f>
        <v>0.3933667997849345</v>
      </c>
      <c r="DF39" s="60">
        <f>DF38/(DF9)</f>
        <v>0.4382032231443711</v>
      </c>
      <c r="DG39" s="48">
        <f>DG38/DG34</f>
        <v>0.36310931528151591</v>
      </c>
      <c r="DH39" s="60">
        <f>DH38/(DH9)</f>
        <v>0.37438172412692589</v>
      </c>
      <c r="DI39" s="60">
        <f>DI38/(DI9)</f>
        <v>0.42923768885661423</v>
      </c>
      <c r="DJ39" s="294">
        <f>(DJ15*20%+DJ21*62%)/(DJ15+DJ21)</f>
        <v>0.39323521435139858</v>
      </c>
      <c r="DK39" s="294">
        <f>(DK15*20%+DK21*62%)/(DK15+DK21)</f>
        <v>0.43015097007803227</v>
      </c>
      <c r="DL39" s="48">
        <f>DL38/DL34</f>
        <v>0.40600913022208357</v>
      </c>
      <c r="DM39" s="294">
        <f>(DM15*20%+DM21*65%)/(DM15+DM21)</f>
        <v>0.41576419854575064</v>
      </c>
      <c r="DN39" s="294">
        <f>(DN15*20%+DN21*65%)/(DN15+DN21)</f>
        <v>0.41811808212998264</v>
      </c>
      <c r="DO39" s="294">
        <f>(DO15*20%+DO21*65%)/(DO15+DO21)</f>
        <v>0.41914646289067176</v>
      </c>
      <c r="DP39" s="294">
        <f>(DP15*20%+DP21*65%)/(DP15+DP21)</f>
        <v>0.41977257503963245</v>
      </c>
      <c r="DQ39" s="48">
        <f>DQ38/DQ34</f>
        <v>0.41822819565365132</v>
      </c>
      <c r="DR39" s="294">
        <f>(DR15*20%+DR21*65%)/(DR15+DR21)</f>
        <v>0.42016382925205981</v>
      </c>
      <c r="DS39" s="294">
        <f>(DS15*20%+DS21*65%)/(DS15+DS21)</f>
        <v>0.42042206173411356</v>
      </c>
      <c r="DT39" s="294">
        <f>(DT15*20%+DT21*65%)/(DT15+DT21)</f>
        <v>0.42060282774774399</v>
      </c>
      <c r="DU39" s="294">
        <f>(DU15*20%+DU21*65%)/(DU15+DU21)</f>
        <v>0.42073695481653722</v>
      </c>
      <c r="DV39" s="48">
        <f>DV38/DV34</f>
        <v>0.42048423034345833</v>
      </c>
      <c r="DW39" s="294">
        <f>(DW15*20%+DW21*65%)/(DW15+DW21)</f>
        <v>0.42084175121119066</v>
      </c>
      <c r="DX39" s="294">
        <f>(DX15*20%+DX21*65%)/(DX15+DX21)</f>
        <v>0.4209270985155229</v>
      </c>
      <c r="DY39" s="294">
        <f>(DY15*20%+DY21*65%)/(DY15+DY21)</f>
        <v>0.42099877381683998</v>
      </c>
      <c r="DZ39" s="294">
        <f>(DZ15*20%+DZ21*65%)/(DZ15+DZ21)</f>
        <v>0.4210602682750596</v>
      </c>
      <c r="EA39" s="48">
        <f>EA38/EA34</f>
        <v>0.42095800185120003</v>
      </c>
      <c r="EB39" s="294">
        <f>(EB15*20%+EB21*65%)/(EB15+EB21)</f>
        <v>0.42111378583066572</v>
      </c>
      <c r="EC39" s="294">
        <f>(EC15*20%+EC21*65%)/(EC15+EC21)</f>
        <v>0.42116079366332332</v>
      </c>
      <c r="ED39" s="294">
        <f>(ED15*20%+ED21*65%)/(ED15+ED21)</f>
        <v>0.42120232707890115</v>
      </c>
      <c r="EE39" s="294">
        <f>(EE15*20%+EE21*65%)/(EE15+EE21)</f>
        <v>0.42123915960520031</v>
      </c>
      <c r="EF39" s="48">
        <f>EF38/EF34</f>
        <v>0.42117960041233843</v>
      </c>
    </row>
    <row r="40" spans="1:136" ht="12.75" customHeight="1">
      <c r="A40" s="1" t="s">
        <v>311</v>
      </c>
      <c r="B40" s="295"/>
      <c r="C40" s="295"/>
      <c r="D40" s="295"/>
      <c r="E40" s="295"/>
      <c r="F40" s="79"/>
      <c r="G40" s="295"/>
      <c r="H40" s="295"/>
      <c r="I40" s="295"/>
      <c r="J40" s="295"/>
      <c r="K40" s="79"/>
      <c r="L40" s="295"/>
      <c r="M40" s="295"/>
      <c r="N40" s="295"/>
      <c r="O40" s="295"/>
      <c r="P40" s="79"/>
      <c r="Q40" s="295"/>
      <c r="R40" s="295"/>
      <c r="S40" s="295"/>
      <c r="T40" s="295"/>
      <c r="U40" s="79"/>
      <c r="V40" s="295"/>
      <c r="W40" s="295"/>
      <c r="X40" s="295"/>
      <c r="Y40" s="295"/>
      <c r="Z40" s="79"/>
      <c r="AA40" s="295"/>
      <c r="AB40" s="295"/>
      <c r="AC40" s="295"/>
      <c r="AD40" s="295"/>
      <c r="AE40" s="79"/>
      <c r="AF40" s="52"/>
      <c r="AG40" s="52"/>
      <c r="AH40" s="52"/>
      <c r="AI40" s="52"/>
      <c r="AJ40" s="79">
        <f>SUM(AF40:AI40)</f>
        <v>0</v>
      </c>
      <c r="AK40" s="52"/>
      <c r="AL40" s="52"/>
      <c r="AM40" s="52"/>
      <c r="AN40" s="52"/>
      <c r="AO40" s="79">
        <f>SUM(AK40:AN40)</f>
        <v>0</v>
      </c>
      <c r="AP40" s="52"/>
      <c r="AQ40" s="52"/>
      <c r="AR40" s="52"/>
      <c r="AS40" s="52"/>
      <c r="AT40" s="79">
        <f>SUM(AP40:AS40)</f>
        <v>0</v>
      </c>
      <c r="AU40" s="52"/>
      <c r="AV40" s="52"/>
      <c r="AW40" s="52"/>
      <c r="AX40" s="52"/>
      <c r="AY40" s="79">
        <f>SUM(AU40:AX40)</f>
        <v>0</v>
      </c>
      <c r="AZ40" s="52"/>
      <c r="BA40" s="52"/>
      <c r="BB40" s="52"/>
      <c r="BC40" s="52"/>
      <c r="BD40" s="79">
        <f>SUM(AZ40:BC40)</f>
        <v>0</v>
      </c>
      <c r="BE40" s="52">
        <f>BE41*BD33</f>
        <v>176979.5</v>
      </c>
      <c r="BF40" s="52">
        <f>BF41*BE33</f>
        <v>0</v>
      </c>
      <c r="BG40" s="52">
        <f>BG41*BF33</f>
        <v>0</v>
      </c>
      <c r="BH40" s="52">
        <f>BH41*BG33</f>
        <v>0</v>
      </c>
      <c r="BI40" s="79">
        <f>SUM(BE40:BH40)</f>
        <v>176979.5</v>
      </c>
      <c r="BJ40" s="52">
        <f>BJ41*BI33</f>
        <v>179301.75</v>
      </c>
      <c r="BK40" s="52">
        <f>BK41*BJ33</f>
        <v>0</v>
      </c>
      <c r="BL40" s="52">
        <f>BL41*BK33</f>
        <v>0</v>
      </c>
      <c r="BM40" s="52">
        <f>BM41*BL33</f>
        <v>0</v>
      </c>
      <c r="BN40" s="79">
        <f>SUM(BJ40:BM40)</f>
        <v>179301.75</v>
      </c>
      <c r="BO40" s="52">
        <f>BO41*BN33</f>
        <v>217154.75</v>
      </c>
      <c r="BP40" s="52">
        <f>BP41*BO33</f>
        <v>0</v>
      </c>
      <c r="BQ40" s="52">
        <f>BQ41*BP33</f>
        <v>0</v>
      </c>
      <c r="BR40" s="52">
        <f>BR41*BQ33</f>
        <v>0</v>
      </c>
      <c r="BS40" s="79">
        <f>SUM(BO40:BR40)</f>
        <v>217154.75</v>
      </c>
      <c r="BT40" s="52">
        <f>BT41*BS33</f>
        <v>183613</v>
      </c>
      <c r="BU40" s="52">
        <f>BU41*BT33</f>
        <v>0</v>
      </c>
      <c r="BV40" s="52">
        <f>BV41*BU33</f>
        <v>0</v>
      </c>
      <c r="BW40" s="52">
        <f>BW41*BV33</f>
        <v>0</v>
      </c>
      <c r="BX40" s="79">
        <f>SUM(BT40:BW40)</f>
        <v>183613</v>
      </c>
      <c r="BY40" s="52">
        <f>BY41*BX33</f>
        <v>137816.80000000002</v>
      </c>
      <c r="BZ40" s="52">
        <f>BZ41*BY33</f>
        <v>0</v>
      </c>
      <c r="CA40" s="52">
        <f>CA41*BZ33</f>
        <v>0</v>
      </c>
      <c r="CB40" s="52">
        <f>CB41*CA33</f>
        <v>0</v>
      </c>
      <c r="CC40" s="79">
        <f>SUM(BY40:CB40)</f>
        <v>137816.80000000002</v>
      </c>
      <c r="CD40" s="52">
        <f>CD41*CC33</f>
        <v>134083.80000000002</v>
      </c>
      <c r="CE40" s="52">
        <f>CE41*CD33</f>
        <v>128386.6</v>
      </c>
      <c r="CF40" s="52">
        <f>CF41*CE33</f>
        <v>129914.20000000001</v>
      </c>
      <c r="CG40" s="52">
        <f>CG41*CF33</f>
        <v>145215.6</v>
      </c>
      <c r="CH40" s="79">
        <f>SUM(CD40:CG40)</f>
        <v>537600.20000000007</v>
      </c>
      <c r="CI40" s="52">
        <f>CI41*CH33</f>
        <v>116782.5</v>
      </c>
      <c r="CJ40" s="52">
        <f>CJ41*CI33</f>
        <v>145894.65</v>
      </c>
      <c r="CK40" s="52">
        <f>CK41*CJ33</f>
        <v>175843.65</v>
      </c>
      <c r="CL40" s="52">
        <f>CL41*CK33</f>
        <v>214063.94999999998</v>
      </c>
      <c r="CM40" s="79">
        <f>SUM(CI40:CL40)</f>
        <v>652584.75</v>
      </c>
      <c r="CN40" s="52">
        <f>CN41*CM33</f>
        <v>156001.60000000001</v>
      </c>
      <c r="CO40" s="52">
        <f>CO41*CN33</f>
        <v>182637.1</v>
      </c>
      <c r="CP40" s="52">
        <f>CP41*CO33</f>
        <v>206463.80000000002</v>
      </c>
      <c r="CQ40" s="52">
        <f>CQ41*CP33</f>
        <v>232220.5</v>
      </c>
      <c r="CR40" s="79">
        <f>SUM(CN40:CQ40)</f>
        <v>777323</v>
      </c>
      <c r="CS40" s="52">
        <f>CS41*CR33</f>
        <v>245439.90000000002</v>
      </c>
      <c r="CT40" s="52">
        <f>CT41*CS33</f>
        <v>291443.3</v>
      </c>
      <c r="CU40" s="52">
        <f>CU41*CT33</f>
        <v>324579.60000000003</v>
      </c>
      <c r="CV40" s="52">
        <f>CV41*CU33</f>
        <v>343913.30000000005</v>
      </c>
      <c r="CW40" s="79">
        <f>SUM(CS40:CV40)</f>
        <v>1205376.1000000001</v>
      </c>
      <c r="CX40" s="52">
        <f>CX41*CW33</f>
        <v>350191.7</v>
      </c>
      <c r="CY40" s="52">
        <f>CY41*CX33</f>
        <v>415340.60000000003</v>
      </c>
      <c r="CZ40" s="52">
        <f>CZ41*CY33</f>
        <v>483793</v>
      </c>
      <c r="DA40" s="52">
        <f>DA41*CZ33</f>
        <v>520364.30000000005</v>
      </c>
      <c r="DB40" s="79">
        <f>SUM(CX40:DA40)</f>
        <v>1769689.6</v>
      </c>
      <c r="DC40" s="52">
        <f>DC41*DB33</f>
        <v>556529.70000000007</v>
      </c>
      <c r="DD40" s="52">
        <f>DD41*DC33</f>
        <v>643044.80000000005</v>
      </c>
      <c r="DE40" s="52">
        <f>DE41*DD33</f>
        <v>728401.60000000009</v>
      </c>
      <c r="DF40" s="52">
        <f>DF41*DE33</f>
        <v>770112.70000000007</v>
      </c>
      <c r="DG40" s="79">
        <f>SUM(DC40:DF40)</f>
        <v>2698088.8000000003</v>
      </c>
      <c r="DH40" s="52">
        <f>DH41*DG33</f>
        <v>780227.5</v>
      </c>
      <c r="DI40" s="52">
        <f>DI41*DH33</f>
        <v>847190</v>
      </c>
      <c r="DJ40" s="52">
        <f>DJ41*DI33</f>
        <v>883127.3</v>
      </c>
      <c r="DK40" s="52">
        <f>DK41*DJ33</f>
        <v>923033.85992607754</v>
      </c>
      <c r="DL40" s="79">
        <f>SUM(DH40:DK40)</f>
        <v>3433578.6599260774</v>
      </c>
      <c r="DM40" s="52">
        <f>DM41*DL33</f>
        <v>954341.7365367834</v>
      </c>
      <c r="DN40" s="52">
        <f>DN41*DM33</f>
        <v>991248.47304392047</v>
      </c>
      <c r="DO40" s="52">
        <f>DO41*DN33</f>
        <v>1026742.5996443989</v>
      </c>
      <c r="DP40" s="52">
        <f>DP41*DO33</f>
        <v>1060541.5714015444</v>
      </c>
      <c r="DQ40" s="79">
        <f>SUM(DM40:DP40)</f>
        <v>4032874.3806266473</v>
      </c>
      <c r="DR40" s="52">
        <f>DR41*DQ33</f>
        <v>1092696.8326922832</v>
      </c>
      <c r="DS40" s="52">
        <f>DS41*DR33</f>
        <v>1123309.3455788165</v>
      </c>
      <c r="DT40" s="52">
        <f>DT41*DS33</f>
        <v>1152504.4274936209</v>
      </c>
      <c r="DU40" s="52">
        <f>DU41*DT33</f>
        <v>1180414.0779006495</v>
      </c>
      <c r="DV40" s="79">
        <f>SUM(DR40:DU40)</f>
        <v>4548924.6836653706</v>
      </c>
      <c r="DW40" s="52">
        <f>DW41*DV33</f>
        <v>1207167.9818070838</v>
      </c>
      <c r="DX40" s="52">
        <f>DX41*DW33</f>
        <v>1232889.1057583869</v>
      </c>
      <c r="DY40" s="52">
        <f>DY41*DX33</f>
        <v>1257691.7879947564</v>
      </c>
      <c r="DZ40" s="52">
        <f>DZ41*DY33</f>
        <v>1281681.1594715219</v>
      </c>
      <c r="EA40" s="79">
        <f>SUM(DW40:DZ40)</f>
        <v>4979430.0350317489</v>
      </c>
      <c r="EB40" s="52">
        <f>EB41*EA33</f>
        <v>1304953.2559549937</v>
      </c>
      <c r="EC40" s="52">
        <f>EC41*EB33</f>
        <v>1327595.4710067892</v>
      </c>
      <c r="ED40" s="52">
        <f>ED41*EC33</f>
        <v>1349687.1598125508</v>
      </c>
      <c r="EE40" s="52">
        <f>EE41*ED33</f>
        <v>1371300.2922061328</v>
      </c>
      <c r="EF40" s="79">
        <f>SUM(EB40:EE40)</f>
        <v>5353536.1789804669</v>
      </c>
    </row>
    <row r="41" spans="1:136" ht="12.75" customHeight="1">
      <c r="A41" s="1" t="s">
        <v>235</v>
      </c>
      <c r="B41" s="295"/>
      <c r="C41" s="295"/>
      <c r="D41" s="295"/>
      <c r="E41" s="295"/>
      <c r="F41" s="79"/>
      <c r="G41" s="295"/>
      <c r="H41" s="295"/>
      <c r="I41" s="295"/>
      <c r="J41" s="295"/>
      <c r="K41" s="79"/>
      <c r="L41" s="295"/>
      <c r="M41" s="295"/>
      <c r="N41" s="295"/>
      <c r="O41" s="295"/>
      <c r="P41" s="79"/>
      <c r="Q41" s="295"/>
      <c r="R41" s="295"/>
      <c r="S41" s="295"/>
      <c r="T41" s="295"/>
      <c r="U41" s="79"/>
      <c r="V41" s="295"/>
      <c r="W41" s="295"/>
      <c r="X41" s="295"/>
      <c r="Y41" s="295"/>
      <c r="Z41" s="79"/>
      <c r="AA41" s="295"/>
      <c r="AB41" s="295"/>
      <c r="AC41" s="295"/>
      <c r="AD41" s="295"/>
      <c r="AE41" s="79"/>
      <c r="AF41" s="60"/>
      <c r="AG41" s="60"/>
      <c r="AH41" s="60"/>
      <c r="AI41" s="60"/>
      <c r="AJ41" s="48" t="e">
        <f>AJ40/AE33</f>
        <v>#DIV/0!</v>
      </c>
      <c r="AK41" s="60"/>
      <c r="AL41" s="60"/>
      <c r="AM41" s="60"/>
      <c r="AN41" s="60"/>
      <c r="AO41" s="48" t="e">
        <f>AO40/AJ33</f>
        <v>#DIV/0!</v>
      </c>
      <c r="AP41" s="60"/>
      <c r="AQ41" s="60"/>
      <c r="AR41" s="60"/>
      <c r="AS41" s="60"/>
      <c r="AT41" s="48" t="e">
        <f>AT40/AO33</f>
        <v>#DIV/0!</v>
      </c>
      <c r="AU41" s="60"/>
      <c r="AV41" s="60"/>
      <c r="AW41" s="60"/>
      <c r="AX41" s="60"/>
      <c r="AY41" s="48" t="e">
        <f>AY40/AT33</f>
        <v>#DIV/0!</v>
      </c>
      <c r="AZ41" s="60"/>
      <c r="BA41" s="60"/>
      <c r="BB41" s="60"/>
      <c r="BC41" s="60"/>
      <c r="BD41" s="48" t="e">
        <f>BD40/AY33</f>
        <v>#DIV/0!</v>
      </c>
      <c r="BE41" s="433">
        <v>0.25</v>
      </c>
      <c r="BF41" s="433">
        <v>0.25</v>
      </c>
      <c r="BG41" s="433">
        <v>0.25</v>
      </c>
      <c r="BH41" s="433">
        <v>0.25</v>
      </c>
      <c r="BI41" s="48">
        <f>BI40/BD33</f>
        <v>0.25</v>
      </c>
      <c r="BJ41" s="433">
        <v>0.25</v>
      </c>
      <c r="BK41" s="433">
        <v>0.25</v>
      </c>
      <c r="BL41" s="433">
        <v>0.25</v>
      </c>
      <c r="BM41" s="433">
        <v>0.25</v>
      </c>
      <c r="BN41" s="48">
        <f>BN40/BI33</f>
        <v>0.25</v>
      </c>
      <c r="BO41" s="433">
        <v>0.25</v>
      </c>
      <c r="BP41" s="433">
        <v>0.25</v>
      </c>
      <c r="BQ41" s="433">
        <v>0.25</v>
      </c>
      <c r="BR41" s="433">
        <v>0.25</v>
      </c>
      <c r="BS41" s="48">
        <f>BS40/BN33</f>
        <v>0.25</v>
      </c>
      <c r="BT41" s="433">
        <v>0.25</v>
      </c>
      <c r="BU41" s="433">
        <v>0.25</v>
      </c>
      <c r="BV41" s="433">
        <v>0.25</v>
      </c>
      <c r="BW41" s="433">
        <v>0.25</v>
      </c>
      <c r="BX41" s="48">
        <f>BX40/BS33</f>
        <v>0.25</v>
      </c>
      <c r="BY41" s="433">
        <v>0.2</v>
      </c>
      <c r="BZ41" s="433">
        <v>0.2</v>
      </c>
      <c r="CA41" s="433">
        <v>0.2</v>
      </c>
      <c r="CB41" s="433">
        <v>0.2</v>
      </c>
      <c r="CC41" s="48">
        <f>CC40/BX33</f>
        <v>0.20000000000000004</v>
      </c>
      <c r="CD41" s="433">
        <v>0.2</v>
      </c>
      <c r="CE41" s="433">
        <v>0.2</v>
      </c>
      <c r="CF41" s="433">
        <v>0.2</v>
      </c>
      <c r="CG41" s="433">
        <v>0.2</v>
      </c>
      <c r="CH41" s="48">
        <f>CH40/CC33</f>
        <v>0.80188687969762207</v>
      </c>
      <c r="CI41" s="433">
        <v>0.15</v>
      </c>
      <c r="CJ41" s="433">
        <v>0.15</v>
      </c>
      <c r="CK41" s="433">
        <v>0.15</v>
      </c>
      <c r="CL41" s="433">
        <v>0.15</v>
      </c>
      <c r="CM41" s="48">
        <f>CM40/CH33</f>
        <v>0.83820531757754801</v>
      </c>
      <c r="CN41" s="433">
        <v>0.1</v>
      </c>
      <c r="CO41" s="433">
        <v>0.1</v>
      </c>
      <c r="CP41" s="433">
        <v>0.1</v>
      </c>
      <c r="CQ41" s="433">
        <v>0.1</v>
      </c>
      <c r="CR41" s="48">
        <f>CR40/CM33</f>
        <v>0.49827886380652509</v>
      </c>
      <c r="CS41" s="433">
        <v>0.1</v>
      </c>
      <c r="CT41" s="433">
        <v>0.1</v>
      </c>
      <c r="CU41" s="433">
        <v>0.1</v>
      </c>
      <c r="CV41" s="433">
        <v>0.1</v>
      </c>
      <c r="CW41" s="48">
        <f>CW40/CR33</f>
        <v>0.49110845465631303</v>
      </c>
      <c r="CX41" s="433">
        <v>0.1</v>
      </c>
      <c r="CY41" s="433">
        <v>0.1</v>
      </c>
      <c r="CZ41" s="433">
        <v>0.1</v>
      </c>
      <c r="DA41" s="433">
        <v>0.1</v>
      </c>
      <c r="DB41" s="48">
        <f>DB40/CW33</f>
        <v>0.50534881323572212</v>
      </c>
      <c r="DC41" s="433">
        <v>0.1</v>
      </c>
      <c r="DD41" s="433">
        <v>0.1</v>
      </c>
      <c r="DE41" s="433">
        <v>0.1</v>
      </c>
      <c r="DF41" s="433">
        <v>0.1</v>
      </c>
      <c r="DG41" s="48">
        <f>DG40/DB33</f>
        <v>0.48480589625315601</v>
      </c>
      <c r="DH41" s="433">
        <v>0.1</v>
      </c>
      <c r="DI41" s="433">
        <v>0.1</v>
      </c>
      <c r="DJ41" s="106">
        <f>DI41</f>
        <v>0.1</v>
      </c>
      <c r="DK41" s="106">
        <f>DJ41</f>
        <v>0.1</v>
      </c>
      <c r="DL41" s="48">
        <f>DL40/DG33</f>
        <v>0.4400740373706486</v>
      </c>
      <c r="DM41" s="106">
        <v>0.1</v>
      </c>
      <c r="DN41" s="106">
        <f>DM41</f>
        <v>0.1</v>
      </c>
      <c r="DO41" s="106">
        <f>DN41</f>
        <v>0.1</v>
      </c>
      <c r="DP41" s="106">
        <f>DO41</f>
        <v>0.1</v>
      </c>
      <c r="DQ41" s="48">
        <f>DQ40/DL33</f>
        <v>0.4225817887061683</v>
      </c>
      <c r="DR41" s="106">
        <f>DP41</f>
        <v>0.1</v>
      </c>
      <c r="DS41" s="106">
        <f>DR41</f>
        <v>0.1</v>
      </c>
      <c r="DT41" s="106">
        <f>DS41</f>
        <v>0.1</v>
      </c>
      <c r="DU41" s="106">
        <f>DT41</f>
        <v>0.1</v>
      </c>
      <c r="DV41" s="48">
        <f>DV40/DQ33</f>
        <v>0.41630254134235267</v>
      </c>
      <c r="DW41" s="106">
        <f>DU41</f>
        <v>0.1</v>
      </c>
      <c r="DX41" s="106">
        <f>DW41</f>
        <v>0.1</v>
      </c>
      <c r="DY41" s="106">
        <f>DX41</f>
        <v>0.1</v>
      </c>
      <c r="DZ41" s="106">
        <f>DY41</f>
        <v>0.1</v>
      </c>
      <c r="EA41" s="48">
        <f>EA40/DV33</f>
        <v>0.41248857740392803</v>
      </c>
      <c r="EB41" s="106">
        <f>DZ41</f>
        <v>0.1</v>
      </c>
      <c r="EC41" s="106">
        <f>EB41</f>
        <v>0.1</v>
      </c>
      <c r="ED41" s="106">
        <f>EC41</f>
        <v>0.1</v>
      </c>
      <c r="EE41" s="106">
        <f>ED41</f>
        <v>0.1</v>
      </c>
      <c r="EF41" s="48">
        <f>EF40/EA33</f>
        <v>0.41024735212163838</v>
      </c>
    </row>
    <row r="42" spans="1:136" s="70" customFormat="1" ht="12.75" customHeight="1" outlineLevel="1">
      <c r="A42" s="108" t="s">
        <v>136</v>
      </c>
      <c r="B42" s="97"/>
      <c r="C42" s="97"/>
      <c r="D42" s="97"/>
      <c r="E42" s="97"/>
      <c r="F42" s="99">
        <f>SUM(B42:E42)</f>
        <v>0</v>
      </c>
      <c r="G42" s="97"/>
      <c r="H42" s="97"/>
      <c r="I42" s="97"/>
      <c r="J42" s="97"/>
      <c r="K42" s="99">
        <f>SUM(G42:J42)</f>
        <v>0</v>
      </c>
      <c r="L42" s="97"/>
      <c r="M42" s="97"/>
      <c r="N42" s="97"/>
      <c r="O42" s="97"/>
      <c r="P42" s="99">
        <f>SUM(L42:O42)</f>
        <v>0</v>
      </c>
      <c r="Q42" s="97"/>
      <c r="R42" s="97"/>
      <c r="S42" s="97"/>
      <c r="T42" s="97"/>
      <c r="U42" s="99">
        <f>SUM(Q42:T42)</f>
        <v>0</v>
      </c>
      <c r="V42" s="97"/>
      <c r="W42" s="97"/>
      <c r="X42" s="97"/>
      <c r="Y42" s="97"/>
      <c r="Z42" s="99">
        <f>SUM(V42:Y42)</f>
        <v>0</v>
      </c>
      <c r="AA42" s="97"/>
      <c r="AB42" s="97"/>
      <c r="AC42" s="97"/>
      <c r="AD42" s="97"/>
      <c r="AE42" s="99">
        <f>SUM(AA42:AD42)</f>
        <v>0</v>
      </c>
      <c r="AF42" s="97">
        <f>'Income Statement'!AF7</f>
        <v>0</v>
      </c>
      <c r="AG42" s="97">
        <f>'Income Statement'!AG7</f>
        <v>0</v>
      </c>
      <c r="AH42" s="97">
        <f>'Income Statement'!AH7</f>
        <v>0</v>
      </c>
      <c r="AI42" s="97">
        <f>'Income Statement'!AI7</f>
        <v>0</v>
      </c>
      <c r="AJ42" s="99">
        <f>SUM(AF42:AI42)</f>
        <v>0</v>
      </c>
      <c r="AK42" s="97">
        <f>'Income Statement'!AK7</f>
        <v>0</v>
      </c>
      <c r="AL42" s="97">
        <f>'Income Statement'!AL7</f>
        <v>0</v>
      </c>
      <c r="AM42" s="97">
        <f>'Income Statement'!AM7</f>
        <v>0</v>
      </c>
      <c r="AN42" s="97">
        <f>'Income Statement'!AN7</f>
        <v>0</v>
      </c>
      <c r="AO42" s="99">
        <f>SUM(AK42:AN42)</f>
        <v>0</v>
      </c>
      <c r="AP42" s="97">
        <f>'Income Statement'!AP7</f>
        <v>0</v>
      </c>
      <c r="AQ42" s="97">
        <f>'Income Statement'!AQ7</f>
        <v>0</v>
      </c>
      <c r="AR42" s="97">
        <f>'Income Statement'!AR7</f>
        <v>0</v>
      </c>
      <c r="AS42" s="97">
        <f>'Income Statement'!AS7</f>
        <v>0</v>
      </c>
      <c r="AT42" s="99">
        <f>SUM(AP42:AS42)</f>
        <v>0</v>
      </c>
      <c r="AU42" s="97">
        <f>'Income Statement'!AU7</f>
        <v>0</v>
      </c>
      <c r="AV42" s="97">
        <f>'Income Statement'!AV7</f>
        <v>0</v>
      </c>
      <c r="AW42" s="97">
        <f>'Income Statement'!AW7</f>
        <v>0</v>
      </c>
      <c r="AX42" s="97">
        <f>'Income Statement'!AX7</f>
        <v>0</v>
      </c>
      <c r="AY42" s="99">
        <f>SUM(AU42:AX42)</f>
        <v>0</v>
      </c>
      <c r="AZ42" s="97">
        <f>'Income Statement'!AZ7</f>
        <v>0</v>
      </c>
      <c r="BA42" s="97">
        <f>'Income Statement'!BA7</f>
        <v>0</v>
      </c>
      <c r="BB42" s="97">
        <f>'Income Statement'!BB7</f>
        <v>0</v>
      </c>
      <c r="BC42" s="97">
        <f>'Income Statement'!BC7</f>
        <v>443842</v>
      </c>
      <c r="BD42" s="99">
        <f>SUM(AZ42:BC42)</f>
        <v>443842</v>
      </c>
      <c r="BE42" s="97">
        <f>'Income Statement'!BE7</f>
        <v>0</v>
      </c>
      <c r="BF42" s="97">
        <f>'Income Statement'!BF7</f>
        <v>0</v>
      </c>
      <c r="BG42" s="97">
        <f>'Income Statement'!BG7</f>
        <v>0</v>
      </c>
      <c r="BH42" s="97">
        <f>'Income Statement'!BH7</f>
        <v>418891</v>
      </c>
      <c r="BI42" s="99">
        <f>SUM(BE42:BH42)</f>
        <v>418891</v>
      </c>
      <c r="BJ42" s="97">
        <f>'Income Statement'!BJ7</f>
        <v>0</v>
      </c>
      <c r="BK42" s="97">
        <f>'Income Statement'!BK7</f>
        <v>0</v>
      </c>
      <c r="BL42" s="97">
        <f>'Income Statement'!BL7</f>
        <v>0</v>
      </c>
      <c r="BM42" s="97">
        <f>'Income Statement'!BM7</f>
        <v>264902</v>
      </c>
      <c r="BN42" s="99">
        <f>SUM(BJ42:BM42)</f>
        <v>264902</v>
      </c>
      <c r="BO42" s="97">
        <f>'Income Statement'!BO7</f>
        <v>0</v>
      </c>
      <c r="BP42" s="97">
        <f>'Income Statement'!BP7</f>
        <v>0</v>
      </c>
      <c r="BQ42" s="97">
        <f>'Income Statement'!BQ7</f>
        <v>0</v>
      </c>
      <c r="BR42" s="97">
        <f>'Income Statement'!BR7</f>
        <v>102559</v>
      </c>
      <c r="BS42" s="99">
        <f>SUM(BO42:BR42)</f>
        <v>102559</v>
      </c>
      <c r="BT42" s="97">
        <f>'Income Statement'!BT7</f>
        <v>0</v>
      </c>
      <c r="BU42" s="97">
        <f>'Income Statement'!BU7</f>
        <v>0</v>
      </c>
      <c r="BV42" s="97">
        <f>'Income Statement'!BV7</f>
        <v>0</v>
      </c>
      <c r="BW42" s="97">
        <f>'Income Statement'!BW7</f>
        <v>22851</v>
      </c>
      <c r="BX42" s="99">
        <f>SUM(BT42:BW42)</f>
        <v>22851</v>
      </c>
      <c r="BY42" s="97">
        <f>'Income Statement'!BY7</f>
        <v>1631</v>
      </c>
      <c r="BZ42" s="97">
        <f>'Income Statement'!BZ7</f>
        <v>28524</v>
      </c>
      <c r="CA42" s="97">
        <f>'Income Statement'!CA7</f>
        <v>1241</v>
      </c>
      <c r="CB42" s="97">
        <f>'Income Statement'!CB7</f>
        <v>-18291</v>
      </c>
      <c r="CC42" s="99">
        <f>SUM(BY42:CB42)</f>
        <v>13105</v>
      </c>
      <c r="CD42" s="97">
        <f>'Income Statement'!CD7</f>
        <v>841</v>
      </c>
      <c r="CE42" s="97">
        <f>'Income Statement'!CE7</f>
        <v>679</v>
      </c>
      <c r="CF42" s="97">
        <f>'Income Statement'!CF7</f>
        <v>1099</v>
      </c>
      <c r="CG42" s="97">
        <f>'Income Statement'!CG7</f>
        <v>7649</v>
      </c>
      <c r="CH42" s="99">
        <f>SUM(CD42:CG42)</f>
        <v>10268</v>
      </c>
      <c r="CI42" s="97">
        <f>'Income Statement'!CI7</f>
        <v>1114</v>
      </c>
      <c r="CJ42" s="97">
        <f>'Income Statement'!CJ7</f>
        <v>1364</v>
      </c>
      <c r="CK42" s="97">
        <f>'Income Statement'!CK7</f>
        <v>1072</v>
      </c>
      <c r="CL42" s="97">
        <f>'Income Statement'!CL7</f>
        <v>700</v>
      </c>
      <c r="CM42" s="99">
        <f>SUM(CI42:CL42)</f>
        <v>4250</v>
      </c>
      <c r="CN42" s="97">
        <f>'Income Statement'!CN7</f>
        <v>1065</v>
      </c>
      <c r="CO42" s="97">
        <f>'Income Statement'!CO7</f>
        <v>1756</v>
      </c>
      <c r="CP42" s="97">
        <f>'Income Statement'!CP7</f>
        <v>1376</v>
      </c>
      <c r="CQ42" s="97">
        <f>'Income Statement'!CQ7</f>
        <v>1176</v>
      </c>
      <c r="CR42" s="99">
        <f>SUM(CN42:CQ42)</f>
        <v>5373</v>
      </c>
      <c r="CS42" s="97">
        <f>'Income Statement'!CS7</f>
        <v>1576</v>
      </c>
      <c r="CT42" s="97">
        <f>'Income Statement'!CT7</f>
        <v>1173</v>
      </c>
      <c r="CU42" s="97">
        <f>'Income Statement'!CU7</f>
        <v>1637</v>
      </c>
      <c r="CV42" s="97">
        <f>'Income Statement'!CV7</f>
        <v>967</v>
      </c>
      <c r="CW42" s="99">
        <f>SUM(CS42:CV42)</f>
        <v>5353</v>
      </c>
      <c r="CX42" s="97">
        <f>'Income Statement'!CX7</f>
        <v>1761</v>
      </c>
      <c r="CY42" s="97">
        <f>'Income Statement'!CY7</f>
        <v>937</v>
      </c>
      <c r="CZ42" s="97">
        <f>'Income Statement'!CZ7</f>
        <v>0</v>
      </c>
      <c r="DA42" s="97">
        <f>'Income Statement'!DA7</f>
        <v>16</v>
      </c>
      <c r="DB42" s="99">
        <f>SUM(CX42:DA42)</f>
        <v>2714</v>
      </c>
      <c r="DC42" s="97">
        <f>'Income Statement'!DC7</f>
        <v>6414</v>
      </c>
      <c r="DD42" s="97">
        <f>'Income Statement'!DD7</f>
        <v>381</v>
      </c>
      <c r="DE42" s="97">
        <f>'Income Statement'!DE7</f>
        <v>2324</v>
      </c>
      <c r="DF42" s="97">
        <f>'Income Statement'!DF7</f>
        <v>1716</v>
      </c>
      <c r="DG42" s="99">
        <f>SUM(DC42:DF42)</f>
        <v>10835</v>
      </c>
      <c r="DH42" s="97">
        <f>'Income Statement'!DH7</f>
        <v>1439</v>
      </c>
      <c r="DI42" s="97">
        <f>'Income Statement'!DI7</f>
        <v>555</v>
      </c>
      <c r="DJ42" s="97">
        <f>DJ43*DJ36</f>
        <v>3428.1948163943439</v>
      </c>
      <c r="DK42" s="97">
        <f>DK43*DK36</f>
        <v>3712.2288161925953</v>
      </c>
      <c r="DL42" s="99">
        <f>SUM(DH42:DK42)</f>
        <v>9134.4236325869388</v>
      </c>
      <c r="DM42" s="97">
        <f>DM43*DM36</f>
        <v>3792.2589852509177</v>
      </c>
      <c r="DN42" s="97">
        <f>DN43*DN36</f>
        <v>3917.1378228295748</v>
      </c>
      <c r="DO42" s="97">
        <f>DO43*DO36</f>
        <v>4023.0788645020243</v>
      </c>
      <c r="DP42" s="97">
        <f>DP43*DP36</f>
        <v>4120.8687776661418</v>
      </c>
      <c r="DQ42" s="99">
        <f>SUM(DM42:DP42)</f>
        <v>15853.34445024866</v>
      </c>
      <c r="DR42" s="97">
        <f>DR43*DR36</f>
        <v>4212.6366055819553</v>
      </c>
      <c r="DS42" s="97">
        <f>DS43*DS36</f>
        <v>4299.8597034877594</v>
      </c>
      <c r="DT42" s="97">
        <f>DT43*DT36</f>
        <v>4383.4981154074785</v>
      </c>
      <c r="DU42" s="97">
        <f>DU43*DU36</f>
        <v>4464.215866149776</v>
      </c>
      <c r="DV42" s="99">
        <f>SUM(DR42:DU42)</f>
        <v>17360.210290626972</v>
      </c>
      <c r="DW42" s="97">
        <f>DW43*DW36</f>
        <v>4542.5001302350965</v>
      </c>
      <c r="DX42" s="97">
        <f>DX43*DX36</f>
        <v>4618.7287059082346</v>
      </c>
      <c r="DY42" s="97">
        <f>DY43*DY36</f>
        <v>4693.2085333045588</v>
      </c>
      <c r="DZ42" s="97">
        <f>DZ43*DZ36</f>
        <v>4766.1980539748238</v>
      </c>
      <c r="EA42" s="99">
        <f>SUM(DW42:DZ42)</f>
        <v>18620.635423422711</v>
      </c>
      <c r="EB42" s="97">
        <f>EB43*EB36</f>
        <v>4837.9205124616028</v>
      </c>
      <c r="EC42" s="97">
        <f>EC43*EC36</f>
        <v>4908.5721470237295</v>
      </c>
      <c r="ED42" s="97">
        <f>ED43*ED36</f>
        <v>4978.3274667911801</v>
      </c>
      <c r="EE42" s="97">
        <f>EE43*EE36</f>
        <v>5047.3428415241151</v>
      </c>
      <c r="EF42" s="99">
        <f>SUM(EB42:EE42)</f>
        <v>19772.162967800625</v>
      </c>
    </row>
    <row r="43" spans="1:136" s="70" customFormat="1" ht="12.75" customHeight="1" outlineLevel="1">
      <c r="A43" s="70" t="s">
        <v>137</v>
      </c>
      <c r="B43" s="109" t="e">
        <f>B42/#REF!</f>
        <v>#REF!</v>
      </c>
      <c r="C43" s="109" t="e">
        <f>C42/#REF!</f>
        <v>#REF!</v>
      </c>
      <c r="D43" s="109" t="e">
        <f>D42/#REF!</f>
        <v>#REF!</v>
      </c>
      <c r="E43" s="109" t="e">
        <f>E42/#REF!</f>
        <v>#REF!</v>
      </c>
      <c r="F43" s="103" t="e">
        <f>F42/F36</f>
        <v>#DIV/0!</v>
      </c>
      <c r="G43" s="109" t="e">
        <f>G42/#REF!</f>
        <v>#REF!</v>
      </c>
      <c r="H43" s="109" t="e">
        <f>H42/#REF!</f>
        <v>#REF!</v>
      </c>
      <c r="I43" s="109" t="e">
        <f>I42/#REF!</f>
        <v>#REF!</v>
      </c>
      <c r="J43" s="109" t="e">
        <f>J42/#REF!</f>
        <v>#REF!</v>
      </c>
      <c r="K43" s="103" t="e">
        <f>K42/K36</f>
        <v>#DIV/0!</v>
      </c>
      <c r="L43" s="109" t="e">
        <f>L42/#REF!</f>
        <v>#REF!</v>
      </c>
      <c r="M43" s="109" t="e">
        <f>M42/#REF!</f>
        <v>#REF!</v>
      </c>
      <c r="N43" s="109" t="e">
        <f>N42/#REF!</f>
        <v>#REF!</v>
      </c>
      <c r="O43" s="109" t="e">
        <f>O42/#REF!</f>
        <v>#REF!</v>
      </c>
      <c r="P43" s="103" t="e">
        <f>P42/P36</f>
        <v>#DIV/0!</v>
      </c>
      <c r="Q43" s="109" t="e">
        <f>Q42/#REF!</f>
        <v>#REF!</v>
      </c>
      <c r="R43" s="109" t="e">
        <f>R42/#REF!</f>
        <v>#REF!</v>
      </c>
      <c r="S43" s="109" t="e">
        <f>S42/#REF!</f>
        <v>#REF!</v>
      </c>
      <c r="T43" s="109" t="e">
        <f>T42/#REF!</f>
        <v>#REF!</v>
      </c>
      <c r="U43" s="103" t="e">
        <f>U42/U36</f>
        <v>#DIV/0!</v>
      </c>
      <c r="V43" s="109" t="e">
        <f>V42/#REF!</f>
        <v>#REF!</v>
      </c>
      <c r="W43" s="109" t="e">
        <f>W42/#REF!</f>
        <v>#REF!</v>
      </c>
      <c r="X43" s="109" t="e">
        <f>X42/#REF!</f>
        <v>#REF!</v>
      </c>
      <c r="Y43" s="109" t="e">
        <f>Y42/#REF!</f>
        <v>#REF!</v>
      </c>
      <c r="Z43" s="103" t="e">
        <f>Z42/Z36</f>
        <v>#DIV/0!</v>
      </c>
      <c r="AA43" s="109" t="e">
        <f>AA42/#REF!</f>
        <v>#REF!</v>
      </c>
      <c r="AB43" s="109" t="e">
        <f>AB42/#REF!</f>
        <v>#REF!</v>
      </c>
      <c r="AC43" s="109" t="e">
        <f>AC42/#REF!</f>
        <v>#REF!</v>
      </c>
      <c r="AD43" s="109" t="e">
        <f>AD42/#REF!</f>
        <v>#REF!</v>
      </c>
      <c r="AE43" s="103" t="e">
        <f t="shared" ref="AE43:AJ43" si="46">AE42/AE36</f>
        <v>#DIV/0!</v>
      </c>
      <c r="AF43" s="109" t="e">
        <f t="shared" si="46"/>
        <v>#DIV/0!</v>
      </c>
      <c r="AG43" s="109" t="e">
        <f t="shared" si="46"/>
        <v>#DIV/0!</v>
      </c>
      <c r="AH43" s="109" t="e">
        <f t="shared" si="46"/>
        <v>#DIV/0!</v>
      </c>
      <c r="AI43" s="109">
        <f t="shared" si="46"/>
        <v>0</v>
      </c>
      <c r="AJ43" s="110">
        <f t="shared" si="46"/>
        <v>0</v>
      </c>
      <c r="AK43" s="109" t="e">
        <f t="shared" ref="AK43:BG43" si="47">AK42/AK36</f>
        <v>#DIV/0!</v>
      </c>
      <c r="AL43" s="109" t="e">
        <f t="shared" si="47"/>
        <v>#DIV/0!</v>
      </c>
      <c r="AM43" s="109" t="e">
        <f t="shared" si="47"/>
        <v>#DIV/0!</v>
      </c>
      <c r="AN43" s="109">
        <f t="shared" si="47"/>
        <v>0</v>
      </c>
      <c r="AO43" s="110">
        <f t="shared" si="47"/>
        <v>0</v>
      </c>
      <c r="AP43" s="109" t="e">
        <f t="shared" si="47"/>
        <v>#DIV/0!</v>
      </c>
      <c r="AQ43" s="109" t="e">
        <f t="shared" si="47"/>
        <v>#DIV/0!</v>
      </c>
      <c r="AR43" s="109" t="e">
        <f t="shared" si="47"/>
        <v>#DIV/0!</v>
      </c>
      <c r="AS43" s="109">
        <f t="shared" si="47"/>
        <v>0</v>
      </c>
      <c r="AT43" s="110">
        <f t="shared" si="47"/>
        <v>0</v>
      </c>
      <c r="AU43" s="109" t="e">
        <f t="shared" si="47"/>
        <v>#DIV/0!</v>
      </c>
      <c r="AV43" s="109" t="e">
        <f t="shared" si="47"/>
        <v>#DIV/0!</v>
      </c>
      <c r="AW43" s="109" t="e">
        <f t="shared" si="47"/>
        <v>#DIV/0!</v>
      </c>
      <c r="AX43" s="109">
        <f t="shared" si="47"/>
        <v>0</v>
      </c>
      <c r="AY43" s="110">
        <f t="shared" si="47"/>
        <v>0</v>
      </c>
      <c r="AZ43" s="109" t="e">
        <f t="shared" si="47"/>
        <v>#DIV/0!</v>
      </c>
      <c r="BA43" s="109" t="e">
        <f t="shared" si="47"/>
        <v>#DIV/0!</v>
      </c>
      <c r="BB43" s="109" t="e">
        <f t="shared" si="47"/>
        <v>#DIV/0!</v>
      </c>
      <c r="BC43" s="109">
        <f t="shared" si="47"/>
        <v>0.9461080652450099</v>
      </c>
      <c r="BD43" s="110">
        <f t="shared" si="47"/>
        <v>0.9461080652450099</v>
      </c>
      <c r="BE43" s="109" t="e">
        <f t="shared" si="47"/>
        <v>#DIV/0!</v>
      </c>
      <c r="BF43" s="109" t="e">
        <f t="shared" si="47"/>
        <v>#DIV/0!</v>
      </c>
      <c r="BG43" s="109" t="e">
        <f t="shared" si="47"/>
        <v>#DIV/0!</v>
      </c>
      <c r="BH43" s="109">
        <f t="shared" ref="BH43:CA43" si="48">BH42/BH36</f>
        <v>0.92504521534428807</v>
      </c>
      <c r="BI43" s="110">
        <f t="shared" si="48"/>
        <v>0.92504521534428807</v>
      </c>
      <c r="BJ43" s="109" t="e">
        <f t="shared" si="48"/>
        <v>#DIV/0!</v>
      </c>
      <c r="BK43" s="109" t="e">
        <f t="shared" si="48"/>
        <v>#DIV/0!</v>
      </c>
      <c r="BL43" s="109" t="e">
        <f t="shared" si="48"/>
        <v>#DIV/0!</v>
      </c>
      <c r="BM43" s="109">
        <f t="shared" si="48"/>
        <v>0.475665639567038</v>
      </c>
      <c r="BN43" s="110">
        <f t="shared" si="48"/>
        <v>0.475665639567038</v>
      </c>
      <c r="BO43" s="109" t="e">
        <f t="shared" si="48"/>
        <v>#DIV/0!</v>
      </c>
      <c r="BP43" s="109" t="e">
        <f t="shared" si="48"/>
        <v>#DIV/0!</v>
      </c>
      <c r="BQ43" s="109" t="e">
        <f t="shared" si="48"/>
        <v>#DIV/0!</v>
      </c>
      <c r="BR43" s="109">
        <f t="shared" si="48"/>
        <v>0.14061448140363578</v>
      </c>
      <c r="BS43" s="110">
        <f t="shared" si="48"/>
        <v>0.14061448140363578</v>
      </c>
      <c r="BT43" s="109" t="e">
        <f t="shared" si="48"/>
        <v>#DIV/0!</v>
      </c>
      <c r="BU43" s="109" t="e">
        <f t="shared" si="48"/>
        <v>#DIV/0!</v>
      </c>
      <c r="BV43" s="109" t="e">
        <f t="shared" si="48"/>
        <v>#DIV/0!</v>
      </c>
      <c r="BW43" s="109">
        <f t="shared" si="48"/>
        <v>2.4835505937436827E-2</v>
      </c>
      <c r="BX43" s="110">
        <f t="shared" si="48"/>
        <v>2.4835505937436827E-2</v>
      </c>
      <c r="BY43" s="109">
        <f t="shared" si="48"/>
        <v>8.5100388195516966E-3</v>
      </c>
      <c r="BZ43" s="109">
        <f t="shared" si="48"/>
        <v>0.11638363676423787</v>
      </c>
      <c r="CA43" s="109">
        <f t="shared" si="48"/>
        <v>4.6490892879887911E-3</v>
      </c>
      <c r="CB43" s="109">
        <f>CA43</f>
        <v>4.6490892879887911E-3</v>
      </c>
      <c r="CC43" s="110">
        <f t="shared" ref="CC43:DD43" si="49">CC42/CC36</f>
        <v>1.0845442146041969E-2</v>
      </c>
      <c r="CD43" s="109">
        <f t="shared" si="49"/>
        <v>3.6209888184209733E-3</v>
      </c>
      <c r="CE43" s="109">
        <f t="shared" si="49"/>
        <v>2.6968523483268791E-3</v>
      </c>
      <c r="CF43" s="109">
        <f t="shared" si="49"/>
        <v>3.2962814106524776E-3</v>
      </c>
      <c r="CG43" s="109">
        <f t="shared" si="49"/>
        <v>2.2147582991907114E-2</v>
      </c>
      <c r="CH43" s="110">
        <f t="shared" si="49"/>
        <v>8.8303865745100411E-3</v>
      </c>
      <c r="CI43" s="109">
        <f t="shared" si="49"/>
        <v>3.2209378306954795E-3</v>
      </c>
      <c r="CJ43" s="109">
        <f t="shared" si="49"/>
        <v>2.9606476959475594E-3</v>
      </c>
      <c r="CK43" s="109">
        <f t="shared" si="49"/>
        <v>2.3022868237032455E-3</v>
      </c>
      <c r="CL43" s="109">
        <f t="shared" si="49"/>
        <v>1.3951893869936459E-3</v>
      </c>
      <c r="CM43" s="110">
        <f t="shared" si="49"/>
        <v>2.3958239379453412E-3</v>
      </c>
      <c r="CN43" s="109">
        <f t="shared" si="49"/>
        <v>2.3298804432242046E-3</v>
      </c>
      <c r="CO43" s="109">
        <f t="shared" si="49"/>
        <v>2.8569057888134892E-3</v>
      </c>
      <c r="CP43" s="109">
        <f t="shared" si="49"/>
        <v>2.153159088099571E-3</v>
      </c>
      <c r="CQ43" s="109">
        <f t="shared" si="49"/>
        <v>1.9856647164602486E-3</v>
      </c>
      <c r="CR43" s="110">
        <f t="shared" si="49"/>
        <v>2.3329810487081981E-3</v>
      </c>
      <c r="CS43" s="109">
        <f t="shared" si="49"/>
        <v>2.6013168341181849E-3</v>
      </c>
      <c r="CT43" s="109">
        <f t="shared" si="49"/>
        <v>1.5804812585643085E-3</v>
      </c>
      <c r="CU43" s="109">
        <f t="shared" si="49"/>
        <v>2.1356315181117729E-3</v>
      </c>
      <c r="CV43" s="109">
        <f t="shared" si="49"/>
        <v>1.1677220845590188E-3</v>
      </c>
      <c r="CW43" s="110">
        <f t="shared" si="49"/>
        <v>1.8191073902044822E-3</v>
      </c>
      <c r="CX43" s="109">
        <f t="shared" si="49"/>
        <v>2.0640814661659424E-3</v>
      </c>
      <c r="CY43" s="109">
        <f t="shared" si="49"/>
        <v>9.2139253190211018E-4</v>
      </c>
      <c r="CZ43" s="109">
        <f t="shared" si="49"/>
        <v>0</v>
      </c>
      <c r="DA43" s="109">
        <f t="shared" si="49"/>
        <v>1.5144917933475947E-5</v>
      </c>
      <c r="DB43" s="110">
        <f t="shared" si="49"/>
        <v>6.7766833154011739E-4</v>
      </c>
      <c r="DC43" s="109">
        <f t="shared" si="49"/>
        <v>5.1809662897932375E-3</v>
      </c>
      <c r="DD43" s="109">
        <f t="shared" si="49"/>
        <v>2.7706954954745308E-4</v>
      </c>
      <c r="DE43" s="109">
        <f t="shared" ref="DE43:DF43" si="50">DE42/DE36</f>
        <v>1.6059738911766109E-3</v>
      </c>
      <c r="DF43" s="109">
        <f t="shared" si="50"/>
        <v>1.1817335397464645E-3</v>
      </c>
      <c r="DG43" s="110">
        <f>DG42/DG36</f>
        <v>1.9656041942564808E-3</v>
      </c>
      <c r="DH43" s="109">
        <f t="shared" ref="DH43:DI43" si="51">DH42/DH36</f>
        <v>8.758182266354643E-4</v>
      </c>
      <c r="DI43" s="109">
        <f t="shared" si="51"/>
        <v>3.2170201814399384E-4</v>
      </c>
      <c r="DJ43" s="106">
        <v>2E-3</v>
      </c>
      <c r="DK43" s="106">
        <v>2E-3</v>
      </c>
      <c r="DL43" s="110">
        <f>DL42/DL36</f>
        <v>1.3164941940076379E-3</v>
      </c>
      <c r="DM43" s="106">
        <v>2E-3</v>
      </c>
      <c r="DN43" s="106">
        <f>DM43</f>
        <v>2E-3</v>
      </c>
      <c r="DO43" s="106">
        <f>DN43</f>
        <v>2E-3</v>
      </c>
      <c r="DP43" s="106">
        <f>DO43</f>
        <v>2E-3</v>
      </c>
      <c r="DQ43" s="110">
        <f>DQ42/DQ36</f>
        <v>2E-3</v>
      </c>
      <c r="DR43" s="106">
        <f>DP43</f>
        <v>2E-3</v>
      </c>
      <c r="DS43" s="106">
        <f>DR43</f>
        <v>2E-3</v>
      </c>
      <c r="DT43" s="106">
        <f>DS43</f>
        <v>2E-3</v>
      </c>
      <c r="DU43" s="106">
        <f>DT43</f>
        <v>2E-3</v>
      </c>
      <c r="DV43" s="110">
        <f>DV42/DV36</f>
        <v>2.0000000000000005E-3</v>
      </c>
      <c r="DW43" s="106">
        <f>DU43</f>
        <v>2E-3</v>
      </c>
      <c r="DX43" s="106">
        <f>DW43</f>
        <v>2E-3</v>
      </c>
      <c r="DY43" s="106">
        <f>DX43</f>
        <v>2E-3</v>
      </c>
      <c r="DZ43" s="106">
        <f>DY43</f>
        <v>2E-3</v>
      </c>
      <c r="EA43" s="110">
        <f>EA42/EA36</f>
        <v>1.9999999999999996E-3</v>
      </c>
      <c r="EB43" s="106">
        <f>DZ43</f>
        <v>2E-3</v>
      </c>
      <c r="EC43" s="106">
        <f>EB43</f>
        <v>2E-3</v>
      </c>
      <c r="ED43" s="106">
        <f>EC43</f>
        <v>2E-3</v>
      </c>
      <c r="EE43" s="106">
        <f>ED43</f>
        <v>2E-3</v>
      </c>
      <c r="EF43" s="110">
        <f>EF42/EF36</f>
        <v>2E-3</v>
      </c>
    </row>
    <row r="44" spans="1:136" s="111" customFormat="1" ht="12.75" customHeight="1">
      <c r="B44" s="112"/>
      <c r="C44" s="112"/>
      <c r="D44" s="112"/>
      <c r="E44" s="112"/>
      <c r="F44" s="113"/>
      <c r="G44" s="112"/>
      <c r="H44" s="112"/>
      <c r="I44" s="112"/>
      <c r="J44" s="112"/>
      <c r="K44" s="113"/>
      <c r="L44" s="112"/>
      <c r="M44" s="112"/>
      <c r="N44" s="112"/>
      <c r="O44" s="112"/>
      <c r="P44" s="113"/>
      <c r="Q44" s="112"/>
      <c r="R44" s="112"/>
      <c r="S44" s="112"/>
      <c r="T44" s="112"/>
      <c r="U44" s="113"/>
      <c r="V44" s="112"/>
      <c r="W44" s="112"/>
      <c r="X44" s="112"/>
      <c r="Y44" s="112"/>
      <c r="Z44" s="113"/>
      <c r="AA44" s="112"/>
      <c r="AB44" s="112"/>
      <c r="AC44" s="112"/>
      <c r="AD44" s="112"/>
      <c r="AE44" s="113"/>
      <c r="AF44" s="112" t="e">
        <f>'Income Statement'!AF93/AF35</f>
        <v>#DIV/0!</v>
      </c>
      <c r="AG44" s="112" t="e">
        <f>'Income Statement'!AG93/AG35</f>
        <v>#DIV/0!</v>
      </c>
      <c r="AH44" s="112" t="e">
        <f>'Income Statement'!AH93/AH35</f>
        <v>#DIV/0!</v>
      </c>
      <c r="AI44" s="112" t="e">
        <f>'Income Statement'!AI93/AI35</f>
        <v>#DIV/0!</v>
      </c>
      <c r="AJ44" s="113"/>
      <c r="AK44" s="112" t="e">
        <f>'Income Statement'!AK93/AK35</f>
        <v>#DIV/0!</v>
      </c>
      <c r="AL44" s="112" t="e">
        <f>'Income Statement'!AL93/AL35</f>
        <v>#DIV/0!</v>
      </c>
      <c r="AM44" s="112" t="e">
        <f>'Income Statement'!AM93/AM35</f>
        <v>#DIV/0!</v>
      </c>
      <c r="AN44" s="112" t="e">
        <f>'Income Statement'!AN93/AN35</f>
        <v>#DIV/0!</v>
      </c>
      <c r="AO44" s="113"/>
      <c r="AP44" s="112" t="e">
        <f>'Income Statement'!AP93/AP35</f>
        <v>#DIV/0!</v>
      </c>
      <c r="AQ44" s="112" t="e">
        <f>'Income Statement'!AQ93/AQ35</f>
        <v>#DIV/0!</v>
      </c>
      <c r="AR44" s="112" t="e">
        <f>'Income Statement'!AR93/AR35</f>
        <v>#DIV/0!</v>
      </c>
      <c r="AS44" s="112" t="e">
        <f>'Income Statement'!AS93/AS35</f>
        <v>#DIV/0!</v>
      </c>
      <c r="AT44" s="113"/>
      <c r="AU44" s="112" t="e">
        <f>'Income Statement'!AU93/AU35</f>
        <v>#DIV/0!</v>
      </c>
      <c r="AV44" s="112" t="e">
        <f>'Income Statement'!AV93/AV35</f>
        <v>#DIV/0!</v>
      </c>
      <c r="AW44" s="112" t="e">
        <f>'Income Statement'!AW93/AW35</f>
        <v>#DIV/0!</v>
      </c>
      <c r="AX44" s="112" t="e">
        <f>'Income Statement'!AX93/AX35</f>
        <v>#DIV/0!</v>
      </c>
      <c r="AY44" s="113"/>
      <c r="AZ44" s="112" t="e">
        <f>'Income Statement'!AZ93/AZ35</f>
        <v>#DIV/0!</v>
      </c>
      <c r="BA44" s="112" t="e">
        <f>'Income Statement'!BA93/BA35</f>
        <v>#DIV/0!</v>
      </c>
      <c r="BB44" s="112" t="e">
        <f>'Income Statement'!BB93/BB35</f>
        <v>#DIV/0!</v>
      </c>
      <c r="BC44" s="112" t="e">
        <f>'Income Statement'!BC93/BC35</f>
        <v>#DIV/0!</v>
      </c>
      <c r="BD44" s="113"/>
      <c r="BE44" s="112"/>
      <c r="BF44" s="112"/>
      <c r="BG44" s="112"/>
      <c r="BH44" s="112"/>
      <c r="BI44" s="113"/>
      <c r="BJ44" s="112"/>
      <c r="BK44" s="112"/>
      <c r="BL44" s="112"/>
      <c r="BM44" s="112"/>
      <c r="BN44" s="113"/>
      <c r="BO44" s="112"/>
      <c r="BP44" s="112"/>
      <c r="BQ44" s="112"/>
      <c r="BR44" s="112"/>
      <c r="BS44" s="113"/>
      <c r="BT44" s="112"/>
      <c r="BU44" s="112"/>
      <c r="BV44" s="112"/>
      <c r="BW44" s="112"/>
      <c r="BX44" s="113"/>
      <c r="BY44" s="112"/>
      <c r="BZ44" s="112"/>
      <c r="CA44" s="112"/>
      <c r="CB44" s="112"/>
      <c r="CC44" s="113"/>
      <c r="CD44" s="112"/>
      <c r="CE44" s="112"/>
      <c r="CF44" s="112"/>
      <c r="CG44" s="112"/>
      <c r="CH44" s="113"/>
      <c r="CI44" s="112"/>
      <c r="CJ44" s="112"/>
      <c r="CK44" s="112"/>
      <c r="CL44" s="112"/>
      <c r="CM44" s="113"/>
      <c r="CN44" s="112"/>
      <c r="CO44" s="112"/>
      <c r="CP44" s="112"/>
      <c r="CQ44" s="112"/>
      <c r="CR44" s="113"/>
      <c r="CS44" s="112"/>
      <c r="CT44" s="112"/>
      <c r="CU44" s="112"/>
      <c r="CV44" s="112"/>
      <c r="CW44" s="113"/>
      <c r="CX44" s="112"/>
      <c r="CY44" s="112"/>
      <c r="CZ44" s="112"/>
      <c r="DA44" s="112"/>
      <c r="DB44" s="113"/>
      <c r="DC44" s="112"/>
      <c r="DD44" s="112"/>
      <c r="DE44" s="112"/>
      <c r="DF44" s="112"/>
      <c r="DG44" s="113"/>
      <c r="DH44" s="112"/>
      <c r="DI44" s="112"/>
      <c r="DJ44" s="112"/>
      <c r="DK44" s="112"/>
      <c r="DL44" s="113"/>
      <c r="DM44" s="112"/>
      <c r="DN44" s="112"/>
      <c r="DO44" s="112"/>
      <c r="DP44" s="112"/>
      <c r="DQ44" s="113"/>
      <c r="DR44" s="112"/>
      <c r="DS44" s="112"/>
      <c r="DT44" s="112"/>
      <c r="DU44" s="112"/>
      <c r="DV44" s="113"/>
      <c r="DW44" s="112"/>
      <c r="DX44" s="112"/>
      <c r="DY44" s="112"/>
      <c r="DZ44" s="112"/>
      <c r="EA44" s="113"/>
      <c r="EB44" s="112"/>
      <c r="EC44" s="112"/>
      <c r="ED44" s="112"/>
      <c r="EE44" s="112"/>
      <c r="EF44" s="113"/>
    </row>
    <row r="45" spans="1:136" s="8" customFormat="1" ht="12.75" customHeight="1" thickBot="1">
      <c r="A45" s="4" t="s">
        <v>87</v>
      </c>
      <c r="B45" s="30" t="str">
        <f>Macro!B$9</f>
        <v>1Q04</v>
      </c>
      <c r="C45" s="30" t="str">
        <f>Macro!C$9</f>
        <v>2Q04</v>
      </c>
      <c r="D45" s="30" t="str">
        <f>Macro!D$9</f>
        <v>3Q04</v>
      </c>
      <c r="E45" s="31" t="str">
        <f>Macro!E$9</f>
        <v>4Q04</v>
      </c>
      <c r="F45" s="29" t="str">
        <f>Macro!F$9</f>
        <v>2004</v>
      </c>
      <c r="G45" s="30" t="str">
        <f>Macro!G$9</f>
        <v>1Q05</v>
      </c>
      <c r="H45" s="30" t="str">
        <f>Macro!H$9</f>
        <v>2Q05</v>
      </c>
      <c r="I45" s="30" t="str">
        <f>Macro!I$9</f>
        <v>3Q05</v>
      </c>
      <c r="J45" s="31" t="str">
        <f>Macro!J$9</f>
        <v>4Q05</v>
      </c>
      <c r="K45" s="29" t="str">
        <f>Macro!K$9</f>
        <v>2005</v>
      </c>
      <c r="L45" s="30" t="str">
        <f>Macro!L$9</f>
        <v>1Q06</v>
      </c>
      <c r="M45" s="30" t="str">
        <f>Macro!M$9</f>
        <v>2Q06</v>
      </c>
      <c r="N45" s="30" t="str">
        <f>Macro!N$9</f>
        <v>3Q06</v>
      </c>
      <c r="O45" s="31" t="str">
        <f>Macro!O$9</f>
        <v>4Q06</v>
      </c>
      <c r="P45" s="29" t="str">
        <f>Macro!P$9</f>
        <v>2006</v>
      </c>
      <c r="Q45" s="30" t="str">
        <f>Macro!Q$9</f>
        <v>1Q07</v>
      </c>
      <c r="R45" s="30" t="str">
        <f>Macro!R$9</f>
        <v>2Q07</v>
      </c>
      <c r="S45" s="30" t="str">
        <f>Macro!S$9</f>
        <v>3Q07</v>
      </c>
      <c r="T45" s="31" t="str">
        <f>Macro!T$9</f>
        <v>4Q07</v>
      </c>
      <c r="U45" s="29" t="str">
        <f>Macro!U$9</f>
        <v>2007</v>
      </c>
      <c r="V45" s="30" t="str">
        <f>Macro!V$9</f>
        <v>1Q08</v>
      </c>
      <c r="W45" s="30" t="str">
        <f>Macro!W$9</f>
        <v>2Q08</v>
      </c>
      <c r="X45" s="30" t="str">
        <f>Macro!X$9</f>
        <v>3Q08</v>
      </c>
      <c r="Y45" s="31" t="str">
        <f>Macro!Y$9</f>
        <v>4Q08</v>
      </c>
      <c r="Z45" s="29" t="str">
        <f>Macro!Z$9</f>
        <v>2008</v>
      </c>
      <c r="AA45" s="30" t="str">
        <f>Macro!AA$9</f>
        <v>1Q09</v>
      </c>
      <c r="AB45" s="30" t="str">
        <f>Macro!AB$9</f>
        <v>2Q09</v>
      </c>
      <c r="AC45" s="30" t="str">
        <f>Macro!AC$9</f>
        <v>3Q09</v>
      </c>
      <c r="AD45" s="31" t="str">
        <f>Macro!AD$9</f>
        <v>4Q09</v>
      </c>
      <c r="AE45" s="29" t="str">
        <f>Macro!AE$9</f>
        <v>2009</v>
      </c>
      <c r="AF45" s="30" t="str">
        <f>Macro!AF$9</f>
        <v>1Q10</v>
      </c>
      <c r="AG45" s="30" t="str">
        <f>Macro!AG$9</f>
        <v>2Q10</v>
      </c>
      <c r="AH45" s="30" t="str">
        <f>Macro!AH$9</f>
        <v>3Q10</v>
      </c>
      <c r="AI45" s="31" t="str">
        <f>Macro!AI$9</f>
        <v>4Q10</v>
      </c>
      <c r="AJ45" s="29" t="str">
        <f>Macro!AJ$9</f>
        <v>2010</v>
      </c>
      <c r="AK45" s="30" t="str">
        <f>Macro!AK$9</f>
        <v>1Q11</v>
      </c>
      <c r="AL45" s="30" t="str">
        <f>Macro!AL$9</f>
        <v>2Q11</v>
      </c>
      <c r="AM45" s="30" t="str">
        <f>Macro!AM$9</f>
        <v>3Q11</v>
      </c>
      <c r="AN45" s="31" t="str">
        <f>Macro!AN$9</f>
        <v>4Q11</v>
      </c>
      <c r="AO45" s="29" t="str">
        <f>Macro!AO$9</f>
        <v>2011</v>
      </c>
      <c r="AP45" s="30" t="str">
        <f>Macro!AP$9</f>
        <v>1Q12</v>
      </c>
      <c r="AQ45" s="30" t="str">
        <f>Macro!AQ$9</f>
        <v>2Q12</v>
      </c>
      <c r="AR45" s="30" t="str">
        <f>Macro!AR$9</f>
        <v>3Q12</v>
      </c>
      <c r="AS45" s="31" t="str">
        <f>Macro!AS$9</f>
        <v>4Q12</v>
      </c>
      <c r="AT45" s="29" t="str">
        <f>Macro!AT$9</f>
        <v>2012</v>
      </c>
      <c r="AU45" s="30" t="str">
        <f>Macro!AU$9</f>
        <v>1Q13</v>
      </c>
      <c r="AV45" s="30" t="str">
        <f>Macro!AV$9</f>
        <v>2Q13</v>
      </c>
      <c r="AW45" s="30" t="str">
        <f>Macro!AW$9</f>
        <v>3Q13</v>
      </c>
      <c r="AX45" s="31" t="str">
        <f>Macro!AX$9</f>
        <v>4Q13</v>
      </c>
      <c r="AY45" s="29" t="str">
        <f>Macro!AY$9</f>
        <v>2013</v>
      </c>
      <c r="AZ45" s="30" t="str">
        <f>Macro!AZ$9</f>
        <v>1Q14</v>
      </c>
      <c r="BA45" s="30" t="str">
        <f>Macro!BA$9</f>
        <v>2Q14</v>
      </c>
      <c r="BB45" s="30" t="str">
        <f>Macro!BB$9</f>
        <v>3Q14</v>
      </c>
      <c r="BC45" s="31" t="str">
        <f>Macro!BC$9</f>
        <v>4Q14</v>
      </c>
      <c r="BD45" s="29" t="str">
        <f>Macro!BD$9</f>
        <v>2014</v>
      </c>
      <c r="BE45" s="30" t="str">
        <f>Macro!BE$9</f>
        <v>1Q15</v>
      </c>
      <c r="BF45" s="30" t="str">
        <f>Macro!BF$9</f>
        <v>2Q15</v>
      </c>
      <c r="BG45" s="30" t="str">
        <f>Macro!BG$9</f>
        <v>3Q15</v>
      </c>
      <c r="BH45" s="31" t="str">
        <f>Macro!BH$9</f>
        <v>4Q15</v>
      </c>
      <c r="BI45" s="29" t="str">
        <f>Macro!BI$9</f>
        <v>2015</v>
      </c>
      <c r="BJ45" s="30" t="str">
        <f>Macro!BJ$9</f>
        <v>1Q16</v>
      </c>
      <c r="BK45" s="30" t="str">
        <f>Macro!BK$9</f>
        <v>2Q16</v>
      </c>
      <c r="BL45" s="30" t="str">
        <f>Macro!BL$9</f>
        <v>3Q16</v>
      </c>
      <c r="BM45" s="31" t="str">
        <f>Macro!BM$9</f>
        <v>4Q16</v>
      </c>
      <c r="BN45" s="29" t="str">
        <f>Macro!BN$9</f>
        <v>2016</v>
      </c>
      <c r="BO45" s="30" t="str">
        <f>Macro!BO$9</f>
        <v>1Q17</v>
      </c>
      <c r="BP45" s="30" t="str">
        <f>Macro!BP$9</f>
        <v>2Q17</v>
      </c>
      <c r="BQ45" s="30" t="str">
        <f>Macro!BQ$9</f>
        <v>3Q17</v>
      </c>
      <c r="BR45" s="31" t="str">
        <f>Macro!BR$9</f>
        <v>4Q17</v>
      </c>
      <c r="BS45" s="29" t="str">
        <f>Macro!BS$9</f>
        <v>2017</v>
      </c>
      <c r="BT45" s="30" t="str">
        <f>Macro!BT$9</f>
        <v>1Q18</v>
      </c>
      <c r="BU45" s="30" t="str">
        <f>Macro!BU$9</f>
        <v>2Q18</v>
      </c>
      <c r="BV45" s="30" t="str">
        <f>Macro!BV$9</f>
        <v>3Q18</v>
      </c>
      <c r="BW45" s="31" t="str">
        <f>Macro!BW$9</f>
        <v>4Q18</v>
      </c>
      <c r="BX45" s="29" t="str">
        <f>Macro!BX$9</f>
        <v>2018</v>
      </c>
      <c r="BY45" s="30" t="str">
        <f>Macro!BY$9</f>
        <v>1Q19</v>
      </c>
      <c r="BZ45" s="30" t="str">
        <f>Macro!BZ$9</f>
        <v>2Q19</v>
      </c>
      <c r="CA45" s="30" t="str">
        <f>Macro!CA$9</f>
        <v>3Q19</v>
      </c>
      <c r="CB45" s="31" t="str">
        <f>Macro!CB$9</f>
        <v>4Q19</v>
      </c>
      <c r="CC45" s="29" t="str">
        <f>Macro!CC$9</f>
        <v>2019</v>
      </c>
      <c r="CD45" s="30" t="str">
        <f>Macro!CD$9</f>
        <v>1Q20</v>
      </c>
      <c r="CE45" s="30" t="str">
        <f>Macro!CE$9</f>
        <v>2Q20</v>
      </c>
      <c r="CF45" s="30" t="str">
        <f>Macro!CF$9</f>
        <v>3Q20</v>
      </c>
      <c r="CG45" s="31" t="str">
        <f>Macro!CG$9</f>
        <v>4Q20</v>
      </c>
      <c r="CH45" s="29" t="str">
        <f>Macro!CH$9</f>
        <v>2020</v>
      </c>
      <c r="CI45" s="30" t="str">
        <f>Macro!CI$9</f>
        <v>1Q21</v>
      </c>
      <c r="CJ45" s="30" t="str">
        <f>Macro!CJ$9</f>
        <v>2Q21</v>
      </c>
      <c r="CK45" s="30" t="str">
        <f>Macro!CK$9</f>
        <v>3Q21</v>
      </c>
      <c r="CL45" s="31" t="str">
        <f>Macro!CL$9</f>
        <v>4Q21</v>
      </c>
      <c r="CM45" s="29" t="str">
        <f>Macro!CM$9</f>
        <v>2021</v>
      </c>
      <c r="CN45" s="30" t="str">
        <f>Macro!CN$9</f>
        <v>1Q22</v>
      </c>
      <c r="CO45" s="30" t="str">
        <f>Macro!CO$9</f>
        <v>2Q22</v>
      </c>
      <c r="CP45" s="30" t="str">
        <f>Macro!CP$9</f>
        <v>3Q22</v>
      </c>
      <c r="CQ45" s="31" t="str">
        <f>Macro!CQ$9</f>
        <v>4Q22</v>
      </c>
      <c r="CR45" s="29" t="str">
        <f>Macro!CR$9</f>
        <v>2022</v>
      </c>
      <c r="CS45" s="30" t="str">
        <f>Macro!CS$9</f>
        <v>1Q23</v>
      </c>
      <c r="CT45" s="30" t="str">
        <f>Macro!CT$9</f>
        <v>2Q23</v>
      </c>
      <c r="CU45" s="30" t="str">
        <f>Macro!CU$9</f>
        <v>3Q23</v>
      </c>
      <c r="CV45" s="31" t="str">
        <f>Macro!CV$9</f>
        <v>4Q23</v>
      </c>
      <c r="CW45" s="29" t="str">
        <f>Macro!CW$9</f>
        <v>2023</v>
      </c>
      <c r="CX45" s="31" t="str">
        <f>Macro!CX$9</f>
        <v>1Q24</v>
      </c>
      <c r="CY45" s="30" t="str">
        <f>Macro!CY$9</f>
        <v>2Q24</v>
      </c>
      <c r="CZ45" s="30" t="str">
        <f>Macro!CZ$9</f>
        <v>3Q24</v>
      </c>
      <c r="DA45" s="31" t="str">
        <f>Macro!DA$9</f>
        <v>4Q24</v>
      </c>
      <c r="DB45" s="29" t="str">
        <f>Macro!DB$9</f>
        <v>2024</v>
      </c>
      <c r="DC45" s="31" t="str">
        <f>Macro!DC$9</f>
        <v>1Q25</v>
      </c>
      <c r="DD45" s="30" t="str">
        <f>Macro!DD$9</f>
        <v>2Q25</v>
      </c>
      <c r="DE45" s="30" t="str">
        <f>Macro!DE$9</f>
        <v>3Q25</v>
      </c>
      <c r="DF45" s="31" t="str">
        <f>Macro!DF$9</f>
        <v>4Q25</v>
      </c>
      <c r="DG45" s="29" t="str">
        <f>Macro!DG$9</f>
        <v>2025</v>
      </c>
      <c r="DH45" s="30" t="str">
        <f>Macro!DH$9</f>
        <v>1Q26</v>
      </c>
      <c r="DI45" s="30" t="str">
        <f>Macro!DI$9</f>
        <v>2Q26</v>
      </c>
      <c r="DJ45" s="30" t="str">
        <f>Macro!DJ$9</f>
        <v>3Q26E</v>
      </c>
      <c r="DK45" s="31" t="str">
        <f>Macro!DK$9</f>
        <v>4Q26E</v>
      </c>
      <c r="DL45" s="29" t="str">
        <f>Macro!DL$9</f>
        <v>2026E</v>
      </c>
      <c r="DM45" s="30" t="str">
        <f>Macro!DM$9</f>
        <v>1Q27E</v>
      </c>
      <c r="DN45" s="30" t="str">
        <f>Macro!DN$9</f>
        <v>2Q27E</v>
      </c>
      <c r="DO45" s="30" t="str">
        <f>Macro!DO$9</f>
        <v>3Q27E</v>
      </c>
      <c r="DP45" s="31" t="str">
        <f>Macro!DP$9</f>
        <v>4Q27E</v>
      </c>
      <c r="DQ45" s="29" t="str">
        <f>Macro!DQ$9</f>
        <v>2027E</v>
      </c>
      <c r="DR45" s="30" t="str">
        <f>Macro!DR$9</f>
        <v>1Q28E</v>
      </c>
      <c r="DS45" s="30" t="str">
        <f>Macro!DS$9</f>
        <v>2Q28E</v>
      </c>
      <c r="DT45" s="30" t="str">
        <f>Macro!DT$9</f>
        <v>3Q28E</v>
      </c>
      <c r="DU45" s="31" t="str">
        <f>Macro!DU$9</f>
        <v>4Q28E</v>
      </c>
      <c r="DV45" s="29" t="str">
        <f>Macro!DV$9</f>
        <v>2028E</v>
      </c>
      <c r="DW45" s="30" t="str">
        <f>Macro!DW$9</f>
        <v>1Q29E</v>
      </c>
      <c r="DX45" s="30" t="str">
        <f>Macro!DX$9</f>
        <v>2Q29E</v>
      </c>
      <c r="DY45" s="30" t="str">
        <f>Macro!DY$9</f>
        <v>3Q29E</v>
      </c>
      <c r="DZ45" s="31" t="str">
        <f>Macro!DZ$9</f>
        <v>4Q29E</v>
      </c>
      <c r="EA45" s="29" t="str">
        <f>Macro!EA$9</f>
        <v>2029E</v>
      </c>
      <c r="EB45" s="30" t="str">
        <f>Macro!EB$9</f>
        <v>1Q30E</v>
      </c>
      <c r="EC45" s="30" t="str">
        <f>Macro!EC$9</f>
        <v>2Q30E</v>
      </c>
      <c r="ED45" s="30" t="str">
        <f>Macro!ED$9</f>
        <v>3Q30E</v>
      </c>
      <c r="EE45" s="31" t="str">
        <f>Macro!EE$9</f>
        <v>4Q30E</v>
      </c>
      <c r="EF45" s="29" t="str">
        <f>Macro!EF$9</f>
        <v>2030E</v>
      </c>
    </row>
    <row r="46" spans="1:136" ht="12.75" customHeight="1">
      <c r="A46" s="1" t="s">
        <v>236</v>
      </c>
      <c r="B46" s="114"/>
      <c r="C46" s="114"/>
      <c r="D46" s="114"/>
      <c r="E46" s="114"/>
      <c r="F46" s="67">
        <f>E46</f>
        <v>0</v>
      </c>
      <c r="G46" s="114"/>
      <c r="H46" s="114"/>
      <c r="I46" s="114"/>
      <c r="J46" s="114"/>
      <c r="K46" s="67">
        <f>J46</f>
        <v>0</v>
      </c>
      <c r="L46" s="114"/>
      <c r="M46" s="114"/>
      <c r="N46" s="114"/>
      <c r="O46" s="114"/>
      <c r="P46" s="67">
        <f>O46</f>
        <v>0</v>
      </c>
      <c r="Q46" s="114"/>
      <c r="R46" s="114"/>
      <c r="S46" s="114"/>
      <c r="T46" s="114"/>
      <c r="U46" s="67">
        <f>T46</f>
        <v>0</v>
      </c>
      <c r="V46" s="114"/>
      <c r="W46" s="114"/>
      <c r="X46" s="114"/>
      <c r="Y46" s="114"/>
      <c r="Z46" s="67">
        <f>Y46</f>
        <v>0</v>
      </c>
      <c r="AA46" s="114"/>
      <c r="AB46" s="114"/>
      <c r="AC46" s="114"/>
      <c r="AD46" s="114"/>
      <c r="AE46" s="67">
        <f>AD46</f>
        <v>0</v>
      </c>
      <c r="AF46" s="49"/>
      <c r="AG46" s="49"/>
      <c r="AH46" s="49"/>
      <c r="AI46" s="49"/>
      <c r="AJ46" s="67">
        <f>AI46</f>
        <v>0</v>
      </c>
      <c r="AK46" s="49"/>
      <c r="AL46" s="49"/>
      <c r="AM46" s="49"/>
      <c r="AN46" s="49"/>
      <c r="AO46" s="67">
        <f>AN46</f>
        <v>0</v>
      </c>
      <c r="AP46" s="49"/>
      <c r="AQ46" s="49"/>
      <c r="AR46" s="49"/>
      <c r="AS46" s="49"/>
      <c r="AT46" s="67">
        <f>AS46</f>
        <v>0</v>
      </c>
      <c r="AU46" s="49"/>
      <c r="AV46" s="49"/>
      <c r="AW46" s="49"/>
      <c r="AX46" s="49"/>
      <c r="AY46" s="67">
        <f>AX46</f>
        <v>0</v>
      </c>
      <c r="AZ46" s="49"/>
      <c r="BA46" s="49"/>
      <c r="BB46" s="49"/>
      <c r="BC46" s="49"/>
      <c r="BD46" s="67">
        <f>BC46</f>
        <v>0</v>
      </c>
      <c r="BE46" s="114"/>
      <c r="BF46" s="114"/>
      <c r="BG46" s="114"/>
      <c r="BH46" s="49"/>
      <c r="BI46" s="67">
        <f>BH46</f>
        <v>0</v>
      </c>
      <c r="BJ46" s="114"/>
      <c r="BK46" s="114"/>
      <c r="BL46" s="114"/>
      <c r="BM46" s="49"/>
      <c r="BN46" s="67">
        <f>BM46</f>
        <v>0</v>
      </c>
      <c r="BO46" s="114"/>
      <c r="BP46" s="114"/>
      <c r="BQ46" s="114"/>
      <c r="BR46" s="49"/>
      <c r="BS46" s="67">
        <f>BR46</f>
        <v>0</v>
      </c>
      <c r="BT46" s="114"/>
      <c r="BU46" s="114"/>
      <c r="BV46" s="114"/>
      <c r="BW46" s="49"/>
      <c r="BX46" s="67">
        <f>BW46</f>
        <v>0</v>
      </c>
      <c r="BY46" s="114"/>
      <c r="BZ46" s="114"/>
      <c r="CA46" s="114">
        <v>4720000</v>
      </c>
      <c r="CB46" s="114">
        <f>3800000+1900000</f>
        <v>5700000</v>
      </c>
      <c r="CC46" s="67">
        <f>CB46</f>
        <v>5700000</v>
      </c>
      <c r="CD46" s="114">
        <f ca="1">CD47*SUM(CD4:CE4,CF4:CG4)</f>
        <v>0</v>
      </c>
      <c r="CE46" s="114">
        <v>7945000</v>
      </c>
      <c r="CF46" s="114">
        <v>8828352</v>
      </c>
      <c r="CG46" s="114">
        <v>10531600</v>
      </c>
      <c r="CH46" s="67">
        <f>CG46</f>
        <v>10531600</v>
      </c>
      <c r="CI46" s="114">
        <v>9966000</v>
      </c>
      <c r="CJ46" s="114">
        <v>10430000</v>
      </c>
      <c r="CK46" s="114">
        <v>11456000</v>
      </c>
      <c r="CL46" s="114">
        <v>9794000</v>
      </c>
      <c r="CM46" s="67">
        <f>CL46</f>
        <v>9794000</v>
      </c>
      <c r="CN46" s="114">
        <v>9952710</v>
      </c>
      <c r="CO46" s="114">
        <v>9647194.7034000009</v>
      </c>
      <c r="CP46" s="114">
        <v>10487100</v>
      </c>
      <c r="CQ46" s="114">
        <v>10138416.628</v>
      </c>
      <c r="CR46" s="67">
        <f>CQ46</f>
        <v>10138416.628</v>
      </c>
      <c r="CS46" s="114">
        <v>9905531.2655299995</v>
      </c>
      <c r="CT46" s="114">
        <v>10182554.84953</v>
      </c>
      <c r="CU46" s="114">
        <v>11848093.692</v>
      </c>
      <c r="CV46" s="114">
        <v>14508000</v>
      </c>
      <c r="CW46" s="67">
        <f>CV46</f>
        <v>14508000</v>
      </c>
      <c r="CX46" s="114">
        <v>15637400</v>
      </c>
      <c r="CY46" s="114">
        <v>17585600</v>
      </c>
      <c r="CZ46" s="114">
        <v>19517000</v>
      </c>
      <c r="DA46" s="114">
        <v>20122400</v>
      </c>
      <c r="DB46" s="67">
        <f>DA46</f>
        <v>20122400</v>
      </c>
      <c r="DC46" s="114">
        <v>19805300</v>
      </c>
      <c r="DD46" s="114">
        <v>21114400</v>
      </c>
      <c r="DE46" s="114">
        <v>23343700</v>
      </c>
      <c r="DF46" s="114">
        <v>24641300</v>
      </c>
      <c r="DG46" s="67">
        <f>DF46</f>
        <v>24641300</v>
      </c>
      <c r="DH46" s="114">
        <v>24924600</v>
      </c>
      <c r="DI46" s="114">
        <v>26092800</v>
      </c>
      <c r="DJ46" s="52">
        <f>DJ47*SUM(DJ4:DK4,DM4:DN4)</f>
        <v>26057277.345671397</v>
      </c>
      <c r="DK46" s="52">
        <f>DK47*SUM(DK4,DM4:DO4)</f>
        <v>26374770.521179631</v>
      </c>
      <c r="DL46" s="67">
        <f>DK46</f>
        <v>26374770.521179631</v>
      </c>
      <c r="DM46" s="52">
        <f>DM47*SUM(DM4:DN4,DO4:DP4)</f>
        <v>26414199.878053878</v>
      </c>
      <c r="DN46" s="52">
        <f>DN47*SUM(DR4,DN4:DP4)</f>
        <v>26454065.520387329</v>
      </c>
      <c r="DO46" s="52">
        <f>DO47*SUM(DO4:DP4,DR4:DS4)</f>
        <v>26494372.27567444</v>
      </c>
      <c r="DP46" s="52">
        <f>DP47*SUM(DP4,DR4:DT4)</f>
        <v>26535125.024825852</v>
      </c>
      <c r="DQ46" s="67">
        <f>DP46</f>
        <v>26535125.024825852</v>
      </c>
      <c r="DR46" s="52">
        <f>DR47*SUM(DR4:DS4,DT4:DU4)</f>
        <v>26576328.702759445</v>
      </c>
      <c r="DS46" s="52">
        <f>DS47*SUM(DW4,DS4:DU4)</f>
        <v>26617988.298997894</v>
      </c>
      <c r="DT46" s="52">
        <f>DT47*SUM(DT4:DU4,DW4:DX4)</f>
        <v>26660108.858272929</v>
      </c>
      <c r="DU46" s="52">
        <f>DU47*SUM(DU4,DW4:DY4)</f>
        <v>26702695.481136158</v>
      </c>
      <c r="DV46" s="67">
        <f>DU46</f>
        <v>26702695.481136158</v>
      </c>
      <c r="DW46" s="52">
        <f>DW47*SUM(DW4:DX4,DY4:DZ4)</f>
        <v>26745753.324576758</v>
      </c>
      <c r="DX46" s="52">
        <f>DX47*SUM(EB4,DX4:DZ4)</f>
        <v>26789287.602645941</v>
      </c>
      <c r="DY46" s="52">
        <f>DY47*SUM(DY4:DZ4,EB4:EC4)</f>
        <v>26833303.58708835</v>
      </c>
      <c r="DZ46" s="52">
        <f>DZ47*SUM(DZ4,EB4:ED4)</f>
        <v>26877806.607980423</v>
      </c>
      <c r="EA46" s="67">
        <f>DZ46</f>
        <v>26877806.607980423</v>
      </c>
      <c r="EB46" s="52">
        <f>EB47*SUM(EB4:EC4,ED4:EE4)</f>
        <v>26922802.054375853</v>
      </c>
      <c r="EC46" s="52">
        <f>EC47*SUM(EG4,EC4:EE4)</f>
        <v>26265252.392184958</v>
      </c>
      <c r="ED46" s="52">
        <f>ED47*SUM(ED4:EE4,EG4:EH4)</f>
        <v>24897383.966456007</v>
      </c>
      <c r="EE46" s="52">
        <f>EE47*SUM(EE4,EG4:EI4)</f>
        <v>22811337.106819086</v>
      </c>
      <c r="EF46" s="67">
        <f>EE46</f>
        <v>22811337.106819086</v>
      </c>
    </row>
    <row r="47" spans="1:136" ht="12.75" customHeight="1">
      <c r="A47" s="1" t="s">
        <v>88</v>
      </c>
      <c r="B47" s="115" t="e">
        <f>B46/SUM(B5,#REF!)</f>
        <v>#REF!</v>
      </c>
      <c r="C47" s="115" t="e">
        <f>C46/SUM(B5:C5,#REF!)</f>
        <v>#REF!</v>
      </c>
      <c r="D47" s="115" t="e">
        <f>D46/SUM(B5:D5,#REF!)</f>
        <v>#REF!</v>
      </c>
      <c r="E47" s="115" t="e">
        <f>E46/SUM(D5:E5,B5:C5)</f>
        <v>#DIV/0!</v>
      </c>
      <c r="F47" s="116" t="e">
        <f>F46/F5</f>
        <v>#DIV/0!</v>
      </c>
      <c r="G47" s="115" t="e">
        <f>G46/SUM(G5,#REF!)</f>
        <v>#REF!</v>
      </c>
      <c r="H47" s="115" t="e">
        <f>H46/SUM(G5:H5,#REF!)</f>
        <v>#REF!</v>
      </c>
      <c r="I47" s="115" t="e">
        <f>I46/SUM(G5:I5,#REF!)</f>
        <v>#REF!</v>
      </c>
      <c r="J47" s="115" t="e">
        <f>J46/SUM(I5:J5,G5:H5)</f>
        <v>#DIV/0!</v>
      </c>
      <c r="K47" s="116" t="e">
        <f>K46/K5</f>
        <v>#DIV/0!</v>
      </c>
      <c r="L47" s="115" t="e">
        <f>L46/SUM(L5,#REF!)</f>
        <v>#REF!</v>
      </c>
      <c r="M47" s="115" t="e">
        <f>M46/SUM(L5:M5,#REF!)</f>
        <v>#REF!</v>
      </c>
      <c r="N47" s="115" t="e">
        <f>N46/SUM(L5:N5,#REF!)</f>
        <v>#REF!</v>
      </c>
      <c r="O47" s="115" t="e">
        <f>O46/SUM(N5:O5,L5:M5)</f>
        <v>#DIV/0!</v>
      </c>
      <c r="P47" s="116" t="e">
        <f>P46/P5</f>
        <v>#DIV/0!</v>
      </c>
      <c r="Q47" s="115" t="e">
        <f>Q46/SUM(Q5,#REF!)</f>
        <v>#REF!</v>
      </c>
      <c r="R47" s="115" t="e">
        <f>R46/SUM(Q5:R5,#REF!)</f>
        <v>#REF!</v>
      </c>
      <c r="S47" s="115" t="e">
        <f>S46/SUM(Q5:S5,#REF!)</f>
        <v>#REF!</v>
      </c>
      <c r="T47" s="115" t="e">
        <f>T46/SUM(S5:T5,Q5:R5)</f>
        <v>#DIV/0!</v>
      </c>
      <c r="U47" s="116" t="e">
        <f>U46/U5</f>
        <v>#DIV/0!</v>
      </c>
      <c r="V47" s="115" t="e">
        <f>V46/SUM(V5,#REF!)</f>
        <v>#REF!</v>
      </c>
      <c r="W47" s="115" t="e">
        <f>W46/SUM(V5:W5,#REF!)</f>
        <v>#REF!</v>
      </c>
      <c r="X47" s="115" t="e">
        <f>X46/SUM(V5:X5,#REF!)</f>
        <v>#REF!</v>
      </c>
      <c r="Y47" s="115" t="e">
        <f>Y46/SUM(X5:Y5,V5:W5)</f>
        <v>#DIV/0!</v>
      </c>
      <c r="Z47" s="116" t="e">
        <f>Z46/Z5</f>
        <v>#DIV/0!</v>
      </c>
      <c r="AA47" s="115" t="e">
        <f>AA46/SUM(AA5,#REF!)</f>
        <v>#REF!</v>
      </c>
      <c r="AB47" s="115" t="e">
        <f>AB46/SUM(AA5:AB5,#REF!)</f>
        <v>#REF!</v>
      </c>
      <c r="AC47" s="115" t="e">
        <f>AC46/SUM(AA5:AC5,#REF!)</f>
        <v>#REF!</v>
      </c>
      <c r="AD47" s="115" t="e">
        <f>AD46/SUM(AC5:AD5,AA5:AB5)</f>
        <v>#DIV/0!</v>
      </c>
      <c r="AE47" s="116" t="e">
        <f>AE46/AE5</f>
        <v>#DIV/0!</v>
      </c>
      <c r="AF47" s="115" t="e">
        <f>AF46/SUM(AI5,AF5:AH5)</f>
        <v>#DIV/0!</v>
      </c>
      <c r="AG47" s="115" t="e">
        <f>AG46/SUM(AK5,AG5:AI5)</f>
        <v>#DIV/0!</v>
      </c>
      <c r="AH47" s="115" t="e">
        <f>AH46/SUM(AK5:AL5,AH5:AI5)</f>
        <v>#DIV/0!</v>
      </c>
      <c r="AI47" s="115" t="e">
        <f>AI46/SUM(AK5:AM5,AI5)</f>
        <v>#DIV/0!</v>
      </c>
      <c r="AJ47" s="116" t="e">
        <f>AJ48/AO5</f>
        <v>#DIV/0!</v>
      </c>
      <c r="AK47" s="115" t="e">
        <f>AK46/SUM(AN5,AK5:AM5)</f>
        <v>#DIV/0!</v>
      </c>
      <c r="AL47" s="115" t="e">
        <f>AL46/SUM(AP5,AL5:AN5)</f>
        <v>#DIV/0!</v>
      </c>
      <c r="AM47" s="115" t="e">
        <f>AM46/SUM(AP5:AQ5,AM5:AN5)</f>
        <v>#DIV/0!</v>
      </c>
      <c r="AN47" s="115" t="e">
        <f>AN46/SUM(AP5:AR5,AN5)</f>
        <v>#DIV/0!</v>
      </c>
      <c r="AO47" s="116" t="e">
        <f>AO48/AT5</f>
        <v>#DIV/0!</v>
      </c>
      <c r="AP47" s="115" t="e">
        <f>AP46/SUM(AS5,AP5:AR5)</f>
        <v>#DIV/0!</v>
      </c>
      <c r="AQ47" s="115" t="e">
        <f>AQ46/SUM(AU5,AQ5:AS5)</f>
        <v>#DIV/0!</v>
      </c>
      <c r="AR47" s="115" t="e">
        <f>AR46/SUM(AU5:AV5,AR5:AS5)</f>
        <v>#DIV/0!</v>
      </c>
      <c r="AS47" s="115" t="e">
        <f>AS46/SUM(AU5:AW5,AS5)</f>
        <v>#DIV/0!</v>
      </c>
      <c r="AT47" s="116" t="e">
        <f>AT48/AY5</f>
        <v>#DIV/0!</v>
      </c>
      <c r="AU47" s="115" t="e">
        <f>AU46/SUM(AX5,AU5:AW5)</f>
        <v>#DIV/0!</v>
      </c>
      <c r="AV47" s="115" t="e">
        <f>AV46/SUM(AZ5,AV5:AX5)</f>
        <v>#DIV/0!</v>
      </c>
      <c r="AW47" s="115" t="e">
        <f>AW46/SUM(AZ5:BA5,AW5:AX5)</f>
        <v>#DIV/0!</v>
      </c>
      <c r="AX47" s="115" t="e">
        <f>AX46/SUM(AZ5:BB5,AX5)</f>
        <v>#DIV/0!</v>
      </c>
      <c r="AY47" s="116" t="e">
        <f>AY48/BD5</f>
        <v>#DIV/0!</v>
      </c>
      <c r="AZ47" s="115" t="e">
        <f>AZ46/SUM(BC5,AZ5:BB5)</f>
        <v>#DIV/0!</v>
      </c>
      <c r="BA47" s="115" t="e">
        <f>BA46/SUM(BE5,BA5:BC5)</f>
        <v>#DIV/0!</v>
      </c>
      <c r="BB47" s="115" t="e">
        <f>BB46/SUM(BE5:BF5,BB5:BC5)</f>
        <v>#DIV/0!</v>
      </c>
      <c r="BC47" s="115" t="e">
        <f>BC46/SUM(BE5:BG5,BC5)</f>
        <v>#DIV/0!</v>
      </c>
      <c r="BD47" s="116">
        <f>BD48/BI5</f>
        <v>0</v>
      </c>
      <c r="BE47" s="115">
        <f>BE46/SUM(BH5,BE5:BG5)</f>
        <v>0</v>
      </c>
      <c r="BF47" s="115">
        <f>BF46/SUM(BJ5,BF5:BH5)</f>
        <v>0</v>
      </c>
      <c r="BG47" s="115">
        <f>BG46/SUM(BJ5:BK5,BG5:BH5)</f>
        <v>0</v>
      </c>
      <c r="BH47" s="115">
        <f>BH46/AVERAGE(BH5,BM5)</f>
        <v>0</v>
      </c>
      <c r="BI47" s="116">
        <f>BI48/BN5</f>
        <v>0</v>
      </c>
      <c r="BJ47" s="115">
        <f>BJ46/SUM(BM5,BJ5:BL5)</f>
        <v>0</v>
      </c>
      <c r="BK47" s="115">
        <f>BK46/SUM(BO5,BK5:BM5)</f>
        <v>0</v>
      </c>
      <c r="BL47" s="115">
        <f>BL46/SUM(BO5:BP5,BL5:BM5)</f>
        <v>0</v>
      </c>
      <c r="BM47" s="115">
        <f>BM46/AVERAGE(BM5,BR5)</f>
        <v>0</v>
      </c>
      <c r="BN47" s="116">
        <f>BN48/BS5</f>
        <v>0</v>
      </c>
      <c r="BO47" s="115">
        <f>BO46/SUM(BR5,BO5:BQ5)</f>
        <v>0</v>
      </c>
      <c r="BP47" s="115">
        <f>BP46/SUM(BT5,BP5:BR5)</f>
        <v>0</v>
      </c>
      <c r="BQ47" s="115">
        <f>BQ46/SUM(BT5:BU5,BQ5:BR5)</f>
        <v>0</v>
      </c>
      <c r="BR47" s="115">
        <f>BR46/AVERAGE(BR5,BW5)</f>
        <v>0</v>
      </c>
      <c r="BS47" s="116">
        <f>BS48/BX5</f>
        <v>0</v>
      </c>
      <c r="BT47" s="115">
        <f>BT46/SUM(BW5,BT5:BV5)</f>
        <v>0</v>
      </c>
      <c r="BU47" s="115">
        <f>BU46/SUM(BY5,BU5:BW5)</f>
        <v>0</v>
      </c>
      <c r="BV47" s="115">
        <f>BV46/SUM(BY5:BZ5,BV5:BW5)</f>
        <v>0</v>
      </c>
      <c r="BW47" s="115">
        <f>BW46/AVERAGE(BW5,CB5)</f>
        <v>0</v>
      </c>
      <c r="BX47" s="116">
        <f>BX48/CC5</f>
        <v>0</v>
      </c>
      <c r="BY47" s="115">
        <f>BY46/SUM(CB5,BY5:CA5)</f>
        <v>0</v>
      </c>
      <c r="BZ47" s="115">
        <f>BZ46/SUM(CD5,BZ5:CB5)</f>
        <v>0</v>
      </c>
      <c r="CA47" s="115">
        <f>CA46/SUM(CD5:CE5,CA5:CB5)</f>
        <v>3.5537517755582888</v>
      </c>
      <c r="CB47" s="115">
        <f>CB46/SUM(CB4)</f>
        <v>7.5868898543317149</v>
      </c>
      <c r="CC47" s="116">
        <f>CC48/CH5</f>
        <v>4.1402423567131121</v>
      </c>
      <c r="CD47" s="115">
        <f ca="1">CD46/SUM(CG5,CD5:CF5)</f>
        <v>0</v>
      </c>
      <c r="CE47" s="115">
        <f>CE46/SUM(CI5,CE5:CG5)</f>
        <v>4.4717005238277761</v>
      </c>
      <c r="CF47" s="115">
        <f>CF46/SUM(CI5:CJ5,CF5:CG5)</f>
        <v>4.1734256795373676</v>
      </c>
      <c r="CG47" s="115">
        <f>CG46/SUM(CG4)</f>
        <v>15.606994665085951</v>
      </c>
      <c r="CH47" s="116">
        <f>CH48/CM4</f>
        <v>3.7815317652474372</v>
      </c>
      <c r="CI47" s="115">
        <f>CI46/SUM(CL5,CI5:CK5)</f>
        <v>4.0258647469413162</v>
      </c>
      <c r="CJ47" s="115">
        <f>CJ46/SUM(CN5,CJ5:CL5)</f>
        <v>3.7461739101076299</v>
      </c>
      <c r="CK47" s="115">
        <f>CK46/SUM(CN5:CO5,CK5:CL5)</f>
        <v>3.5908623586348707</v>
      </c>
      <c r="CL47" s="115">
        <f>CL46/SUM(CO5:CP5,CL5:CM5)</f>
        <v>1.9097812623821839</v>
      </c>
      <c r="CM47" s="116">
        <f>CM48/CR4</f>
        <v>2.9564355072078103</v>
      </c>
      <c r="CN47" s="115">
        <f>CN46/SUM(CQ5,CN5:CP5)</f>
        <v>3.0432019210782189</v>
      </c>
      <c r="CO47" s="115">
        <f>CO46/SUM(CS5,CO5:CQ5)</f>
        <v>2.4677524857293691</v>
      </c>
      <c r="CP47" s="115">
        <f>CP46/SUM(CS5:CT5,CP5:CQ5)</f>
        <v>2.6277187074460651</v>
      </c>
      <c r="CQ47" s="115">
        <f>CQ46/SUM(CT5:CU5,CQ5:CR5)</f>
        <v>1.7570378070536457</v>
      </c>
      <c r="CR47" s="116">
        <f>CR48/CW4</f>
        <v>2.2829798972278601</v>
      </c>
      <c r="CS47" s="115">
        <f>CS46/SUM(CV5,CS5:CU5)</f>
        <v>2.3472094498261953</v>
      </c>
      <c r="CT47" s="115">
        <f>CT46/SUM(CX5,CT5:CV5)</f>
        <v>2.3680333231950068</v>
      </c>
      <c r="CU47" s="115">
        <f>CU46/SUM(CX5:CY5,CU5:CV5)</f>
        <v>2.4484807925791561</v>
      </c>
      <c r="CV47" s="115">
        <f>CV46/SUM(CY5:CZ5,CV5:CW5)</f>
        <v>1.7571179977403477</v>
      </c>
      <c r="CW47" s="116">
        <f>CW48/DB4</f>
        <v>2.2050110196178037</v>
      </c>
      <c r="CX47" s="115">
        <f>CX46/SUM(CZ5:DA5,CX5:CY5)</f>
        <v>2.7239196398917827</v>
      </c>
      <c r="CY47" s="115">
        <f>CY46/SUM(DC5,CY5:DA5)</f>
        <v>2.5459730557967202</v>
      </c>
      <c r="CZ47" s="115">
        <f>CZ46/SUM(DC5:DD5,CZ5:DA5)</f>
        <v>2.7141660698028849</v>
      </c>
      <c r="DA47" s="115">
        <f>DA46/SUM(DC5:DE5,DA5)</f>
        <v>2.7113077013940705</v>
      </c>
      <c r="DB47" s="116">
        <f>DB48/DG4</f>
        <v>2.4288669257236926</v>
      </c>
      <c r="DC47" s="115">
        <f>DC46/SUM(DE5:DF5,DC5:DD5)</f>
        <v>2.6267537782322119</v>
      </c>
      <c r="DD47" s="115">
        <f>DD46/SUM(DH5,DD5:DF5)</f>
        <v>2.9561896174322264</v>
      </c>
      <c r="DE47" s="115">
        <f>DE46/SUM(DH5:DI5,DE5:DF5)</f>
        <v>3.2759051573649387</v>
      </c>
      <c r="DF47" s="115">
        <f>DF46/SUM(DH5:DJ5,DF5)</f>
        <v>3.289332508332325</v>
      </c>
      <c r="DG47" s="116">
        <f>DG48/DL4</f>
        <v>2.6940531645106383</v>
      </c>
      <c r="DH47" s="115">
        <f>DH46/SUM(DJ5:DK5,DH5:DI5)</f>
        <v>3.0709294910675009</v>
      </c>
      <c r="DI47" s="115">
        <f>DI46/SUM(DM5,DI5:DK5)</f>
        <v>3.264316072222329</v>
      </c>
      <c r="DJ47" s="117">
        <f>((DI46-DJ4)/SUM(DJ4:DK4,DM4:DN4))+0.25</f>
        <v>2.8999715590070143</v>
      </c>
      <c r="DK47" s="117">
        <f>((DJ46-DK4)/SUM(DK4,DM4:DO4))+0.25</f>
        <v>2.8938272234634979</v>
      </c>
      <c r="DL47" s="116">
        <f>DL48/DQ4</f>
        <v>2.7501128409100128</v>
      </c>
      <c r="DM47" s="117">
        <f>((DL46-DM4)/SUM(DM4:DO4,DP4))+0.25</f>
        <v>2.7542241631511528</v>
      </c>
      <c r="DN47" s="117">
        <f>((DM46-DN4)/SUM(DN4:DP4,DR4))+0.25</f>
        <v>2.728193541517105</v>
      </c>
      <c r="DO47" s="117">
        <f>((DN46-DO4)/SUM(DO4:DP4,DR4:DS4))+0.25</f>
        <v>2.7024477963091762</v>
      </c>
      <c r="DP47" s="117">
        <f>((DO46-DP4)/SUM(DP4,DR4:DT4))+0.25</f>
        <v>2.6769838098692746</v>
      </c>
      <c r="DQ47" s="116">
        <f>DQ48/DV4</f>
        <v>2.6476871764174974</v>
      </c>
      <c r="DR47" s="117">
        <f>((DQ46-DR4)/SUM(DR4:DT4,DU4))+0.25</f>
        <v>2.6517984986586378</v>
      </c>
      <c r="DS47" s="117">
        <f>((DR46-DS4)/SUM(DS4:DU4,DW4))+0.25</f>
        <v>2.6268888128844288</v>
      </c>
      <c r="DT47" s="117">
        <f>((DS46-DT4)/SUM(DT4:DU4,DW4:DX4))+0.25</f>
        <v>2.6022517361304303</v>
      </c>
      <c r="DU47" s="117">
        <f>((DT46-DU4)/SUM(DU4,DW4:DY4))+0.25</f>
        <v>2.5778842849917689</v>
      </c>
      <c r="DV47" s="116">
        <f>DV48/EA4</f>
        <v>2.5496721864725074</v>
      </c>
      <c r="DW47" s="117">
        <f>((DV46-DW4)/SUM(DW4:DY4,DZ4))+0.25</f>
        <v>2.5537835087136473</v>
      </c>
      <c r="DX47" s="117">
        <f>((DW46-DX4)/SUM(DX4:DZ4,EB4))+0.25</f>
        <v>2.529946488834022</v>
      </c>
      <c r="DY47" s="117">
        <f>((DX46-DY4)/SUM(DY4:DZ4,EB4:EC4))+0.25</f>
        <v>2.506370338830195</v>
      </c>
      <c r="DZ47" s="117">
        <f>((DY46-DZ4)/SUM(DZ4,EB4:ED4))+0.25</f>
        <v>2.483052203769275</v>
      </c>
      <c r="EA47" s="116">
        <f>EA48/EF4</f>
        <v>2.4558779377213198</v>
      </c>
      <c r="EB47" s="117">
        <f>((EA46-EB4)/SUM(EB4:ED4,EE4))+0.25</f>
        <v>2.4599892599624602</v>
      </c>
      <c r="EC47" s="117">
        <f>((EB46-EC4)/SUM(EC4:EE4,EG4))+0.25</f>
        <v>3.1824315404101879</v>
      </c>
      <c r="ED47" s="117">
        <f>((EC46-ED4)/SUM(ED4:EE4,EG4:EH4))+0.25</f>
        <v>4.5003250940799715</v>
      </c>
      <c r="EE47" s="117">
        <f>((ED46-EE4)/SUM(EE4,EG4:EI4))+0.25</f>
        <v>8.2013990966109311</v>
      </c>
      <c r="EF47" s="116" t="e">
        <f>EF48/EK4</f>
        <v>#DIV/0!</v>
      </c>
    </row>
    <row r="48" spans="1:136" s="33" customFormat="1" ht="12.75" customHeight="1">
      <c r="A48" s="33" t="s">
        <v>94</v>
      </c>
      <c r="B48" s="118">
        <f>B46</f>
        <v>0</v>
      </c>
      <c r="C48" s="118">
        <f>C46</f>
        <v>0</v>
      </c>
      <c r="D48" s="118">
        <f>D46</f>
        <v>0</v>
      </c>
      <c r="E48" s="118">
        <f>E46</f>
        <v>0</v>
      </c>
      <c r="F48" s="119">
        <f>E48</f>
        <v>0</v>
      </c>
      <c r="G48" s="118">
        <f>G46</f>
        <v>0</v>
      </c>
      <c r="H48" s="118">
        <f>H46</f>
        <v>0</v>
      </c>
      <c r="I48" s="118">
        <f>I46</f>
        <v>0</v>
      </c>
      <c r="J48" s="118">
        <f>J46</f>
        <v>0</v>
      </c>
      <c r="K48" s="119">
        <f>J48</f>
        <v>0</v>
      </c>
      <c r="L48" s="118">
        <f>L46</f>
        <v>0</v>
      </c>
      <c r="M48" s="118">
        <f>M46</f>
        <v>0</v>
      </c>
      <c r="N48" s="118">
        <f>N46</f>
        <v>0</v>
      </c>
      <c r="O48" s="118">
        <f>O46</f>
        <v>0</v>
      </c>
      <c r="P48" s="119">
        <f>O48</f>
        <v>0</v>
      </c>
      <c r="Q48" s="118">
        <f>Q46</f>
        <v>0</v>
      </c>
      <c r="R48" s="118">
        <f>R46</f>
        <v>0</v>
      </c>
      <c r="S48" s="118">
        <f>S46</f>
        <v>0</v>
      </c>
      <c r="T48" s="118">
        <f>T46</f>
        <v>0</v>
      </c>
      <c r="U48" s="119">
        <f>T48</f>
        <v>0</v>
      </c>
      <c r="V48" s="118">
        <f>V46</f>
        <v>0</v>
      </c>
      <c r="W48" s="118">
        <f>W46</f>
        <v>0</v>
      </c>
      <c r="X48" s="118">
        <f>X46</f>
        <v>0</v>
      </c>
      <c r="Y48" s="118">
        <f>Y46</f>
        <v>0</v>
      </c>
      <c r="Z48" s="119">
        <f>Y48</f>
        <v>0</v>
      </c>
      <c r="AA48" s="118">
        <f>AA46</f>
        <v>0</v>
      </c>
      <c r="AB48" s="118">
        <f>AB46</f>
        <v>0</v>
      </c>
      <c r="AC48" s="118">
        <f>AC46</f>
        <v>0</v>
      </c>
      <c r="AD48" s="118">
        <f>AD46</f>
        <v>0</v>
      </c>
      <c r="AE48" s="119">
        <f>AD48</f>
        <v>0</v>
      </c>
      <c r="AF48" s="118">
        <f>AF46</f>
        <v>0</v>
      </c>
      <c r="AG48" s="118">
        <f>AG46</f>
        <v>0</v>
      </c>
      <c r="AH48" s="118">
        <f>AH46</f>
        <v>0</v>
      </c>
      <c r="AI48" s="118">
        <f>AI46</f>
        <v>0</v>
      </c>
      <c r="AJ48" s="119">
        <f>AI48</f>
        <v>0</v>
      </c>
      <c r="AK48" s="118">
        <f>AK46</f>
        <v>0</v>
      </c>
      <c r="AL48" s="118">
        <f>AL46</f>
        <v>0</v>
      </c>
      <c r="AM48" s="118">
        <f>AM46</f>
        <v>0</v>
      </c>
      <c r="AN48" s="118">
        <f>AN46</f>
        <v>0</v>
      </c>
      <c r="AO48" s="119">
        <f>AN48</f>
        <v>0</v>
      </c>
      <c r="AP48" s="118">
        <f>AP46</f>
        <v>0</v>
      </c>
      <c r="AQ48" s="118">
        <f>AQ46</f>
        <v>0</v>
      </c>
      <c r="AR48" s="118">
        <f>AR46</f>
        <v>0</v>
      </c>
      <c r="AS48" s="118">
        <f>AS46</f>
        <v>0</v>
      </c>
      <c r="AT48" s="119">
        <f>AS48</f>
        <v>0</v>
      </c>
      <c r="AU48" s="118">
        <f>AU46</f>
        <v>0</v>
      </c>
      <c r="AV48" s="118">
        <f>AV46</f>
        <v>0</v>
      </c>
      <c r="AW48" s="118">
        <f>AW46</f>
        <v>0</v>
      </c>
      <c r="AX48" s="118">
        <f>AX46</f>
        <v>0</v>
      </c>
      <c r="AY48" s="119">
        <f>AX48</f>
        <v>0</v>
      </c>
      <c r="AZ48" s="118">
        <f>AZ46</f>
        <v>0</v>
      </c>
      <c r="BA48" s="118">
        <f>BA46</f>
        <v>0</v>
      </c>
      <c r="BB48" s="118">
        <f>BB46</f>
        <v>0</v>
      </c>
      <c r="BC48" s="118">
        <f>BC46</f>
        <v>0</v>
      </c>
      <c r="BD48" s="119">
        <f>BC48</f>
        <v>0</v>
      </c>
      <c r="BE48" s="118">
        <f>BE46</f>
        <v>0</v>
      </c>
      <c r="BF48" s="118">
        <f>BF46</f>
        <v>0</v>
      </c>
      <c r="BG48" s="118">
        <f>BG46</f>
        <v>0</v>
      </c>
      <c r="BH48" s="118">
        <f>BH46</f>
        <v>0</v>
      </c>
      <c r="BI48" s="119">
        <f>BH48</f>
        <v>0</v>
      </c>
      <c r="BJ48" s="118">
        <f>BJ46</f>
        <v>0</v>
      </c>
      <c r="BK48" s="118">
        <f>BK46</f>
        <v>0</v>
      </c>
      <c r="BL48" s="118">
        <f>BL46</f>
        <v>0</v>
      </c>
      <c r="BM48" s="118">
        <f>BM46</f>
        <v>0</v>
      </c>
      <c r="BN48" s="119">
        <f>BM48</f>
        <v>0</v>
      </c>
      <c r="BO48" s="118">
        <f>BO46</f>
        <v>0</v>
      </c>
      <c r="BP48" s="118">
        <f>BP46</f>
        <v>0</v>
      </c>
      <c r="BQ48" s="118">
        <f>BQ46</f>
        <v>0</v>
      </c>
      <c r="BR48" s="118">
        <f>BR46</f>
        <v>0</v>
      </c>
      <c r="BS48" s="119">
        <f>BR48</f>
        <v>0</v>
      </c>
      <c r="BT48" s="118">
        <f>BT46</f>
        <v>0</v>
      </c>
      <c r="BU48" s="118">
        <f>BU46</f>
        <v>0</v>
      </c>
      <c r="BV48" s="118">
        <f>BV46</f>
        <v>0</v>
      </c>
      <c r="BW48" s="118">
        <f>BW46</f>
        <v>0</v>
      </c>
      <c r="BX48" s="119">
        <f>BW48</f>
        <v>0</v>
      </c>
      <c r="BY48" s="118">
        <f>BY46</f>
        <v>0</v>
      </c>
      <c r="BZ48" s="118">
        <f>BZ46</f>
        <v>0</v>
      </c>
      <c r="CA48" s="118">
        <f>CA46</f>
        <v>4720000</v>
      </c>
      <c r="CB48" s="118">
        <f>CB46</f>
        <v>5700000</v>
      </c>
      <c r="CC48" s="119">
        <f>CB48</f>
        <v>5700000</v>
      </c>
      <c r="CD48" s="118">
        <f ca="1">CD46</f>
        <v>0</v>
      </c>
      <c r="CE48" s="118">
        <f>CE46</f>
        <v>7945000</v>
      </c>
      <c r="CF48" s="118">
        <f>CF46</f>
        <v>8828352</v>
      </c>
      <c r="CG48" s="118">
        <f>CG46</f>
        <v>10531600</v>
      </c>
      <c r="CH48" s="119">
        <f>CG48</f>
        <v>10531600</v>
      </c>
      <c r="CI48" s="118">
        <f>CI46</f>
        <v>9966000</v>
      </c>
      <c r="CJ48" s="118">
        <f>CJ46</f>
        <v>10430000</v>
      </c>
      <c r="CK48" s="118">
        <f>CK46</f>
        <v>11456000</v>
      </c>
      <c r="CL48" s="118">
        <f>CL46</f>
        <v>9794000</v>
      </c>
      <c r="CM48" s="119">
        <f>CL48</f>
        <v>9794000</v>
      </c>
      <c r="CN48" s="118">
        <f>CN46</f>
        <v>9952710</v>
      </c>
      <c r="CO48" s="118">
        <f>CO46</f>
        <v>9647194.7034000009</v>
      </c>
      <c r="CP48" s="118">
        <f>CP46</f>
        <v>10487100</v>
      </c>
      <c r="CQ48" s="118">
        <f>CQ46</f>
        <v>10138416.628</v>
      </c>
      <c r="CR48" s="119">
        <f>CQ48</f>
        <v>10138416.628</v>
      </c>
      <c r="CS48" s="118">
        <f>CS46</f>
        <v>9905531.2655299995</v>
      </c>
      <c r="CT48" s="118">
        <f>CT46</f>
        <v>10182554.84953</v>
      </c>
      <c r="CU48" s="118">
        <f>CU46</f>
        <v>11848093.692</v>
      </c>
      <c r="CV48" s="118">
        <f>CV46</f>
        <v>14508000</v>
      </c>
      <c r="CW48" s="119">
        <f>CV48</f>
        <v>14508000</v>
      </c>
      <c r="CX48" s="118">
        <f>CX46</f>
        <v>15637400</v>
      </c>
      <c r="CY48" s="118">
        <f>CY46</f>
        <v>17585600</v>
      </c>
      <c r="CZ48" s="118">
        <f>CZ46</f>
        <v>19517000</v>
      </c>
      <c r="DA48" s="118">
        <f>DA46</f>
        <v>20122400</v>
      </c>
      <c r="DB48" s="119">
        <f>DA48</f>
        <v>20122400</v>
      </c>
      <c r="DC48" s="118">
        <f>DC46</f>
        <v>19805300</v>
      </c>
      <c r="DD48" s="118">
        <f>DD46</f>
        <v>21114400</v>
      </c>
      <c r="DE48" s="118">
        <f>DE46</f>
        <v>23343700</v>
      </c>
      <c r="DF48" s="118">
        <f>DF46</f>
        <v>24641300</v>
      </c>
      <c r="DG48" s="119">
        <f>DF48</f>
        <v>24641300</v>
      </c>
      <c r="DH48" s="118">
        <f>DH46</f>
        <v>24924600</v>
      </c>
      <c r="DI48" s="118">
        <f>DI46</f>
        <v>26092800</v>
      </c>
      <c r="DJ48" s="118">
        <f>DJ46</f>
        <v>26057277.345671397</v>
      </c>
      <c r="DK48" s="118">
        <f>DK46</f>
        <v>26374770.521179631</v>
      </c>
      <c r="DL48" s="119">
        <f>DK48</f>
        <v>26374770.521179631</v>
      </c>
      <c r="DM48" s="118">
        <f>DM46</f>
        <v>26414199.878053878</v>
      </c>
      <c r="DN48" s="118">
        <f>DN46</f>
        <v>26454065.520387329</v>
      </c>
      <c r="DO48" s="118">
        <f>DO46</f>
        <v>26494372.27567444</v>
      </c>
      <c r="DP48" s="118">
        <f>DP46</f>
        <v>26535125.024825852</v>
      </c>
      <c r="DQ48" s="119">
        <f>DP48</f>
        <v>26535125.024825852</v>
      </c>
      <c r="DR48" s="118">
        <f>DR46</f>
        <v>26576328.702759445</v>
      </c>
      <c r="DS48" s="118">
        <f>DS46</f>
        <v>26617988.298997894</v>
      </c>
      <c r="DT48" s="118">
        <f>DT46</f>
        <v>26660108.858272929</v>
      </c>
      <c r="DU48" s="118">
        <f>DU46</f>
        <v>26702695.481136158</v>
      </c>
      <c r="DV48" s="119">
        <f>DU48</f>
        <v>26702695.481136158</v>
      </c>
      <c r="DW48" s="118">
        <f>DW46</f>
        <v>26745753.324576758</v>
      </c>
      <c r="DX48" s="118">
        <f>DX46</f>
        <v>26789287.602645941</v>
      </c>
      <c r="DY48" s="118">
        <f>DY46</f>
        <v>26833303.58708835</v>
      </c>
      <c r="DZ48" s="118">
        <f>DZ46</f>
        <v>26877806.607980423</v>
      </c>
      <c r="EA48" s="119">
        <f>DZ48</f>
        <v>26877806.607980423</v>
      </c>
      <c r="EB48" s="118">
        <f>EB46</f>
        <v>26922802.054375853</v>
      </c>
      <c r="EC48" s="118">
        <f>EC46</f>
        <v>26265252.392184958</v>
      </c>
      <c r="ED48" s="118">
        <f>ED46</f>
        <v>24897383.966456007</v>
      </c>
      <c r="EE48" s="118">
        <f>EE46</f>
        <v>22811337.106819086</v>
      </c>
      <c r="EF48" s="119">
        <f>EE48</f>
        <v>22811337.106819086</v>
      </c>
    </row>
    <row r="49" spans="1:136" ht="12.75" customHeight="1">
      <c r="D49" s="115"/>
      <c r="F49" s="120"/>
      <c r="I49" s="115"/>
      <c r="K49" s="120"/>
      <c r="N49" s="115"/>
      <c r="P49" s="120"/>
      <c r="S49" s="115"/>
      <c r="U49" s="120"/>
      <c r="X49" s="115"/>
      <c r="Z49" s="120"/>
      <c r="AC49" s="115"/>
      <c r="AE49" s="120"/>
      <c r="CB49" s="403">
        <f>2/7*15%</f>
        <v>4.2857142857142851E-2</v>
      </c>
      <c r="CG49" s="403"/>
      <c r="DG49" s="2"/>
      <c r="DL49" s="2"/>
      <c r="DQ49" s="2"/>
      <c r="DV49" s="2"/>
      <c r="EA49" s="2"/>
      <c r="EF49" s="2"/>
    </row>
    <row r="50" spans="1:136" ht="12.75" customHeight="1">
      <c r="AG50" s="1">
        <f>45.7+14.8+9.4+7.4</f>
        <v>77.300000000000011</v>
      </c>
      <c r="AL50" s="1">
        <f>45.7+14.8+9.4+7.4</f>
        <v>77.300000000000011</v>
      </c>
      <c r="AQ50" s="1">
        <f>45.7+14.8+9.4+7.4</f>
        <v>77.300000000000011</v>
      </c>
      <c r="AV50" s="1">
        <f>45.7+14.8+9.4+7.4</f>
        <v>77.300000000000011</v>
      </c>
      <c r="BA50" s="1">
        <f>45.7+14.8+9.4+7.4</f>
        <v>77.300000000000011</v>
      </c>
      <c r="BM50" s="52"/>
      <c r="DG50" s="2"/>
      <c r="DL50" s="2"/>
      <c r="DQ50" s="2"/>
      <c r="DV50" s="2"/>
      <c r="EA50" s="2"/>
      <c r="EF50" s="2"/>
    </row>
    <row r="51" spans="1:136" s="8" customFormat="1" ht="12.75" customHeight="1" thickBot="1">
      <c r="A51" s="4" t="s">
        <v>279</v>
      </c>
      <c r="B51" s="30" t="str">
        <f>Macro!B$9</f>
        <v>1Q04</v>
      </c>
      <c r="C51" s="30" t="str">
        <f>Macro!C$9</f>
        <v>2Q04</v>
      </c>
      <c r="D51" s="30" t="str">
        <f>Macro!D$9</f>
        <v>3Q04</v>
      </c>
      <c r="E51" s="31" t="str">
        <f>Macro!E$9</f>
        <v>4Q04</v>
      </c>
      <c r="F51" s="29" t="str">
        <f>Macro!F$9</f>
        <v>2004</v>
      </c>
      <c r="G51" s="30" t="str">
        <f>Macro!G$9</f>
        <v>1Q05</v>
      </c>
      <c r="H51" s="30" t="str">
        <f>Macro!H$9</f>
        <v>2Q05</v>
      </c>
      <c r="I51" s="30" t="str">
        <f>Macro!I$9</f>
        <v>3Q05</v>
      </c>
      <c r="J51" s="31" t="str">
        <f>Macro!J$9</f>
        <v>4Q05</v>
      </c>
      <c r="K51" s="29" t="str">
        <f>Macro!K$9</f>
        <v>2005</v>
      </c>
      <c r="L51" s="30" t="str">
        <f>Macro!L$9</f>
        <v>1Q06</v>
      </c>
      <c r="M51" s="30" t="str">
        <f>Macro!M$9</f>
        <v>2Q06</v>
      </c>
      <c r="N51" s="30" t="str">
        <f>Macro!N$9</f>
        <v>3Q06</v>
      </c>
      <c r="O51" s="31" t="str">
        <f>Macro!O$9</f>
        <v>4Q06</v>
      </c>
      <c r="P51" s="29" t="str">
        <f>Macro!P$9</f>
        <v>2006</v>
      </c>
      <c r="Q51" s="30" t="str">
        <f>Macro!Q$9</f>
        <v>1Q07</v>
      </c>
      <c r="R51" s="30" t="str">
        <f>Macro!R$9</f>
        <v>2Q07</v>
      </c>
      <c r="S51" s="30" t="str">
        <f>Macro!S$9</f>
        <v>3Q07</v>
      </c>
      <c r="T51" s="31" t="str">
        <f>Macro!T$9</f>
        <v>4Q07</v>
      </c>
      <c r="U51" s="29" t="str">
        <f>Macro!U$9</f>
        <v>2007</v>
      </c>
      <c r="V51" s="30" t="str">
        <f>Macro!V$9</f>
        <v>1Q08</v>
      </c>
      <c r="W51" s="30" t="str">
        <f>Macro!W$9</f>
        <v>2Q08</v>
      </c>
      <c r="X51" s="30" t="str">
        <f>Macro!X$9</f>
        <v>3Q08</v>
      </c>
      <c r="Y51" s="31" t="str">
        <f>Macro!Y$9</f>
        <v>4Q08</v>
      </c>
      <c r="Z51" s="29" t="str">
        <f>Macro!Z$9</f>
        <v>2008</v>
      </c>
      <c r="AA51" s="30" t="str">
        <f>Macro!AA$9</f>
        <v>1Q09</v>
      </c>
      <c r="AB51" s="30" t="str">
        <f>Macro!AB$9</f>
        <v>2Q09</v>
      </c>
      <c r="AC51" s="30" t="str">
        <f>Macro!AC$9</f>
        <v>3Q09</v>
      </c>
      <c r="AD51" s="31" t="str">
        <f>Macro!AD$9</f>
        <v>4Q09</v>
      </c>
      <c r="AE51" s="29" t="str">
        <f>Macro!AE$9</f>
        <v>2009</v>
      </c>
      <c r="AF51" s="30" t="str">
        <f>Macro!AF$9</f>
        <v>1Q10</v>
      </c>
      <c r="AG51" s="30" t="str">
        <f>Macro!AG$9</f>
        <v>2Q10</v>
      </c>
      <c r="AH51" s="30" t="str">
        <f>Macro!AH$9</f>
        <v>3Q10</v>
      </c>
      <c r="AI51" s="31" t="str">
        <f>Macro!AI$9</f>
        <v>4Q10</v>
      </c>
      <c r="AJ51" s="29" t="str">
        <f>Macro!AJ$9</f>
        <v>2010</v>
      </c>
      <c r="AK51" s="30" t="str">
        <f>Macro!AK$9</f>
        <v>1Q11</v>
      </c>
      <c r="AL51" s="30" t="str">
        <f>Macro!AL$9</f>
        <v>2Q11</v>
      </c>
      <c r="AM51" s="30" t="str">
        <f>Macro!AM$9</f>
        <v>3Q11</v>
      </c>
      <c r="AN51" s="31" t="str">
        <f>Macro!AN$9</f>
        <v>4Q11</v>
      </c>
      <c r="AO51" s="29" t="str">
        <f>Macro!AO$9</f>
        <v>2011</v>
      </c>
      <c r="AP51" s="30" t="str">
        <f>Macro!AP$9</f>
        <v>1Q12</v>
      </c>
      <c r="AQ51" s="30" t="str">
        <f>Macro!AQ$9</f>
        <v>2Q12</v>
      </c>
      <c r="AR51" s="30" t="str">
        <f>Macro!AR$9</f>
        <v>3Q12</v>
      </c>
      <c r="AS51" s="31" t="str">
        <f>Macro!AS$9</f>
        <v>4Q12</v>
      </c>
      <c r="AT51" s="29" t="str">
        <f>Macro!AT$9</f>
        <v>2012</v>
      </c>
      <c r="AU51" s="30" t="str">
        <f>Macro!AU$9</f>
        <v>1Q13</v>
      </c>
      <c r="AV51" s="30" t="str">
        <f>Macro!AV$9</f>
        <v>2Q13</v>
      </c>
      <c r="AW51" s="30" t="str">
        <f>Macro!AW$9</f>
        <v>3Q13</v>
      </c>
      <c r="AX51" s="31" t="str">
        <f>Macro!AX$9</f>
        <v>4Q13</v>
      </c>
      <c r="AY51" s="29" t="str">
        <f>Macro!AY$9</f>
        <v>2013</v>
      </c>
      <c r="AZ51" s="30" t="str">
        <f>Macro!AZ$9</f>
        <v>1Q14</v>
      </c>
      <c r="BA51" s="30" t="str">
        <f>Macro!BA$9</f>
        <v>2Q14</v>
      </c>
      <c r="BB51" s="30" t="str">
        <f>Macro!BB$9</f>
        <v>3Q14</v>
      </c>
      <c r="BC51" s="31" t="str">
        <f>Macro!BC$9</f>
        <v>4Q14</v>
      </c>
      <c r="BD51" s="29" t="str">
        <f>Macro!BD$9</f>
        <v>2014</v>
      </c>
      <c r="BE51" s="30" t="str">
        <f>Macro!BE$9</f>
        <v>1Q15</v>
      </c>
      <c r="BF51" s="30" t="str">
        <f>Macro!BF$9</f>
        <v>2Q15</v>
      </c>
      <c r="BG51" s="30" t="str">
        <f>Macro!BG$9</f>
        <v>3Q15</v>
      </c>
      <c r="BH51" s="31" t="str">
        <f>Macro!BH$9</f>
        <v>4Q15</v>
      </c>
      <c r="BI51" s="29" t="str">
        <f>Macro!BI$9</f>
        <v>2015</v>
      </c>
      <c r="BJ51" s="30" t="str">
        <f>Macro!BJ$9</f>
        <v>1Q16</v>
      </c>
      <c r="BK51" s="30" t="str">
        <f>Macro!BK$9</f>
        <v>2Q16</v>
      </c>
      <c r="BL51" s="30" t="str">
        <f>Macro!BL$9</f>
        <v>3Q16</v>
      </c>
      <c r="BM51" s="31" t="str">
        <f>Macro!BM$9</f>
        <v>4Q16</v>
      </c>
      <c r="BN51" s="29" t="str">
        <f>Macro!BN$9</f>
        <v>2016</v>
      </c>
      <c r="BO51" s="30" t="str">
        <f>Macro!BO$9</f>
        <v>1Q17</v>
      </c>
      <c r="BP51" s="30" t="str">
        <f>Macro!BP$9</f>
        <v>2Q17</v>
      </c>
      <c r="BQ51" s="30" t="str">
        <f>Macro!BQ$9</f>
        <v>3Q17</v>
      </c>
      <c r="BR51" s="31" t="str">
        <f>Macro!BR$9</f>
        <v>4Q17</v>
      </c>
      <c r="BS51" s="29" t="str">
        <f>Macro!BS$9</f>
        <v>2017</v>
      </c>
      <c r="BT51" s="30" t="str">
        <f>Macro!BT$9</f>
        <v>1Q18</v>
      </c>
      <c r="BU51" s="30" t="str">
        <f>Macro!BU$9</f>
        <v>2Q18</v>
      </c>
      <c r="BV51" s="30" t="str">
        <f>Macro!BV$9</f>
        <v>3Q18</v>
      </c>
      <c r="BW51" s="31" t="str">
        <f>Macro!BW$9</f>
        <v>4Q18</v>
      </c>
      <c r="BX51" s="29" t="str">
        <f>Macro!BX$9</f>
        <v>2018</v>
      </c>
      <c r="BY51" s="30" t="str">
        <f>Macro!BY$9</f>
        <v>1Q19</v>
      </c>
      <c r="BZ51" s="30" t="str">
        <f>Macro!BZ$9</f>
        <v>2Q19</v>
      </c>
      <c r="CA51" s="30" t="str">
        <f>Macro!CA$9</f>
        <v>3Q19</v>
      </c>
      <c r="CB51" s="31" t="str">
        <f>Macro!CB$9</f>
        <v>4Q19</v>
      </c>
      <c r="CC51" s="29" t="str">
        <f>Macro!CC$9</f>
        <v>2019</v>
      </c>
      <c r="CD51" s="30" t="str">
        <f>Macro!CD$9</f>
        <v>1Q20</v>
      </c>
      <c r="CE51" s="30" t="str">
        <f>Macro!CE$9</f>
        <v>2Q20</v>
      </c>
      <c r="CF51" s="30" t="str">
        <f>Macro!CF$9</f>
        <v>3Q20</v>
      </c>
      <c r="CG51" s="31" t="str">
        <f>Macro!CG$9</f>
        <v>4Q20</v>
      </c>
      <c r="CH51" s="29" t="str">
        <f>Macro!CH$9</f>
        <v>2020</v>
      </c>
      <c r="CI51" s="30" t="str">
        <f>Macro!CI$9</f>
        <v>1Q21</v>
      </c>
      <c r="CJ51" s="30" t="str">
        <f>Macro!CJ$9</f>
        <v>2Q21</v>
      </c>
      <c r="CK51" s="30" t="str">
        <f>Macro!CK$9</f>
        <v>3Q21</v>
      </c>
      <c r="CL51" s="31" t="str">
        <f>Macro!CL$9</f>
        <v>4Q21</v>
      </c>
      <c r="CM51" s="29" t="str">
        <f>Macro!CM$9</f>
        <v>2021</v>
      </c>
      <c r="CN51" s="30" t="str">
        <f>Macro!CN$9</f>
        <v>1Q22</v>
      </c>
      <c r="CO51" s="30" t="str">
        <f>Macro!CO$9</f>
        <v>2Q22</v>
      </c>
      <c r="CP51" s="30" t="str">
        <f>Macro!CP$9</f>
        <v>3Q22</v>
      </c>
      <c r="CQ51" s="31" t="str">
        <f>Macro!CQ$9</f>
        <v>4Q22</v>
      </c>
      <c r="CR51" s="29" t="str">
        <f>Macro!CR$9</f>
        <v>2022</v>
      </c>
      <c r="CS51" s="30" t="str">
        <f>Macro!CS$9</f>
        <v>1Q23</v>
      </c>
      <c r="CT51" s="30" t="str">
        <f>Macro!CT$9</f>
        <v>2Q23</v>
      </c>
      <c r="CU51" s="30" t="str">
        <f>Macro!CU$9</f>
        <v>3Q23</v>
      </c>
      <c r="CV51" s="31" t="str">
        <f>Macro!CV$9</f>
        <v>4Q23</v>
      </c>
      <c r="CW51" s="29" t="str">
        <f>Macro!CW$9</f>
        <v>2023</v>
      </c>
      <c r="CX51" s="31" t="str">
        <f>Macro!CX$9</f>
        <v>1Q24</v>
      </c>
      <c r="CY51" s="30" t="str">
        <f>Macro!CY$9</f>
        <v>2Q24</v>
      </c>
      <c r="CZ51" s="30" t="str">
        <f>Macro!CZ$9</f>
        <v>3Q24</v>
      </c>
      <c r="DA51" s="31" t="str">
        <f>Macro!DA$9</f>
        <v>4Q24</v>
      </c>
      <c r="DB51" s="29" t="str">
        <f>Macro!DB$9</f>
        <v>2024</v>
      </c>
      <c r="DC51" s="31" t="str">
        <f>Macro!DC$9</f>
        <v>1Q25</v>
      </c>
      <c r="DD51" s="30" t="str">
        <f>Macro!DD$9</f>
        <v>2Q25</v>
      </c>
      <c r="DE51" s="30" t="str">
        <f>Macro!DE$9</f>
        <v>3Q25</v>
      </c>
      <c r="DF51" s="31" t="str">
        <f>Macro!DF$9</f>
        <v>4Q25</v>
      </c>
      <c r="DG51" s="29" t="str">
        <f>Macro!DG$9</f>
        <v>2025</v>
      </c>
      <c r="DH51" s="30" t="str">
        <f>Macro!DH$9</f>
        <v>1Q26</v>
      </c>
      <c r="DI51" s="30" t="str">
        <f>Macro!DI$9</f>
        <v>2Q26</v>
      </c>
      <c r="DJ51" s="30" t="str">
        <f>Macro!DJ$9</f>
        <v>3Q26E</v>
      </c>
      <c r="DK51" s="31" t="str">
        <f>Macro!DK$9</f>
        <v>4Q26E</v>
      </c>
      <c r="DL51" s="29" t="str">
        <f>Macro!DL$9</f>
        <v>2026E</v>
      </c>
      <c r="DM51" s="30" t="str">
        <f>Macro!DM$9</f>
        <v>1Q27E</v>
      </c>
      <c r="DN51" s="30" t="str">
        <f>Macro!DN$9</f>
        <v>2Q27E</v>
      </c>
      <c r="DO51" s="30" t="str">
        <f>Macro!DO$9</f>
        <v>3Q27E</v>
      </c>
      <c r="DP51" s="31" t="str">
        <f>Macro!DP$9</f>
        <v>4Q27E</v>
      </c>
      <c r="DQ51" s="29" t="str">
        <f>Macro!DQ$9</f>
        <v>2027E</v>
      </c>
      <c r="DR51" s="30" t="str">
        <f>Macro!DR$9</f>
        <v>1Q28E</v>
      </c>
      <c r="DS51" s="30" t="str">
        <f>Macro!DS$9</f>
        <v>2Q28E</v>
      </c>
      <c r="DT51" s="30" t="str">
        <f>Macro!DT$9</f>
        <v>3Q28E</v>
      </c>
      <c r="DU51" s="31" t="str">
        <f>Macro!DU$9</f>
        <v>4Q28E</v>
      </c>
      <c r="DV51" s="29" t="str">
        <f>Macro!DV$9</f>
        <v>2028E</v>
      </c>
      <c r="DW51" s="30" t="str">
        <f>Macro!DW$9</f>
        <v>1Q29E</v>
      </c>
      <c r="DX51" s="30" t="str">
        <f>Macro!DX$9</f>
        <v>2Q29E</v>
      </c>
      <c r="DY51" s="30" t="str">
        <f>Macro!DY$9</f>
        <v>3Q29E</v>
      </c>
      <c r="DZ51" s="31" t="str">
        <f>Macro!DZ$9</f>
        <v>4Q29E</v>
      </c>
      <c r="EA51" s="29" t="str">
        <f>Macro!EA$9</f>
        <v>2029E</v>
      </c>
      <c r="EB51" s="30" t="str">
        <f>Macro!EB$9</f>
        <v>1Q30E</v>
      </c>
      <c r="EC51" s="30" t="str">
        <f>Macro!EC$9</f>
        <v>2Q30E</v>
      </c>
      <c r="ED51" s="30" t="str">
        <f>Macro!ED$9</f>
        <v>3Q30E</v>
      </c>
      <c r="EE51" s="31" t="str">
        <f>Macro!EE$9</f>
        <v>4Q30E</v>
      </c>
      <c r="EF51" s="29" t="str">
        <f>Macro!EF$9</f>
        <v>2030E</v>
      </c>
    </row>
    <row r="52" spans="1:136" ht="12.75" customHeight="1">
      <c r="A52" s="1" t="s">
        <v>280</v>
      </c>
      <c r="AF52" s="52" t="e">
        <f>AVERAGE(T8,V8:X8)*AF53/1000</f>
        <v>#DIV/0!</v>
      </c>
      <c r="AG52" s="52" t="e">
        <f>AVERAGE(Y8,V8:X8)*AG53/1000</f>
        <v>#DIV/0!</v>
      </c>
      <c r="AH52" s="52" t="e">
        <f>AVERAGE(AA8,W8:Y8)*AH53/1000</f>
        <v>#DIV/0!</v>
      </c>
      <c r="AI52" s="52" t="e">
        <f>AVERAGE(AA8:AB8,X8:Y8)*AI53/1000</f>
        <v>#DIV/0!</v>
      </c>
      <c r="AJ52" s="79" t="e">
        <f>SUM(AF52:AI52)</f>
        <v>#DIV/0!</v>
      </c>
      <c r="AK52" s="52" t="e">
        <f>AVERAGE(Y8,AA8:AC8)*AK53/1000</f>
        <v>#DIV/0!</v>
      </c>
      <c r="AL52" s="52" t="e">
        <f>AVERAGE(AD8,AA8:AC8)*AL53/1000</f>
        <v>#DIV/0!</v>
      </c>
      <c r="AM52" s="52" t="e">
        <f>AVERAGE(AF8,AB8:AD8)*AM53/1000</f>
        <v>#DIV/0!</v>
      </c>
      <c r="AN52" s="52" t="e">
        <f>AVERAGE(AF8:AG8,AC8:AD8)*AN53/1000</f>
        <v>#DIV/0!</v>
      </c>
      <c r="AO52" s="79" t="e">
        <f>SUM(AK52:AN52)</f>
        <v>#DIV/0!</v>
      </c>
      <c r="AP52" s="52" t="e">
        <f>AVERAGE(AD8,AF8:AH8)*AP53/1000</f>
        <v>#DIV/0!</v>
      </c>
      <c r="AQ52" s="52" t="e">
        <f>AVERAGE(AI8,AF8:AH8)*AQ53/1000</f>
        <v>#DIV/0!</v>
      </c>
      <c r="AR52" s="52" t="e">
        <f>AVERAGE(AK8,AG8:AI8)*AR53/1000</f>
        <v>#DIV/0!</v>
      </c>
      <c r="AS52" s="52" t="e">
        <f>AVERAGE(AK8:AL8,AH8:AI8)*AS53/1000</f>
        <v>#DIV/0!</v>
      </c>
      <c r="AT52" s="79" t="e">
        <f>SUM(AP52:AS52)</f>
        <v>#DIV/0!</v>
      </c>
      <c r="AU52" s="52" t="e">
        <f>AVERAGE(AI8,AK8:AM8)*AU53/1000</f>
        <v>#DIV/0!</v>
      </c>
      <c r="AV52" s="52" t="e">
        <f>AVERAGE(AN8,AK8:AM8)*AV53/1000</f>
        <v>#DIV/0!</v>
      </c>
      <c r="AW52" s="52" t="e">
        <f>AVERAGE(AP8,AL8:AN8)*AW53/1000</f>
        <v>#DIV/0!</v>
      </c>
      <c r="AX52" s="52" t="e">
        <f>AVERAGE(AP8:AQ8,AM8:AN8)*AX53/1000</f>
        <v>#DIV/0!</v>
      </c>
      <c r="AY52" s="79" t="e">
        <f>SUM(AU52:AX52)</f>
        <v>#DIV/0!</v>
      </c>
      <c r="AZ52" s="52" t="e">
        <f>AVERAGE(AN8,AP8:AR8)*AZ53/1000</f>
        <v>#DIV/0!</v>
      </c>
      <c r="BA52" s="52" t="e">
        <f>AVERAGE(AS8,AP8:AR8)*BA53/1000</f>
        <v>#DIV/0!</v>
      </c>
      <c r="BB52" s="52" t="e">
        <f>AVERAGE(AU8,AQ8:AS8)*BB53/1000</f>
        <v>#DIV/0!</v>
      </c>
      <c r="BC52" s="52" t="e">
        <f>AVERAGE(AU8:AV8,AR8:AS8)*BC53/1000</f>
        <v>#DIV/0!</v>
      </c>
      <c r="BD52" s="79" t="e">
        <f>SUM(AZ52:BC52)</f>
        <v>#DIV/0!</v>
      </c>
      <c r="BE52" s="52" t="e">
        <f>AVERAGE(AS8,AU8:AW8)*BE53/1000</f>
        <v>#DIV/0!</v>
      </c>
      <c r="BF52" s="52" t="e">
        <f>AVERAGE(AX8,AU8:AW8)*BF53/1000</f>
        <v>#DIV/0!</v>
      </c>
      <c r="BG52" s="52" t="e">
        <f>AVERAGE(AY8,AV8:AX8)*BG53/1000</f>
        <v>#DIV/0!</v>
      </c>
      <c r="BH52" s="52" t="e">
        <f>AVERAGE(AZ8:BA8,AW8:AX8)*BH53/1000</f>
        <v>#DIV/0!</v>
      </c>
      <c r="BI52" s="79" t="e">
        <f>SUM(BE52:BH52)</f>
        <v>#DIV/0!</v>
      </c>
      <c r="BJ52" s="52" t="e">
        <f>AVERAGE(AX8,AZ8:BB8)*BJ53/1000</f>
        <v>#DIV/0!</v>
      </c>
      <c r="BK52" s="52" t="e">
        <f>AVERAGE(BC8,AZ8:BB8)*BK53/1000</f>
        <v>#DIV/0!</v>
      </c>
      <c r="BL52" s="52" t="e">
        <f>AVERAGE(BD8,BA8:BC8)*BL53/1000</f>
        <v>#DIV/0!</v>
      </c>
      <c r="BM52" s="52" t="e">
        <f>AVERAGE(BE8:BF8,BB8:BC8)*BM53/1000</f>
        <v>#DIV/0!</v>
      </c>
      <c r="BN52" s="79" t="e">
        <f>SUM(BJ52:BM52)</f>
        <v>#DIV/0!</v>
      </c>
      <c r="BO52" s="52" t="e">
        <f>AVERAGE(BC8,BE8:BG8)*BO53/1000</f>
        <v>#DIV/0!</v>
      </c>
      <c r="BP52" s="52" t="e">
        <f>AVERAGE(BH8,BE8:BG8)*BP53/1000</f>
        <v>#DIV/0!</v>
      </c>
      <c r="BQ52" s="52" t="e">
        <f>AVERAGE(BI8,BF8:BH8)*BQ53/1000</f>
        <v>#DIV/0!</v>
      </c>
      <c r="BR52" s="52" t="e">
        <f>AVERAGE(BJ8:BK8,BG8:BH8)*BR53/1000</f>
        <v>#DIV/0!</v>
      </c>
      <c r="BS52" s="79" t="e">
        <f>SUM(BO52:BR52)</f>
        <v>#DIV/0!</v>
      </c>
      <c r="BT52" s="52">
        <f>AVERAGE(BH8,BJ8:BL8)*BT53/1000</f>
        <v>0</v>
      </c>
      <c r="BU52" s="52">
        <f>AVERAGE(BM8,BJ8:BL8)*BU53/1000</f>
        <v>0</v>
      </c>
      <c r="BV52" s="52">
        <f>AVERAGE(BN8,BK8:BM8)*BV53/1000</f>
        <v>0</v>
      </c>
      <c r="BW52" s="52">
        <f>AVERAGE(BO8:BP8,BL8:BM8)*BW53/1000</f>
        <v>0</v>
      </c>
      <c r="BX52" s="79">
        <f>SUM(BT52:BW52)</f>
        <v>0</v>
      </c>
      <c r="BY52" s="52">
        <f>AVERAGE(BM8,BO8:BQ8)*BY53/1000</f>
        <v>0</v>
      </c>
      <c r="BZ52" s="52">
        <f>AVERAGE(BR8,BO8:BQ8)*BZ53/1000</f>
        <v>0</v>
      </c>
      <c r="CA52" s="52">
        <f>AVERAGE(BS8,BP8:BR8)*CA53/1000</f>
        <v>0</v>
      </c>
      <c r="CB52" s="52">
        <f>AVERAGE(BT8:BU8,BQ8:BR8)*CB53/1000</f>
        <v>0</v>
      </c>
      <c r="CC52" s="79">
        <f>SUM(BY52:CB52)</f>
        <v>0</v>
      </c>
      <c r="CD52" s="52">
        <f>AVERAGE(BR8,BT8:BV8)*CD53/1000</f>
        <v>190510.5</v>
      </c>
      <c r="CE52" s="52">
        <f>AVERAGE(BW8,BT8:BV8)*CE53/1000</f>
        <v>211588.85400876359</v>
      </c>
      <c r="CF52" s="52">
        <f>AVERAGE(BX8,BU8:BW8)*CF53/1000</f>
        <v>0</v>
      </c>
      <c r="CG52" s="52">
        <f>AVERAGE(BY8:BZ8,BV8:BW8)*CG53/1000</f>
        <v>0</v>
      </c>
      <c r="CH52" s="79">
        <f>SUM(CD52:CG52)</f>
        <v>402099.35400876356</v>
      </c>
      <c r="CI52" s="52">
        <f>AVERAGE(BW8,BY8:CA8)*CI53/1000</f>
        <v>79207.426823940579</v>
      </c>
      <c r="CJ52" s="52">
        <f>AVERAGE(CB8,BY8:CA8)*CJ53/1000</f>
        <v>150836.99321795261</v>
      </c>
      <c r="CK52" s="52">
        <f>AVERAGE(CC8,BZ8:CB8)*CK53/1000</f>
        <v>395336.42885312199</v>
      </c>
      <c r="CL52" s="52">
        <f>AVERAGE(CD8:CE8,CA8:CB8)*CL53/1000</f>
        <v>163896.82077430881</v>
      </c>
      <c r="CM52" s="79">
        <f>SUM(CI52:CL52)</f>
        <v>789277.66966932407</v>
      </c>
      <c r="CN52" s="52">
        <f>AVERAGE(CB8,CD8:CF8)*CN53/1000</f>
        <v>353216.00358428736</v>
      </c>
      <c r="CO52" s="52">
        <f>AVERAGE(CG8,CD8:CF8)*CO53/1000</f>
        <v>179720.00478557608</v>
      </c>
      <c r="CP52" s="52">
        <f>AVERAGE(CH8,CE8:CG8)*CP53/1000</f>
        <v>169011.45010374309</v>
      </c>
      <c r="CQ52" s="52">
        <f>AVERAGE(CI8:CJ8,CF8:CG8)*CQ53/1000</f>
        <v>428811.0602731781</v>
      </c>
      <c r="CR52" s="79">
        <f>SUM(CN52:CQ52)</f>
        <v>1130758.5187467847</v>
      </c>
      <c r="CS52" s="52">
        <f>AVERAGE(CG8,CI8:CK8)*CS53/1000</f>
        <v>535117.35016574466</v>
      </c>
      <c r="CT52" s="52">
        <f>AVERAGE(CL8,CI8:CK8)*CT53/1000</f>
        <v>622731.22191838257</v>
      </c>
      <c r="CU52" s="52">
        <f>AVERAGE(CM8,CJ8:CL8)*CU53/1000</f>
        <v>277267.86764341034</v>
      </c>
      <c r="CV52" s="52">
        <f>AVERAGE(CN8:CO8,CK8:CL8)*CV53/1000</f>
        <v>855584.21794153377</v>
      </c>
      <c r="CW52" s="79">
        <f>SUM(CS52:CV52)</f>
        <v>2290700.6576690711</v>
      </c>
      <c r="CX52" s="52">
        <f>AVERAGE(CP8:CQ8,CM8:CN8)*CX53/1000</f>
        <v>192030.63714424634</v>
      </c>
      <c r="CY52" s="52">
        <f>AVERAGE(CR8,CN8:CP8)*CY53/1000</f>
        <v>406530.53327001003</v>
      </c>
      <c r="CZ52" s="52">
        <f>AVERAGE(CR8,CO8:CQ8)*CZ53/1000</f>
        <v>708469.64156242926</v>
      </c>
      <c r="DA52" s="52">
        <f>AVERAGE(CS8:CT8,CP8:CQ8)*DA53/1000</f>
        <v>873817.93014813669</v>
      </c>
      <c r="DB52" s="79">
        <f>SUM(CX52:DA52)</f>
        <v>2180848.7421248225</v>
      </c>
      <c r="DC52" s="52">
        <f>AVERAGE(CU8:CV8,CR8:CS8)*DC53/1000</f>
        <v>595882.88025593327</v>
      </c>
      <c r="DD52" s="52">
        <f>AVERAGE(CW8,CS8:CU8)*DD53/1000</f>
        <v>454535.5464286161</v>
      </c>
      <c r="DE52" s="52">
        <f>AVERAGE(CW8,CT8:CV8)*DE53/1000</f>
        <v>1757695.3869871525</v>
      </c>
      <c r="DF52" s="52">
        <f>AVERAGE(CX8:CY8,CU8:CV8)*DF53/1000</f>
        <v>1413800.3432456029</v>
      </c>
      <c r="DG52" s="79">
        <f>SUM(DC52:DF52)</f>
        <v>4221914.1569173047</v>
      </c>
      <c r="DH52" s="52">
        <f>AVERAGE(CZ8:DA8,CW8:CX8)*DH53/1000</f>
        <v>580640.86570984754</v>
      </c>
      <c r="DI52" s="52">
        <f>AVERAGE(DA8,CX8:CZ8)*DI53/1000</f>
        <v>379648.13600390457</v>
      </c>
      <c r="DJ52" s="52">
        <f>AVERAGE(DC8,CY8:DA8)*DJ53/1000</f>
        <v>1888974.7167798984</v>
      </c>
      <c r="DK52" s="52">
        <f>AVERAGE(DC8:DD8,CZ8:DA8)*DK53/1000</f>
        <v>2010510.9630461738</v>
      </c>
      <c r="DL52" s="79">
        <f>SUM(DH52:DK52)</f>
        <v>4859774.6815398242</v>
      </c>
      <c r="DM52" s="52">
        <f>AVERAGE(DA8,DC8:DE8)*DM53/1000</f>
        <v>2125602.5614137049</v>
      </c>
      <c r="DN52" s="52">
        <f>AVERAGE(DF8,DC8:DE8)*DN53/1000</f>
        <v>2093737.278547615</v>
      </c>
      <c r="DO52" s="52">
        <f>AVERAGE(DH8,DD8:DF8)*DO53/1000</f>
        <v>2044923.2434408546</v>
      </c>
      <c r="DP52" s="52">
        <f>AVERAGE(DH8:DI8,DE8:DF8)*DP53/1000</f>
        <v>2052529.7927506461</v>
      </c>
      <c r="DQ52" s="79">
        <f>SUM(DM52:DP52)</f>
        <v>8316792.8761528209</v>
      </c>
      <c r="DR52" s="52">
        <f>AVERAGE(DF8,DH8:DJ8)*DR53/1000</f>
        <v>2119644.5674719471</v>
      </c>
      <c r="DS52" s="52">
        <f>AVERAGE(DK8,DH8:DJ8)*DS53/1000</f>
        <v>2293467.0423185262</v>
      </c>
      <c r="DT52" s="52">
        <f>AVERAGE(DM8,DI8:DK8)*DT53/1000</f>
        <v>2214857.5305865612</v>
      </c>
      <c r="DU52" s="52">
        <f>AVERAGE(DM8:DN8,DJ8:DK8)*DU53/1000</f>
        <v>2245715.3646986899</v>
      </c>
      <c r="DV52" s="79">
        <f>SUM(DR52:DU52)</f>
        <v>8873684.5050757248</v>
      </c>
      <c r="DW52" s="52">
        <f>AVERAGE(DK8,DM8:DO8)*DW53/1000</f>
        <v>2276984.9081938076</v>
      </c>
      <c r="DX52" s="52">
        <f>AVERAGE(DP8,DM8:DO8)*DX53/1000</f>
        <v>2397608.029826534</v>
      </c>
      <c r="DY52" s="52">
        <f>AVERAGE(DR8,DN8:DP8)*DY53/1000</f>
        <v>2424137.5398972468</v>
      </c>
      <c r="DZ52" s="52">
        <f>AVERAGE(DR8:DS8,DO8:DP8)*DZ53/1000</f>
        <v>2450960.5987448399</v>
      </c>
      <c r="EA52" s="79">
        <f>SUM(DW52:DZ52)</f>
        <v>9549691.0766624268</v>
      </c>
      <c r="EB52" s="52">
        <f>AVERAGE(DP8,DR8:DT8)*EB53/1000</f>
        <v>2478080.4544837386</v>
      </c>
      <c r="EC52" s="52">
        <f>AVERAGE(DU8,DR8:DT8)*EC53/1000</f>
        <v>2505500.3911687271</v>
      </c>
      <c r="ED52" s="52">
        <f>AVERAGE(DW8,DS8:DU8)*ED53/1000</f>
        <v>2533223.729192622</v>
      </c>
      <c r="EE52" s="52">
        <f>AVERAGE(DW8:DX8,DT8:DU8)*EE53/1000</f>
        <v>2561253.8256883561</v>
      </c>
      <c r="EF52" s="79">
        <f>SUM(EB52:EE52)</f>
        <v>10078058.400533443</v>
      </c>
    </row>
    <row r="53" spans="1:136" ht="12.75" customHeight="1">
      <c r="A53" s="1" t="s">
        <v>295</v>
      </c>
      <c r="B53" s="114"/>
      <c r="C53" s="114"/>
      <c r="D53" s="114"/>
      <c r="E53" s="114"/>
      <c r="F53" s="67"/>
      <c r="G53" s="114"/>
      <c r="H53" s="114"/>
      <c r="I53" s="114"/>
      <c r="J53" s="114"/>
      <c r="K53" s="67"/>
      <c r="L53" s="114"/>
      <c r="M53" s="114"/>
      <c r="N53" s="114"/>
      <c r="O53" s="114"/>
      <c r="P53" s="67"/>
      <c r="Q53" s="114"/>
      <c r="R53" s="114"/>
      <c r="S53" s="114"/>
      <c r="T53" s="114"/>
      <c r="U53" s="67"/>
      <c r="V53" s="114"/>
      <c r="W53" s="114"/>
      <c r="X53" s="114"/>
      <c r="Y53" s="114"/>
      <c r="Z53" s="67"/>
      <c r="AA53" s="114"/>
      <c r="AB53" s="114"/>
      <c r="AC53" s="114"/>
      <c r="AD53" s="114"/>
      <c r="AE53" s="67"/>
      <c r="AF53" s="49"/>
      <c r="AG53" s="49"/>
      <c r="AH53" s="49"/>
      <c r="AI53" s="49"/>
      <c r="AJ53" s="79">
        <f>SUM(AF53:AI53)</f>
        <v>0</v>
      </c>
      <c r="AK53" s="49"/>
      <c r="AL53" s="49"/>
      <c r="AM53" s="49"/>
      <c r="AN53" s="49"/>
      <c r="AO53" s="79">
        <f>SUM(AK53:AN53)</f>
        <v>0</v>
      </c>
      <c r="AP53" s="49"/>
      <c r="AQ53" s="49"/>
      <c r="AR53" s="49"/>
      <c r="AS53" s="49"/>
      <c r="AT53" s="79">
        <f>SUM(AP53:AS53)</f>
        <v>0</v>
      </c>
      <c r="AU53" s="49"/>
      <c r="AV53" s="49"/>
      <c r="AW53" s="49"/>
      <c r="AX53" s="49"/>
      <c r="AY53" s="79">
        <f>SUM(AU53:AX53)</f>
        <v>0</v>
      </c>
      <c r="AZ53" s="49"/>
      <c r="BA53" s="49"/>
      <c r="BB53" s="49"/>
      <c r="BC53" s="49"/>
      <c r="BD53" s="79">
        <f>SUM(AZ53:BC53)</f>
        <v>0</v>
      </c>
      <c r="BE53" s="49"/>
      <c r="BF53" s="49"/>
      <c r="BG53" s="49"/>
      <c r="BH53" s="49"/>
      <c r="BI53" s="79">
        <f>SUM(BE53:BH53)</f>
        <v>0</v>
      </c>
      <c r="BJ53" s="49"/>
      <c r="BK53" s="49"/>
      <c r="BL53" s="49"/>
      <c r="BM53" s="49"/>
      <c r="BN53" s="79">
        <f>SUM(BJ53:BM53)</f>
        <v>0</v>
      </c>
      <c r="BO53" s="49"/>
      <c r="BP53" s="49"/>
      <c r="BQ53" s="49"/>
      <c r="BR53" s="49"/>
      <c r="BS53" s="79">
        <f>SUM(BO53:BR53)</f>
        <v>0</v>
      </c>
      <c r="BT53" s="49"/>
      <c r="BU53" s="49"/>
      <c r="BV53" s="49"/>
      <c r="BW53" s="49"/>
      <c r="BX53" s="79">
        <f>SUM(BT53:BW53)</f>
        <v>0</v>
      </c>
      <c r="BY53" s="49"/>
      <c r="BZ53" s="49"/>
      <c r="CA53" s="49"/>
      <c r="CB53" s="49"/>
      <c r="CC53" s="79">
        <f>SUM(BY53:CB53)</f>
        <v>0</v>
      </c>
      <c r="CD53" s="434">
        <f>AVERAGE(BR7,BT7:BV7)/4</f>
        <v>1055.5</v>
      </c>
      <c r="CE53" s="49">
        <f>AVERAGE(BW7,BT7:BV7)/4</f>
        <v>1144.5</v>
      </c>
      <c r="CF53" s="49"/>
      <c r="CG53" s="49"/>
      <c r="CH53" s="79">
        <f>SUM(CD53:CG53)</f>
        <v>2200</v>
      </c>
      <c r="CI53" s="114">
        <v>400</v>
      </c>
      <c r="CJ53" s="114">
        <v>773</v>
      </c>
      <c r="CK53" s="114">
        <v>2054</v>
      </c>
      <c r="CL53" s="114">
        <v>899</v>
      </c>
      <c r="CM53" s="79">
        <f>SUM(CI53:CL53)</f>
        <v>4126</v>
      </c>
      <c r="CN53" s="114">
        <v>1952</v>
      </c>
      <c r="CO53" s="114">
        <v>980</v>
      </c>
      <c r="CP53" s="114">
        <v>906</v>
      </c>
      <c r="CQ53" s="114">
        <v>2144</v>
      </c>
      <c r="CR53" s="79">
        <f>SUM(CN53:CQ53)</f>
        <v>5982</v>
      </c>
      <c r="CS53" s="114">
        <v>2563</v>
      </c>
      <c r="CT53" s="114">
        <v>2832</v>
      </c>
      <c r="CU53" s="114">
        <v>1232</v>
      </c>
      <c r="CV53" s="114">
        <v>3398</v>
      </c>
      <c r="CW53" s="79">
        <f>SUM(CS53:CV53)</f>
        <v>10025</v>
      </c>
      <c r="CX53" s="114">
        <v>790</v>
      </c>
      <c r="CY53" s="114">
        <v>1543</v>
      </c>
      <c r="CZ53" s="114">
        <v>2644</v>
      </c>
      <c r="DA53" s="114">
        <v>3145</v>
      </c>
      <c r="DB53" s="79">
        <f>SUM(CX53:DA53)</f>
        <v>8122</v>
      </c>
      <c r="DC53" s="114">
        <v>2220</v>
      </c>
      <c r="DD53" s="114">
        <v>1613</v>
      </c>
      <c r="DE53" s="114">
        <v>6262</v>
      </c>
      <c r="DF53" s="114">
        <v>4882</v>
      </c>
      <c r="DG53" s="79">
        <f>SUM(DC53:DF53)</f>
        <v>14977</v>
      </c>
      <c r="DH53" s="114">
        <v>1884</v>
      </c>
      <c r="DI53" s="114">
        <v>1192</v>
      </c>
      <c r="DJ53" s="52">
        <f>AVERAGE(DC7,CY7:DA7)</f>
        <v>5984.5</v>
      </c>
      <c r="DK53" s="52">
        <f>AVERAGE(DC7:DD7,CZ7:DA7)</f>
        <v>6234.5</v>
      </c>
      <c r="DL53" s="79">
        <f>SUM(DH53:DK53)</f>
        <v>15295</v>
      </c>
      <c r="DM53" s="52">
        <f>AVERAGE(DA7,DC7:DE7)</f>
        <v>6648.5</v>
      </c>
      <c r="DN53" s="52">
        <f>AVERAGE(DF7,DC7:DE7)</f>
        <v>6591.5</v>
      </c>
      <c r="DO53" s="52">
        <f>AVERAGE(DH7,DD7:DF7)</f>
        <v>6308.75</v>
      </c>
      <c r="DP53" s="52">
        <f>AVERAGE(DH7:DI7,DE7:DF7)</f>
        <v>6299</v>
      </c>
      <c r="DQ53" s="79">
        <f>SUM(DM53:DP53)</f>
        <v>25847.75</v>
      </c>
      <c r="DR53" s="52">
        <f>AVERAGE(DF7,DH7:DJ7)</f>
        <v>6233</v>
      </c>
      <c r="DS53" s="52">
        <f>AVERAGE(DK7,DH7:DJ7)</f>
        <v>6666.4125000000004</v>
      </c>
      <c r="DT53" s="52">
        <f>AVERAGE(DM7,DI7:DK7)</f>
        <v>6321.3387374923523</v>
      </c>
      <c r="DU53" s="52">
        <f>AVERAGE(DM7:DN7,DJ7:DK7)</f>
        <v>6339.2649749847042</v>
      </c>
      <c r="DV53" s="79">
        <f>SUM(DR53:DU53)</f>
        <v>25560.016212477058</v>
      </c>
      <c r="DW53" s="52">
        <f>AVERAGE(DK7,DM7:DO7)</f>
        <v>6357.1912124770561</v>
      </c>
      <c r="DX53" s="52">
        <f>AVERAGE(DP7,DM7:DO7)</f>
        <v>6620.7049499694076</v>
      </c>
      <c r="DY53" s="52">
        <f>AVERAGE(DR7,DN7:DP7)</f>
        <v>6620.7049499694076</v>
      </c>
      <c r="DZ53" s="52">
        <f>AVERAGE(DR7:DS7,DO7:DP7)</f>
        <v>6620.7049499694085</v>
      </c>
      <c r="EA53" s="79">
        <f>SUM(DW53:DZ53)</f>
        <v>26219.30606238528</v>
      </c>
      <c r="EB53" s="52">
        <f>AVERAGE(DP7,DR7:DT7)</f>
        <v>6620.7049499694076</v>
      </c>
      <c r="EC53" s="52">
        <f>AVERAGE(DU7,DR7:DT7)</f>
        <v>6620.7049499694085</v>
      </c>
      <c r="ED53" s="52">
        <f>AVERAGE(DW7,DS7:DU7)</f>
        <v>6620.7049499694085</v>
      </c>
      <c r="EE53" s="52">
        <f>AVERAGE(DW7:DX7,DT7:DU7)</f>
        <v>6620.7049499694076</v>
      </c>
      <c r="EF53" s="79">
        <f>SUM(EB53:EE53)</f>
        <v>26482.81979987763</v>
      </c>
    </row>
    <row r="57" spans="1:136" ht="12.75" customHeight="1">
      <c r="AF57" s="1" t="e">
        <f>AF10/AF35</f>
        <v>#DIV/0!</v>
      </c>
      <c r="AG57" s="1" t="e">
        <f>AG10/AG35</f>
        <v>#DIV/0!</v>
      </c>
      <c r="AH57" s="1" t="e">
        <f>AH10/AH35</f>
        <v>#DIV/0!</v>
      </c>
      <c r="AI57" s="1" t="e">
        <f>AI10/AI35</f>
        <v>#DIV/0!</v>
      </c>
      <c r="AK57" s="1" t="e">
        <f>AK10/AK35</f>
        <v>#DIV/0!</v>
      </c>
      <c r="AL57" s="1" t="e">
        <f>AL10/AL35</f>
        <v>#DIV/0!</v>
      </c>
      <c r="AM57" s="1" t="e">
        <f>AM10/AM35</f>
        <v>#DIV/0!</v>
      </c>
      <c r="AN57" s="1" t="e">
        <f>AN10/AN35</f>
        <v>#DIV/0!</v>
      </c>
      <c r="AP57" s="1" t="e">
        <f>AP10/AP35</f>
        <v>#DIV/0!</v>
      </c>
      <c r="AQ57" s="1" t="e">
        <f>AQ10/AQ35</f>
        <v>#DIV/0!</v>
      </c>
      <c r="AR57" s="1" t="e">
        <f>AR10/AR35</f>
        <v>#DIV/0!</v>
      </c>
      <c r="AS57" s="1" t="e">
        <f>AS10/AS35</f>
        <v>#DIV/0!</v>
      </c>
      <c r="AU57" s="1" t="e">
        <f>AU10/AU35</f>
        <v>#DIV/0!</v>
      </c>
      <c r="AV57" s="1" t="e">
        <f>AV10/AV35</f>
        <v>#DIV/0!</v>
      </c>
      <c r="AW57" s="1" t="e">
        <f>AW10/AW35</f>
        <v>#DIV/0!</v>
      </c>
      <c r="AX57" s="1" t="e">
        <f>AX10/AX35</f>
        <v>#DIV/0!</v>
      </c>
      <c r="AZ57" s="1" t="e">
        <f>AZ10/AZ35</f>
        <v>#DIV/0!</v>
      </c>
      <c r="BA57" s="1" t="e">
        <f>BA10/BA35</f>
        <v>#DIV/0!</v>
      </c>
      <c r="BB57" s="1" t="e">
        <f>BB10/BB35</f>
        <v>#DIV/0!</v>
      </c>
      <c r="BC57" s="1" t="e">
        <f>BC10/BC35</f>
        <v>#DIV/0!</v>
      </c>
    </row>
    <row r="58" spans="1:136" ht="12.75" customHeight="1">
      <c r="AF58" s="1" t="e">
        <f>AF37</f>
        <v>#DIV/0!</v>
      </c>
      <c r="AG58" s="1" t="e">
        <f>AG37</f>
        <v>#DIV/0!</v>
      </c>
      <c r="AH58" s="1" t="e">
        <f>AH37</f>
        <v>#DIV/0!</v>
      </c>
      <c r="AI58" s="1" t="e">
        <f>AI37</f>
        <v>#DIV/0!</v>
      </c>
      <c r="AK58" s="1" t="e">
        <f>AK37</f>
        <v>#DIV/0!</v>
      </c>
      <c r="AL58" s="1" t="e">
        <f>AL37</f>
        <v>#DIV/0!</v>
      </c>
      <c r="AM58" s="1" t="e">
        <f>AM37</f>
        <v>#DIV/0!</v>
      </c>
      <c r="AN58" s="1" t="e">
        <f>AN37</f>
        <v>#DIV/0!</v>
      </c>
      <c r="AP58" s="1" t="e">
        <f>AP37</f>
        <v>#DIV/0!</v>
      </c>
      <c r="AQ58" s="1" t="e">
        <f>AQ37</f>
        <v>#DIV/0!</v>
      </c>
      <c r="AR58" s="1" t="e">
        <f>AR37</f>
        <v>#DIV/0!</v>
      </c>
      <c r="AS58" s="1" t="e">
        <f>AS37</f>
        <v>#DIV/0!</v>
      </c>
      <c r="AU58" s="1" t="e">
        <f>AU37</f>
        <v>#DIV/0!</v>
      </c>
      <c r="AV58" s="1" t="e">
        <f>AV37</f>
        <v>#DIV/0!</v>
      </c>
      <c r="AW58" s="1" t="e">
        <f>AW37</f>
        <v>#DIV/0!</v>
      </c>
      <c r="AX58" s="1" t="e">
        <f>AX37</f>
        <v>#DIV/0!</v>
      </c>
      <c r="AZ58" s="1" t="e">
        <f>AZ37</f>
        <v>#DIV/0!</v>
      </c>
      <c r="BA58" s="1" t="e">
        <f>BA37</f>
        <v>#DIV/0!</v>
      </c>
      <c r="BB58" s="1" t="e">
        <f>BB37</f>
        <v>#DIV/0!</v>
      </c>
      <c r="BC58" s="1" t="e">
        <f>BC37</f>
        <v>#DIV/0!</v>
      </c>
    </row>
    <row r="59" spans="1:136" ht="12.75" customHeight="1">
      <c r="AF59" s="1" t="e">
        <f>AF44</f>
        <v>#DIV/0!</v>
      </c>
      <c r="AG59" s="1" t="e">
        <f>AG44</f>
        <v>#DIV/0!</v>
      </c>
      <c r="AH59" s="1" t="e">
        <f>AH44</f>
        <v>#DIV/0!</v>
      </c>
      <c r="AI59" s="1" t="e">
        <f>AI44</f>
        <v>#DIV/0!</v>
      </c>
      <c r="AK59" s="1" t="e">
        <f>AK44</f>
        <v>#DIV/0!</v>
      </c>
      <c r="AL59" s="1" t="e">
        <f>AL44</f>
        <v>#DIV/0!</v>
      </c>
      <c r="AM59" s="1" t="e">
        <f>AM44</f>
        <v>#DIV/0!</v>
      </c>
      <c r="AN59" s="1" t="e">
        <f>AN44</f>
        <v>#DIV/0!</v>
      </c>
      <c r="AP59" s="1" t="e">
        <f>AP44</f>
        <v>#DIV/0!</v>
      </c>
      <c r="AQ59" s="1" t="e">
        <f>AQ44</f>
        <v>#DIV/0!</v>
      </c>
      <c r="AR59" s="1" t="e">
        <f>AR44</f>
        <v>#DIV/0!</v>
      </c>
      <c r="AS59" s="1" t="e">
        <f>AS44</f>
        <v>#DIV/0!</v>
      </c>
      <c r="AU59" s="1" t="e">
        <f>AU44</f>
        <v>#DIV/0!</v>
      </c>
      <c r="AV59" s="1" t="e">
        <f>AV44</f>
        <v>#DIV/0!</v>
      </c>
      <c r="AW59" s="1" t="e">
        <f>AW44</f>
        <v>#DIV/0!</v>
      </c>
      <c r="AX59" s="1" t="e">
        <f>AX44</f>
        <v>#DIV/0!</v>
      </c>
      <c r="AZ59" s="1" t="e">
        <f>AZ44</f>
        <v>#DIV/0!</v>
      </c>
      <c r="BA59" s="1" t="e">
        <f>BA44</f>
        <v>#DIV/0!</v>
      </c>
      <c r="BB59" s="1" t="e">
        <f>BB44</f>
        <v>#DIV/0!</v>
      </c>
      <c r="BC59" s="1" t="e">
        <f>BC44</f>
        <v>#DIV/0!</v>
      </c>
    </row>
  </sheetData>
  <phoneticPr fontId="4" type="noConversion"/>
  <pageMargins left="0.53" right="0.65" top="0.98425196850393704" bottom="0.98425196850393704" header="0.51181102362204722" footer="0.51181102362204722"/>
  <pageSetup paperSize="9" scale="58" orientation="landscape" r:id="rId1"/>
  <headerFooter alignWithMargins="0"/>
  <ignoredErrors>
    <ignoredError sqref="A3:CT3 A6:CP8 A4:CO4 CR4 A5:CO5 CR5 A17:CP17 A9:CO9 CR9 A23:CS23 A19:CO19 CR19 A31:CU31 A25:CO30 CR24:CR30 A24:CN24 A44:CT44 A32:CO40 CR32:CS32 A72:DG1048576 A45:CO52 CQ45:CR45 A18:CP18 CR18 CR40 CR39 A1:CI2 CR7:CR8 A10:CP11 CR10:CR13 A20:CP21 CR20:CR21 CQ49:CS50 CR46:CR48 A14:CP16 CR14:CR15 CR17 CR33:CR38 CR52:CR53 CM2 CW2 CW4 CR6 CW6 DB18 CR16 CW16 DB4 CW5 CW9 CW19 CW7:CW8 CW10:CW13 CW21 CW14:CW15 CW17 CW20 A13:CP13 A12:CC12 CM12 CH12 CW24:CW28 CQ51:CR51 CW51 CW52:CW53 A53:CH53 CM53 CW45 CW46 A22:CM22 CW22:DG22 CO22 CR42:CR43 CR41 CW41 DB41 CW40 CW33:CW38 CW42:CW43 CW39 DB39 DB16 CW18 EG3:XFD3 EG23:XFD23 EG31:XFD31 EG44:XFD44 EG32:XFD32 EG54:XFD1048576 EG49:XFD50 EG1:XFD1 EG2:XFD2 EG6:XFD6 EG18:XFD18 EG4:XFD4 EG5:XFD5 EG9:XFD9 EG19:XFD19 EG7:XFD8 EG12:XFD13 EG21:XFD21 EG14:XFD15 EG17:XFD17 EG20:XFD20 EG24:XFD30 EG51:XFD51 EG52:XFD53 EG45:XFD45 EG46:XFD48 EG22:XFD22 EG41:XFD41 EG40:XFD40 EG33:XFD38 EG42:XFD43 EG39:XFD39 EG16:XFD16 DB6 DB20 CW23 CW32 CW49:CW50 DG41 DG16 DG18 CW48 CW47 DB47 CW30 CW29 DD29 CV3:CX3 CW44 CQ22:CR22 A54:CT71 CV65:DG71 A42:CO43 A41:CC41 CM41 CH41 DB2 CW31 DB5 DB9 DB7:DB8 DB10:DB13 DB19 DB21 DB14:DB15 DB17 DG4 CY28 DB51 DB53 DB45 DB46 DB40 DB33:DB38 DB42 CY23 DB32 DA49:DG50 DB48 CY30 CY29 CZ44:DG44 CY31 DG6 CV54:CW64 CY55:DG56 CZ3 DB24 DB25 DB26 DB27 DG20 DA31:DC31 DB28 DB23 DB30 DB52 CY54 DA54:DG54 DB3:DD3 CY58:DG64 CZ57:DG57 DB43 DG43 DG5 DG9 DG7:DG8 DG10:DG13 DG19 DG21 DG14:DG15 DG17 DG24 DG25 DG26 DG27 DD28 DD23 DD30 DD45 DG46 DD48 DG33:DG40 DG42 DD32 DD51 DG53 DG52 DE31:DG31 DG3 DG51 DG29 DG28 DG23 DG30 DG45 DG48 DG32 EG10 EI10:XFD10 EG11 EI11:XFD11" formula="1"/>
    <ignoredError sqref="DD47:DF47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49"/>
  <sheetViews>
    <sheetView workbookViewId="0">
      <pane xSplit="15" ySplit="3" topLeftCell="BX4" activePane="bottomRight" state="frozen"/>
      <selection activeCell="AU21" sqref="AU21"/>
      <selection pane="topRight" activeCell="AU21" sqref="AU21"/>
      <selection pane="bottomLeft" activeCell="AU21" sqref="AU21"/>
      <selection pane="bottomRight" activeCell="DM11" sqref="DM11"/>
    </sheetView>
  </sheetViews>
  <sheetFormatPr defaultColWidth="10.7109375" defaultRowHeight="12.75" outlineLevelRow="1" outlineLevelCol="1"/>
  <cols>
    <col min="1" max="1" width="30.7109375" style="1" customWidth="1"/>
    <col min="2" max="5" width="10.7109375" style="1" hidden="1" customWidth="1" outlineLevel="1"/>
    <col min="6" max="6" width="10.7109375" style="2" hidden="1" customWidth="1" collapsed="1"/>
    <col min="7" max="10" width="10.7109375" style="1" hidden="1" customWidth="1" outlineLevel="1"/>
    <col min="11" max="11" width="10.7109375" style="2" hidden="1" customWidth="1" collapsed="1"/>
    <col min="12" max="15" width="10.7109375" style="1" hidden="1" customWidth="1" outlineLevel="1"/>
    <col min="16" max="16" width="10.7109375" style="2" hidden="1" customWidth="1" collapsed="1"/>
    <col min="17" max="20" width="10.7109375" style="1" hidden="1" customWidth="1" outlineLevel="1"/>
    <col min="21" max="21" width="10.7109375" style="2" hidden="1" customWidth="1" collapsed="1"/>
    <col min="22" max="25" width="10.7109375" style="1" hidden="1" customWidth="1" outlineLevel="1"/>
    <col min="26" max="26" width="10.7109375" style="2" customWidth="1" collapsed="1"/>
    <col min="27" max="30" width="10.7109375" style="1" hidden="1" customWidth="1" outlineLevel="1"/>
    <col min="31" max="31" width="10.7109375" style="2" customWidth="1" collapsed="1"/>
    <col min="32" max="35" width="10.7109375" style="1" hidden="1" customWidth="1" outlineLevel="1"/>
    <col min="36" max="36" width="10.7109375" style="2" customWidth="1" collapsed="1"/>
    <col min="37" max="40" width="10.7109375" style="1" hidden="1" customWidth="1" outlineLevel="1"/>
    <col min="41" max="41" width="10.7109375" style="2" customWidth="1" collapsed="1"/>
    <col min="42" max="45" width="10.7109375" style="1" hidden="1" customWidth="1" outlineLevel="1"/>
    <col min="46" max="46" width="10.7109375" style="2" customWidth="1" collapsed="1"/>
    <col min="47" max="50" width="10.7109375" style="1" hidden="1" customWidth="1" outlineLevel="1"/>
    <col min="51" max="51" width="10.7109375" style="2" customWidth="1" collapsed="1"/>
    <col min="52" max="55" width="10.7109375" style="1" hidden="1" customWidth="1" outlineLevel="1"/>
    <col min="56" max="56" width="10.7109375" style="2" customWidth="1" collapsed="1"/>
    <col min="57" max="60" width="10.7109375" style="1" hidden="1" customWidth="1" outlineLevel="1"/>
    <col min="61" max="61" width="10.7109375" style="2" customWidth="1" collapsed="1"/>
    <col min="62" max="65" width="10.7109375" style="1" hidden="1" customWidth="1" outlineLevel="1"/>
    <col min="66" max="66" width="10.7109375" style="2" customWidth="1" collapsed="1"/>
    <col min="67" max="70" width="10.7109375" style="1" hidden="1" customWidth="1" outlineLevel="1"/>
    <col min="71" max="71" width="10.7109375" style="2" customWidth="1" collapsed="1"/>
    <col min="72" max="75" width="10.7109375" style="1" hidden="1" customWidth="1" outlineLevel="1"/>
    <col min="76" max="76" width="10.7109375" style="2" customWidth="1" collapsed="1"/>
    <col min="77" max="80" width="10.7109375" style="1" hidden="1" customWidth="1" outlineLevel="1"/>
    <col min="81" max="81" width="10.7109375" style="2" customWidth="1" collapsed="1"/>
    <col min="82" max="85" width="10.7109375" style="1" hidden="1" customWidth="1" outlineLevel="1"/>
    <col min="86" max="86" width="10.7109375" style="2" customWidth="1" collapsed="1"/>
    <col min="87" max="90" width="10.7109375" style="1" hidden="1" customWidth="1" outlineLevel="1"/>
    <col min="91" max="91" width="10.7109375" style="2" customWidth="1" collapsed="1"/>
    <col min="92" max="95" width="10.7109375" style="1" hidden="1" customWidth="1" outlineLevel="1"/>
    <col min="96" max="96" width="10.7109375" style="2" customWidth="1" collapsed="1"/>
    <col min="97" max="100" width="10.7109375" style="1" hidden="1" customWidth="1" outlineLevel="1"/>
    <col min="101" max="101" width="10.7109375" style="2" customWidth="1" collapsed="1"/>
    <col min="102" max="105" width="10.7109375" style="1" hidden="1" customWidth="1" outlineLevel="1"/>
    <col min="106" max="106" width="10.7109375" style="2" customWidth="1" collapsed="1"/>
    <col min="107" max="110" width="10.7109375" style="1" hidden="1" customWidth="1" outlineLevel="1"/>
    <col min="111" max="111" width="10.7109375" style="1" collapsed="1"/>
    <col min="112" max="115" width="10.7109375" style="1" customWidth="1" outlineLevel="1"/>
    <col min="116" max="116" width="10.7109375" style="1"/>
    <col min="117" max="120" width="10.7109375" style="1" customWidth="1" outlineLevel="1"/>
    <col min="121" max="121" width="10.7109375" style="1"/>
    <col min="122" max="125" width="10.7109375" style="1" hidden="1" customWidth="1" outlineLevel="1"/>
    <col min="126" max="126" width="10.7109375" style="1" collapsed="1"/>
    <col min="127" max="130" width="10.7109375" style="1" hidden="1" customWidth="1" outlineLevel="1"/>
    <col min="131" max="131" width="10.7109375" style="1" collapsed="1"/>
    <col min="132" max="135" width="10.7109375" style="1" hidden="1" customWidth="1" outlineLevel="1"/>
    <col min="136" max="136" width="10.7109375" style="1" collapsed="1"/>
    <col min="137" max="16384" width="10.7109375" style="1"/>
  </cols>
  <sheetData>
    <row r="1" spans="1:136" ht="30" customHeight="1"/>
    <row r="2" spans="1:136">
      <c r="A2" s="3" t="str">
        <f ca="1">DCF!$A$2</f>
        <v>Cury - TP: R$48</v>
      </c>
      <c r="B2" s="3"/>
      <c r="C2" s="3"/>
      <c r="D2" s="3"/>
      <c r="E2" s="3"/>
      <c r="G2" s="3"/>
      <c r="H2" s="3"/>
      <c r="I2" s="3"/>
      <c r="J2" s="3"/>
      <c r="L2" s="75"/>
      <c r="M2" s="75"/>
      <c r="N2" s="75"/>
      <c r="O2" s="75"/>
      <c r="P2" s="76"/>
      <c r="Q2" s="61"/>
      <c r="R2" s="61"/>
      <c r="S2" s="61"/>
      <c r="T2" s="61"/>
      <c r="U2" s="76"/>
      <c r="V2" s="75"/>
      <c r="W2" s="75"/>
      <c r="X2" s="75"/>
      <c r="Y2" s="75"/>
      <c r="Z2" s="77"/>
      <c r="AA2" s="75"/>
      <c r="AB2" s="75"/>
      <c r="AC2" s="75"/>
      <c r="AD2" s="75"/>
      <c r="AE2" s="76"/>
      <c r="AF2" s="75"/>
      <c r="AG2" s="75"/>
      <c r="AH2" s="75"/>
      <c r="AI2" s="75"/>
      <c r="AJ2" s="76"/>
      <c r="AK2" s="75"/>
      <c r="AL2" s="75"/>
      <c r="AM2" s="75"/>
      <c r="AN2" s="75"/>
      <c r="AO2" s="76"/>
      <c r="AP2" s="75"/>
      <c r="AQ2" s="78">
        <f>(0+106851.847266206+18.2328106236891)-(99357.7322902335+113877.890992071+(6854.44344020862))</f>
        <v>-113219.98664568344</v>
      </c>
      <c r="AR2" s="75"/>
      <c r="AS2" s="75"/>
      <c r="AT2" s="76"/>
      <c r="AU2" s="75"/>
      <c r="AV2" s="75"/>
      <c r="AW2" s="75"/>
      <c r="AX2" s="75"/>
      <c r="AY2" s="69">
        <f>(AY7+AW8*4)/DCF!AY29</f>
        <v>5.76435869058697E-4</v>
      </c>
      <c r="AZ2" s="75"/>
      <c r="BA2" s="75"/>
      <c r="BB2" s="75"/>
      <c r="BC2" s="75"/>
      <c r="BD2" s="69"/>
      <c r="BE2" s="75"/>
      <c r="BF2" s="75"/>
      <c r="BG2" s="75"/>
      <c r="BH2" s="75"/>
      <c r="BI2" s="76"/>
      <c r="BJ2" s="75"/>
      <c r="BK2" s="75"/>
      <c r="BL2" s="75"/>
      <c r="BM2" s="75"/>
      <c r="BN2" s="76"/>
      <c r="BO2" s="75"/>
      <c r="BP2" s="75"/>
      <c r="BQ2" s="75"/>
      <c r="BR2" s="75"/>
      <c r="BS2" s="76"/>
      <c r="BT2" s="75"/>
      <c r="BU2" s="75"/>
      <c r="BV2" s="75"/>
      <c r="BW2" s="75"/>
      <c r="BX2" s="76"/>
      <c r="BY2" s="75"/>
      <c r="BZ2" s="75"/>
      <c r="CA2" s="75"/>
      <c r="CB2" s="75"/>
      <c r="CC2" s="76"/>
      <c r="CD2" s="75"/>
      <c r="CE2" s="75"/>
      <c r="CF2" s="75"/>
      <c r="CG2" s="75"/>
      <c r="CH2" s="76"/>
      <c r="CM2" s="76"/>
      <c r="CN2" s="75"/>
      <c r="CO2" s="75"/>
      <c r="CP2" s="75"/>
      <c r="CQ2" s="75"/>
      <c r="CR2" s="76"/>
      <c r="CS2" s="75"/>
      <c r="CT2" s="75"/>
      <c r="CU2" s="75"/>
      <c r="CV2" s="75"/>
      <c r="CW2" s="76"/>
      <c r="CX2" s="75"/>
      <c r="CY2" s="75"/>
      <c r="CZ2" s="75"/>
      <c r="DA2" s="75"/>
      <c r="DB2" s="76"/>
    </row>
    <row r="3" spans="1:136" s="8" customFormat="1" ht="12.75" customHeight="1" thickBot="1">
      <c r="A3" s="4" t="s">
        <v>166</v>
      </c>
      <c r="B3" s="30" t="str">
        <f>Macro!B$9</f>
        <v>1Q04</v>
      </c>
      <c r="C3" s="30" t="str">
        <f>Macro!C$9</f>
        <v>2Q04</v>
      </c>
      <c r="D3" s="30" t="str">
        <f>Macro!D$9</f>
        <v>3Q04</v>
      </c>
      <c r="E3" s="30" t="str">
        <f>Macro!E$9</f>
        <v>4Q04</v>
      </c>
      <c r="F3" s="29" t="str">
        <f>Macro!F$9</f>
        <v>2004</v>
      </c>
      <c r="G3" s="30" t="str">
        <f>Macro!G$9</f>
        <v>1Q05</v>
      </c>
      <c r="H3" s="30" t="str">
        <f>Macro!H$9</f>
        <v>2Q05</v>
      </c>
      <c r="I3" s="30" t="str">
        <f>Macro!I$9</f>
        <v>3Q05</v>
      </c>
      <c r="J3" s="30" t="str">
        <f>Macro!J$9</f>
        <v>4Q05</v>
      </c>
      <c r="K3" s="29" t="str">
        <f>Macro!K$9</f>
        <v>2005</v>
      </c>
      <c r="L3" s="30" t="str">
        <f>Macro!L$9</f>
        <v>1Q06</v>
      </c>
      <c r="M3" s="30" t="str">
        <f>Macro!M$9</f>
        <v>2Q06</v>
      </c>
      <c r="N3" s="30" t="str">
        <f>Macro!N$9</f>
        <v>3Q06</v>
      </c>
      <c r="O3" s="31" t="str">
        <f>Macro!O$9</f>
        <v>4Q06</v>
      </c>
      <c r="P3" s="29" t="str">
        <f>Macro!P$9</f>
        <v>2006</v>
      </c>
      <c r="Q3" s="30" t="str">
        <f>Macro!Q$9</f>
        <v>1Q07</v>
      </c>
      <c r="R3" s="30" t="str">
        <f>Macro!R$9</f>
        <v>2Q07</v>
      </c>
      <c r="S3" s="30" t="str">
        <f>Macro!S$9</f>
        <v>3Q07</v>
      </c>
      <c r="T3" s="31" t="str">
        <f>Macro!T$9</f>
        <v>4Q07</v>
      </c>
      <c r="U3" s="29" t="str">
        <f>Macro!U$9</f>
        <v>2007</v>
      </c>
      <c r="V3" s="30" t="str">
        <f>Macro!V$9</f>
        <v>1Q08</v>
      </c>
      <c r="W3" s="30" t="str">
        <f>Macro!W$9</f>
        <v>2Q08</v>
      </c>
      <c r="X3" s="30" t="str">
        <f>Macro!X$9</f>
        <v>3Q08</v>
      </c>
      <c r="Y3" s="31" t="str">
        <f>Macro!Y$9</f>
        <v>4Q08</v>
      </c>
      <c r="Z3" s="29" t="str">
        <f>Macro!Z$9</f>
        <v>2008</v>
      </c>
      <c r="AA3" s="30" t="str">
        <f>Macro!AA$9</f>
        <v>1Q09</v>
      </c>
      <c r="AB3" s="30" t="str">
        <f>Macro!AB$9</f>
        <v>2Q09</v>
      </c>
      <c r="AC3" s="30" t="str">
        <f>Macro!AC$9</f>
        <v>3Q09</v>
      </c>
      <c r="AD3" s="31" t="str">
        <f>Macro!AD$9</f>
        <v>4Q09</v>
      </c>
      <c r="AE3" s="29" t="str">
        <f>Macro!AE$9</f>
        <v>2009</v>
      </c>
      <c r="AF3" s="30" t="str">
        <f>Macro!AF$9</f>
        <v>1Q10</v>
      </c>
      <c r="AG3" s="30" t="str">
        <f>Macro!AG$9</f>
        <v>2Q10</v>
      </c>
      <c r="AH3" s="30" t="str">
        <f>Macro!AH$9</f>
        <v>3Q10</v>
      </c>
      <c r="AI3" s="31" t="str">
        <f>Macro!AI$9</f>
        <v>4Q10</v>
      </c>
      <c r="AJ3" s="29" t="str">
        <f>Macro!AJ$9</f>
        <v>2010</v>
      </c>
      <c r="AK3" s="30" t="str">
        <f>Macro!AK$9</f>
        <v>1Q11</v>
      </c>
      <c r="AL3" s="30" t="str">
        <f>Macro!AL$9</f>
        <v>2Q11</v>
      </c>
      <c r="AM3" s="30" t="str">
        <f>Macro!AM$9</f>
        <v>3Q11</v>
      </c>
      <c r="AN3" s="31" t="str">
        <f>Macro!AN$9</f>
        <v>4Q11</v>
      </c>
      <c r="AO3" s="29" t="str">
        <f>Macro!AO$9</f>
        <v>2011</v>
      </c>
      <c r="AP3" s="30" t="str">
        <f>Macro!AP$9</f>
        <v>1Q12</v>
      </c>
      <c r="AQ3" s="30" t="str">
        <f>Macro!AQ$9</f>
        <v>2Q12</v>
      </c>
      <c r="AR3" s="30" t="str">
        <f>Macro!AR$9</f>
        <v>3Q12</v>
      </c>
      <c r="AS3" s="31" t="str">
        <f>Macro!AS$9</f>
        <v>4Q12</v>
      </c>
      <c r="AT3" s="29" t="str">
        <f>Macro!AT$9</f>
        <v>2012</v>
      </c>
      <c r="AU3" s="30" t="str">
        <f>Macro!AU$9</f>
        <v>1Q13</v>
      </c>
      <c r="AV3" s="30" t="str">
        <f>Macro!AV$9</f>
        <v>2Q13</v>
      </c>
      <c r="AW3" s="30" t="str">
        <f>Macro!AW$9</f>
        <v>3Q13</v>
      </c>
      <c r="AX3" s="31" t="str">
        <f>Macro!AX$9</f>
        <v>4Q13</v>
      </c>
      <c r="AY3" s="29" t="str">
        <f>Macro!AY$9</f>
        <v>2013</v>
      </c>
      <c r="AZ3" s="30" t="str">
        <f>Macro!AZ$9</f>
        <v>1Q14</v>
      </c>
      <c r="BA3" s="30" t="str">
        <f>Macro!BA$9</f>
        <v>2Q14</v>
      </c>
      <c r="BB3" s="30" t="str">
        <f>Macro!BB$9</f>
        <v>3Q14</v>
      </c>
      <c r="BC3" s="31" t="str">
        <f>Macro!BC$9</f>
        <v>4Q14</v>
      </c>
      <c r="BD3" s="29" t="str">
        <f>Macro!BD$9</f>
        <v>2014</v>
      </c>
      <c r="BE3" s="30" t="str">
        <f>Macro!BE$9</f>
        <v>1Q15</v>
      </c>
      <c r="BF3" s="30" t="str">
        <f>Macro!BF$9</f>
        <v>2Q15</v>
      </c>
      <c r="BG3" s="30" t="str">
        <f>Macro!BG$9</f>
        <v>3Q15</v>
      </c>
      <c r="BH3" s="31" t="str">
        <f>Macro!BH$9</f>
        <v>4Q15</v>
      </c>
      <c r="BI3" s="29" t="str">
        <f>Macro!BI$9</f>
        <v>2015</v>
      </c>
      <c r="BJ3" s="30" t="str">
        <f>Macro!BJ$9</f>
        <v>1Q16</v>
      </c>
      <c r="BK3" s="30" t="str">
        <f>Macro!BK$9</f>
        <v>2Q16</v>
      </c>
      <c r="BL3" s="30" t="str">
        <f>Macro!BL$9</f>
        <v>3Q16</v>
      </c>
      <c r="BM3" s="31" t="str">
        <f>Macro!BM$9</f>
        <v>4Q16</v>
      </c>
      <c r="BN3" s="29" t="str">
        <f>Macro!BN$9</f>
        <v>2016</v>
      </c>
      <c r="BO3" s="30" t="str">
        <f>Macro!BO$9</f>
        <v>1Q17</v>
      </c>
      <c r="BP3" s="30" t="str">
        <f>Macro!BP$9</f>
        <v>2Q17</v>
      </c>
      <c r="BQ3" s="30" t="str">
        <f>Macro!BQ$9</f>
        <v>3Q17</v>
      </c>
      <c r="BR3" s="31" t="str">
        <f>Macro!BR$9</f>
        <v>4Q17</v>
      </c>
      <c r="BS3" s="29" t="str">
        <f>Macro!BS$9</f>
        <v>2017</v>
      </c>
      <c r="BT3" s="30" t="str">
        <f>Macro!BT$9</f>
        <v>1Q18</v>
      </c>
      <c r="BU3" s="30" t="str">
        <f>Macro!BU$9</f>
        <v>2Q18</v>
      </c>
      <c r="BV3" s="30" t="str">
        <f>Macro!BV$9</f>
        <v>3Q18</v>
      </c>
      <c r="BW3" s="31" t="str">
        <f>Macro!BW$9</f>
        <v>4Q18</v>
      </c>
      <c r="BX3" s="29" t="str">
        <f>Macro!BX$9</f>
        <v>2018</v>
      </c>
      <c r="BY3" s="30" t="str">
        <f>Macro!BY$9</f>
        <v>1Q19</v>
      </c>
      <c r="BZ3" s="30" t="str">
        <f>Macro!BZ$9</f>
        <v>2Q19</v>
      </c>
      <c r="CA3" s="30" t="str">
        <f>Macro!CA$9</f>
        <v>3Q19</v>
      </c>
      <c r="CB3" s="31" t="str">
        <f>Macro!CB$9</f>
        <v>4Q19</v>
      </c>
      <c r="CC3" s="29" t="str">
        <f>Macro!CC$9</f>
        <v>2019</v>
      </c>
      <c r="CD3" s="30" t="str">
        <f>Macro!CD$9</f>
        <v>1Q20</v>
      </c>
      <c r="CE3" s="30" t="str">
        <f>Macro!CE$9</f>
        <v>2Q20</v>
      </c>
      <c r="CF3" s="30" t="str">
        <f>Macro!CF$9</f>
        <v>3Q20</v>
      </c>
      <c r="CG3" s="31" t="str">
        <f>Macro!CG$9</f>
        <v>4Q20</v>
      </c>
      <c r="CH3" s="29" t="str">
        <f>Macro!CH$9</f>
        <v>2020</v>
      </c>
      <c r="CI3" s="30" t="str">
        <f>Macro!CI$9</f>
        <v>1Q21</v>
      </c>
      <c r="CJ3" s="30" t="str">
        <f>Macro!CJ$9</f>
        <v>2Q21</v>
      </c>
      <c r="CK3" s="30" t="str">
        <f>Macro!CK$9</f>
        <v>3Q21</v>
      </c>
      <c r="CL3" s="31" t="str">
        <f>Macro!CL$9</f>
        <v>4Q21</v>
      </c>
      <c r="CM3" s="29" t="str">
        <f>Macro!CM$9</f>
        <v>2021</v>
      </c>
      <c r="CN3" s="30" t="str">
        <f>Macro!CN$9</f>
        <v>1Q22</v>
      </c>
      <c r="CO3" s="30" t="str">
        <f>Macro!CO$9</f>
        <v>2Q22</v>
      </c>
      <c r="CP3" s="30" t="str">
        <f>Macro!CP$9</f>
        <v>3Q22</v>
      </c>
      <c r="CQ3" s="31" t="str">
        <f>Macro!CQ$9</f>
        <v>4Q22</v>
      </c>
      <c r="CR3" s="29" t="str">
        <f>Macro!CR$9</f>
        <v>2022</v>
      </c>
      <c r="CS3" s="30" t="str">
        <f>Macro!CS$9</f>
        <v>1Q23</v>
      </c>
      <c r="CT3" s="30" t="str">
        <f>Macro!CT$9</f>
        <v>2Q23</v>
      </c>
      <c r="CU3" s="30" t="str">
        <f>Macro!CU$9</f>
        <v>3Q23</v>
      </c>
      <c r="CV3" s="31" t="str">
        <f>Macro!CV$9</f>
        <v>4Q23</v>
      </c>
      <c r="CW3" s="29" t="str">
        <f>Macro!CW$9</f>
        <v>2023</v>
      </c>
      <c r="CX3" s="30" t="str">
        <f>Macro!CX$9</f>
        <v>1Q24</v>
      </c>
      <c r="CY3" s="30" t="str">
        <f>Macro!CY$9</f>
        <v>2Q24</v>
      </c>
      <c r="CZ3" s="30" t="str">
        <f>Macro!CZ$9</f>
        <v>3Q24</v>
      </c>
      <c r="DA3" s="31" t="str">
        <f>Macro!DA$9</f>
        <v>4Q24</v>
      </c>
      <c r="DB3" s="29" t="str">
        <f>Macro!DB$9</f>
        <v>2024</v>
      </c>
      <c r="DC3" s="30" t="str">
        <f>Macro!DC$9</f>
        <v>1Q25</v>
      </c>
      <c r="DD3" s="30" t="str">
        <f>Macro!DD$9</f>
        <v>2Q25</v>
      </c>
      <c r="DE3" s="30" t="str">
        <f>Macro!DE$9</f>
        <v>3Q25</v>
      </c>
      <c r="DF3" s="31" t="str">
        <f>Macro!DF$9</f>
        <v>4Q25</v>
      </c>
      <c r="DG3" s="29" t="str">
        <f>Macro!DG$9</f>
        <v>2025</v>
      </c>
      <c r="DH3" s="30" t="str">
        <f>Macro!DH$9</f>
        <v>1Q26</v>
      </c>
      <c r="DI3" s="30" t="str">
        <f>Macro!DI$9</f>
        <v>2Q26</v>
      </c>
      <c r="DJ3" s="30" t="str">
        <f>Macro!DJ$9</f>
        <v>3Q26E</v>
      </c>
      <c r="DK3" s="31" t="str">
        <f>Macro!DK$9</f>
        <v>4Q26E</v>
      </c>
      <c r="DL3" s="29" t="str">
        <f>Macro!DL$9</f>
        <v>2026E</v>
      </c>
      <c r="DM3" s="30" t="str">
        <f>Macro!DM$9</f>
        <v>1Q27E</v>
      </c>
      <c r="DN3" s="30" t="str">
        <f>Macro!DN$9</f>
        <v>2Q27E</v>
      </c>
      <c r="DO3" s="30" t="str">
        <f>Macro!DO$9</f>
        <v>3Q27E</v>
      </c>
      <c r="DP3" s="31" t="str">
        <f>Macro!DP$9</f>
        <v>4Q27E</v>
      </c>
      <c r="DQ3" s="29" t="str">
        <f>Macro!DQ$9</f>
        <v>2027E</v>
      </c>
      <c r="DR3" s="30" t="str">
        <f>Macro!DR$9</f>
        <v>1Q28E</v>
      </c>
      <c r="DS3" s="30" t="str">
        <f>Macro!DS$9</f>
        <v>2Q28E</v>
      </c>
      <c r="DT3" s="30" t="str">
        <f>Macro!DT$9</f>
        <v>3Q28E</v>
      </c>
      <c r="DU3" s="31" t="str">
        <f>Macro!DU$9</f>
        <v>4Q28E</v>
      </c>
      <c r="DV3" s="29" t="str">
        <f>Macro!DV$9</f>
        <v>2028E</v>
      </c>
      <c r="DW3" s="30" t="str">
        <f>Macro!DW$9</f>
        <v>1Q29E</v>
      </c>
      <c r="DX3" s="30" t="str">
        <f>Macro!DX$9</f>
        <v>2Q29E</v>
      </c>
      <c r="DY3" s="30" t="str">
        <f>Macro!DY$9</f>
        <v>3Q29E</v>
      </c>
      <c r="DZ3" s="31" t="str">
        <f>Macro!DZ$9</f>
        <v>4Q29E</v>
      </c>
      <c r="EA3" s="29" t="str">
        <f>Macro!EA$9</f>
        <v>2029E</v>
      </c>
      <c r="EB3" s="30" t="str">
        <f>Macro!EB$9</f>
        <v>1Q30E</v>
      </c>
      <c r="EC3" s="30" t="str">
        <f>Macro!EC$9</f>
        <v>2Q30E</v>
      </c>
      <c r="ED3" s="30" t="str">
        <f>Macro!ED$9</f>
        <v>3Q30E</v>
      </c>
      <c r="EE3" s="31" t="str">
        <f>Macro!EE$9</f>
        <v>4Q30E</v>
      </c>
      <c r="EF3" s="29" t="str">
        <f>Macro!EF$9</f>
        <v>2030E</v>
      </c>
    </row>
    <row r="4" spans="1:136" ht="12" customHeight="1" outlineLevel="1">
      <c r="A4" s="1" t="s">
        <v>9</v>
      </c>
      <c r="B4" s="78">
        <f>'Income Statement'!B48</f>
        <v>0</v>
      </c>
      <c r="C4" s="78">
        <f>'Income Statement'!C48</f>
        <v>0</v>
      </c>
      <c r="D4" s="78">
        <f>'Income Statement'!D48</f>
        <v>0</v>
      </c>
      <c r="E4" s="78">
        <f>'Income Statement'!E48</f>
        <v>0</v>
      </c>
      <c r="F4" s="79">
        <f>'Income Statement'!F48</f>
        <v>0</v>
      </c>
      <c r="G4" s="78">
        <f>'Income Statement'!G48</f>
        <v>0</v>
      </c>
      <c r="H4" s="78">
        <f>'Income Statement'!H48</f>
        <v>0</v>
      </c>
      <c r="I4" s="78">
        <f>'Income Statement'!I48</f>
        <v>0</v>
      </c>
      <c r="J4" s="78">
        <f>'Income Statement'!J48</f>
        <v>0</v>
      </c>
      <c r="K4" s="79">
        <f>'Income Statement'!K48</f>
        <v>0</v>
      </c>
      <c r="L4" s="78">
        <f>'Income Statement'!L48</f>
        <v>0</v>
      </c>
      <c r="M4" s="78">
        <f>'Income Statement'!M48</f>
        <v>0</v>
      </c>
      <c r="N4" s="78">
        <f>'Income Statement'!N48</f>
        <v>0</v>
      </c>
      <c r="O4" s="78">
        <f>'Income Statement'!O48</f>
        <v>0</v>
      </c>
      <c r="P4" s="79">
        <f>'Income Statement'!P48</f>
        <v>0</v>
      </c>
      <c r="Q4" s="78">
        <f>'Income Statement'!Q48</f>
        <v>0</v>
      </c>
      <c r="R4" s="78">
        <f>'Income Statement'!R48</f>
        <v>0</v>
      </c>
      <c r="S4" s="78">
        <f>'Income Statement'!S48</f>
        <v>0</v>
      </c>
      <c r="T4" s="78">
        <f>'Income Statement'!T48</f>
        <v>0</v>
      </c>
      <c r="U4" s="79">
        <f>'Income Statement'!U48</f>
        <v>0</v>
      </c>
      <c r="V4" s="78">
        <f>'Income Statement'!V48</f>
        <v>0</v>
      </c>
      <c r="W4" s="78">
        <f>'Income Statement'!W48</f>
        <v>0</v>
      </c>
      <c r="X4" s="78">
        <f>'Income Statement'!X48</f>
        <v>0</v>
      </c>
      <c r="Y4" s="78">
        <f>'Income Statement'!Y48</f>
        <v>0</v>
      </c>
      <c r="Z4" s="79">
        <f>'Income Statement'!Z48</f>
        <v>0</v>
      </c>
      <c r="AA4" s="78">
        <f>'Income Statement'!AA48</f>
        <v>0</v>
      </c>
      <c r="AB4" s="78">
        <f>'Income Statement'!AB48</f>
        <v>0</v>
      </c>
      <c r="AC4" s="78">
        <f>'Income Statement'!AC48</f>
        <v>0</v>
      </c>
      <c r="AD4" s="78">
        <f>'Income Statement'!AD48</f>
        <v>0</v>
      </c>
      <c r="AE4" s="79">
        <f>'Income Statement'!AE48</f>
        <v>0</v>
      </c>
      <c r="AF4" s="78">
        <f>'Income Statement'!AF48</f>
        <v>0</v>
      </c>
      <c r="AG4" s="78">
        <f>'Income Statement'!AG48</f>
        <v>0</v>
      </c>
      <c r="AH4" s="78">
        <f>'Income Statement'!AH48</f>
        <v>0</v>
      </c>
      <c r="AI4" s="78">
        <f>'Income Statement'!AI48</f>
        <v>52097.767000000029</v>
      </c>
      <c r="AJ4" s="79">
        <f>'Income Statement'!AJ48</f>
        <v>52097.767000000029</v>
      </c>
      <c r="AK4" s="78">
        <f>'Income Statement'!AK48</f>
        <v>0</v>
      </c>
      <c r="AL4" s="78">
        <f>'Income Statement'!AL48</f>
        <v>0</v>
      </c>
      <c r="AM4" s="78">
        <f>'Income Statement'!AM48</f>
        <v>0</v>
      </c>
      <c r="AN4" s="78">
        <f>'Income Statement'!AN48</f>
        <v>90002.872999999992</v>
      </c>
      <c r="AO4" s="79">
        <f>'Income Statement'!AO48</f>
        <v>90002.872999999992</v>
      </c>
      <c r="AP4" s="78">
        <f>'Income Statement'!AP48</f>
        <v>0</v>
      </c>
      <c r="AQ4" s="78">
        <f>'Income Statement'!AQ48</f>
        <v>0</v>
      </c>
      <c r="AR4" s="78">
        <f>'Income Statement'!AR48</f>
        <v>0</v>
      </c>
      <c r="AS4" s="78">
        <f>'Income Statement'!AS48</f>
        <v>80081.187000000005</v>
      </c>
      <c r="AT4" s="79">
        <f>'Income Statement'!AT48</f>
        <v>80081.187000000005</v>
      </c>
      <c r="AU4" s="78">
        <f>'Income Statement'!AU48</f>
        <v>0</v>
      </c>
      <c r="AV4" s="78">
        <f>'Income Statement'!AV48</f>
        <v>0</v>
      </c>
      <c r="AW4" s="78">
        <f>'Income Statement'!AW48</f>
        <v>0</v>
      </c>
      <c r="AX4" s="78">
        <f>'Income Statement'!AX48</f>
        <v>105080.25099999996</v>
      </c>
      <c r="AY4" s="79">
        <f>'Income Statement'!AY48</f>
        <v>105080.25099999996</v>
      </c>
      <c r="AZ4" s="78">
        <f>'Income Statement'!AZ48</f>
        <v>0</v>
      </c>
      <c r="BA4" s="298">
        <f>'Income Statement'!BA48-'Income Statement'!BA31</f>
        <v>0</v>
      </c>
      <c r="BB4" s="78">
        <f>'Income Statement'!BB48</f>
        <v>0</v>
      </c>
      <c r="BC4" s="78">
        <f>'Income Statement'!BC48</f>
        <v>134531</v>
      </c>
      <c r="BD4" s="299">
        <f>SUM(AZ4:BC4)</f>
        <v>134531</v>
      </c>
      <c r="BE4" s="78">
        <f>'Income Statement'!BE48</f>
        <v>0</v>
      </c>
      <c r="BF4" s="78">
        <f>'Income Statement'!BF48</f>
        <v>0</v>
      </c>
      <c r="BG4" s="78">
        <f>'Income Statement'!BG48</f>
        <v>0</v>
      </c>
      <c r="BH4" s="78">
        <f>'Income Statement'!BH48</f>
        <v>131108</v>
      </c>
      <c r="BI4" s="79">
        <f>'Income Statement'!BI48</f>
        <v>131108</v>
      </c>
      <c r="BJ4" s="78">
        <f>'Income Statement'!BJ48</f>
        <v>0</v>
      </c>
      <c r="BK4" s="78">
        <f>'Income Statement'!BK48</f>
        <v>0</v>
      </c>
      <c r="BL4" s="78">
        <f>'Income Statement'!BL48</f>
        <v>0</v>
      </c>
      <c r="BM4" s="78">
        <f>'Income Statement'!BM48</f>
        <v>90986</v>
      </c>
      <c r="BN4" s="79">
        <f>'Income Statement'!BN48</f>
        <v>90986</v>
      </c>
      <c r="BO4" s="78">
        <f>'Income Statement'!BO48</f>
        <v>0</v>
      </c>
      <c r="BP4" s="78">
        <f>'Income Statement'!BP48</f>
        <v>0</v>
      </c>
      <c r="BQ4" s="78">
        <f>'Income Statement'!BQ48</f>
        <v>0</v>
      </c>
      <c r="BR4" s="78">
        <f>'Income Statement'!BR48</f>
        <v>112834</v>
      </c>
      <c r="BS4" s="79">
        <f>'Income Statement'!BS48</f>
        <v>112834</v>
      </c>
      <c r="BT4" s="78">
        <f>'Income Statement'!BT48</f>
        <v>0</v>
      </c>
      <c r="BU4" s="78">
        <f>'Income Statement'!BU48</f>
        <v>0</v>
      </c>
      <c r="BV4" s="78">
        <f>'Income Statement'!BV48</f>
        <v>0</v>
      </c>
      <c r="BW4" s="78">
        <f>'Income Statement'!BW48</f>
        <v>130999</v>
      </c>
      <c r="BX4" s="79">
        <f>'Income Statement'!BX48</f>
        <v>130999</v>
      </c>
      <c r="BY4" s="78">
        <f>'Income Statement'!BY48</f>
        <v>18376</v>
      </c>
      <c r="BZ4" s="78">
        <f>'Income Statement'!BZ48</f>
        <v>61073</v>
      </c>
      <c r="CA4" s="78">
        <f>'Income Statement'!CA48</f>
        <v>30308</v>
      </c>
      <c r="CB4" s="78">
        <f>'Income Statement'!CB48</f>
        <v>50371</v>
      </c>
      <c r="CC4" s="79">
        <f>'Income Statement'!CC48</f>
        <v>160128</v>
      </c>
      <c r="CD4" s="78">
        <f>'Income Statement'!CD48</f>
        <v>6500</v>
      </c>
      <c r="CE4" s="78">
        <f>'Income Statement'!CE48</f>
        <v>36989</v>
      </c>
      <c r="CF4" s="78">
        <f>'Income Statement'!CF48</f>
        <v>49354</v>
      </c>
      <c r="CG4" s="78">
        <f>'Income Statement'!CG48</f>
        <v>67969</v>
      </c>
      <c r="CH4" s="79">
        <f>'Income Statement'!CH48</f>
        <v>160812</v>
      </c>
      <c r="CI4" s="78">
        <f>'Income Statement'!CI48</f>
        <v>49993</v>
      </c>
      <c r="CJ4" s="78">
        <f>'Income Statement'!CJ48</f>
        <v>78603</v>
      </c>
      <c r="CK4" s="78">
        <f>'Income Statement'!CK48</f>
        <v>67405</v>
      </c>
      <c r="CL4" s="78">
        <f>'Income Statement'!CL48</f>
        <v>103748</v>
      </c>
      <c r="CM4" s="79">
        <f>'Income Statement'!CM48</f>
        <v>299749</v>
      </c>
      <c r="CN4" s="78">
        <f>'Income Statement'!CN48</f>
        <v>61903</v>
      </c>
      <c r="CO4" s="78">
        <f>'Income Statement'!CO48</f>
        <v>86325</v>
      </c>
      <c r="CP4" s="78">
        <f>'Income Statement'!CP48</f>
        <v>89872</v>
      </c>
      <c r="CQ4" s="78">
        <f>'Income Statement'!CQ48</f>
        <v>91785</v>
      </c>
      <c r="CR4" s="79">
        <f>'Income Statement'!CR48</f>
        <v>329885</v>
      </c>
      <c r="CS4" s="78">
        <f>'Income Statement'!CS48</f>
        <v>91849</v>
      </c>
      <c r="CT4" s="78">
        <f>'Income Statement'!CT48</f>
        <v>121373</v>
      </c>
      <c r="CU4" s="78">
        <f>'Income Statement'!CU48</f>
        <v>108220</v>
      </c>
      <c r="CV4" s="78">
        <f>'Income Statement'!CV48</f>
        <v>160323</v>
      </c>
      <c r="CW4" s="79">
        <f>'Income Statement'!CW48</f>
        <v>481765</v>
      </c>
      <c r="CX4" s="78">
        <f>'Income Statement'!CX48</f>
        <v>141241</v>
      </c>
      <c r="CY4" s="78">
        <f>'Income Statement'!CY48</f>
        <v>172247</v>
      </c>
      <c r="CZ4" s="78">
        <f>'Income Statement'!CZ48</f>
        <v>170571</v>
      </c>
      <c r="DA4" s="78">
        <f>'Income Statement'!DA48</f>
        <v>165784</v>
      </c>
      <c r="DB4" s="79">
        <f>'Income Statement'!DB48</f>
        <v>649843</v>
      </c>
      <c r="DC4" s="78">
        <f>'Income Statement'!DC48</f>
        <v>213475</v>
      </c>
      <c r="DD4" s="78">
        <f>'Income Statement'!DD48</f>
        <v>236731</v>
      </c>
      <c r="DE4" s="78">
        <f>'Income Statement'!DE48</f>
        <v>255253</v>
      </c>
      <c r="DF4" s="78">
        <f>'Income Statement'!DF48</f>
        <v>270077</v>
      </c>
      <c r="DG4" s="79">
        <f>'Income Statement'!DG48</f>
        <v>975536</v>
      </c>
      <c r="DH4" s="78">
        <f>'Income Statement'!DH48</f>
        <v>302837</v>
      </c>
      <c r="DI4" s="78">
        <f>'Income Statement'!DI48</f>
        <v>270451</v>
      </c>
      <c r="DJ4" s="78">
        <f ca="1">'Income Statement'!DJ48</f>
        <v>307443.85133656248</v>
      </c>
      <c r="DK4" s="78">
        <f ca="1">'Income Statement'!DK48</f>
        <v>362953.76602199156</v>
      </c>
      <c r="DL4" s="79">
        <f ca="1">'Income Statement'!DL48</f>
        <v>1243685.6173585542</v>
      </c>
      <c r="DM4" s="78">
        <f ca="1">'Income Statement'!DM48</f>
        <v>370256.03480777709</v>
      </c>
      <c r="DN4" s="78">
        <f ca="1">'Income Statement'!DN48</f>
        <v>381673.58441684238</v>
      </c>
      <c r="DO4" s="78">
        <f ca="1">'Income Statement'!DO48</f>
        <v>384892.54526275716</v>
      </c>
      <c r="DP4" s="78">
        <f ca="1">'Income Statement'!DP48</f>
        <v>396338.44407106127</v>
      </c>
      <c r="DQ4" s="79">
        <f ca="1">'Income Statement'!DQ48</f>
        <v>1533160.6085584378</v>
      </c>
      <c r="DR4" s="78">
        <f ca="1">'Income Statement'!DR48</f>
        <v>417404.25679943379</v>
      </c>
      <c r="DS4" s="78">
        <f ca="1">'Income Statement'!DS48</f>
        <v>413915.8991752406</v>
      </c>
      <c r="DT4" s="78">
        <f ca="1">'Income Statement'!DT48</f>
        <v>427839.23637533718</v>
      </c>
      <c r="DU4" s="78">
        <f ca="1">'Income Statement'!DU48</f>
        <v>445405.22959721979</v>
      </c>
      <c r="DV4" s="79">
        <f ca="1">'Income Statement'!DV48</f>
        <v>1704564.6219472312</v>
      </c>
      <c r="DW4" s="78">
        <f ca="1">'Income Statement'!DW48</f>
        <v>440340.31046105892</v>
      </c>
      <c r="DX4" s="78">
        <f ca="1">'Income Statement'!DX48</f>
        <v>434816.78953597293</v>
      </c>
      <c r="DY4" s="78">
        <f ca="1">'Income Statement'!DY48</f>
        <v>451652.59249125206</v>
      </c>
      <c r="DZ4" s="78">
        <f ca="1">'Income Statement'!DZ48</f>
        <v>468802.43296631926</v>
      </c>
      <c r="EA4" s="79">
        <f ca="1">'Income Statement'!EA48</f>
        <v>1795612.1254546032</v>
      </c>
      <c r="EB4" s="78">
        <f ca="1">'Income Statement'!EB48</f>
        <v>462323.08794937783</v>
      </c>
      <c r="EC4" s="78">
        <f ca="1">'Income Statement'!EC48</f>
        <v>455450.90870026738</v>
      </c>
      <c r="ED4" s="78">
        <f ca="1">'Income Statement'!ED48</f>
        <v>472108.43731560785</v>
      </c>
      <c r="EE4" s="78">
        <f ca="1">'Income Statement'!EE48</f>
        <v>489025.7583647701</v>
      </c>
      <c r="EF4" s="79">
        <f ca="1">'Income Statement'!EF48</f>
        <v>1878908.1923300233</v>
      </c>
    </row>
    <row r="5" spans="1:136" ht="12" customHeight="1" outlineLevel="1">
      <c r="A5" s="1" t="s">
        <v>143</v>
      </c>
      <c r="B5" s="78">
        <f>'Income Statement'!B68</f>
        <v>0</v>
      </c>
      <c r="C5" s="78">
        <f>'Income Statement'!C68</f>
        <v>0</v>
      </c>
      <c r="D5" s="78">
        <f>'Income Statement'!D68</f>
        <v>0</v>
      </c>
      <c r="E5" s="78">
        <f>'Income Statement'!E68</f>
        <v>0</v>
      </c>
      <c r="F5" s="79">
        <f>'Income Statement'!F68</f>
        <v>0</v>
      </c>
      <c r="G5" s="78">
        <f>'Income Statement'!G68</f>
        <v>0</v>
      </c>
      <c r="H5" s="78">
        <f>'Income Statement'!H68</f>
        <v>0</v>
      </c>
      <c r="I5" s="78">
        <f>'Income Statement'!I68</f>
        <v>0</v>
      </c>
      <c r="J5" s="78">
        <f>'Income Statement'!J68</f>
        <v>0</v>
      </c>
      <c r="K5" s="79">
        <f>'Income Statement'!K68</f>
        <v>0</v>
      </c>
      <c r="L5" s="78">
        <f>'Income Statement'!L68</f>
        <v>0</v>
      </c>
      <c r="M5" s="78">
        <f>'Income Statement'!M68</f>
        <v>0</v>
      </c>
      <c r="N5" s="78">
        <f>'Income Statement'!N68</f>
        <v>0</v>
      </c>
      <c r="O5" s="78">
        <f>'Income Statement'!O68</f>
        <v>0</v>
      </c>
      <c r="P5" s="79">
        <f>'Income Statement'!P68</f>
        <v>0</v>
      </c>
      <c r="Q5" s="78">
        <f>'Income Statement'!Q68</f>
        <v>0</v>
      </c>
      <c r="R5" s="78">
        <f>'Income Statement'!R68</f>
        <v>0</v>
      </c>
      <c r="S5" s="78">
        <f>'Income Statement'!S68</f>
        <v>0</v>
      </c>
      <c r="T5" s="78">
        <f>'Income Statement'!T68</f>
        <v>0</v>
      </c>
      <c r="U5" s="79">
        <f>'Income Statement'!U68</f>
        <v>0</v>
      </c>
      <c r="V5" s="78">
        <f>'Income Statement'!V68</f>
        <v>0</v>
      </c>
      <c r="W5" s="78">
        <f>'Income Statement'!W68</f>
        <v>0</v>
      </c>
      <c r="X5" s="78">
        <f>'Income Statement'!X68</f>
        <v>0</v>
      </c>
      <c r="Y5" s="78">
        <f>'Income Statement'!Y68</f>
        <v>0</v>
      </c>
      <c r="Z5" s="79">
        <f>'Income Statement'!Z68</f>
        <v>0</v>
      </c>
      <c r="AA5" s="78">
        <f>'Income Statement'!AA68</f>
        <v>0</v>
      </c>
      <c r="AB5" s="78">
        <f>'Income Statement'!AB68</f>
        <v>0</v>
      </c>
      <c r="AC5" s="78">
        <f>'Income Statement'!AC68</f>
        <v>0</v>
      </c>
      <c r="AD5" s="78">
        <f>'Income Statement'!AD68</f>
        <v>0</v>
      </c>
      <c r="AE5" s="79">
        <f>'Income Statement'!AE68</f>
        <v>0</v>
      </c>
      <c r="AF5" s="78">
        <f>'Income Statement'!AF68</f>
        <v>0</v>
      </c>
      <c r="AG5" s="78">
        <f>'Income Statement'!AG68</f>
        <v>0</v>
      </c>
      <c r="AH5" s="78">
        <f>'Income Statement'!AH68</f>
        <v>0</v>
      </c>
      <c r="AI5" s="78">
        <f>'Income Statement'!AI68</f>
        <v>0</v>
      </c>
      <c r="AJ5" s="79">
        <f>'Income Statement'!AJ68</f>
        <v>0</v>
      </c>
      <c r="AK5" s="78">
        <f>'Income Statement'!AK68</f>
        <v>0</v>
      </c>
      <c r="AL5" s="78">
        <f>'Income Statement'!AL68</f>
        <v>0</v>
      </c>
      <c r="AM5" s="78">
        <f>'Income Statement'!AM68</f>
        <v>0</v>
      </c>
      <c r="AN5" s="78">
        <f>'Income Statement'!AN68</f>
        <v>0</v>
      </c>
      <c r="AO5" s="79">
        <f>'Income Statement'!AO68</f>
        <v>0</v>
      </c>
      <c r="AP5" s="78">
        <f>'Income Statement'!AP68</f>
        <v>0</v>
      </c>
      <c r="AQ5" s="78">
        <f>'Income Statement'!AQ68</f>
        <v>0</v>
      </c>
      <c r="AR5" s="78">
        <f>'Income Statement'!AR68</f>
        <v>0</v>
      </c>
      <c r="AS5" s="78">
        <f>'Income Statement'!AS68</f>
        <v>0</v>
      </c>
      <c r="AT5" s="79">
        <f>'Income Statement'!AT68</f>
        <v>0</v>
      </c>
      <c r="AU5" s="78">
        <f>'Income Statement'!AU68</f>
        <v>0</v>
      </c>
      <c r="AV5" s="78">
        <f>'Income Statement'!AV68</f>
        <v>0</v>
      </c>
      <c r="AW5" s="78">
        <f>'Income Statement'!AW68</f>
        <v>0</v>
      </c>
      <c r="AX5" s="78">
        <f>'Income Statement'!AX68</f>
        <v>0</v>
      </c>
      <c r="AY5" s="79">
        <f>'Income Statement'!AY68</f>
        <v>0</v>
      </c>
      <c r="AZ5" s="78">
        <f>'Income Statement'!AZ68</f>
        <v>0</v>
      </c>
      <c r="BA5" s="78">
        <f>'Income Statement'!BA68</f>
        <v>0</v>
      </c>
      <c r="BB5" s="78">
        <f>'Income Statement'!BB68</f>
        <v>0</v>
      </c>
      <c r="BC5" s="78">
        <f>'Income Statement'!BC68</f>
        <v>4942</v>
      </c>
      <c r="BD5" s="79">
        <f>'Income Statement'!BD68</f>
        <v>4942</v>
      </c>
      <c r="BE5" s="78">
        <f>'Income Statement'!BE68</f>
        <v>0</v>
      </c>
      <c r="BF5" s="78">
        <f>'Income Statement'!BF68</f>
        <v>0</v>
      </c>
      <c r="BG5" s="78">
        <f>'Income Statement'!BG68</f>
        <v>0</v>
      </c>
      <c r="BH5" s="78">
        <f>'Income Statement'!BH68</f>
        <v>3368</v>
      </c>
      <c r="BI5" s="79">
        <f>'Income Statement'!BI68</f>
        <v>3368</v>
      </c>
      <c r="BJ5" s="78">
        <f>'Income Statement'!BJ68</f>
        <v>0</v>
      </c>
      <c r="BK5" s="78">
        <f>'Income Statement'!BK68</f>
        <v>0</v>
      </c>
      <c r="BL5" s="78">
        <f>'Income Statement'!BL68</f>
        <v>0</v>
      </c>
      <c r="BM5" s="78">
        <f>'Income Statement'!BM68</f>
        <v>5774</v>
      </c>
      <c r="BN5" s="79">
        <f>'Income Statement'!BN68</f>
        <v>5774</v>
      </c>
      <c r="BO5" s="78">
        <f>'Income Statement'!BO68</f>
        <v>0</v>
      </c>
      <c r="BP5" s="78">
        <f>'Income Statement'!BP68</f>
        <v>0</v>
      </c>
      <c r="BQ5" s="78">
        <f>'Income Statement'!BQ68</f>
        <v>0</v>
      </c>
      <c r="BR5" s="78">
        <f>'Income Statement'!BR68</f>
        <v>7471</v>
      </c>
      <c r="BS5" s="79">
        <f>'Income Statement'!BS68</f>
        <v>7471</v>
      </c>
      <c r="BT5" s="78">
        <f>'Income Statement'!BT68</f>
        <v>0</v>
      </c>
      <c r="BU5" s="78">
        <f>'Income Statement'!BU68</f>
        <v>0</v>
      </c>
      <c r="BV5" s="78">
        <f>'Income Statement'!BV68</f>
        <v>0</v>
      </c>
      <c r="BW5" s="78">
        <f>'Income Statement'!BW68</f>
        <v>3718</v>
      </c>
      <c r="BX5" s="79">
        <f>'Income Statement'!BX68</f>
        <v>3718</v>
      </c>
      <c r="BY5" s="78">
        <f>'Income Statement'!BY68</f>
        <v>1854</v>
      </c>
      <c r="BZ5" s="78">
        <f>'Income Statement'!BZ68</f>
        <v>179</v>
      </c>
      <c r="CA5" s="78">
        <f>'Income Statement'!CA68</f>
        <v>399</v>
      </c>
      <c r="CB5" s="78">
        <f>'Income Statement'!CB68</f>
        <v>-1277</v>
      </c>
      <c r="CC5" s="79">
        <f>'Income Statement'!CC68</f>
        <v>1155</v>
      </c>
      <c r="CD5" s="78">
        <f>'Income Statement'!CD68</f>
        <v>2925</v>
      </c>
      <c r="CE5" s="78">
        <f>'Income Statement'!CE68</f>
        <v>307</v>
      </c>
      <c r="CF5" s="78">
        <f>'Income Statement'!CF68</f>
        <v>365</v>
      </c>
      <c r="CG5" s="78">
        <f>'Income Statement'!CG68</f>
        <v>-2038</v>
      </c>
      <c r="CH5" s="79">
        <f>'Income Statement'!CH68</f>
        <v>1559</v>
      </c>
      <c r="CI5" s="78">
        <f>'Income Statement'!CI68</f>
        <v>335</v>
      </c>
      <c r="CJ5" s="78">
        <f>'Income Statement'!CJ68</f>
        <v>355</v>
      </c>
      <c r="CK5" s="78">
        <f>'Income Statement'!CK68</f>
        <v>365</v>
      </c>
      <c r="CL5" s="78">
        <f>'Income Statement'!CL68</f>
        <v>383</v>
      </c>
      <c r="CM5" s="79">
        <f>'Income Statement'!CM68</f>
        <v>1438</v>
      </c>
      <c r="CN5" s="78">
        <f>'Income Statement'!CN68</f>
        <v>454</v>
      </c>
      <c r="CO5" s="78">
        <f>'Income Statement'!CO68</f>
        <v>459</v>
      </c>
      <c r="CP5" s="78">
        <f>'Income Statement'!CP68</f>
        <v>416</v>
      </c>
      <c r="CQ5" s="78">
        <f>'Income Statement'!CQ68</f>
        <v>523</v>
      </c>
      <c r="CR5" s="79">
        <f>'Income Statement'!CR68</f>
        <v>1852</v>
      </c>
      <c r="CS5" s="78">
        <f>'Income Statement'!CS68</f>
        <v>776</v>
      </c>
      <c r="CT5" s="78">
        <f>'Income Statement'!CT68</f>
        <v>721</v>
      </c>
      <c r="CU5" s="78">
        <f>'Income Statement'!CU68</f>
        <v>696</v>
      </c>
      <c r="CV5" s="78">
        <f>'Income Statement'!CV68</f>
        <v>782</v>
      </c>
      <c r="CW5" s="79">
        <f>'Income Statement'!CW68</f>
        <v>2975</v>
      </c>
      <c r="CX5" s="78">
        <f>'Income Statement'!CX68</f>
        <v>529</v>
      </c>
      <c r="CY5" s="78">
        <f>'Income Statement'!CY68</f>
        <v>728</v>
      </c>
      <c r="CZ5" s="78">
        <f>'Income Statement'!CZ68</f>
        <v>725</v>
      </c>
      <c r="DA5" s="78">
        <f>'Income Statement'!DA68</f>
        <v>691</v>
      </c>
      <c r="DB5" s="79">
        <f>'Income Statement'!DB68</f>
        <v>2673</v>
      </c>
      <c r="DC5" s="78">
        <f>'Income Statement'!DC68</f>
        <v>204</v>
      </c>
      <c r="DD5" s="78">
        <f>'Income Statement'!DD68</f>
        <v>226</v>
      </c>
      <c r="DE5" s="78">
        <f>'Income Statement'!DE68</f>
        <v>219</v>
      </c>
      <c r="DF5" s="78">
        <f>'Income Statement'!DF68</f>
        <v>216</v>
      </c>
      <c r="DG5" s="79">
        <f>'Income Statement'!DG68</f>
        <v>865</v>
      </c>
      <c r="DH5" s="78">
        <f>'Income Statement'!DH68</f>
        <v>212</v>
      </c>
      <c r="DI5" s="78">
        <f>'Income Statement'!DI68</f>
        <v>198</v>
      </c>
      <c r="DJ5" s="78">
        <f>'Income Statement'!DJ68</f>
        <v>873.44929161365451</v>
      </c>
      <c r="DK5" s="78">
        <f>'Income Statement'!DK68</f>
        <v>877.92455850791214</v>
      </c>
      <c r="DL5" s="79">
        <f>'Income Statement'!DL68</f>
        <v>2161.3738501215666</v>
      </c>
      <c r="DM5" s="78">
        <f>'Income Statement'!DM68</f>
        <v>882.42275519782834</v>
      </c>
      <c r="DN5" s="78">
        <f>'Income Statement'!DN68</f>
        <v>886.9439991681345</v>
      </c>
      <c r="DO5" s="78">
        <f>'Income Statement'!DO68</f>
        <v>891.48840850551494</v>
      </c>
      <c r="DP5" s="78">
        <f>'Income Statement'!DP68</f>
        <v>896.05610190169182</v>
      </c>
      <c r="DQ5" s="79">
        <f>'Income Statement'!DQ68</f>
        <v>3556.9112647731695</v>
      </c>
      <c r="DR5" s="78">
        <f>'Income Statement'!DR68</f>
        <v>900.64719865652432</v>
      </c>
      <c r="DS5" s="78">
        <f>'Income Statement'!DS68</f>
        <v>905.26181868112474</v>
      </c>
      <c r="DT5" s="78">
        <f>'Income Statement'!DT68</f>
        <v>909.90008250099049</v>
      </c>
      <c r="DU5" s="78">
        <f>'Income Statement'!DU68</f>
        <v>914.56211125915218</v>
      </c>
      <c r="DV5" s="79">
        <f>'Income Statement'!DV68</f>
        <v>3630.3712110977917</v>
      </c>
      <c r="DW5" s="78">
        <f>'Income Statement'!DW68</f>
        <v>919.24802671933742</v>
      </c>
      <c r="DX5" s="78">
        <f>'Income Statement'!DX68</f>
        <v>923.95795126915118</v>
      </c>
      <c r="DY5" s="78">
        <f>'Income Statement'!DY68</f>
        <v>928.69200792327217</v>
      </c>
      <c r="DZ5" s="78">
        <f>'Income Statement'!DZ68</f>
        <v>933.45032032666575</v>
      </c>
      <c r="EA5" s="79">
        <f>'Income Statement'!EA68</f>
        <v>3705.3483062384266</v>
      </c>
      <c r="EB5" s="78">
        <f>'Income Statement'!EB68</f>
        <v>938.23301275781353</v>
      </c>
      <c r="EC5" s="78">
        <f>'Income Statement'!EC68</f>
        <v>943.04021013195904</v>
      </c>
      <c r="ED5" s="78">
        <f>'Income Statement'!ED68</f>
        <v>947.87203800437101</v>
      </c>
      <c r="EE5" s="78">
        <f>'Income Statement'!EE68</f>
        <v>952.72862257362101</v>
      </c>
      <c r="EF5" s="79">
        <f>'Income Statement'!EF68</f>
        <v>3781.8738834677647</v>
      </c>
    </row>
    <row r="6" spans="1:136" ht="12" customHeight="1" outlineLevel="1">
      <c r="A6" s="1" t="s">
        <v>144</v>
      </c>
      <c r="B6" s="78" t="e">
        <f>(SUM('Balance Sheet'!B41:B41)-SUM('Balance Sheet'!A41:A41)+SUM('Balance Sheet'!B32:B37)-SUM('Balance Sheet'!A32:A37)+SUM('Balance Sheet'!B39:B40)-SUM('Balance Sheet'!A39:A40))-(('Balance Sheet'!B8-'Balance Sheet'!A8)+('Balance Sheet'!B11-'Balance Sheet'!A11)+(SUM('Balance Sheet'!B15:B18)-SUM('Balance Sheet'!A15:A18)))</f>
        <v>#VALUE!</v>
      </c>
      <c r="C6" s="78">
        <f>(SUM('Balance Sheet'!C41:C41)-SUM('Balance Sheet'!B41:B41)+SUM('Balance Sheet'!C32:C37)-SUM('Balance Sheet'!B32:B37)+SUM('Balance Sheet'!C39:C40)-SUM('Balance Sheet'!B39:B40))-(('Balance Sheet'!C8-'Balance Sheet'!B8)+('Balance Sheet'!C11-'Balance Sheet'!B11)+(SUM('Balance Sheet'!C15:C18)-SUM('Balance Sheet'!B15:B18)))</f>
        <v>0</v>
      </c>
      <c r="D6" s="78">
        <f>(SUM('Balance Sheet'!D41:D41)-SUM('Balance Sheet'!C41:C41)+SUM('Balance Sheet'!D32:D37)-SUM('Balance Sheet'!C32:C37)+SUM('Balance Sheet'!D39:D40)-SUM('Balance Sheet'!C39:C40))-(('Balance Sheet'!D8-'Balance Sheet'!C8)+('Balance Sheet'!D11-'Balance Sheet'!C11)+(SUM('Balance Sheet'!D15:D18)-SUM('Balance Sheet'!C15:C18)))</f>
        <v>0</v>
      </c>
      <c r="E6" s="78">
        <f>(SUM('Balance Sheet'!E41:E41)-SUM('Balance Sheet'!D41:D41)+SUM('Balance Sheet'!E32:E37)-SUM('Balance Sheet'!D32:D37)+SUM('Balance Sheet'!E39:E40)-SUM('Balance Sheet'!D39:D40))-(('Balance Sheet'!E8-'Balance Sheet'!D8)+('Balance Sheet'!E11-'Balance Sheet'!D11)+(SUM('Balance Sheet'!E15:E18)-SUM('Balance Sheet'!D15:D18)))</f>
        <v>0</v>
      </c>
      <c r="F6" s="79" t="e">
        <f>(SUM('Balance Sheet'!F41:F41)-SUM('Balance Sheet'!A41:A41)+SUM('Balance Sheet'!F32:F37)-SUM('Balance Sheet'!A32:A37)+SUM('Balance Sheet'!F39:F40)-SUM('Balance Sheet'!A39:A40))-(('Balance Sheet'!F8-'Balance Sheet'!A8)+('Balance Sheet'!F11-'Balance Sheet'!A11)+(SUM('Balance Sheet'!F15:F18)-SUM('Balance Sheet'!A15:A18)))</f>
        <v>#VALUE!</v>
      </c>
      <c r="G6" s="78">
        <f>(SUM('Balance Sheet'!G41:G41)-SUM('Balance Sheet'!F41:F41)+SUM('Balance Sheet'!G32:G37)-SUM('Balance Sheet'!F32:F37)+SUM('Balance Sheet'!G39:G40)-SUM('Balance Sheet'!F39:F40))-(('Balance Sheet'!G8-'Balance Sheet'!F8)+('Balance Sheet'!G11-'Balance Sheet'!F11)+(SUM('Balance Sheet'!G15:G18)-SUM('Balance Sheet'!F15:F18)))</f>
        <v>0</v>
      </c>
      <c r="H6" s="78">
        <f>(SUM('Balance Sheet'!H41:H41)-SUM('Balance Sheet'!G41:G41)+SUM('Balance Sheet'!H32:H37)-SUM('Balance Sheet'!G32:G37)+SUM('Balance Sheet'!H39:H40)-SUM('Balance Sheet'!G39:G40))-(('Balance Sheet'!H8-'Balance Sheet'!G8)+('Balance Sheet'!H11-'Balance Sheet'!G11)+(SUM('Balance Sheet'!H15:H18)-SUM('Balance Sheet'!G15:G18)))</f>
        <v>0</v>
      </c>
      <c r="I6" s="78">
        <f>(SUM('Balance Sheet'!I41:I41)-SUM('Balance Sheet'!H41:H41)+SUM('Balance Sheet'!I32:I37)-SUM('Balance Sheet'!H32:H37)+SUM('Balance Sheet'!I39:I40)-SUM('Balance Sheet'!H39:H40))-(('Balance Sheet'!I8-'Balance Sheet'!H8)+('Balance Sheet'!I11-'Balance Sheet'!H11)+(SUM('Balance Sheet'!I15:I18)-SUM('Balance Sheet'!H15:H18)))</f>
        <v>0</v>
      </c>
      <c r="J6" s="78">
        <f>(SUM('Balance Sheet'!J41:J41)-SUM('Balance Sheet'!I41:I41)+SUM('Balance Sheet'!J32:J37)-SUM('Balance Sheet'!I32:I37)+SUM('Balance Sheet'!J39:J40)-SUM('Balance Sheet'!I39:I40))-(('Balance Sheet'!J8-'Balance Sheet'!I8)+('Balance Sheet'!J11-'Balance Sheet'!I11)+(SUM('Balance Sheet'!J15:J18)-SUM('Balance Sheet'!I15:I18)))</f>
        <v>0</v>
      </c>
      <c r="K6" s="79">
        <f>(SUM('Balance Sheet'!K41:K41)-SUM('Balance Sheet'!F41:F41)+SUM('Balance Sheet'!K32:K37)-SUM('Balance Sheet'!F32:F37)+SUM('Balance Sheet'!K39:K40)-SUM('Balance Sheet'!F39:F40))-(('Balance Sheet'!K8-'Balance Sheet'!F8)+('Balance Sheet'!K11-'Balance Sheet'!F11)+(SUM('Balance Sheet'!K15:K18)-SUM('Balance Sheet'!F15:F18)))</f>
        <v>0</v>
      </c>
      <c r="L6" s="78">
        <f>(SUM('Balance Sheet'!L41:L41)-SUM('Balance Sheet'!K41:K41)+SUM('Balance Sheet'!L32:L37)-SUM('Balance Sheet'!K32:K37)+SUM('Balance Sheet'!L39:L40)-SUM('Balance Sheet'!K39:K40))-(('Balance Sheet'!L8-'Balance Sheet'!K8)+('Balance Sheet'!L11-'Balance Sheet'!K11)+(SUM('Balance Sheet'!L15:L18)-SUM('Balance Sheet'!K15:K18)))</f>
        <v>0</v>
      </c>
      <c r="M6" s="78">
        <f>(SUM('Balance Sheet'!M41:M41)-SUM('Balance Sheet'!L41:L41)+SUM('Balance Sheet'!M32:M37)-SUM('Balance Sheet'!L32:L37)+SUM('Balance Sheet'!M39:M40)-SUM('Balance Sheet'!L39:L40))-(('Balance Sheet'!M8-'Balance Sheet'!L8)+('Balance Sheet'!M11-'Balance Sheet'!L11)+(SUM('Balance Sheet'!M15:M18)-SUM('Balance Sheet'!L15:L18)))</f>
        <v>0</v>
      </c>
      <c r="N6" s="78">
        <f>(SUM('Balance Sheet'!N41:N41)-SUM('Balance Sheet'!M41:M41)+SUM('Balance Sheet'!N32:N37)-SUM('Balance Sheet'!M32:M37)+SUM('Balance Sheet'!N39:N40)-SUM('Balance Sheet'!M39:M40))-(('Balance Sheet'!N8-'Balance Sheet'!M8)+('Balance Sheet'!N11-'Balance Sheet'!M11)+(SUM('Balance Sheet'!N15:N18)-SUM('Balance Sheet'!M15:M18)))</f>
        <v>0</v>
      </c>
      <c r="O6" s="78">
        <f>(SUM('Balance Sheet'!O41:O41)-SUM('Balance Sheet'!N41:N41)+SUM('Balance Sheet'!O32:O37)-SUM('Balance Sheet'!N32:N37)+SUM('Balance Sheet'!O39:O40)-SUM('Balance Sheet'!N39:N40))-(('Balance Sheet'!O8-'Balance Sheet'!N8)+('Balance Sheet'!O11-'Balance Sheet'!N11)+(SUM('Balance Sheet'!O15:O18)-SUM('Balance Sheet'!N15:N18)))</f>
        <v>0</v>
      </c>
      <c r="P6" s="79">
        <f>(SUM('Balance Sheet'!P41:P41)-SUM('Balance Sheet'!K41:K41)+SUM('Balance Sheet'!P32:P37)-SUM('Balance Sheet'!K32:K37)+SUM('Balance Sheet'!P39:P40)-SUM('Balance Sheet'!K39:K40))-(('Balance Sheet'!P8-'Balance Sheet'!K8)+('Balance Sheet'!P11-'Balance Sheet'!K11)+(SUM('Balance Sheet'!P15:P18)-SUM('Balance Sheet'!K15:K18)))</f>
        <v>0</v>
      </c>
      <c r="Q6" s="78">
        <f>(SUM('Balance Sheet'!Q41:Q41)-SUM('Balance Sheet'!P41:P41)+SUM('Balance Sheet'!Q32:Q37)-SUM('Balance Sheet'!P32:P37)+SUM('Balance Sheet'!Q39:Q40)-SUM('Balance Sheet'!P39:P40))-(('Balance Sheet'!Q8-'Balance Sheet'!P8)+('Balance Sheet'!Q11-'Balance Sheet'!P11)+(SUM('Balance Sheet'!Q15:Q18)-SUM('Balance Sheet'!P15:P18)))</f>
        <v>0</v>
      </c>
      <c r="R6" s="78">
        <f>(SUM('Balance Sheet'!R41:R41)-SUM('Balance Sheet'!Q41:Q41)+SUM('Balance Sheet'!R32:R37)-SUM('Balance Sheet'!Q32:Q37)+SUM('Balance Sheet'!R39:R40)-SUM('Balance Sheet'!Q39:Q40))-(('Balance Sheet'!R8-'Balance Sheet'!Q8)+('Balance Sheet'!R11-'Balance Sheet'!Q11)+(SUM('Balance Sheet'!R15:R18)-SUM('Balance Sheet'!Q15:Q18)))</f>
        <v>0</v>
      </c>
      <c r="S6" s="78">
        <f>(SUM('Balance Sheet'!S41:S41)-SUM('Balance Sheet'!R41:R41)+SUM('Balance Sheet'!S32:S37)-SUM('Balance Sheet'!R32:R37)+SUM('Balance Sheet'!S39:S40)-SUM('Balance Sheet'!R39:R40))-(('Balance Sheet'!S8-'Balance Sheet'!R8)+('Balance Sheet'!S11-'Balance Sheet'!R11)+(SUM('Balance Sheet'!S15:S18)-SUM('Balance Sheet'!R15:R18)))</f>
        <v>0</v>
      </c>
      <c r="T6" s="78">
        <f>(SUM('Balance Sheet'!T41:T41)-SUM('Balance Sheet'!S41:S41)+SUM('Balance Sheet'!T32:T37)-SUM('Balance Sheet'!S32:S37)+SUM('Balance Sheet'!T39:T40)-SUM('Balance Sheet'!S39:S40))-(('Balance Sheet'!T8-'Balance Sheet'!S8)+('Balance Sheet'!T11-'Balance Sheet'!S11)+(SUM('Balance Sheet'!T15:T18)-SUM('Balance Sheet'!S15:S18)))</f>
        <v>0</v>
      </c>
      <c r="U6" s="79">
        <f>(SUM('Balance Sheet'!U41:U41)-SUM('Balance Sheet'!P41:P41)+SUM('Balance Sheet'!U32:U37)-SUM('Balance Sheet'!P32:P37)+SUM('Balance Sheet'!U39:U40)-SUM('Balance Sheet'!P39:P40))-(('Balance Sheet'!U8-'Balance Sheet'!P8)+('Balance Sheet'!U11-'Balance Sheet'!P11)+(SUM('Balance Sheet'!U15:U18)-SUM('Balance Sheet'!P15:P18)))</f>
        <v>0</v>
      </c>
      <c r="V6" s="78">
        <f>(SUM('Balance Sheet'!V41:V41)-SUM('Balance Sheet'!U41:U41)+SUM('Balance Sheet'!V32:V37)-SUM('Balance Sheet'!U32:U37)+SUM('Balance Sheet'!V39:V40)-SUM('Balance Sheet'!U39:U40))-(('Balance Sheet'!V8-'Balance Sheet'!U8)+('Balance Sheet'!V11-'Balance Sheet'!U11)+(SUM('Balance Sheet'!V15:V18)-SUM('Balance Sheet'!U15:U18)))</f>
        <v>0</v>
      </c>
      <c r="W6" s="78">
        <f>(SUM('Balance Sheet'!W41:W41)-SUM('Balance Sheet'!V41:V41)+SUM('Balance Sheet'!W32:W37)-SUM('Balance Sheet'!V32:V37)+SUM('Balance Sheet'!W39:W40)-SUM('Balance Sheet'!V39:V40))-(('Balance Sheet'!W8-'Balance Sheet'!V8)+('Balance Sheet'!W11-'Balance Sheet'!V11)+(SUM('Balance Sheet'!W15:W18)-SUM('Balance Sheet'!V15:V18)))</f>
        <v>0</v>
      </c>
      <c r="X6" s="78">
        <f>(SUM('Balance Sheet'!X41:X41)-SUM('Balance Sheet'!W41:W41)+SUM('Balance Sheet'!X32:X37)-SUM('Balance Sheet'!W32:W37)+SUM('Balance Sheet'!X39:X40)-SUM('Balance Sheet'!W39:W40))-(('Balance Sheet'!X8-'Balance Sheet'!W8)+('Balance Sheet'!X11-'Balance Sheet'!W11)+(SUM('Balance Sheet'!X15:X18)-SUM('Balance Sheet'!W15:W18)))</f>
        <v>0</v>
      </c>
      <c r="Y6" s="78">
        <f>(SUM('Balance Sheet'!Y41:Y41)-SUM('Balance Sheet'!X41:X41)+SUM('Balance Sheet'!Y32:Y37)-SUM('Balance Sheet'!X32:X37)+SUM('Balance Sheet'!Y39:Y40)-SUM('Balance Sheet'!X39:X40))-(('Balance Sheet'!Y8-'Balance Sheet'!X8)+('Balance Sheet'!Y11-'Balance Sheet'!X11)+(SUM('Balance Sheet'!Y15:Y18)-SUM('Balance Sheet'!X15:X18)))</f>
        <v>0</v>
      </c>
      <c r="Z6" s="79">
        <f>(SUM('Balance Sheet'!Z41:Z41)-SUM('Balance Sheet'!U41:U41)+SUM('Balance Sheet'!Z32:Z37)-SUM('Balance Sheet'!U32:U37)+SUM('Balance Sheet'!Z39:Z40)-SUM('Balance Sheet'!U39:U40))-(('Balance Sheet'!Z8-'Balance Sheet'!U8)+('Balance Sheet'!Z11-'Balance Sheet'!U11)+(SUM('Balance Sheet'!Z15:Z18)-SUM('Balance Sheet'!U15:U18)))</f>
        <v>0</v>
      </c>
      <c r="AA6" s="78">
        <f>(SUM('Balance Sheet'!AA41:AA41)-SUM('Balance Sheet'!Z41:Z41)+SUM('Balance Sheet'!AA32:AA37)-SUM('Balance Sheet'!Z32:Z37)+SUM('Balance Sheet'!AA39:AA40)-SUM('Balance Sheet'!Z39:Z40))-(('Balance Sheet'!AA8-'Balance Sheet'!Z8)+('Balance Sheet'!AA11-'Balance Sheet'!Z11)+(SUM('Balance Sheet'!AA15:AA18)-SUM('Balance Sheet'!Z15:Z18)))</f>
        <v>0</v>
      </c>
      <c r="AB6" s="78">
        <f>(SUM('Balance Sheet'!AB41:AB41)-SUM('Balance Sheet'!AA41:AA41)+SUM('Balance Sheet'!AB32:AB37)-SUM('Balance Sheet'!AA32:AA37)+SUM('Balance Sheet'!AB39:AB40)-SUM('Balance Sheet'!AA39:AA40))-(('Balance Sheet'!AB8-'Balance Sheet'!AA8)+('Balance Sheet'!AB11-'Balance Sheet'!AA11)+(SUM('Balance Sheet'!AB15:AB18)-SUM('Balance Sheet'!AA15:AA18)))</f>
        <v>0</v>
      </c>
      <c r="AC6" s="78">
        <f>(SUM('Balance Sheet'!AC41:AC41)-SUM('Balance Sheet'!AB41:AB41)+SUM('Balance Sheet'!AC32:AC37)-SUM('Balance Sheet'!AB32:AB37)+SUM('Balance Sheet'!AC39:AC40)-SUM('Balance Sheet'!AB39:AB40))-(('Balance Sheet'!AC8-'Balance Sheet'!AB8)+('Balance Sheet'!AC11-'Balance Sheet'!AB11)+(SUM('Balance Sheet'!AC15:AC18)-SUM('Balance Sheet'!AB15:AB18)))</f>
        <v>0</v>
      </c>
      <c r="AD6" s="78">
        <f>(SUM('Balance Sheet'!AD41:AD41)-SUM('Balance Sheet'!AC41:AC41)+SUM('Balance Sheet'!AD32:AD37)-SUM('Balance Sheet'!AC32:AC37)+SUM('Balance Sheet'!AD39:AD40)-SUM('Balance Sheet'!AC39:AC40))-(('Balance Sheet'!AD8-'Balance Sheet'!AC8)+('Balance Sheet'!AD11-'Balance Sheet'!AC11)+(SUM('Balance Sheet'!AD15:AD18)-SUM('Balance Sheet'!AC15:AC18)))</f>
        <v>0</v>
      </c>
      <c r="AE6" s="79">
        <f>(SUM('Balance Sheet'!AE41:AE41)-SUM('Balance Sheet'!Z41:Z41)+SUM('Balance Sheet'!AE32:AE37)-SUM('Balance Sheet'!Z32:Z37)+SUM('Balance Sheet'!AE39:AE40)-SUM('Balance Sheet'!Z39:Z40))-(('Balance Sheet'!AE8-'Balance Sheet'!Z8)+('Balance Sheet'!AE11-'Balance Sheet'!Z11)+(SUM('Balance Sheet'!AE15:AE18)-SUM('Balance Sheet'!Z15:Z18)))</f>
        <v>0</v>
      </c>
      <c r="AF6" s="78">
        <f>(SUM('Balance Sheet'!AF41:AF41)-SUM('Balance Sheet'!AE41:AE41)+SUM('Balance Sheet'!AF32:AF37)-SUM('Balance Sheet'!AE32:AE37)+SUM('Balance Sheet'!AF39:AF40)-SUM('Balance Sheet'!AE39:AE40))-(('Balance Sheet'!AF8-'Balance Sheet'!AE8)+('Balance Sheet'!AF11-'Balance Sheet'!AE11)+(SUM('Balance Sheet'!AF15:AF18)-SUM('Balance Sheet'!AE15:AE18)))</f>
        <v>0</v>
      </c>
      <c r="AG6" s="78">
        <f>(SUM('Balance Sheet'!AG41:AG41)-SUM('Balance Sheet'!AF41:AF41)+SUM('Balance Sheet'!AG32:AG37)-SUM('Balance Sheet'!AF32:AF37)+SUM('Balance Sheet'!AG39:AG40)-SUM('Balance Sheet'!AF39:AF40))-(('Balance Sheet'!AG8-'Balance Sheet'!AF8)+('Balance Sheet'!AG11-'Balance Sheet'!AF11)+(SUM('Balance Sheet'!AG15:AG18)-SUM('Balance Sheet'!AF15:AF18)))</f>
        <v>0</v>
      </c>
      <c r="AH6" s="78">
        <f>(SUM('Balance Sheet'!AH41:AH41)-SUM('Balance Sheet'!AG41:AG41)+SUM('Balance Sheet'!AH32:AH37)-SUM('Balance Sheet'!AG32:AG37)+SUM('Balance Sheet'!AH39:AH40)-SUM('Balance Sheet'!AG39:AG40))-(('Balance Sheet'!AH8-'Balance Sheet'!AG8)+('Balance Sheet'!AH11-'Balance Sheet'!AG11)+(SUM('Balance Sheet'!AH15:AH18)-SUM('Balance Sheet'!AG15:AG18)))</f>
        <v>0</v>
      </c>
      <c r="AI6" s="78">
        <f>(SUM('Balance Sheet'!AI41:AI41)-SUM('Balance Sheet'!AH41:AH41)+SUM('Balance Sheet'!AI32:AI37)-SUM('Balance Sheet'!AH32:AH37)+SUM('Balance Sheet'!AI39:AI40)-SUM('Balance Sheet'!AH39:AH40))-(('Balance Sheet'!AI8-'Balance Sheet'!AH8)+('Balance Sheet'!AI11-'Balance Sheet'!AH11)+(SUM('Balance Sheet'!AI15:AI18)-SUM('Balance Sheet'!AH15:AH18)))</f>
        <v>-189975.307</v>
      </c>
      <c r="AJ6" s="79">
        <f>(SUM('Balance Sheet'!AJ41:AJ41)-SUM('Balance Sheet'!AE41:AE41)+SUM('Balance Sheet'!AJ32:AJ37)-SUM('Balance Sheet'!AE32:AE37)+SUM('Balance Sheet'!AJ39:AJ40)-SUM('Balance Sheet'!AE39:AE40))-(('Balance Sheet'!AJ8-'Balance Sheet'!AE8)+('Balance Sheet'!AJ11-'Balance Sheet'!AE11)+(SUM('Balance Sheet'!AJ15:AJ18)-SUM('Balance Sheet'!AE15:AE18)))</f>
        <v>-189975.307</v>
      </c>
      <c r="AK6" s="78">
        <f>(SUM('Balance Sheet'!AK41:AK41)-SUM('Balance Sheet'!AJ41:AJ41)+SUM('Balance Sheet'!AK32:AK37)-SUM('Balance Sheet'!AJ32:AJ37)+SUM('Balance Sheet'!AK39:AK40)-SUM('Balance Sheet'!AJ39:AJ40))-(('Balance Sheet'!AK8-'Balance Sheet'!AJ8)+('Balance Sheet'!AK11-'Balance Sheet'!AJ11)+(SUM('Balance Sheet'!AK15:AK18)-SUM('Balance Sheet'!AJ15:AJ18)))</f>
        <v>189975.307</v>
      </c>
      <c r="AL6" s="78">
        <f>(SUM('Balance Sheet'!AL41:AL41)-SUM('Balance Sheet'!AK41:AK41)+SUM('Balance Sheet'!AL32:AL37)-SUM('Balance Sheet'!AK32:AK37)+SUM('Balance Sheet'!AL39:AL40)-SUM('Balance Sheet'!AK39:AK40))-(('Balance Sheet'!AL8-'Balance Sheet'!AK8)+('Balance Sheet'!AL11-'Balance Sheet'!AK11)+(SUM('Balance Sheet'!AL15:AL18)-SUM('Balance Sheet'!AK15:AK18)))</f>
        <v>0</v>
      </c>
      <c r="AM6" s="78">
        <f>(SUM('Balance Sheet'!AM41:AM41)-SUM('Balance Sheet'!AL41:AL41)+SUM('Balance Sheet'!AM32:AM37)-SUM('Balance Sheet'!AL32:AL37)+SUM('Balance Sheet'!AM39:AM40)-SUM('Balance Sheet'!AL39:AL40))-(('Balance Sheet'!AM8-'Balance Sheet'!AL8)+('Balance Sheet'!AM11-'Balance Sheet'!AL11)+(SUM('Balance Sheet'!AM15:AM18)-SUM('Balance Sheet'!AL15:AL18)))</f>
        <v>0</v>
      </c>
      <c r="AN6" s="78">
        <f>(SUM('Balance Sheet'!AN41:AN41)-SUM('Balance Sheet'!AM41:AM41)+SUM('Balance Sheet'!AN32:AN37)-SUM('Balance Sheet'!AM32:AM37)+SUM('Balance Sheet'!AN39:AN40)-SUM('Balance Sheet'!AM39:AM40))-(('Balance Sheet'!AN8-'Balance Sheet'!AM8)+('Balance Sheet'!AN11-'Balance Sheet'!AM11)+(SUM('Balance Sheet'!AN15:AN18)-SUM('Balance Sheet'!AM15:AM18)))</f>
        <v>-303239.54000000004</v>
      </c>
      <c r="AO6" s="79">
        <f>(SUM('Balance Sheet'!AO41:AO41)-SUM('Balance Sheet'!AJ41:AJ41)+SUM('Balance Sheet'!AO32:AO37)-SUM('Balance Sheet'!AJ32:AJ37)+SUM('Balance Sheet'!AO39:AO40)-SUM('Balance Sheet'!AJ39:AJ40))-(('Balance Sheet'!AO8-'Balance Sheet'!AJ8)+('Balance Sheet'!AO11-'Balance Sheet'!AJ11)+(SUM('Balance Sheet'!AO15:AO18)-SUM('Balance Sheet'!AJ15:AJ18)))</f>
        <v>-113264.23300000002</v>
      </c>
      <c r="AP6" s="78">
        <f>(SUM('Balance Sheet'!AP41:AP41)-SUM('Balance Sheet'!AO41:AO41)+SUM('Balance Sheet'!AP32:AP37)-SUM('Balance Sheet'!AO32:AO37)+SUM('Balance Sheet'!AP39:AP40)-SUM('Balance Sheet'!AO39:AO40))-(('Balance Sheet'!AP8-'Balance Sheet'!AO8)+('Balance Sheet'!AP11-'Balance Sheet'!AO11)+(SUM('Balance Sheet'!AP15:AP18)-SUM('Balance Sheet'!AO15:AO18)))</f>
        <v>303239.54000000004</v>
      </c>
      <c r="AQ6" s="78">
        <f>(SUM('Balance Sheet'!AQ41:AQ41)-SUM('Balance Sheet'!AP41:AP41)+SUM('Balance Sheet'!AQ32:AQ37)-SUM('Balance Sheet'!AP32:AP37)+SUM('Balance Sheet'!AQ39:AQ40)-SUM('Balance Sheet'!AP39:AP40))-(('Balance Sheet'!AQ8-'Balance Sheet'!AP8)+('Balance Sheet'!AQ11-'Balance Sheet'!AP11)+(SUM('Balance Sheet'!AQ15:AQ18)-SUM('Balance Sheet'!AP15:AP18)))</f>
        <v>0</v>
      </c>
      <c r="AR6" s="78">
        <f>(SUM('Balance Sheet'!AR41:AR41)-SUM('Balance Sheet'!AQ41:AQ41)+SUM('Balance Sheet'!AR32:AR37)-SUM('Balance Sheet'!AQ32:AQ37)+SUM('Balance Sheet'!AR39:AR40)-SUM('Balance Sheet'!AQ39:AQ40))-(('Balance Sheet'!AR8-'Balance Sheet'!AQ8)+('Balance Sheet'!AR11-'Balance Sheet'!AQ11)+(SUM('Balance Sheet'!AR15:AR18)-SUM('Balance Sheet'!AQ15:AQ18)))</f>
        <v>0</v>
      </c>
      <c r="AS6" s="78">
        <f>(SUM('Balance Sheet'!AS41:AS41)-SUM('Balance Sheet'!AR41:AR41)+SUM('Balance Sheet'!AS32:AS37)-SUM('Balance Sheet'!AR32:AR37)+SUM('Balance Sheet'!AS39:AS40)-SUM('Balance Sheet'!AR39:AR40))-(('Balance Sheet'!AS8-'Balance Sheet'!AR8)+('Balance Sheet'!AS11-'Balance Sheet'!AR11)+(SUM('Balance Sheet'!AS15:AS18)-SUM('Balance Sheet'!AR15:AR18)))</f>
        <v>-355979.94499999989</v>
      </c>
      <c r="AT6" s="79">
        <f>(SUM('Balance Sheet'!AT41:AT41)-SUM('Balance Sheet'!AO41:AO41)+SUM('Balance Sheet'!AT32:AT37)-SUM('Balance Sheet'!AO32:AO37)+SUM('Balance Sheet'!AT39:AT40)-SUM('Balance Sheet'!AO39:AO40))-(('Balance Sheet'!AT8-'Balance Sheet'!AO8)+('Balance Sheet'!AT11-'Balance Sheet'!AO11)+(SUM('Balance Sheet'!AT15:AT18)-SUM('Balance Sheet'!AO15:AO18)))</f>
        <v>-52740.404999999926</v>
      </c>
      <c r="AU6" s="78">
        <f>(SUM('Balance Sheet'!AU41:AU41)-SUM('Balance Sheet'!AT41:AT41)+SUM('Balance Sheet'!AU32:AU37)-SUM('Balance Sheet'!AT32:AT37)+SUM('Balance Sheet'!AU39:AU40)-SUM('Balance Sheet'!AT39:AT40))-(('Balance Sheet'!AU8-'Balance Sheet'!AT8)+('Balance Sheet'!AU11-'Balance Sheet'!AT11)+(SUM('Balance Sheet'!AU15:AU18)-SUM('Balance Sheet'!AT15:AT18)))</f>
        <v>355979.94499999989</v>
      </c>
      <c r="AV6" s="78">
        <f>(SUM('Balance Sheet'!AV41:AV41)-SUM('Balance Sheet'!AU41:AU41)+SUM('Balance Sheet'!AV32:AV37)-SUM('Balance Sheet'!AU32:AU37)+SUM('Balance Sheet'!AV39:AV40)-SUM('Balance Sheet'!AU39:AU40))-(('Balance Sheet'!AV8-'Balance Sheet'!AU8)+('Balance Sheet'!AV11-'Balance Sheet'!AU11)+(SUM('Balance Sheet'!AV15:AV18)-SUM('Balance Sheet'!AU15:AU18)))</f>
        <v>0</v>
      </c>
      <c r="AW6" s="78">
        <f>(SUM('Balance Sheet'!AW41:AW41)-SUM('Balance Sheet'!AV41:AV41)+SUM('Balance Sheet'!AW32:AW37)-SUM('Balance Sheet'!AV32:AV37)+SUM('Balance Sheet'!AW39:AW40)-SUM('Balance Sheet'!AV39:AV40))-(('Balance Sheet'!AW8-'Balance Sheet'!AV8)+('Balance Sheet'!AW11-'Balance Sheet'!AV11)+(SUM('Balance Sheet'!AW15:AW18)-SUM('Balance Sheet'!AV15:AV18)))</f>
        <v>0</v>
      </c>
      <c r="AX6" s="78">
        <f>(SUM('Balance Sheet'!AX41:AX41)-SUM('Balance Sheet'!AW41:AW41)+SUM('Balance Sheet'!AX32:AX37)-SUM('Balance Sheet'!AW32:AW37)+SUM('Balance Sheet'!AX39:AX40)-SUM('Balance Sheet'!AW39:AW40))-(('Balance Sheet'!AX8-'Balance Sheet'!AW8)+('Balance Sheet'!AX11-'Balance Sheet'!AW11)+(SUM('Balance Sheet'!AX15:AX18)-SUM('Balance Sheet'!AW15:AW18)))</f>
        <v>-455663</v>
      </c>
      <c r="AY6" s="79">
        <f>(SUM('Balance Sheet'!AY41:AY41)-SUM('Balance Sheet'!AT41:AT41)+SUM('Balance Sheet'!AY32:AY37)-SUM('Balance Sheet'!AT32:AT37)+SUM('Balance Sheet'!AY39:AY40)-SUM('Balance Sheet'!AT39:AT40))-(('Balance Sheet'!AY8-'Balance Sheet'!AT8)+('Balance Sheet'!AY11-'Balance Sheet'!AT11)+(SUM('Balance Sheet'!AY15:AY18)-SUM('Balance Sheet'!AT15:AT18)))</f>
        <v>-99683.055000000022</v>
      </c>
      <c r="AZ6" s="78">
        <f>(SUM('Balance Sheet'!AZ41:AZ41)-SUM('Balance Sheet'!AY41:AY41)+SUM('Balance Sheet'!AZ32:AZ37)-SUM('Balance Sheet'!AY32:AY37)+SUM('Balance Sheet'!AZ39:AZ40)-SUM('Balance Sheet'!AY39:AY40))-(('Balance Sheet'!AZ8-'Balance Sheet'!AY8)+('Balance Sheet'!AZ11-'Balance Sheet'!AY11)+(SUM('Balance Sheet'!AZ15:AZ18)-SUM('Balance Sheet'!AY15:AY18)))</f>
        <v>455663</v>
      </c>
      <c r="BA6" s="78">
        <f>(SUM('Balance Sheet'!BA41:BA41)-SUM('Balance Sheet'!AZ41:AZ41)+SUM('Balance Sheet'!BA32:BA37)-SUM('Balance Sheet'!AZ32:AZ37)+SUM('Balance Sheet'!BA39:BA40)-SUM('Balance Sheet'!AZ39:AZ40))-(('Balance Sheet'!BA8-'Balance Sheet'!AZ8)+('Balance Sheet'!BA11-'Balance Sheet'!AZ11)+(SUM('Balance Sheet'!BA15:BA18)-SUM('Balance Sheet'!AZ15:AZ18)))</f>
        <v>0</v>
      </c>
      <c r="BB6" s="78">
        <f>(SUM('Balance Sheet'!BB41:BB41)-SUM('Balance Sheet'!BA41:BA41)+SUM('Balance Sheet'!BB32:BB37)-SUM('Balance Sheet'!BA32:BA37)+SUM('Balance Sheet'!BB39:BB40)-SUM('Balance Sheet'!BA39:BA40))-(('Balance Sheet'!BB8-'Balance Sheet'!BA8)+('Balance Sheet'!BB11-'Balance Sheet'!BA11)+(SUM('Balance Sheet'!BB15:BB18)-SUM('Balance Sheet'!BA15:BA18)))</f>
        <v>0</v>
      </c>
      <c r="BC6" s="78">
        <f>(SUM('Balance Sheet'!BC41:BC41)-SUM('Balance Sheet'!BB41:BB41)+SUM('Balance Sheet'!BC32:BC37)-SUM('Balance Sheet'!BB32:BB37)+SUM('Balance Sheet'!BC39:BC40)-SUM('Balance Sheet'!BB39:BB40))-(('Balance Sheet'!BC8-'Balance Sheet'!BB8)+('Balance Sheet'!BC11-'Balance Sheet'!BB11)+(SUM('Balance Sheet'!BC15:BC18)-SUM('Balance Sheet'!BB15:BB18)))</f>
        <v>-517431</v>
      </c>
      <c r="BD6" s="79">
        <f>(SUM('Balance Sheet'!BD41:BD41)-SUM('Balance Sheet'!AY41:AY41)+SUM('Balance Sheet'!BD32:BD37)-SUM('Balance Sheet'!AY32:AY37)+SUM('Balance Sheet'!BD39:BD40)-SUM('Balance Sheet'!AY39:AY40))-(('Balance Sheet'!BD8-'Balance Sheet'!AY8)+('Balance Sheet'!BD11-'Balance Sheet'!AY11)+(SUM('Balance Sheet'!BD15:BD18)-SUM('Balance Sheet'!AY15:AY18)))</f>
        <v>-61768</v>
      </c>
      <c r="BE6" s="78">
        <f>(SUM('Balance Sheet'!BE41:BE41)-SUM('Balance Sheet'!BD41:BD41)+SUM('Balance Sheet'!BE32:BE37)-SUM('Balance Sheet'!BD32:BD37)+SUM('Balance Sheet'!BE39:BE40)-SUM('Balance Sheet'!BD39:BD40))-(('Balance Sheet'!BE8-'Balance Sheet'!BD8)+('Balance Sheet'!BE11-'Balance Sheet'!BD11)+(SUM('Balance Sheet'!BE15:BE18)-SUM('Balance Sheet'!BD15:BD18)))</f>
        <v>517431</v>
      </c>
      <c r="BF6" s="78">
        <f>(SUM('Balance Sheet'!BF41:BF41)-SUM('Balance Sheet'!BE41:BE41)+SUM('Balance Sheet'!BF32:BF37)-SUM('Balance Sheet'!BE32:BE37)+SUM('Balance Sheet'!BF39:BF40)-SUM('Balance Sheet'!BE39:BE40))-(('Balance Sheet'!BF8-'Balance Sheet'!BE8)+('Balance Sheet'!BF11-'Balance Sheet'!BE11)+(SUM('Balance Sheet'!BF15:BF18)-SUM('Balance Sheet'!BE15:BE18)))</f>
        <v>0</v>
      </c>
      <c r="BG6" s="78">
        <f>(SUM('Balance Sheet'!BG41:BG41)-SUM('Balance Sheet'!BF41:BF41)+SUM('Balance Sheet'!BG32:BG37)-SUM('Balance Sheet'!BF32:BF37)+SUM('Balance Sheet'!BG39:BG40)-SUM('Balance Sheet'!BF39:BF40))-(('Balance Sheet'!BG8-'Balance Sheet'!BF8)+('Balance Sheet'!BG11-'Balance Sheet'!BF11)+(SUM('Balance Sheet'!BG15:BG18)-SUM('Balance Sheet'!BF15:BF18)))</f>
        <v>0</v>
      </c>
      <c r="BH6" s="78">
        <f>(SUM('Balance Sheet'!BH41:BH41)-SUM('Balance Sheet'!BG41:BG41)+SUM('Balance Sheet'!BH32:BH37)-SUM('Balance Sheet'!BG32:BG37)+SUM('Balance Sheet'!BH39:BH40)-SUM('Balance Sheet'!BG39:BG40))-(('Balance Sheet'!BH8-'Balance Sheet'!BG8)+('Balance Sheet'!BH11-'Balance Sheet'!BG11)+(SUM('Balance Sheet'!BH15:BH18)-SUM('Balance Sheet'!BG15:BG18)))</f>
        <v>-581651</v>
      </c>
      <c r="BI6" s="79">
        <f>(SUM('Balance Sheet'!BI41:BI41)-SUM('Balance Sheet'!BD41:BD41)+SUM('Balance Sheet'!BI32:BI37)-SUM('Balance Sheet'!BD32:BD37)+SUM('Balance Sheet'!BI39:BI40)-SUM('Balance Sheet'!BD39:BD40))-(('Balance Sheet'!BI8-'Balance Sheet'!BD8)+('Balance Sheet'!BI11-'Balance Sheet'!BD11)+(SUM('Balance Sheet'!BI15:BI18)-SUM('Balance Sheet'!BD15:BD18)))</f>
        <v>-64220</v>
      </c>
      <c r="BJ6" s="78">
        <f>(SUM('Balance Sheet'!BJ41:BJ41)-SUM('Balance Sheet'!BI41:BI41)+SUM('Balance Sheet'!BJ32:BJ37)-SUM('Balance Sheet'!BI32:BI37)+SUM('Balance Sheet'!BJ39:BJ40)-SUM('Balance Sheet'!BI39:BI40))-(('Balance Sheet'!BJ8-'Balance Sheet'!BI8)+('Balance Sheet'!BJ11-'Balance Sheet'!BI11)+(SUM('Balance Sheet'!BJ15:BJ18)-SUM('Balance Sheet'!BI15:BI18)))</f>
        <v>581651</v>
      </c>
      <c r="BK6" s="78">
        <f>(SUM('Balance Sheet'!BK41:BK41)-SUM('Balance Sheet'!BJ41:BJ41)+SUM('Balance Sheet'!BK32:BK37)-SUM('Balance Sheet'!BJ32:BJ37)+SUM('Balance Sheet'!BK39:BK40)-SUM('Balance Sheet'!BJ39:BJ40))-(('Balance Sheet'!BK8-'Balance Sheet'!BJ8)+('Balance Sheet'!BK11-'Balance Sheet'!BJ11)+(SUM('Balance Sheet'!BK15:BK18)-SUM('Balance Sheet'!BJ15:BJ18)))</f>
        <v>0</v>
      </c>
      <c r="BL6" s="78">
        <f>(SUM('Balance Sheet'!BL41:BL41)-SUM('Balance Sheet'!BK41:BK41)+SUM('Balance Sheet'!BL32:BL37)-SUM('Balance Sheet'!BK32:BK37)+SUM('Balance Sheet'!BL39:BL40)-SUM('Balance Sheet'!BK39:BK40))-(('Balance Sheet'!BL8-'Balance Sheet'!BK8)+('Balance Sheet'!BL11-'Balance Sheet'!BK11)+(SUM('Balance Sheet'!BL15:BL18)-SUM('Balance Sheet'!BK15:BK18)))</f>
        <v>0</v>
      </c>
      <c r="BM6" s="78">
        <f>(SUM('Balance Sheet'!BM41:BM41)-SUM('Balance Sheet'!BL41:BL41)+SUM('Balance Sheet'!BM32:BM37)-SUM('Balance Sheet'!BL32:BL37)+SUM('Balance Sheet'!BM39:BM40)-SUM('Balance Sheet'!BL39:BL40))-(('Balance Sheet'!BM8-'Balance Sheet'!BL8)+('Balance Sheet'!BM11-'Balance Sheet'!BL11)+(SUM('Balance Sheet'!BM15:BM18)-SUM('Balance Sheet'!BL15:BL18)))</f>
        <v>-547885</v>
      </c>
      <c r="BN6" s="79">
        <f>(SUM('Balance Sheet'!BN41:BN41)-SUM('Balance Sheet'!BI41:BI41)+SUM('Balance Sheet'!BN32:BN37)-SUM('Balance Sheet'!BI32:BI37)+SUM('Balance Sheet'!BN39:BN40)-SUM('Balance Sheet'!BI39:BI40))-(('Balance Sheet'!BN8-'Balance Sheet'!BI8)+('Balance Sheet'!BN11-'Balance Sheet'!BI11)+(SUM('Balance Sheet'!BN15:BN18)-SUM('Balance Sheet'!BI15:BI18)))</f>
        <v>33766</v>
      </c>
      <c r="BO6" s="78">
        <f>(SUM('Balance Sheet'!BO41:BO41)-SUM('Balance Sheet'!BN41:BN41)+SUM('Balance Sheet'!BO32:BO37)-SUM('Balance Sheet'!BN32:BN37)+SUM('Balance Sheet'!BO39:BO40)-SUM('Balance Sheet'!BN39:BN40))-(('Balance Sheet'!BO8-'Balance Sheet'!BN8)+('Balance Sheet'!BO11-'Balance Sheet'!BN11)+(SUM('Balance Sheet'!BO15:BO18)-SUM('Balance Sheet'!BN15:BN18)))</f>
        <v>547885</v>
      </c>
      <c r="BP6" s="78">
        <f>(SUM('Balance Sheet'!BP41:BP41)-SUM('Balance Sheet'!BO41:BO41)+SUM('Balance Sheet'!BP32:BP37)-SUM('Balance Sheet'!BO32:BO37)+SUM('Balance Sheet'!BP39:BP40)-SUM('Balance Sheet'!BO39:BO40))-(('Balance Sheet'!BP8-'Balance Sheet'!BO8)+('Balance Sheet'!BP11-'Balance Sheet'!BO11)+(SUM('Balance Sheet'!BP15:BP18)-SUM('Balance Sheet'!BO15:BO18)))</f>
        <v>0</v>
      </c>
      <c r="BQ6" s="78">
        <f>(SUM('Balance Sheet'!BQ41:BQ41)-SUM('Balance Sheet'!BP41:BP41)+SUM('Balance Sheet'!BQ32:BQ37)-SUM('Balance Sheet'!BP32:BP37)+SUM('Balance Sheet'!BQ39:BQ40)-SUM('Balance Sheet'!BP39:BP40))-(('Balance Sheet'!BQ8-'Balance Sheet'!BP8)+('Balance Sheet'!BQ11-'Balance Sheet'!BP11)+(SUM('Balance Sheet'!BQ15:BQ18)-SUM('Balance Sheet'!BP15:BP18)))</f>
        <v>0</v>
      </c>
      <c r="BR6" s="78">
        <f>(SUM('Balance Sheet'!BR41:BR41)-SUM('Balance Sheet'!BQ41:BQ41)+SUM('Balance Sheet'!BR32:BR37)-SUM('Balance Sheet'!BQ32:BQ37)+SUM('Balance Sheet'!BR39:BR40)-SUM('Balance Sheet'!BQ39:BQ40))-(('Balance Sheet'!BR8-'Balance Sheet'!BQ8)+('Balance Sheet'!BR11-'Balance Sheet'!BQ11)+(SUM('Balance Sheet'!BR15:BR18)-SUM('Balance Sheet'!BQ15:BQ18)))</f>
        <v>-560653</v>
      </c>
      <c r="BS6" s="79">
        <f>(SUM('Balance Sheet'!BS41:BS41)-SUM('Balance Sheet'!BN41:BN41)+SUM('Balance Sheet'!BS32:BS37)-SUM('Balance Sheet'!BN32:BN37)+SUM('Balance Sheet'!BS39:BS40)-SUM('Balance Sheet'!BN39:BN40))-(('Balance Sheet'!BS8-'Balance Sheet'!BN8)+('Balance Sheet'!BS11-'Balance Sheet'!BN11)+(SUM('Balance Sheet'!BS15:BS18)-SUM('Balance Sheet'!BN15:BN18)))</f>
        <v>-12768</v>
      </c>
      <c r="BT6" s="78">
        <f>(SUM('Balance Sheet'!BT41:BT41)-SUM('Balance Sheet'!BS41:BS41)+SUM('Balance Sheet'!BT32:BT37)-SUM('Balance Sheet'!BS32:BS37)+SUM('Balance Sheet'!BT39:BT40)-SUM('Balance Sheet'!BS39:BS40))-(('Balance Sheet'!BT8-'Balance Sheet'!BS8)+('Balance Sheet'!BT11-'Balance Sheet'!BS11)+(SUM('Balance Sheet'!BT15:BT18)-SUM('Balance Sheet'!BS15:BS18)))</f>
        <v>560653</v>
      </c>
      <c r="BU6" s="78">
        <f>(SUM('Balance Sheet'!BU41:BU41)-SUM('Balance Sheet'!BT41:BT41)+SUM('Balance Sheet'!BU32:BU37)-SUM('Balance Sheet'!BT32:BT37)+SUM('Balance Sheet'!BU39:BU40)-SUM('Balance Sheet'!BT39:BT40))-(('Balance Sheet'!BU8-'Balance Sheet'!BT8)+('Balance Sheet'!BU11-'Balance Sheet'!BT11)+(SUM('Balance Sheet'!BU15:BU18)-SUM('Balance Sheet'!BT15:BT18)))</f>
        <v>0</v>
      </c>
      <c r="BV6" s="78">
        <f>(SUM('Balance Sheet'!BV41:BV41)-SUM('Balance Sheet'!BU41:BU41)+SUM('Balance Sheet'!BV32:BV37)-SUM('Balance Sheet'!BU32:BU37)+SUM('Balance Sheet'!BV39:BV40)-SUM('Balance Sheet'!BU39:BU40))-(('Balance Sheet'!BV8-'Balance Sheet'!BU8)+('Balance Sheet'!BV11-'Balance Sheet'!BU11)+(SUM('Balance Sheet'!BV15:BV18)-SUM('Balance Sheet'!BU15:BU18)))</f>
        <v>0</v>
      </c>
      <c r="BW6" s="78">
        <f>(SUM('Balance Sheet'!BW41:BW41)-SUM('Balance Sheet'!BV41:BV41)+SUM('Balance Sheet'!BW32:BW37)-SUM('Balance Sheet'!BV32:BV37)+SUM('Balance Sheet'!BW39:BW40)-SUM('Balance Sheet'!BV39:BV40))-(('Balance Sheet'!BW8-'Balance Sheet'!BV8)+('Balance Sheet'!BW11-'Balance Sheet'!BV11)+(SUM('Balance Sheet'!BW15:BW18)-SUM('Balance Sheet'!BV15:BV18)))</f>
        <v>-483688</v>
      </c>
      <c r="BX6" s="79">
        <f>(SUM('Balance Sheet'!BX41:BX41)-SUM('Balance Sheet'!BS41:BS41)+SUM('Balance Sheet'!BX32:BX37)-SUM('Balance Sheet'!BS32:BS37)+SUM('Balance Sheet'!BX39:BX40)-SUM('Balance Sheet'!BS39:BS40))-(('Balance Sheet'!BX8-'Balance Sheet'!BS8)+('Balance Sheet'!BX11-'Balance Sheet'!BS11)+(SUM('Balance Sheet'!BX15:BX18)-SUM('Balance Sheet'!BS15:BS18)))</f>
        <v>76965</v>
      </c>
      <c r="BY6" s="78">
        <f>(SUM('Balance Sheet'!BY41:BY41)-SUM('Balance Sheet'!BX41:BX41)+SUM('Balance Sheet'!BY32:BY37)-SUM('Balance Sheet'!BX32:BX37)+SUM('Balance Sheet'!BY39:BY40)-SUM('Balance Sheet'!BX39:BX40))-(('Balance Sheet'!BY8-'Balance Sheet'!BX8)+('Balance Sheet'!BY11-'Balance Sheet'!BX11)+(SUM('Balance Sheet'!BY15:BY18)-SUM('Balance Sheet'!BX15:BX18)))</f>
        <v>483688</v>
      </c>
      <c r="BZ6" s="78">
        <f>(SUM('Balance Sheet'!BZ41:BZ41)-SUM('Balance Sheet'!BY41:BY41)+SUM('Balance Sheet'!BZ32:BZ37)-SUM('Balance Sheet'!BY32:BY37)+SUM('Balance Sheet'!BZ39:BZ40)-SUM('Balance Sheet'!BY39:BY40))-(('Balance Sheet'!BZ8-'Balance Sheet'!BY8)+('Balance Sheet'!BZ11-'Balance Sheet'!BY11)+(SUM('Balance Sheet'!BZ15:BZ18)-SUM('Balance Sheet'!BY15:BY18)))</f>
        <v>0</v>
      </c>
      <c r="CA6" s="78">
        <f>(SUM('Balance Sheet'!CA41:CA41)-SUM('Balance Sheet'!BZ41:BZ41)+SUM('Balance Sheet'!CA32:CA37)-SUM('Balance Sheet'!BZ32:BZ37)+SUM('Balance Sheet'!CA39:CA40)-SUM('Balance Sheet'!BZ39:BZ40))-(('Balance Sheet'!CA8-'Balance Sheet'!BZ8)+('Balance Sheet'!CA11-'Balance Sheet'!BZ11)+(SUM('Balance Sheet'!CA15:CA18)-SUM('Balance Sheet'!BZ15:BZ18)))</f>
        <v>0</v>
      </c>
      <c r="CB6" s="78">
        <f>(SUM('Balance Sheet'!CB41:CB41)-SUM('Balance Sheet'!CA41:CA41)+SUM('Balance Sheet'!CB32:CB37)-SUM('Balance Sheet'!CA32:CA37)+SUM('Balance Sheet'!CB39:CB40)-SUM('Balance Sheet'!CA39:CA40))-(('Balance Sheet'!CB8-'Balance Sheet'!CA8)+('Balance Sheet'!CB11-'Balance Sheet'!CA11)+(SUM('Balance Sheet'!CB15:CB18)-SUM('Balance Sheet'!CA15:CA18)))</f>
        <v>-474727</v>
      </c>
      <c r="CC6" s="79">
        <f>(SUM('Balance Sheet'!CC41:CC41)-SUM('Balance Sheet'!BX41:BX41)+SUM('Balance Sheet'!CC32:CC37)-SUM('Balance Sheet'!BX32:BX37)+SUM('Balance Sheet'!CC39:CC40)-SUM('Balance Sheet'!BX39:BX40))-(('Balance Sheet'!CC8-'Balance Sheet'!BX8)+('Balance Sheet'!CC11-'Balance Sheet'!BX11)+(SUM('Balance Sheet'!CC15:CC18)-SUM('Balance Sheet'!BX15:BX18)))</f>
        <v>8961</v>
      </c>
      <c r="CD6" s="78">
        <f>(SUM('Balance Sheet'!CD41:CD41)-SUM('Balance Sheet'!CC41:CC41)+SUM('Balance Sheet'!CD32:CD37)-SUM('Balance Sheet'!CC32:CC37)+SUM('Balance Sheet'!CD39:CD40)-SUM('Balance Sheet'!CC39:CC40))-(('Balance Sheet'!CD8-'Balance Sheet'!CC8)+('Balance Sheet'!CD11-'Balance Sheet'!CC11)+(SUM('Balance Sheet'!CD15:CD18)-SUM('Balance Sheet'!CC15:CC18)))</f>
        <v>4168</v>
      </c>
      <c r="CE6" s="78">
        <f>(SUM('Balance Sheet'!CE41:CE41)-SUM('Balance Sheet'!CD41:CD41)+SUM('Balance Sheet'!CE32:CE37)-SUM('Balance Sheet'!CD32:CD37)+SUM('Balance Sheet'!CE39:CE40)-SUM('Balance Sheet'!CD39:CD40))-(('Balance Sheet'!CE8-'Balance Sheet'!CD8)+('Balance Sheet'!CE11-'Balance Sheet'!CD11)+(SUM('Balance Sheet'!CE15:CE18)-SUM('Balance Sheet'!CD15:CD18)))</f>
        <v>28725</v>
      </c>
      <c r="CF6" s="78">
        <f>(SUM('Balance Sheet'!CF41:CF41)-SUM('Balance Sheet'!CE41:CE41)+SUM('Balance Sheet'!CF32:CF37)-SUM('Balance Sheet'!CE32:CE37)+SUM('Balance Sheet'!CF39:CF40)-SUM('Balance Sheet'!CE39:CE40))-(('Balance Sheet'!CF8-'Balance Sheet'!CE8)+('Balance Sheet'!CF11-'Balance Sheet'!CE11)+(SUM('Balance Sheet'!CF15:CF18)-SUM('Balance Sheet'!CE15:CE18)))</f>
        <v>9178</v>
      </c>
      <c r="CG6" s="78">
        <f>(SUM('Balance Sheet'!CG41:CG41)-SUM('Balance Sheet'!CF41:CF41)+SUM('Balance Sheet'!CG32:CG37)-SUM('Balance Sheet'!CF32:CF37)+SUM('Balance Sheet'!CG39:CG40)-SUM('Balance Sheet'!CF39:CF40))-(('Balance Sheet'!CG8-'Balance Sheet'!CF8)+('Balance Sheet'!CG11-'Balance Sheet'!CF11)+(SUM('Balance Sheet'!CG15:CG18)-SUM('Balance Sheet'!CF15:CF18)))</f>
        <v>-47427</v>
      </c>
      <c r="CH6" s="79">
        <f>(SUM('Balance Sheet'!CH41:CH41)-SUM('Balance Sheet'!CC41:CC41)+SUM('Balance Sheet'!CH32:CH37)-SUM('Balance Sheet'!CC32:CC37)+SUM('Balance Sheet'!CH39:CH40)-SUM('Balance Sheet'!CC39:CC40))-(('Balance Sheet'!CH8-'Balance Sheet'!CC8)+('Balance Sheet'!CH11-'Balance Sheet'!CC11)+(SUM('Balance Sheet'!CH15:CH18)-SUM('Balance Sheet'!CC15:CC18)))</f>
        <v>-5356</v>
      </c>
      <c r="CI6" s="78">
        <f>(SUM('Balance Sheet'!CI41:CI41)-SUM('Balance Sheet'!CH41:CH41)+SUM('Balance Sheet'!CI32:CI37)-SUM('Balance Sheet'!CH32:CH37)+SUM('Balance Sheet'!CI39:CI40)-SUM('Balance Sheet'!CH39:CH40))-(('Balance Sheet'!CI8-'Balance Sheet'!CH8)+('Balance Sheet'!CI11-'Balance Sheet'!CH11)+(SUM('Balance Sheet'!CI15:CI18)-SUM('Balance Sheet'!CH15:CH18)))</f>
        <v>-35541</v>
      </c>
      <c r="CJ6" s="78">
        <f>(SUM('Balance Sheet'!CJ41:CJ41)-SUM('Balance Sheet'!CI41:CI41)+SUM('Balance Sheet'!CJ32:CJ37)-SUM('Balance Sheet'!CI32:CI37)+SUM('Balance Sheet'!CJ39:CJ40)-SUM('Balance Sheet'!CI39:CI40))-(('Balance Sheet'!CJ8-'Balance Sheet'!CI8)+('Balance Sheet'!CJ11-'Balance Sheet'!CI11)+(SUM('Balance Sheet'!CJ15:CJ18)-SUM('Balance Sheet'!CI15:CI18)))</f>
        <v>-9332</v>
      </c>
      <c r="CK6" s="78">
        <f>(SUM('Balance Sheet'!CK41:CK41)-SUM('Balance Sheet'!CJ41:CJ41)+SUM('Balance Sheet'!CK32:CK37)-SUM('Balance Sheet'!CJ32:CJ37)+SUM('Balance Sheet'!CK39:CK40)-SUM('Balance Sheet'!CJ39:CJ40))-(('Balance Sheet'!CK8-'Balance Sheet'!CJ8)+('Balance Sheet'!CK11-'Balance Sheet'!CJ11)+(SUM('Balance Sheet'!CK15:CK18)-SUM('Balance Sheet'!CJ15:CJ18)))</f>
        <v>-8244</v>
      </c>
      <c r="CL6" s="78">
        <f>(SUM('Balance Sheet'!CL41:CL41)-SUM('Balance Sheet'!CK41:CK41)+SUM('Balance Sheet'!CL32:CL37)-SUM('Balance Sheet'!CK32:CK37)+SUM('Balance Sheet'!CL39:CL40)-SUM('Balance Sheet'!CK39:CK40))-(('Balance Sheet'!CL8-'Balance Sheet'!CK8)+('Balance Sheet'!CL11-'Balance Sheet'!CK11)+(SUM('Balance Sheet'!CL15:CL18)-SUM('Balance Sheet'!CK15:CK18)))</f>
        <v>49692</v>
      </c>
      <c r="CM6" s="79">
        <f>(SUM('Balance Sheet'!CM41:CM41)-SUM('Balance Sheet'!CH41:CH41)+SUM('Balance Sheet'!CM32:CM37)-SUM('Balance Sheet'!CH32:CH37)+SUM('Balance Sheet'!CM39:CM40)-SUM('Balance Sheet'!CH39:CH40))-(('Balance Sheet'!CM8-'Balance Sheet'!CH8)+('Balance Sheet'!CM11-'Balance Sheet'!CH11)+(SUM('Balance Sheet'!CM15:CM18)-SUM('Balance Sheet'!CH15:CH18)))</f>
        <v>-3425</v>
      </c>
      <c r="CN6" s="78">
        <f>(SUM('Balance Sheet'!CN41:CN41)-SUM('Balance Sheet'!CM41:CM41)+SUM('Balance Sheet'!CN32:CN37)-SUM('Balance Sheet'!CM32:CM37)+SUM('Balance Sheet'!CN39:CN40)-SUM('Balance Sheet'!CM39:CM40))-(('Balance Sheet'!CN8-'Balance Sheet'!CM8)+('Balance Sheet'!CN11-'Balance Sheet'!CM11)+(SUM('Balance Sheet'!CN15:CN18)-SUM('Balance Sheet'!CM15:CM18)))</f>
        <v>-42117</v>
      </c>
      <c r="CO6" s="78">
        <f>(SUM('Balance Sheet'!CO41:CO41)-SUM('Balance Sheet'!CN41:CN41)+SUM('Balance Sheet'!CO32:CO37)-SUM('Balance Sheet'!CN32:CN37)+SUM('Balance Sheet'!CO39:CO40)-SUM('Balance Sheet'!CN39:CN40))-(('Balance Sheet'!CO8-'Balance Sheet'!CN8)+('Balance Sheet'!CO11-'Balance Sheet'!CN11)+(SUM('Balance Sheet'!CO15:CO18)-SUM('Balance Sheet'!CN15:CN18)))</f>
        <v>-11105</v>
      </c>
      <c r="CP6" s="78">
        <f>(SUM('Balance Sheet'!CP41:CP41)-SUM('Balance Sheet'!CO41:CO41)+SUM('Balance Sheet'!CP32:CP37)-SUM('Balance Sheet'!CO32:CO37)+SUM('Balance Sheet'!CP39:CP40)-SUM('Balance Sheet'!CO39:CO40))-(('Balance Sheet'!CP8-'Balance Sheet'!CO8)+('Balance Sheet'!CP11-'Balance Sheet'!CO11)+(SUM('Balance Sheet'!CP15:CP18)-SUM('Balance Sheet'!CO15:CO18)))</f>
        <v>-25797</v>
      </c>
      <c r="CQ6" s="78">
        <f>(SUM('Balance Sheet'!CQ41:CQ41)-SUM('Balance Sheet'!CP41:CP41)+SUM('Balance Sheet'!CQ32:CQ37)-SUM('Balance Sheet'!CP32:CP37)+SUM('Balance Sheet'!CQ39:CQ40)-SUM('Balance Sheet'!CP39:CP40))-(('Balance Sheet'!CQ8-'Balance Sheet'!CP8)+('Balance Sheet'!CQ11-'Balance Sheet'!CP11)+(SUM('Balance Sheet'!CQ15:CQ18)-SUM('Balance Sheet'!CP15:CP18)))</f>
        <v>45471</v>
      </c>
      <c r="CR6" s="79">
        <f>(SUM('Balance Sheet'!CR41:CR41)-SUM('Balance Sheet'!CM41:CM41)+SUM('Balance Sheet'!CR32:CR37)-SUM('Balance Sheet'!CM32:CM37)+SUM('Balance Sheet'!CR39:CR40)-SUM('Balance Sheet'!CM39:CM40))-(('Balance Sheet'!CR8-'Balance Sheet'!CM8)+('Balance Sheet'!CR11-'Balance Sheet'!CM11)+(SUM('Balance Sheet'!CR15:CR18)-SUM('Balance Sheet'!CM15:CM18)))</f>
        <v>-33548</v>
      </c>
      <c r="CS6" s="78">
        <f>(SUM('Balance Sheet'!CS41:CS41)-SUM('Balance Sheet'!CR41:CR41)+SUM('Balance Sheet'!CS32:CS37)-SUM('Balance Sheet'!CR32:CR37)+SUM('Balance Sheet'!CS39:CS40)-SUM('Balance Sheet'!CR39:CR40))-(('Balance Sheet'!CS8-'Balance Sheet'!CR8)+('Balance Sheet'!CS11-'Balance Sheet'!CR11)+(SUM('Balance Sheet'!CS15:CS18)-SUM('Balance Sheet'!CR15:CR18)))</f>
        <v>-78707</v>
      </c>
      <c r="CT6" s="78">
        <f>(SUM('Balance Sheet'!CT41:CT41)-SUM('Balance Sheet'!CS41:CS41)+SUM('Balance Sheet'!CT32:CT37)-SUM('Balance Sheet'!CS32:CS37)+SUM('Balance Sheet'!CT39:CT40)-SUM('Balance Sheet'!CS39:CS40))-(('Balance Sheet'!CT8-'Balance Sheet'!CS8)+('Balance Sheet'!CT11-'Balance Sheet'!CS11)+(SUM('Balance Sheet'!CT15:CT18)-SUM('Balance Sheet'!CS15:CS18)))</f>
        <v>-26526</v>
      </c>
      <c r="CU6" s="78">
        <f>(SUM('Balance Sheet'!CU41:CU41)-SUM('Balance Sheet'!CT41:CT41)+SUM('Balance Sheet'!CU32:CU37)-SUM('Balance Sheet'!CT32:CT37)+SUM('Balance Sheet'!CU39:CU40)-SUM('Balance Sheet'!CT39:CT40))-(('Balance Sheet'!CU8-'Balance Sheet'!CT8)+('Balance Sheet'!CU11-'Balance Sheet'!CT11)+(SUM('Balance Sheet'!CU15:CU18)-SUM('Balance Sheet'!CT15:CT18)))</f>
        <v>19594</v>
      </c>
      <c r="CV6" s="78">
        <f>(SUM('Balance Sheet'!CV41:CV41)-SUM('Balance Sheet'!CU41:CU41)+SUM('Balance Sheet'!CV32:CV37)-SUM('Balance Sheet'!CU32:CU37)+SUM('Balance Sheet'!CV39:CV40)-SUM('Balance Sheet'!CU39:CU40))-(('Balance Sheet'!CV8-'Balance Sheet'!CU8)+('Balance Sheet'!CV11-'Balance Sheet'!CU11)+(SUM('Balance Sheet'!CV15:CV18)-SUM('Balance Sheet'!CU15:CU18)))</f>
        <v>22285</v>
      </c>
      <c r="CW6" s="79">
        <f>(SUM('Balance Sheet'!CW41:CW41)-SUM('Balance Sheet'!CR41:CR41)+SUM('Balance Sheet'!CW32:CW37)-SUM('Balance Sheet'!CR32:CR37)+SUM('Balance Sheet'!CW39:CW40)-SUM('Balance Sheet'!CR39:CR40))-(('Balance Sheet'!CW8-'Balance Sheet'!CR8)+('Balance Sheet'!CW11-'Balance Sheet'!CR11)+(SUM('Balance Sheet'!CW15:CW18)-SUM('Balance Sheet'!CR15:CR18)))</f>
        <v>-63354</v>
      </c>
      <c r="CX6" s="78">
        <f>(SUM('Balance Sheet'!CX41:CX41)-SUM('Balance Sheet'!CW41:CW41)+SUM('Balance Sheet'!CX32:CX37)-SUM('Balance Sheet'!CW32:CW37)+SUM('Balance Sheet'!CX39:CX40)-SUM('Balance Sheet'!CW39:CW40))-(('Balance Sheet'!CX8-'Balance Sheet'!CW8)+('Balance Sheet'!CX11-'Balance Sheet'!CW11)+(SUM('Balance Sheet'!CX15:CX18)-SUM('Balance Sheet'!CW15:CW18)))</f>
        <v>-124504</v>
      </c>
      <c r="CY6" s="78">
        <f>(SUM('Balance Sheet'!CY41:CY41)-SUM('Balance Sheet'!CX41:CX41)+SUM('Balance Sheet'!CY32:CY37)-SUM('Balance Sheet'!CX32:CX37)+SUM('Balance Sheet'!CY39:CY40)-SUM('Balance Sheet'!CX39:CX40))-(('Balance Sheet'!CY8-'Balance Sheet'!CX8)+('Balance Sheet'!CY11-'Balance Sheet'!CX11)+(SUM('Balance Sheet'!CY15:CY18)-SUM('Balance Sheet'!CX15:CX18)))</f>
        <v>-33036</v>
      </c>
      <c r="CZ6" s="78">
        <f>(SUM('Balance Sheet'!CZ41:CZ41)-SUM('Balance Sheet'!CY41:CY41)+SUM('Balance Sheet'!CZ32:CZ37)-SUM('Balance Sheet'!CY32:CY37)+SUM('Balance Sheet'!CZ39:CZ40)-SUM('Balance Sheet'!CY39:CY40))-(('Balance Sheet'!CZ8-'Balance Sheet'!CY8)+('Balance Sheet'!CZ11-'Balance Sheet'!CY11)+(SUM('Balance Sheet'!CZ15:CZ18)-SUM('Balance Sheet'!CY15:CY18)))</f>
        <v>-71601</v>
      </c>
      <c r="DA6" s="78">
        <f>(SUM('Balance Sheet'!DA41:DA41)-SUM('Balance Sheet'!CZ41:CZ41)+SUM('Balance Sheet'!DA32:DA37)-SUM('Balance Sheet'!CZ32:CZ37)+SUM('Balance Sheet'!DA39:DA40)-SUM('Balance Sheet'!CZ39:CZ40))-(('Balance Sheet'!DA8-'Balance Sheet'!CZ8)+('Balance Sheet'!DA11-'Balance Sheet'!CZ11)+(SUM('Balance Sheet'!DA15:DA18)-SUM('Balance Sheet'!CZ15:CZ18)))</f>
        <v>-20816</v>
      </c>
      <c r="DB6" s="79">
        <f>(SUM('Balance Sheet'!DB41:DB41)-SUM('Balance Sheet'!CW41:CW41)+SUM('Balance Sheet'!DB32:DB37)-SUM('Balance Sheet'!CW32:CW37)+SUM('Balance Sheet'!DB39:DB40)-SUM('Balance Sheet'!CW39:CW40))-(('Balance Sheet'!DB8-'Balance Sheet'!CW8)+('Balance Sheet'!DB11-'Balance Sheet'!CW11)+(SUM('Balance Sheet'!DB15:DB18)-SUM('Balance Sheet'!CW15:CW18)))</f>
        <v>-249957</v>
      </c>
      <c r="DC6" s="78">
        <f>(SUM('Balance Sheet'!DC41:DC41)-SUM('Balance Sheet'!DB41:DB41)+SUM('Balance Sheet'!DC32:DC37)-SUM('Balance Sheet'!DB32:DB37)+SUM('Balance Sheet'!DC39:DC40)-SUM('Balance Sheet'!DB39:DB40))-(('Balance Sheet'!DC8-'Balance Sheet'!DB8)+('Balance Sheet'!DC11-'Balance Sheet'!DB11)+(SUM('Balance Sheet'!DC15:DC18)-SUM('Balance Sheet'!DB15:DB18)))</f>
        <v>-226439</v>
      </c>
      <c r="DD6" s="78">
        <f>(SUM('Balance Sheet'!DD41:DD41)-SUM('Balance Sheet'!DC41:DC41)+SUM('Balance Sheet'!DD32:DD37)-SUM('Balance Sheet'!DC32:DC37)+SUM('Balance Sheet'!DD39:DD40)-SUM('Balance Sheet'!DC39:DC40))-(('Balance Sheet'!DD8-'Balance Sheet'!DC8)+('Balance Sheet'!DD11-'Balance Sheet'!DC11)+(SUM('Balance Sheet'!DD15:DD18)-SUM('Balance Sheet'!DC15:DC18)))</f>
        <v>-193158</v>
      </c>
      <c r="DE6" s="78">
        <f>(SUM('Balance Sheet'!DE41:DE41)-SUM('Balance Sheet'!DD41:DD41)+SUM('Balance Sheet'!DE32:DE37)-SUM('Balance Sheet'!DD32:DD37)+SUM('Balance Sheet'!DE39:DE40)-SUM('Balance Sheet'!DD39:DD40))-(('Balance Sheet'!DE8-'Balance Sheet'!DD8)+('Balance Sheet'!DE11-'Balance Sheet'!DD11)+(SUM('Balance Sheet'!DE15:DE18)-SUM('Balance Sheet'!DD15:DD18)))</f>
        <v>-47896</v>
      </c>
      <c r="DF6" s="78">
        <f>(SUM('Balance Sheet'!DF41:DF41)-SUM('Balance Sheet'!DE41:DE41)+SUM('Balance Sheet'!DF32:DF37)-SUM('Balance Sheet'!DE32:DE37)+SUM('Balance Sheet'!DF39:DF40)-SUM('Balance Sheet'!DE39:DE40))-(('Balance Sheet'!DF8-'Balance Sheet'!DE8)+('Balance Sheet'!DF11-'Balance Sheet'!DE11)+(SUM('Balance Sheet'!DF15:DF18)-SUM('Balance Sheet'!DE15:DE18)))</f>
        <v>46273</v>
      </c>
      <c r="DG6" s="79">
        <f>(SUM('Balance Sheet'!DG41:DG41)-SUM('Balance Sheet'!DB41:DB41)+SUM('Balance Sheet'!DG32:DG37)-SUM('Balance Sheet'!DB32:DB37)+SUM('Balance Sheet'!DG39:DG40)-SUM('Balance Sheet'!DB39:DB40))-(('Balance Sheet'!DG8-'Balance Sheet'!DB8)+('Balance Sheet'!DG11-'Balance Sheet'!DB11)+(SUM('Balance Sheet'!DG15:DG18)-SUM('Balance Sheet'!DB15:DB18)))</f>
        <v>-421220</v>
      </c>
      <c r="DH6" s="78">
        <f>(SUM('Balance Sheet'!DH41:DH41)-SUM('Balance Sheet'!DG41:DG41)+SUM('Balance Sheet'!DH32:DH37)-SUM('Balance Sheet'!DG32:DG37)+SUM('Balance Sheet'!DH39:DH40)-SUM('Balance Sheet'!DG39:DG40))-(('Balance Sheet'!DH8-'Balance Sheet'!DG8)+('Balance Sheet'!DH11-'Balance Sheet'!DG11)+(SUM('Balance Sheet'!DH15:DH18)-SUM('Balance Sheet'!DG15:DG18)))</f>
        <v>-271494</v>
      </c>
      <c r="DI6" s="78">
        <f>(SUM('Balance Sheet'!DI41:DI41)-SUM('Balance Sheet'!DH41:DH41)+SUM('Balance Sheet'!DI32:DI37)-SUM('Balance Sheet'!DH32:DH37)+SUM('Balance Sheet'!DI39:DI40)-SUM('Balance Sheet'!DH39:DH40))-(('Balance Sheet'!DI8-'Balance Sheet'!DH8)+('Balance Sheet'!DI11-'Balance Sheet'!DH11)+(SUM('Balance Sheet'!DI15:DI18)-SUM('Balance Sheet'!DH15:DH18)))</f>
        <v>-165305</v>
      </c>
      <c r="DJ6" s="78">
        <f>(SUM('Balance Sheet'!DJ41:DJ41)-SUM('Balance Sheet'!DI41:DI41)+SUM('Balance Sheet'!DJ32:DJ37)-SUM('Balance Sheet'!DI32:DI37)+SUM('Balance Sheet'!DJ39:DJ40)-SUM('Balance Sheet'!DI39:DI40))-(('Balance Sheet'!DJ8-'Balance Sheet'!DI8)+('Balance Sheet'!DJ11-'Balance Sheet'!DI11)+(SUM('Balance Sheet'!DJ15:DJ18)-SUM('Balance Sheet'!DI15:DI18)))</f>
        <v>-103550.3559480377</v>
      </c>
      <c r="DK6" s="78">
        <f>(SUM('Balance Sheet'!DK41:DK41)-SUM('Balance Sheet'!DJ41:DJ41)+SUM('Balance Sheet'!DK32:DK37)-SUM('Balance Sheet'!DJ32:DJ37)+SUM('Balance Sheet'!DK39:DK40)-SUM('Balance Sheet'!DJ39:DJ40))-(('Balance Sheet'!DK8-'Balance Sheet'!DJ8)+('Balance Sheet'!DK11-'Balance Sheet'!DJ11)+(SUM('Balance Sheet'!DK15:DK18)-SUM('Balance Sheet'!DJ15:DJ18)))</f>
        <v>-99680.159710326901</v>
      </c>
      <c r="DL6" s="79">
        <f>(SUM('Balance Sheet'!DL41:DL41)-SUM('Balance Sheet'!DG41:DG41)+SUM('Balance Sheet'!DL32:DL37)-SUM('Balance Sheet'!DG32:DG37)+SUM('Balance Sheet'!DL39:DL40)-SUM('Balance Sheet'!DG39:DG40))-(('Balance Sheet'!DL8-'Balance Sheet'!DG8)+('Balance Sheet'!DL11-'Balance Sheet'!DG11)+(SUM('Balance Sheet'!DL15:DL18)-SUM('Balance Sheet'!DG15:DG18)))</f>
        <v>-640029.51565836463</v>
      </c>
      <c r="DM6" s="78">
        <f>(SUM('Balance Sheet'!DM41:DM41)-SUM('Balance Sheet'!DL41:DL41)+SUM('Balance Sheet'!DM32:DM37)-SUM('Balance Sheet'!DL32:DL37)+SUM('Balance Sheet'!DM39:DM40)-SUM('Balance Sheet'!DL39:DL40))-(('Balance Sheet'!DM8-'Balance Sheet'!DL8)+('Balance Sheet'!DM11-'Balance Sheet'!DL11)+(SUM('Balance Sheet'!DM15:DM18)-SUM('Balance Sheet'!DL15:DL18)))</f>
        <v>114406.91577442831</v>
      </c>
      <c r="DN6" s="78">
        <f>(SUM('Balance Sheet'!DN41:DN41)-SUM('Balance Sheet'!DM41:DM41)+SUM('Balance Sheet'!DN32:DN37)-SUM('Balance Sheet'!DM32:DM37)+SUM('Balance Sheet'!DN39:DN40)-SUM('Balance Sheet'!DM39:DM40))-(('Balance Sheet'!DN8-'Balance Sheet'!DM8)+('Balance Sheet'!DN11-'Balance Sheet'!DM11)+(SUM('Balance Sheet'!DN15:DN18)-SUM('Balance Sheet'!DM15:DM18)))</f>
        <v>-81142.504995476222</v>
      </c>
      <c r="DO6" s="78">
        <f>(SUM('Balance Sheet'!DO41:DO41)-SUM('Balance Sheet'!DN41:DN41)+SUM('Balance Sheet'!DO32:DO37)-SUM('Balance Sheet'!DN32:DN37)+SUM('Balance Sheet'!DO39:DO40)-SUM('Balance Sheet'!DN39:DN40))-(('Balance Sheet'!DO8-'Balance Sheet'!DN8)+('Balance Sheet'!DO11-'Balance Sheet'!DN11)+(SUM('Balance Sheet'!DO15:DO18)-SUM('Balance Sheet'!DN15:DN18)))</f>
        <v>-72723.280872598523</v>
      </c>
      <c r="DP6" s="78">
        <f>(SUM('Balance Sheet'!DP41:DP41)-SUM('Balance Sheet'!DO41:DO41)+SUM('Balance Sheet'!DP32:DP37)-SUM('Balance Sheet'!DO32:DO37)+SUM('Balance Sheet'!DP39:DP40)-SUM('Balance Sheet'!DO39:DO40))-(('Balance Sheet'!DP8-'Balance Sheet'!DO8)+('Balance Sheet'!DP11-'Balance Sheet'!DO11)+(SUM('Balance Sheet'!DP15:DP18)-SUM('Balance Sheet'!DO15:DO18)))</f>
        <v>-74497.705347934185</v>
      </c>
      <c r="DQ6" s="79">
        <f>(SUM('Balance Sheet'!DQ41:DQ41)-SUM('Balance Sheet'!DL41:DL41)+SUM('Balance Sheet'!DQ32:DQ37)-SUM('Balance Sheet'!DL32:DL37)+SUM('Balance Sheet'!DQ39:DQ40)-SUM('Balance Sheet'!DL39:DL40))-(('Balance Sheet'!DQ8-'Balance Sheet'!DL8)+('Balance Sheet'!DQ11-'Balance Sheet'!DL11)+(SUM('Balance Sheet'!DQ15:DQ18)-SUM('Balance Sheet'!DL15:DL18)))</f>
        <v>-113956.57544158067</v>
      </c>
      <c r="DR6" s="78">
        <f>(SUM('Balance Sheet'!DR41:DR41)-SUM('Balance Sheet'!DQ41:DQ41)+SUM('Balance Sheet'!DR32:DR37)-SUM('Balance Sheet'!DQ32:DQ37)+SUM('Balance Sheet'!DR39:DR40)-SUM('Balance Sheet'!DQ39:DQ40))-(('Balance Sheet'!DR8-'Balance Sheet'!DQ8)+('Balance Sheet'!DR11-'Balance Sheet'!DQ11)+(SUM('Balance Sheet'!DR15:DR18)-SUM('Balance Sheet'!DQ15:DQ18)))</f>
        <v>-65523.43233578623</v>
      </c>
      <c r="DS6" s="78">
        <f>(SUM('Balance Sheet'!DS41:DS41)-SUM('Balance Sheet'!DR41:DR41)+SUM('Balance Sheet'!DS32:DS37)-SUM('Balance Sheet'!DR32:DR37)+SUM('Balance Sheet'!DS39:DS40)-SUM('Balance Sheet'!DR39:DR40))-(('Balance Sheet'!DS8-'Balance Sheet'!DR8)+('Balance Sheet'!DS11-'Balance Sheet'!DR11)+(SUM('Balance Sheet'!DS15:DS18)-SUM('Balance Sheet'!DR15:DR18)))</f>
        <v>-66754.486298510339</v>
      </c>
      <c r="DT6" s="78">
        <f>(SUM('Balance Sheet'!DT41:DT41)-SUM('Balance Sheet'!DS41:DS41)+SUM('Balance Sheet'!DT32:DT37)-SUM('Balance Sheet'!DS32:DS37)+SUM('Balance Sheet'!DT39:DT40)-SUM('Balance Sheet'!DS39:DS40))-(('Balance Sheet'!DT8-'Balance Sheet'!DS8)+('Balance Sheet'!DT11-'Balance Sheet'!DS11)+(SUM('Balance Sheet'!DT15:DT18)-SUM('Balance Sheet'!DS15:DS18)))</f>
        <v>-62078.654538721399</v>
      </c>
      <c r="DU6" s="78">
        <f>(SUM('Balance Sheet'!DU41:DU41)-SUM('Balance Sheet'!DT41:DT41)+SUM('Balance Sheet'!DU32:DU37)-SUM('Balance Sheet'!DT32:DT37)+SUM('Balance Sheet'!DU39:DU40)-SUM('Balance Sheet'!DT39:DT40))-(('Balance Sheet'!DU8-'Balance Sheet'!DT8)+('Balance Sheet'!DU11-'Balance Sheet'!DT11)+(SUM('Balance Sheet'!DU15:DU18)-SUM('Balance Sheet'!DT15:DT18)))</f>
        <v>-60559.979206942837</v>
      </c>
      <c r="DV6" s="79">
        <f>(SUM('Balance Sheet'!DV41:DV41)-SUM('Balance Sheet'!DQ41:DQ41)+SUM('Balance Sheet'!DV32:DV37)-SUM('Balance Sheet'!DQ32:DQ37)+SUM('Balance Sheet'!DV39:DV40)-SUM('Balance Sheet'!DQ39:DQ40))-(('Balance Sheet'!DV8-'Balance Sheet'!DQ8)+('Balance Sheet'!DV11-'Balance Sheet'!DQ11)+(SUM('Balance Sheet'!DV15:DV18)-SUM('Balance Sheet'!DQ15:DQ18)))</f>
        <v>-254916.55237996081</v>
      </c>
      <c r="DW6" s="78">
        <f>(SUM('Balance Sheet'!DW41:DW41)-SUM('Balance Sheet'!DV41:DV41)+SUM('Balance Sheet'!DW32:DW37)-SUM('Balance Sheet'!DV32:DV37)+SUM('Balance Sheet'!DW39:DW40)-SUM('Balance Sheet'!DV39:DV40))-(('Balance Sheet'!DW8-'Balance Sheet'!DV8)+('Balance Sheet'!DW11-'Balance Sheet'!DV11)+(SUM('Balance Sheet'!DW15:DW18)-SUM('Balance Sheet'!DV15:DV18)))</f>
        <v>-59051.684521738847</v>
      </c>
      <c r="DX6" s="78">
        <f>(SUM('Balance Sheet'!DX41:DX41)-SUM('Balance Sheet'!DW41:DW41)+SUM('Balance Sheet'!DX32:DX37)-SUM('Balance Sheet'!DW32:DW37)+SUM('Balance Sheet'!DX39:DX40)-SUM('Balance Sheet'!DW39:DW40))-(('Balance Sheet'!DX8-'Balance Sheet'!DW8)+('Balance Sheet'!DX11-'Balance Sheet'!DW11)+(SUM('Balance Sheet'!DX15:DX18)-SUM('Balance Sheet'!DW15:DW18)))</f>
        <v>-58480.741569026315</v>
      </c>
      <c r="DY6" s="78">
        <f>(SUM('Balance Sheet'!DY41:DY41)-SUM('Balance Sheet'!DX41:DX41)+SUM('Balance Sheet'!DY32:DY37)-SUM('Balance Sheet'!DX32:DX37)+SUM('Balance Sheet'!DY39:DY40)-SUM('Balance Sheet'!DX39:DX40))-(('Balance Sheet'!DY8-'Balance Sheet'!DX8)+('Balance Sheet'!DY11-'Balance Sheet'!DX11)+(SUM('Balance Sheet'!DY15:DY18)-SUM('Balance Sheet'!DX15:DX18)))</f>
        <v>-57128.800229131943</v>
      </c>
      <c r="DZ6" s="78">
        <f>(SUM('Balance Sheet'!DZ41:DZ41)-SUM('Balance Sheet'!DY41:DY41)+SUM('Balance Sheet'!DZ32:DZ37)-SUM('Balance Sheet'!DY32:DY37)+SUM('Balance Sheet'!DZ39:DZ40)-SUM('Balance Sheet'!DY39:DY40))-(('Balance Sheet'!DZ8-'Balance Sheet'!DY8)+('Balance Sheet'!DZ11-'Balance Sheet'!DY11)+(SUM('Balance Sheet'!DZ15:DZ18)-SUM('Balance Sheet'!DY15:DY18)))</f>
        <v>-55757.405180591944</v>
      </c>
      <c r="EA6" s="79">
        <f>(SUM('Balance Sheet'!EA41:EA41)-SUM('Balance Sheet'!DV41:DV41)+SUM('Balance Sheet'!EA32:EA37)-SUM('Balance Sheet'!DV32:DV37)+SUM('Balance Sheet'!EA39:EA40)-SUM('Balance Sheet'!DV39:DV40))-(('Balance Sheet'!EA8-'Balance Sheet'!DV8)+('Balance Sheet'!EA11-'Balance Sheet'!DV11)+(SUM('Balance Sheet'!EA15:EA18)-SUM('Balance Sheet'!DV15:DV18)))</f>
        <v>-230418.63150048902</v>
      </c>
      <c r="EB6" s="78">
        <f>(SUM('Balance Sheet'!EB41:EB41)-SUM('Balance Sheet'!EA41:EA41)+SUM('Balance Sheet'!EB32:EB37)-SUM('Balance Sheet'!EA32:EA37)+SUM('Balance Sheet'!EB39:EB40)-SUM('Balance Sheet'!EA39:EA40))-(('Balance Sheet'!EB8-'Balance Sheet'!EA8)+('Balance Sheet'!EB11-'Balance Sheet'!EA11)+(SUM('Balance Sheet'!EB15:EB18)-SUM('Balance Sheet'!EA15:EA18)))</f>
        <v>-54710.235548170313</v>
      </c>
      <c r="EC6" s="78">
        <f>(SUM('Balance Sheet'!EC41:EC41)-SUM('Balance Sheet'!EB41:EB41)+SUM('Balance Sheet'!EC32:EC37)-SUM('Balance Sheet'!EB32:EB37)+SUM('Balance Sheet'!EC39:EC40)-SUM('Balance Sheet'!EB39:EB40))-(('Balance Sheet'!EC8-'Balance Sheet'!EB8)+('Balance Sheet'!EC11-'Balance Sheet'!EB11)+(SUM('Balance Sheet'!EC15:EC18)-SUM('Balance Sheet'!EB15:EB18)))</f>
        <v>-58567.402552315587</v>
      </c>
      <c r="ED6" s="78">
        <f>(SUM('Balance Sheet'!ED41:ED41)-SUM('Balance Sheet'!EC41:EC41)+SUM('Balance Sheet'!ED32:ED37)-SUM('Balance Sheet'!EC32:EC37)+SUM('Balance Sheet'!ED39:ED40)-SUM('Balance Sheet'!EC39:EC40))-(('Balance Sheet'!ED8-'Balance Sheet'!EC8)+('Balance Sheet'!ED11-'Balance Sheet'!EC11)+(SUM('Balance Sheet'!ED15:ED18)-SUM('Balance Sheet'!EC15:EC18)))</f>
        <v>-62613.033598207403</v>
      </c>
      <c r="EE6" s="78">
        <f>(SUM('Balance Sheet'!EE41:EE41)-SUM('Balance Sheet'!ED41:ED41)+SUM('Balance Sheet'!EE32:EE37)-SUM('Balance Sheet'!ED32:ED37)+SUM('Balance Sheet'!EE39:EE40)-SUM('Balance Sheet'!ED39:ED40))-(('Balance Sheet'!EE8-'Balance Sheet'!ED8)+('Balance Sheet'!EE11-'Balance Sheet'!ED11)+(SUM('Balance Sheet'!EE15:EE18)-SUM('Balance Sheet'!ED15:ED18)))</f>
        <v>-66666.311119234102</v>
      </c>
      <c r="EF6" s="79">
        <f>(SUM('Balance Sheet'!EF41:EF41)-SUM('Balance Sheet'!EA41:EA41)+SUM('Balance Sheet'!EF32:EF37)-SUM('Balance Sheet'!EA32:EA37)+SUM('Balance Sheet'!EF39:EF40)-SUM('Balance Sheet'!EA39:EA40))-(('Balance Sheet'!EF8-'Balance Sheet'!EA8)+('Balance Sheet'!EF11-'Balance Sheet'!EA11)+(SUM('Balance Sheet'!EF15:EF18)-SUM('Balance Sheet'!EA15:EA18)))</f>
        <v>-242556.9828179274</v>
      </c>
    </row>
    <row r="7" spans="1:136" ht="12" customHeight="1">
      <c r="A7" s="3" t="s">
        <v>145</v>
      </c>
      <c r="B7" s="80" t="e">
        <f t="shared" ref="B7:K7" si="0">SUM(B4:B6)</f>
        <v>#VALUE!</v>
      </c>
      <c r="C7" s="80">
        <f t="shared" si="0"/>
        <v>0</v>
      </c>
      <c r="D7" s="80">
        <f t="shared" si="0"/>
        <v>0</v>
      </c>
      <c r="E7" s="80">
        <f t="shared" si="0"/>
        <v>0</v>
      </c>
      <c r="F7" s="81" t="e">
        <f t="shared" si="0"/>
        <v>#VALUE!</v>
      </c>
      <c r="G7" s="80">
        <f t="shared" si="0"/>
        <v>0</v>
      </c>
      <c r="H7" s="80">
        <f t="shared" si="0"/>
        <v>0</v>
      </c>
      <c r="I7" s="80">
        <f t="shared" si="0"/>
        <v>0</v>
      </c>
      <c r="J7" s="80">
        <f t="shared" si="0"/>
        <v>0</v>
      </c>
      <c r="K7" s="81">
        <f t="shared" si="0"/>
        <v>0</v>
      </c>
      <c r="L7" s="80">
        <f t="shared" ref="L7:BW7" si="1">SUM(L4:L6)</f>
        <v>0</v>
      </c>
      <c r="M7" s="80">
        <f t="shared" si="1"/>
        <v>0</v>
      </c>
      <c r="N7" s="80">
        <f t="shared" si="1"/>
        <v>0</v>
      </c>
      <c r="O7" s="80">
        <f t="shared" si="1"/>
        <v>0</v>
      </c>
      <c r="P7" s="81">
        <f t="shared" si="1"/>
        <v>0</v>
      </c>
      <c r="Q7" s="80">
        <f t="shared" si="1"/>
        <v>0</v>
      </c>
      <c r="R7" s="80">
        <f t="shared" si="1"/>
        <v>0</v>
      </c>
      <c r="S7" s="80">
        <f t="shared" si="1"/>
        <v>0</v>
      </c>
      <c r="T7" s="80">
        <f t="shared" si="1"/>
        <v>0</v>
      </c>
      <c r="U7" s="81">
        <f t="shared" si="1"/>
        <v>0</v>
      </c>
      <c r="V7" s="80">
        <f t="shared" si="1"/>
        <v>0</v>
      </c>
      <c r="W7" s="80">
        <f t="shared" si="1"/>
        <v>0</v>
      </c>
      <c r="X7" s="80">
        <f t="shared" si="1"/>
        <v>0</v>
      </c>
      <c r="Y7" s="80">
        <f t="shared" si="1"/>
        <v>0</v>
      </c>
      <c r="Z7" s="81">
        <f t="shared" si="1"/>
        <v>0</v>
      </c>
      <c r="AA7" s="80">
        <f t="shared" si="1"/>
        <v>0</v>
      </c>
      <c r="AB7" s="80">
        <f t="shared" si="1"/>
        <v>0</v>
      </c>
      <c r="AC7" s="80">
        <f t="shared" si="1"/>
        <v>0</v>
      </c>
      <c r="AD7" s="80">
        <f t="shared" si="1"/>
        <v>0</v>
      </c>
      <c r="AE7" s="81">
        <f t="shared" si="1"/>
        <v>0</v>
      </c>
      <c r="AF7" s="80">
        <f t="shared" si="1"/>
        <v>0</v>
      </c>
      <c r="AG7" s="80">
        <f t="shared" si="1"/>
        <v>0</v>
      </c>
      <c r="AH7" s="80">
        <f t="shared" si="1"/>
        <v>0</v>
      </c>
      <c r="AI7" s="80">
        <f t="shared" si="1"/>
        <v>-137877.53999999998</v>
      </c>
      <c r="AJ7" s="81">
        <f t="shared" si="1"/>
        <v>-137877.53999999998</v>
      </c>
      <c r="AK7" s="80">
        <f t="shared" si="1"/>
        <v>189975.307</v>
      </c>
      <c r="AL7" s="80">
        <f t="shared" si="1"/>
        <v>0</v>
      </c>
      <c r="AM7" s="80">
        <f>SUM(AM4:AM6)</f>
        <v>0</v>
      </c>
      <c r="AN7" s="80">
        <f t="shared" si="1"/>
        <v>-213236.66700000004</v>
      </c>
      <c r="AO7" s="81">
        <f t="shared" si="1"/>
        <v>-23261.36000000003</v>
      </c>
      <c r="AP7" s="80">
        <f t="shared" si="1"/>
        <v>303239.54000000004</v>
      </c>
      <c r="AQ7" s="80">
        <f t="shared" si="1"/>
        <v>0</v>
      </c>
      <c r="AR7" s="80">
        <f t="shared" si="1"/>
        <v>0</v>
      </c>
      <c r="AS7" s="275">
        <f t="shared" si="1"/>
        <v>-275898.75799999991</v>
      </c>
      <c r="AT7" s="81">
        <f t="shared" si="1"/>
        <v>27340.782000000079</v>
      </c>
      <c r="AU7" s="80">
        <f t="shared" si="1"/>
        <v>355979.94499999989</v>
      </c>
      <c r="AV7" s="80">
        <f t="shared" si="1"/>
        <v>0</v>
      </c>
      <c r="AW7" s="80">
        <f t="shared" si="1"/>
        <v>0</v>
      </c>
      <c r="AX7" s="80">
        <f t="shared" si="1"/>
        <v>-350582.74900000007</v>
      </c>
      <c r="AY7" s="81">
        <f t="shared" si="1"/>
        <v>5397.1959999999381</v>
      </c>
      <c r="AZ7" s="80">
        <f t="shared" si="1"/>
        <v>455663</v>
      </c>
      <c r="BA7" s="80">
        <f t="shared" si="1"/>
        <v>0</v>
      </c>
      <c r="BB7" s="80">
        <f t="shared" si="1"/>
        <v>0</v>
      </c>
      <c r="BC7" s="80">
        <f t="shared" si="1"/>
        <v>-377958</v>
      </c>
      <c r="BD7" s="81">
        <f t="shared" si="1"/>
        <v>77705</v>
      </c>
      <c r="BE7" s="80">
        <f t="shared" si="1"/>
        <v>517431</v>
      </c>
      <c r="BF7" s="80">
        <f t="shared" si="1"/>
        <v>0</v>
      </c>
      <c r="BG7" s="80">
        <f t="shared" si="1"/>
        <v>0</v>
      </c>
      <c r="BH7" s="80">
        <f t="shared" si="1"/>
        <v>-447175</v>
      </c>
      <c r="BI7" s="81">
        <f t="shared" si="1"/>
        <v>70256</v>
      </c>
      <c r="BJ7" s="80">
        <f t="shared" si="1"/>
        <v>581651</v>
      </c>
      <c r="BK7" s="80">
        <f t="shared" si="1"/>
        <v>0</v>
      </c>
      <c r="BL7" s="80">
        <f t="shared" si="1"/>
        <v>0</v>
      </c>
      <c r="BM7" s="80">
        <f t="shared" si="1"/>
        <v>-451125</v>
      </c>
      <c r="BN7" s="81">
        <f t="shared" si="1"/>
        <v>130526</v>
      </c>
      <c r="BO7" s="80">
        <f t="shared" si="1"/>
        <v>547885</v>
      </c>
      <c r="BP7" s="80">
        <f t="shared" si="1"/>
        <v>0</v>
      </c>
      <c r="BQ7" s="80">
        <f t="shared" si="1"/>
        <v>0</v>
      </c>
      <c r="BR7" s="80">
        <f t="shared" si="1"/>
        <v>-440348</v>
      </c>
      <c r="BS7" s="81">
        <f t="shared" si="1"/>
        <v>107537</v>
      </c>
      <c r="BT7" s="80">
        <f t="shared" si="1"/>
        <v>560653</v>
      </c>
      <c r="BU7" s="80">
        <f t="shared" si="1"/>
        <v>0</v>
      </c>
      <c r="BV7" s="80">
        <f t="shared" si="1"/>
        <v>0</v>
      </c>
      <c r="BW7" s="80">
        <f t="shared" si="1"/>
        <v>-348971</v>
      </c>
      <c r="BX7" s="81">
        <f t="shared" ref="BX7:CC7" si="2">SUM(BX4:BX6)</f>
        <v>211682</v>
      </c>
      <c r="BY7" s="80">
        <f t="shared" si="2"/>
        <v>503918</v>
      </c>
      <c r="BZ7" s="80">
        <f t="shared" si="2"/>
        <v>61252</v>
      </c>
      <c r="CA7" s="80">
        <f t="shared" si="2"/>
        <v>30707</v>
      </c>
      <c r="CB7" s="80">
        <f t="shared" si="2"/>
        <v>-425633</v>
      </c>
      <c r="CC7" s="81">
        <f t="shared" si="2"/>
        <v>170244</v>
      </c>
      <c r="CD7" s="80">
        <f t="shared" ref="CD7:DG7" si="3">SUM(CD4:CD6)</f>
        <v>13593</v>
      </c>
      <c r="CE7" s="80">
        <f t="shared" si="3"/>
        <v>66021</v>
      </c>
      <c r="CF7" s="80">
        <f t="shared" si="3"/>
        <v>58897</v>
      </c>
      <c r="CG7" s="80">
        <f t="shared" si="3"/>
        <v>18504</v>
      </c>
      <c r="CH7" s="81">
        <f t="shared" si="3"/>
        <v>157015</v>
      </c>
      <c r="CI7" s="80">
        <f t="shared" si="3"/>
        <v>14787</v>
      </c>
      <c r="CJ7" s="80">
        <f t="shared" si="3"/>
        <v>69626</v>
      </c>
      <c r="CK7" s="80">
        <f t="shared" si="3"/>
        <v>59526</v>
      </c>
      <c r="CL7" s="80">
        <f t="shared" si="3"/>
        <v>153823</v>
      </c>
      <c r="CM7" s="81">
        <f t="shared" si="3"/>
        <v>297762</v>
      </c>
      <c r="CN7" s="80">
        <f t="shared" si="3"/>
        <v>20240</v>
      </c>
      <c r="CO7" s="80">
        <f t="shared" si="3"/>
        <v>75679</v>
      </c>
      <c r="CP7" s="80">
        <f t="shared" si="3"/>
        <v>64491</v>
      </c>
      <c r="CQ7" s="80">
        <f t="shared" si="3"/>
        <v>137779</v>
      </c>
      <c r="CR7" s="81">
        <f t="shared" si="3"/>
        <v>298189</v>
      </c>
      <c r="CS7" s="80">
        <f t="shared" si="3"/>
        <v>13918</v>
      </c>
      <c r="CT7" s="80">
        <f t="shared" si="3"/>
        <v>95568</v>
      </c>
      <c r="CU7" s="80">
        <f t="shared" si="3"/>
        <v>128510</v>
      </c>
      <c r="CV7" s="80">
        <f t="shared" si="3"/>
        <v>183390</v>
      </c>
      <c r="CW7" s="81">
        <f t="shared" si="3"/>
        <v>421386</v>
      </c>
      <c r="CX7" s="80">
        <f t="shared" si="3"/>
        <v>17266</v>
      </c>
      <c r="CY7" s="80">
        <f t="shared" si="3"/>
        <v>139939</v>
      </c>
      <c r="CZ7" s="80">
        <f t="shared" si="3"/>
        <v>99695</v>
      </c>
      <c r="DA7" s="80">
        <f t="shared" si="3"/>
        <v>145659</v>
      </c>
      <c r="DB7" s="81">
        <f t="shared" si="3"/>
        <v>402559</v>
      </c>
      <c r="DC7" s="80">
        <f t="shared" si="3"/>
        <v>-12760</v>
      </c>
      <c r="DD7" s="80">
        <f t="shared" si="3"/>
        <v>43799</v>
      </c>
      <c r="DE7" s="80">
        <f t="shared" si="3"/>
        <v>207576</v>
      </c>
      <c r="DF7" s="80">
        <f t="shared" si="3"/>
        <v>316566</v>
      </c>
      <c r="DG7" s="81">
        <f t="shared" si="3"/>
        <v>555181</v>
      </c>
      <c r="DH7" s="80">
        <f t="shared" ref="DH7:EF7" si="4">SUM(DH4:DH6)</f>
        <v>31555</v>
      </c>
      <c r="DI7" s="80">
        <f t="shared" si="4"/>
        <v>105344</v>
      </c>
      <c r="DJ7" s="80">
        <f t="shared" ca="1" si="4"/>
        <v>204766.94468013843</v>
      </c>
      <c r="DK7" s="80">
        <f t="shared" ca="1" si="4"/>
        <v>264151.53087017254</v>
      </c>
      <c r="DL7" s="81">
        <f t="shared" ca="1" si="4"/>
        <v>605817.47555031115</v>
      </c>
      <c r="DM7" s="80">
        <f t="shared" ca="1" si="4"/>
        <v>485545.37333740329</v>
      </c>
      <c r="DN7" s="80">
        <f t="shared" ca="1" si="4"/>
        <v>301418.02342053427</v>
      </c>
      <c r="DO7" s="80">
        <f t="shared" ca="1" si="4"/>
        <v>313060.75279866415</v>
      </c>
      <c r="DP7" s="80">
        <f t="shared" ca="1" si="4"/>
        <v>322736.79482502874</v>
      </c>
      <c r="DQ7" s="81">
        <f t="shared" ca="1" si="4"/>
        <v>1422760.9443816303</v>
      </c>
      <c r="DR7" s="80">
        <f t="shared" ca="1" si="4"/>
        <v>352781.47166230407</v>
      </c>
      <c r="DS7" s="80">
        <f t="shared" ca="1" si="4"/>
        <v>348066.67469541141</v>
      </c>
      <c r="DT7" s="80">
        <f t="shared" ca="1" si="4"/>
        <v>366670.48191911681</v>
      </c>
      <c r="DU7" s="80">
        <f t="shared" ca="1" si="4"/>
        <v>385759.8125015361</v>
      </c>
      <c r="DV7" s="81">
        <f t="shared" ca="1" si="4"/>
        <v>1453278.4407783682</v>
      </c>
      <c r="DW7" s="80">
        <f t="shared" ca="1" si="4"/>
        <v>382207.87396603939</v>
      </c>
      <c r="DX7" s="80">
        <f t="shared" ca="1" si="4"/>
        <v>377260.00591821579</v>
      </c>
      <c r="DY7" s="80">
        <f t="shared" ca="1" si="4"/>
        <v>395452.48427004338</v>
      </c>
      <c r="DZ7" s="80">
        <f t="shared" ca="1" si="4"/>
        <v>413978.47810605401</v>
      </c>
      <c r="EA7" s="81">
        <f t="shared" ca="1" si="4"/>
        <v>1568898.8422603526</v>
      </c>
      <c r="EB7" s="80">
        <f t="shared" ca="1" si="4"/>
        <v>408551.08541396528</v>
      </c>
      <c r="EC7" s="80">
        <f t="shared" ca="1" si="4"/>
        <v>397826.54635808372</v>
      </c>
      <c r="ED7" s="80">
        <f t="shared" ca="1" si="4"/>
        <v>410443.27575540484</v>
      </c>
      <c r="EE7" s="80">
        <f t="shared" ca="1" si="4"/>
        <v>423312.17586810957</v>
      </c>
      <c r="EF7" s="81">
        <f t="shared" ca="1" si="4"/>
        <v>1640133.0833955638</v>
      </c>
    </row>
    <row r="8" spans="1:136" ht="12" customHeight="1" outlineLevel="1">
      <c r="A8" s="1" t="s">
        <v>146</v>
      </c>
      <c r="B8" s="78" t="e">
        <f>-('Balance Sheet'!B19-'Balance Sheet'!A19)-B5</f>
        <v>#VALUE!</v>
      </c>
      <c r="C8" s="78">
        <f>-('Balance Sheet'!C19-'Balance Sheet'!B19)-C5</f>
        <v>0</v>
      </c>
      <c r="D8" s="78">
        <f>-('Balance Sheet'!D19-'Balance Sheet'!C19)-D5</f>
        <v>0</v>
      </c>
      <c r="E8" s="78">
        <f>-('Balance Sheet'!E19-'Balance Sheet'!D19)-E5</f>
        <v>0</v>
      </c>
      <c r="F8" s="79" t="e">
        <f>-('Balance Sheet'!F19-'Balance Sheet'!A19)-F5</f>
        <v>#VALUE!</v>
      </c>
      <c r="G8" s="78">
        <f>-('Balance Sheet'!G19-'Balance Sheet'!F19)-G5</f>
        <v>0</v>
      </c>
      <c r="H8" s="78">
        <f>-('Balance Sheet'!H19-'Balance Sheet'!G19)-H5</f>
        <v>0</v>
      </c>
      <c r="I8" s="78">
        <f>-('Balance Sheet'!I19-'Balance Sheet'!H19)-I5</f>
        <v>0</v>
      </c>
      <c r="J8" s="78">
        <f>-('Balance Sheet'!J19-'Balance Sheet'!I19)-J5</f>
        <v>0</v>
      </c>
      <c r="K8" s="79">
        <f>-('Balance Sheet'!K19-'Balance Sheet'!F19)-K5</f>
        <v>0</v>
      </c>
      <c r="L8" s="78">
        <f>-('Balance Sheet'!L19-'Balance Sheet'!K19)-L5</f>
        <v>0</v>
      </c>
      <c r="M8" s="78">
        <f>-('Balance Sheet'!M19-'Balance Sheet'!L19)-M5</f>
        <v>0</v>
      </c>
      <c r="N8" s="78">
        <f>-('Balance Sheet'!N19-'Balance Sheet'!M19)-N5</f>
        <v>0</v>
      </c>
      <c r="O8" s="78">
        <f>-('Balance Sheet'!O19-'Balance Sheet'!N19)-O5</f>
        <v>0</v>
      </c>
      <c r="P8" s="79">
        <f>-('Balance Sheet'!P19-'Balance Sheet'!K19)-P5</f>
        <v>0</v>
      </c>
      <c r="Q8" s="78">
        <f>-('Balance Sheet'!Q19-'Balance Sheet'!P19)-Q5</f>
        <v>0</v>
      </c>
      <c r="R8" s="78">
        <f>-('Balance Sheet'!R19-'Balance Sheet'!Q19)-R5</f>
        <v>0</v>
      </c>
      <c r="S8" s="78">
        <f>-('Balance Sheet'!S19-'Balance Sheet'!R19)-S5</f>
        <v>0</v>
      </c>
      <c r="T8" s="78">
        <f>-('Balance Sheet'!T19-'Balance Sheet'!S19)-T5</f>
        <v>0</v>
      </c>
      <c r="U8" s="79">
        <f>-('Balance Sheet'!U19-'Balance Sheet'!P19)-U5</f>
        <v>0</v>
      </c>
      <c r="V8" s="78">
        <f>-('Balance Sheet'!V19-'Balance Sheet'!U19)-V5</f>
        <v>0</v>
      </c>
      <c r="W8" s="78">
        <f>-('Balance Sheet'!W19-'Balance Sheet'!V19)-W5</f>
        <v>0</v>
      </c>
      <c r="X8" s="78">
        <f>-('Balance Sheet'!X19-'Balance Sheet'!W19)-X5</f>
        <v>0</v>
      </c>
      <c r="Y8" s="78">
        <f>-('Balance Sheet'!Y19-'Balance Sheet'!X19)-Y5</f>
        <v>0</v>
      </c>
      <c r="Z8" s="79">
        <f>-('Balance Sheet'!Z19-'Balance Sheet'!U19)-Z5</f>
        <v>0</v>
      </c>
      <c r="AA8" s="78">
        <f>-('Balance Sheet'!AA19-'Balance Sheet'!Z19)-AA5</f>
        <v>0</v>
      </c>
      <c r="AB8" s="78">
        <f>-('Balance Sheet'!AB19-'Balance Sheet'!AA19)-AB5</f>
        <v>0</v>
      </c>
      <c r="AC8" s="78">
        <f>-('Balance Sheet'!AC19-'Balance Sheet'!AB19)-AC5</f>
        <v>0</v>
      </c>
      <c r="AD8" s="78">
        <f>-('Balance Sheet'!AD19-'Balance Sheet'!AC19)-AD5</f>
        <v>0</v>
      </c>
      <c r="AE8" s="79">
        <f>-('Balance Sheet'!AE19-'Balance Sheet'!Z19)-AE5</f>
        <v>0</v>
      </c>
      <c r="AF8" s="78">
        <f>-('Balance Sheet'!AF19-'Balance Sheet'!AE19)-AF5</f>
        <v>0</v>
      </c>
      <c r="AG8" s="78">
        <f>-('Balance Sheet'!AG19-'Balance Sheet'!AF19)-AG5</f>
        <v>0</v>
      </c>
      <c r="AH8" s="78">
        <f>-('Balance Sheet'!AH19-'Balance Sheet'!AG19)-AH5</f>
        <v>0</v>
      </c>
      <c r="AI8" s="78">
        <f>-('Balance Sheet'!AI19-'Balance Sheet'!AH19)-AI5</f>
        <v>-5004.6019999999999</v>
      </c>
      <c r="AJ8" s="79">
        <f>-('Balance Sheet'!AJ19-'Balance Sheet'!AE19)-AJ5</f>
        <v>-5004.6019999999999</v>
      </c>
      <c r="AK8" s="78">
        <f>-('Balance Sheet'!AK19-'Balance Sheet'!AJ19)-AK5</f>
        <v>5004.6019999999999</v>
      </c>
      <c r="AL8" s="78">
        <f>-('Balance Sheet'!AL19-'Balance Sheet'!AK19)-AL5</f>
        <v>0</v>
      </c>
      <c r="AM8" s="78">
        <f>-('Balance Sheet'!AM19-'Balance Sheet'!AL19)-AM5</f>
        <v>0</v>
      </c>
      <c r="AN8" s="78">
        <f>-('Balance Sheet'!AN19-'Balance Sheet'!AM19)-AN5</f>
        <v>-7148.8159999999998</v>
      </c>
      <c r="AO8" s="79">
        <f>-('Balance Sheet'!AO19-'Balance Sheet'!AJ19)-AO5</f>
        <v>-2144.2139999999999</v>
      </c>
      <c r="AP8" s="78">
        <f>-('Balance Sheet'!AP19-'Balance Sheet'!AO19)-AP5</f>
        <v>7148.8159999999998</v>
      </c>
      <c r="AQ8" s="78">
        <f>-('Balance Sheet'!AQ19-'Balance Sheet'!AP19)-AQ5</f>
        <v>0</v>
      </c>
      <c r="AR8" s="78">
        <f>-('Balance Sheet'!AR19-'Balance Sheet'!AQ19)-AR5</f>
        <v>0</v>
      </c>
      <c r="AS8" s="78">
        <f>-('Balance Sheet'!AS19-'Balance Sheet'!AR19)-AS5</f>
        <v>-30631.169000000002</v>
      </c>
      <c r="AT8" s="79">
        <f>-('Balance Sheet'!AT19-'Balance Sheet'!AO19)-AT5</f>
        <v>-23482.353000000003</v>
      </c>
      <c r="AU8" s="78">
        <f>-('Balance Sheet'!AU19-'Balance Sheet'!AT19)-AU5</f>
        <v>30631.169000000002</v>
      </c>
      <c r="AV8" s="78">
        <f>-('Balance Sheet'!AV19-'Balance Sheet'!AU19)-AV5</f>
        <v>0</v>
      </c>
      <c r="AW8" s="78">
        <f>-('Balance Sheet'!AW19-'Balance Sheet'!AV19)-AW5</f>
        <v>0</v>
      </c>
      <c r="AX8" s="78">
        <f>-('Balance Sheet'!AX19-'Balance Sheet'!AW19)-AX5</f>
        <v>-16218</v>
      </c>
      <c r="AY8" s="79">
        <f>-('Balance Sheet'!AY19-'Balance Sheet'!AT19)-AY5</f>
        <v>14413.169000000002</v>
      </c>
      <c r="AZ8" s="78">
        <f>-('Balance Sheet'!AZ19-'Balance Sheet'!AY19)-AZ5</f>
        <v>16218</v>
      </c>
      <c r="BA8" s="298">
        <f>-('Balance Sheet'!BA19-'Balance Sheet'!AZ19)-BA5+'Income Statement'!BA31</f>
        <v>0</v>
      </c>
      <c r="BB8" s="78">
        <f>-('Balance Sheet'!BB19-'Balance Sheet'!BA19)-BB5</f>
        <v>0</v>
      </c>
      <c r="BC8" s="78">
        <f>-('Balance Sheet'!BC19-'Balance Sheet'!BB19)-BC5</f>
        <v>-27112</v>
      </c>
      <c r="BD8" s="299">
        <f>SUM(AZ8:BC8)</f>
        <v>-10894</v>
      </c>
      <c r="BE8" s="78">
        <f>-('Balance Sheet'!BE19-'Balance Sheet'!BD19)-BE5</f>
        <v>22170</v>
      </c>
      <c r="BF8" s="78">
        <f>-('Balance Sheet'!BF19-'Balance Sheet'!BE19)-BF5</f>
        <v>0</v>
      </c>
      <c r="BG8" s="78">
        <f>-('Balance Sheet'!BG19-'Balance Sheet'!BF19)-BG5</f>
        <v>0</v>
      </c>
      <c r="BH8" s="78">
        <f>-('Balance Sheet'!BH19-'Balance Sheet'!BG19)-BH5</f>
        <v>-14138</v>
      </c>
      <c r="BI8" s="79">
        <f>-('Balance Sheet'!BI19-'Balance Sheet'!BD19)-BI5</f>
        <v>8032</v>
      </c>
      <c r="BJ8" s="78">
        <f>-('Balance Sheet'!BJ19-'Balance Sheet'!BI19)-BJ5</f>
        <v>10770</v>
      </c>
      <c r="BK8" s="78">
        <f>-('Balance Sheet'!BK19-'Balance Sheet'!BJ19)-BK5</f>
        <v>0</v>
      </c>
      <c r="BL8" s="78">
        <f>-('Balance Sheet'!BL19-'Balance Sheet'!BK19)-BL5</f>
        <v>0</v>
      </c>
      <c r="BM8" s="78">
        <f>-('Balance Sheet'!BM19-'Balance Sheet'!BL19)-BM5</f>
        <v>-16400</v>
      </c>
      <c r="BN8" s="79">
        <f>-('Balance Sheet'!BN19-'Balance Sheet'!BI19)-BN5</f>
        <v>-5630</v>
      </c>
      <c r="BO8" s="78">
        <f>-('Balance Sheet'!BO19-'Balance Sheet'!BN19)-BO5</f>
        <v>10626</v>
      </c>
      <c r="BP8" s="78">
        <f>-('Balance Sheet'!BP19-'Balance Sheet'!BO19)-BP5</f>
        <v>0</v>
      </c>
      <c r="BQ8" s="78">
        <f>-('Balance Sheet'!BQ19-'Balance Sheet'!BP19)-BQ5</f>
        <v>0</v>
      </c>
      <c r="BR8" s="78">
        <f>-('Balance Sheet'!BR19-'Balance Sheet'!BQ19)-BR5</f>
        <v>-32566</v>
      </c>
      <c r="BS8" s="79">
        <f>-('Balance Sheet'!BS19-'Balance Sheet'!BN19)-BS5</f>
        <v>-21940</v>
      </c>
      <c r="BT8" s="78">
        <f>-('Balance Sheet'!BT19-'Balance Sheet'!BS19)-BT5</f>
        <v>25095</v>
      </c>
      <c r="BU8" s="78">
        <f>-('Balance Sheet'!BU19-'Balance Sheet'!BT19)-BU5</f>
        <v>0</v>
      </c>
      <c r="BV8" s="78">
        <f>-('Balance Sheet'!BV19-'Balance Sheet'!BU19)-BV5</f>
        <v>0</v>
      </c>
      <c r="BW8" s="78">
        <f>-('Balance Sheet'!BW19-'Balance Sheet'!BV19)-BW5</f>
        <v>-26712</v>
      </c>
      <c r="BX8" s="79">
        <f>-('Balance Sheet'!BX19-'Balance Sheet'!BS19)-BX5</f>
        <v>-1617</v>
      </c>
      <c r="BY8" s="78">
        <f>-('Balance Sheet'!BY19-'Balance Sheet'!BX19)-BY5</f>
        <v>21140</v>
      </c>
      <c r="BZ8" s="78">
        <f>-('Balance Sheet'!BZ19-'Balance Sheet'!BY19)-BZ5</f>
        <v>-179</v>
      </c>
      <c r="CA8" s="78">
        <f>-('Balance Sheet'!CA19-'Balance Sheet'!BZ19)-CA5</f>
        <v>-399</v>
      </c>
      <c r="CB8" s="78">
        <f>-('Balance Sheet'!CB19-'Balance Sheet'!CA19)-CB5</f>
        <v>-27279</v>
      </c>
      <c r="CC8" s="79">
        <f>-('Balance Sheet'!CC19-'Balance Sheet'!BX19)-CC5</f>
        <v>-6717</v>
      </c>
      <c r="CD8" s="78">
        <f>-('Balance Sheet'!CD19-'Balance Sheet'!CC19)-CD5</f>
        <v>-5501</v>
      </c>
      <c r="CE8" s="78">
        <f>-('Balance Sheet'!CE19-'Balance Sheet'!CD19)-CE5</f>
        <v>-6824</v>
      </c>
      <c r="CF8" s="78">
        <f>-('Balance Sheet'!CF19-'Balance Sheet'!CE19)-CF5</f>
        <v>-2000</v>
      </c>
      <c r="CG8" s="78">
        <f>-('Balance Sheet'!CG19-'Balance Sheet'!CF19)-CG5</f>
        <v>-295</v>
      </c>
      <c r="CH8" s="79">
        <f>-('Balance Sheet'!CH19-'Balance Sheet'!CC19)-CH5</f>
        <v>-14620</v>
      </c>
      <c r="CI8" s="78">
        <f>-('Balance Sheet'!CI19-'Balance Sheet'!CH19)-CI5</f>
        <v>-7666</v>
      </c>
      <c r="CJ8" s="78">
        <f>-('Balance Sheet'!CJ19-'Balance Sheet'!CI19)-CJ5</f>
        <v>-7115</v>
      </c>
      <c r="CK8" s="78">
        <f>-('Balance Sheet'!CK19-'Balance Sheet'!CJ19)-CK5</f>
        <v>90</v>
      </c>
      <c r="CL8" s="78">
        <f>-('Balance Sheet'!CL19-'Balance Sheet'!CK19)-CL5</f>
        <v>-63561</v>
      </c>
      <c r="CM8" s="79">
        <f>-('Balance Sheet'!CM19-'Balance Sheet'!CH19)-CM5</f>
        <v>-78252</v>
      </c>
      <c r="CN8" s="78">
        <f>-('Balance Sheet'!CN19-'Balance Sheet'!CM19)-CN5</f>
        <v>-3580</v>
      </c>
      <c r="CO8" s="78">
        <f>-('Balance Sheet'!CO19-'Balance Sheet'!CN19)-CO5</f>
        <v>-2689</v>
      </c>
      <c r="CP8" s="78">
        <f>-('Balance Sheet'!CP19-'Balance Sheet'!CO19)-CP5</f>
        <v>-3193</v>
      </c>
      <c r="CQ8" s="78">
        <f>-('Balance Sheet'!CQ19-'Balance Sheet'!CP19)-CQ5</f>
        <v>512</v>
      </c>
      <c r="CR8" s="79">
        <f>-('Balance Sheet'!CR19-'Balance Sheet'!CM19)-CR5</f>
        <v>-8950</v>
      </c>
      <c r="CS8" s="78">
        <f>-('Balance Sheet'!CS19-'Balance Sheet'!CR19)-CS5</f>
        <v>-7189</v>
      </c>
      <c r="CT8" s="78">
        <f>-('Balance Sheet'!CT19-'Balance Sheet'!CS19)-CT5</f>
        <v>-3974</v>
      </c>
      <c r="CU8" s="78">
        <f>-('Balance Sheet'!CU19-'Balance Sheet'!CT19)-CU5</f>
        <v>3441</v>
      </c>
      <c r="CV8" s="78">
        <f>-('Balance Sheet'!CV19-'Balance Sheet'!CU19)-CV5</f>
        <v>-13037</v>
      </c>
      <c r="CW8" s="79">
        <f>-('Balance Sheet'!CW19-'Balance Sheet'!CR19)-CW5</f>
        <v>-20759</v>
      </c>
      <c r="CX8" s="78">
        <f>-('Balance Sheet'!CX19-'Balance Sheet'!CW19)-CX5</f>
        <v>-2468</v>
      </c>
      <c r="CY8" s="78">
        <f>-('Balance Sheet'!CY19-'Balance Sheet'!CX19)-CY5</f>
        <v>62654</v>
      </c>
      <c r="CZ8" s="78">
        <f>-('Balance Sheet'!CZ19-'Balance Sheet'!CY19)-CZ5</f>
        <v>-1498</v>
      </c>
      <c r="DA8" s="78">
        <f>-('Balance Sheet'!DA19-'Balance Sheet'!CZ19)-DA5</f>
        <v>-1893</v>
      </c>
      <c r="DB8" s="79">
        <f>-('Balance Sheet'!DB19-'Balance Sheet'!CW19)-DB5</f>
        <v>56795</v>
      </c>
      <c r="DC8" s="78">
        <f>-('Balance Sheet'!DC19-'Balance Sheet'!DB19)-DC5</f>
        <v>1385</v>
      </c>
      <c r="DD8" s="78">
        <f>-('Balance Sheet'!DD19-'Balance Sheet'!DC19)-DD5</f>
        <v>914</v>
      </c>
      <c r="DE8" s="78">
        <f>-('Balance Sheet'!DE19-'Balance Sheet'!DD19)-DE5</f>
        <v>-819</v>
      </c>
      <c r="DF8" s="78">
        <f>-('Balance Sheet'!DF19-'Balance Sheet'!DE19)-DF5</f>
        <v>-1024</v>
      </c>
      <c r="DG8" s="79">
        <f>-('Balance Sheet'!DG19-'Balance Sheet'!DB19)-DG5</f>
        <v>456</v>
      </c>
      <c r="DH8" s="78">
        <f>-('Balance Sheet'!DH19-'Balance Sheet'!DG19)-DH5</f>
        <v>-1818</v>
      </c>
      <c r="DI8" s="78">
        <f>-('Balance Sheet'!DI19-'Balance Sheet'!DH19)-DI5</f>
        <v>2319</v>
      </c>
      <c r="DJ8" s="78">
        <f>-('Balance Sheet'!DJ19-'Balance Sheet'!DI19)-DJ5</f>
        <v>-1706.815329097753</v>
      </c>
      <c r="DK8" s="78">
        <f>-('Balance Sheet'!DK19-'Balance Sheet'!DJ19)-DK5</f>
        <v>-1723.3456369977871</v>
      </c>
      <c r="DL8" s="79">
        <f>-('Balance Sheet'!DL19-'Balance Sheet'!DG19)-DL5</f>
        <v>-2929.1609660955401</v>
      </c>
      <c r="DM8" s="78">
        <f>-('Balance Sheet'!DM19-'Balance Sheet'!DL19)-DM5</f>
        <v>-1740.1066122747607</v>
      </c>
      <c r="DN8" s="78">
        <f>-('Balance Sheet'!DN19-'Balance Sheet'!DM19)-DN5</f>
        <v>-1757.1021737583567</v>
      </c>
      <c r="DO8" s="78">
        <f>-('Balance Sheet'!DO19-'Balance Sheet'!DN19)-DO5</f>
        <v>-1774.3363116752066</v>
      </c>
      <c r="DP8" s="78">
        <f>-('Balance Sheet'!DP19-'Balance Sheet'!DO19)-DP5</f>
        <v>-1791.8130889768095</v>
      </c>
      <c r="DQ8" s="79">
        <f>-('Balance Sheet'!DQ19-'Balance Sheet'!DL19)-DQ5</f>
        <v>-7063.3581866851328</v>
      </c>
      <c r="DR8" s="78">
        <f>-('Balance Sheet'!DR19-'Balance Sheet'!DQ19)-DR5</f>
        <v>-1809.5366426925552</v>
      </c>
      <c r="DS8" s="78">
        <f>-('Balance Sheet'!DS19-'Balance Sheet'!DR19)-DS5</f>
        <v>-1827.5111853077774</v>
      </c>
      <c r="DT8" s="78">
        <f>-('Balance Sheet'!DT19-'Balance Sheet'!DS19)-DT5</f>
        <v>-1845.7410061677554</v>
      </c>
      <c r="DU8" s="78">
        <f>-('Balance Sheet'!DU19-'Balance Sheet'!DT19)-DU5</f>
        <v>-1864.2304729080693</v>
      </c>
      <c r="DV8" s="79">
        <f>-('Balance Sheet'!DV19-'Balance Sheet'!DQ19)-DV5</f>
        <v>-7347.0193070761579</v>
      </c>
      <c r="DW8" s="78">
        <f>-('Balance Sheet'!DW19-'Balance Sheet'!DV19)-DW5</f>
        <v>-1882.9840329113854</v>
      </c>
      <c r="DX8" s="78">
        <f>-('Balance Sheet'!DX19-'Balance Sheet'!DW19)-DX5</f>
        <v>-1902.0062147919475</v>
      </c>
      <c r="DY8" s="78">
        <f>-('Balance Sheet'!DY19-'Balance Sheet'!DX19)-DY5</f>
        <v>-1921.3016299074725</v>
      </c>
      <c r="DZ8" s="78">
        <f>-('Balance Sheet'!DZ19-'Balance Sheet'!DY19)-DZ5</f>
        <v>-1940.8749738995257</v>
      </c>
      <c r="EA8" s="79">
        <f>-('Balance Sheet'!EA19-'Balance Sheet'!DV19)-EA5</f>
        <v>-7647.1668515103311</v>
      </c>
      <c r="EB8" s="78">
        <f>-('Balance Sheet'!EB19-'Balance Sheet'!EA19)-EB5</f>
        <v>-1960.7310282626531</v>
      </c>
      <c r="EC8" s="78">
        <f>-('Balance Sheet'!EC19-'Balance Sheet'!EB19)-EC5</f>
        <v>-1980.8746619430126</v>
      </c>
      <c r="ED8" s="78">
        <f>-('Balance Sheet'!ED19-'Balance Sheet'!EC19)-ED5</f>
        <v>-2001.3108329665888</v>
      </c>
      <c r="EE8" s="78">
        <f>-('Balance Sheet'!EE19-'Balance Sheet'!ED19)-EE5</f>
        <v>-2022.0445900983946</v>
      </c>
      <c r="EF8" s="79">
        <f>-('Balance Sheet'!EF19-'Balance Sheet'!EA19)-EF5</f>
        <v>-7964.9611132706486</v>
      </c>
    </row>
    <row r="9" spans="1:136" ht="12" customHeight="1">
      <c r="A9" s="3" t="s">
        <v>147</v>
      </c>
      <c r="B9" s="80" t="e">
        <f t="shared" ref="B9:K9" si="5">SUM(B8)</f>
        <v>#VALUE!</v>
      </c>
      <c r="C9" s="80">
        <f t="shared" si="5"/>
        <v>0</v>
      </c>
      <c r="D9" s="80">
        <f t="shared" si="5"/>
        <v>0</v>
      </c>
      <c r="E9" s="80">
        <f t="shared" si="5"/>
        <v>0</v>
      </c>
      <c r="F9" s="81" t="e">
        <f t="shared" si="5"/>
        <v>#VALUE!</v>
      </c>
      <c r="G9" s="80">
        <f t="shared" si="5"/>
        <v>0</v>
      </c>
      <c r="H9" s="80">
        <f t="shared" si="5"/>
        <v>0</v>
      </c>
      <c r="I9" s="80">
        <f t="shared" si="5"/>
        <v>0</v>
      </c>
      <c r="J9" s="80">
        <f t="shared" si="5"/>
        <v>0</v>
      </c>
      <c r="K9" s="81">
        <f t="shared" si="5"/>
        <v>0</v>
      </c>
      <c r="L9" s="80">
        <f t="shared" ref="L9:BW9" si="6">SUM(L8)</f>
        <v>0</v>
      </c>
      <c r="M9" s="80">
        <f t="shared" si="6"/>
        <v>0</v>
      </c>
      <c r="N9" s="80">
        <f t="shared" si="6"/>
        <v>0</v>
      </c>
      <c r="O9" s="80">
        <f t="shared" si="6"/>
        <v>0</v>
      </c>
      <c r="P9" s="81">
        <f t="shared" si="6"/>
        <v>0</v>
      </c>
      <c r="Q9" s="80">
        <f t="shared" si="6"/>
        <v>0</v>
      </c>
      <c r="R9" s="80">
        <f t="shared" si="6"/>
        <v>0</v>
      </c>
      <c r="S9" s="80">
        <f t="shared" si="6"/>
        <v>0</v>
      </c>
      <c r="T9" s="80">
        <f t="shared" si="6"/>
        <v>0</v>
      </c>
      <c r="U9" s="81">
        <f t="shared" si="6"/>
        <v>0</v>
      </c>
      <c r="V9" s="80">
        <f t="shared" si="6"/>
        <v>0</v>
      </c>
      <c r="W9" s="80">
        <f t="shared" si="6"/>
        <v>0</v>
      </c>
      <c r="X9" s="80">
        <f t="shared" si="6"/>
        <v>0</v>
      </c>
      <c r="Y9" s="80">
        <f t="shared" si="6"/>
        <v>0</v>
      </c>
      <c r="Z9" s="81">
        <f t="shared" si="6"/>
        <v>0</v>
      </c>
      <c r="AA9" s="80">
        <f t="shared" si="6"/>
        <v>0</v>
      </c>
      <c r="AB9" s="80">
        <f t="shared" si="6"/>
        <v>0</v>
      </c>
      <c r="AC9" s="80">
        <f t="shared" si="6"/>
        <v>0</v>
      </c>
      <c r="AD9" s="80">
        <f t="shared" si="6"/>
        <v>0</v>
      </c>
      <c r="AE9" s="81">
        <f t="shared" si="6"/>
        <v>0</v>
      </c>
      <c r="AF9" s="80">
        <f t="shared" si="6"/>
        <v>0</v>
      </c>
      <c r="AG9" s="80">
        <f t="shared" si="6"/>
        <v>0</v>
      </c>
      <c r="AH9" s="80">
        <f t="shared" si="6"/>
        <v>0</v>
      </c>
      <c r="AI9" s="80">
        <f t="shared" si="6"/>
        <v>-5004.6019999999999</v>
      </c>
      <c r="AJ9" s="81">
        <f t="shared" si="6"/>
        <v>-5004.6019999999999</v>
      </c>
      <c r="AK9" s="80">
        <f t="shared" si="6"/>
        <v>5004.6019999999999</v>
      </c>
      <c r="AL9" s="80">
        <f t="shared" si="6"/>
        <v>0</v>
      </c>
      <c r="AM9" s="80">
        <f t="shared" si="6"/>
        <v>0</v>
      </c>
      <c r="AN9" s="80">
        <f t="shared" si="6"/>
        <v>-7148.8159999999998</v>
      </c>
      <c r="AO9" s="81">
        <f t="shared" si="6"/>
        <v>-2144.2139999999999</v>
      </c>
      <c r="AP9" s="80">
        <f t="shared" si="6"/>
        <v>7148.8159999999998</v>
      </c>
      <c r="AQ9" s="80">
        <f t="shared" si="6"/>
        <v>0</v>
      </c>
      <c r="AR9" s="80">
        <f t="shared" si="6"/>
        <v>0</v>
      </c>
      <c r="AS9" s="80">
        <f t="shared" si="6"/>
        <v>-30631.169000000002</v>
      </c>
      <c r="AT9" s="81">
        <f t="shared" si="6"/>
        <v>-23482.353000000003</v>
      </c>
      <c r="AU9" s="80">
        <f t="shared" si="6"/>
        <v>30631.169000000002</v>
      </c>
      <c r="AV9" s="80">
        <f t="shared" si="6"/>
        <v>0</v>
      </c>
      <c r="AW9" s="80">
        <f t="shared" si="6"/>
        <v>0</v>
      </c>
      <c r="AX9" s="80">
        <f t="shared" si="6"/>
        <v>-16218</v>
      </c>
      <c r="AY9" s="81">
        <f t="shared" si="6"/>
        <v>14413.169000000002</v>
      </c>
      <c r="AZ9" s="80">
        <f t="shared" si="6"/>
        <v>16218</v>
      </c>
      <c r="BA9" s="80">
        <f t="shared" si="6"/>
        <v>0</v>
      </c>
      <c r="BB9" s="80">
        <f t="shared" si="6"/>
        <v>0</v>
      </c>
      <c r="BC9" s="80">
        <f t="shared" si="6"/>
        <v>-27112</v>
      </c>
      <c r="BD9" s="81">
        <f t="shared" si="6"/>
        <v>-10894</v>
      </c>
      <c r="BE9" s="80">
        <f t="shared" si="6"/>
        <v>22170</v>
      </c>
      <c r="BF9" s="80">
        <f t="shared" si="6"/>
        <v>0</v>
      </c>
      <c r="BG9" s="80">
        <f t="shared" si="6"/>
        <v>0</v>
      </c>
      <c r="BH9" s="80">
        <f t="shared" si="6"/>
        <v>-14138</v>
      </c>
      <c r="BI9" s="81">
        <f t="shared" si="6"/>
        <v>8032</v>
      </c>
      <c r="BJ9" s="80">
        <f t="shared" si="6"/>
        <v>10770</v>
      </c>
      <c r="BK9" s="80">
        <f t="shared" si="6"/>
        <v>0</v>
      </c>
      <c r="BL9" s="80">
        <f t="shared" si="6"/>
        <v>0</v>
      </c>
      <c r="BM9" s="80">
        <f t="shared" si="6"/>
        <v>-16400</v>
      </c>
      <c r="BN9" s="81">
        <f t="shared" si="6"/>
        <v>-5630</v>
      </c>
      <c r="BO9" s="80">
        <f t="shared" si="6"/>
        <v>10626</v>
      </c>
      <c r="BP9" s="80">
        <f t="shared" si="6"/>
        <v>0</v>
      </c>
      <c r="BQ9" s="80">
        <f t="shared" si="6"/>
        <v>0</v>
      </c>
      <c r="BR9" s="80">
        <f t="shared" si="6"/>
        <v>-32566</v>
      </c>
      <c r="BS9" s="81">
        <f t="shared" si="6"/>
        <v>-21940</v>
      </c>
      <c r="BT9" s="80">
        <f t="shared" si="6"/>
        <v>25095</v>
      </c>
      <c r="BU9" s="80">
        <f t="shared" si="6"/>
        <v>0</v>
      </c>
      <c r="BV9" s="80">
        <f t="shared" si="6"/>
        <v>0</v>
      </c>
      <c r="BW9" s="80">
        <f t="shared" si="6"/>
        <v>-26712</v>
      </c>
      <c r="BX9" s="81">
        <f t="shared" ref="BX9:CC9" si="7">SUM(BX8)</f>
        <v>-1617</v>
      </c>
      <c r="BY9" s="80">
        <f t="shared" si="7"/>
        <v>21140</v>
      </c>
      <c r="BZ9" s="80">
        <f t="shared" si="7"/>
        <v>-179</v>
      </c>
      <c r="CA9" s="80">
        <f t="shared" si="7"/>
        <v>-399</v>
      </c>
      <c r="CB9" s="80">
        <f t="shared" si="7"/>
        <v>-27279</v>
      </c>
      <c r="CC9" s="81">
        <f t="shared" si="7"/>
        <v>-6717</v>
      </c>
      <c r="CD9" s="80">
        <f t="shared" ref="CD9:DG9" si="8">SUM(CD8)</f>
        <v>-5501</v>
      </c>
      <c r="CE9" s="80">
        <f t="shared" si="8"/>
        <v>-6824</v>
      </c>
      <c r="CF9" s="80">
        <f t="shared" si="8"/>
        <v>-2000</v>
      </c>
      <c r="CG9" s="80">
        <f t="shared" si="8"/>
        <v>-295</v>
      </c>
      <c r="CH9" s="81">
        <f t="shared" si="8"/>
        <v>-14620</v>
      </c>
      <c r="CI9" s="80">
        <f t="shared" si="8"/>
        <v>-7666</v>
      </c>
      <c r="CJ9" s="80">
        <f t="shared" si="8"/>
        <v>-7115</v>
      </c>
      <c r="CK9" s="80">
        <f t="shared" si="8"/>
        <v>90</v>
      </c>
      <c r="CL9" s="80">
        <f t="shared" si="8"/>
        <v>-63561</v>
      </c>
      <c r="CM9" s="81">
        <f t="shared" si="8"/>
        <v>-78252</v>
      </c>
      <c r="CN9" s="80">
        <f t="shared" si="8"/>
        <v>-3580</v>
      </c>
      <c r="CO9" s="80">
        <f t="shared" si="8"/>
        <v>-2689</v>
      </c>
      <c r="CP9" s="80">
        <f t="shared" si="8"/>
        <v>-3193</v>
      </c>
      <c r="CQ9" s="80">
        <f t="shared" si="8"/>
        <v>512</v>
      </c>
      <c r="CR9" s="81">
        <f t="shared" si="8"/>
        <v>-8950</v>
      </c>
      <c r="CS9" s="80">
        <f t="shared" si="8"/>
        <v>-7189</v>
      </c>
      <c r="CT9" s="80">
        <f t="shared" si="8"/>
        <v>-3974</v>
      </c>
      <c r="CU9" s="80">
        <f t="shared" si="8"/>
        <v>3441</v>
      </c>
      <c r="CV9" s="80">
        <f t="shared" si="8"/>
        <v>-13037</v>
      </c>
      <c r="CW9" s="81">
        <f t="shared" si="8"/>
        <v>-20759</v>
      </c>
      <c r="CX9" s="80">
        <f t="shared" si="8"/>
        <v>-2468</v>
      </c>
      <c r="CY9" s="80">
        <f t="shared" si="8"/>
        <v>62654</v>
      </c>
      <c r="CZ9" s="80">
        <f t="shared" si="8"/>
        <v>-1498</v>
      </c>
      <c r="DA9" s="80">
        <f t="shared" si="8"/>
        <v>-1893</v>
      </c>
      <c r="DB9" s="81">
        <f t="shared" si="8"/>
        <v>56795</v>
      </c>
      <c r="DC9" s="80">
        <f t="shared" si="8"/>
        <v>1385</v>
      </c>
      <c r="DD9" s="80">
        <f t="shared" si="8"/>
        <v>914</v>
      </c>
      <c r="DE9" s="80">
        <f t="shared" si="8"/>
        <v>-819</v>
      </c>
      <c r="DF9" s="80">
        <f t="shared" si="8"/>
        <v>-1024</v>
      </c>
      <c r="DG9" s="81">
        <f t="shared" si="8"/>
        <v>456</v>
      </c>
      <c r="DH9" s="80">
        <f t="shared" ref="DH9:EF9" si="9">SUM(DH8)</f>
        <v>-1818</v>
      </c>
      <c r="DI9" s="80">
        <f t="shared" si="9"/>
        <v>2319</v>
      </c>
      <c r="DJ9" s="80">
        <f t="shared" si="9"/>
        <v>-1706.815329097753</v>
      </c>
      <c r="DK9" s="80">
        <f t="shared" si="9"/>
        <v>-1723.3456369977871</v>
      </c>
      <c r="DL9" s="81">
        <f t="shared" si="9"/>
        <v>-2929.1609660955401</v>
      </c>
      <c r="DM9" s="80">
        <f t="shared" si="9"/>
        <v>-1740.1066122747607</v>
      </c>
      <c r="DN9" s="80">
        <f t="shared" si="9"/>
        <v>-1757.1021737583567</v>
      </c>
      <c r="DO9" s="80">
        <f t="shared" si="9"/>
        <v>-1774.3363116752066</v>
      </c>
      <c r="DP9" s="80">
        <f t="shared" si="9"/>
        <v>-1791.8130889768095</v>
      </c>
      <c r="DQ9" s="81">
        <f t="shared" si="9"/>
        <v>-7063.3581866851328</v>
      </c>
      <c r="DR9" s="80">
        <f t="shared" si="9"/>
        <v>-1809.5366426925552</v>
      </c>
      <c r="DS9" s="80">
        <f t="shared" si="9"/>
        <v>-1827.5111853077774</v>
      </c>
      <c r="DT9" s="80">
        <f t="shared" si="9"/>
        <v>-1845.7410061677554</v>
      </c>
      <c r="DU9" s="80">
        <f t="shared" si="9"/>
        <v>-1864.2304729080693</v>
      </c>
      <c r="DV9" s="81">
        <f t="shared" si="9"/>
        <v>-7347.0193070761579</v>
      </c>
      <c r="DW9" s="80">
        <f t="shared" si="9"/>
        <v>-1882.9840329113854</v>
      </c>
      <c r="DX9" s="80">
        <f t="shared" si="9"/>
        <v>-1902.0062147919475</v>
      </c>
      <c r="DY9" s="80">
        <f t="shared" si="9"/>
        <v>-1921.3016299074725</v>
      </c>
      <c r="DZ9" s="80">
        <f t="shared" si="9"/>
        <v>-1940.8749738995257</v>
      </c>
      <c r="EA9" s="81">
        <f t="shared" si="9"/>
        <v>-7647.1668515103311</v>
      </c>
      <c r="EB9" s="80">
        <f t="shared" si="9"/>
        <v>-1960.7310282626531</v>
      </c>
      <c r="EC9" s="80">
        <f t="shared" si="9"/>
        <v>-1980.8746619430126</v>
      </c>
      <c r="ED9" s="80">
        <f t="shared" si="9"/>
        <v>-2001.3108329665888</v>
      </c>
      <c r="EE9" s="80">
        <f t="shared" si="9"/>
        <v>-2022.0445900983946</v>
      </c>
      <c r="EF9" s="81">
        <f t="shared" si="9"/>
        <v>-7964.9611132706486</v>
      </c>
    </row>
    <row r="10" spans="1:136" ht="12" customHeight="1" outlineLevel="1">
      <c r="A10" s="1" t="s">
        <v>148</v>
      </c>
      <c r="B10" s="78" t="e">
        <f>('Balance Sheet'!B28-'Balance Sheet'!A28)+('Balance Sheet'!B31-'Balance Sheet'!A31)-('Balance Sheet'!B7-'Balance Sheet'!A7)</f>
        <v>#VALUE!</v>
      </c>
      <c r="C10" s="78">
        <f>('Balance Sheet'!C28-'Balance Sheet'!B28)+('Balance Sheet'!C31-'Balance Sheet'!B31)-('Balance Sheet'!C7-'Balance Sheet'!B7)</f>
        <v>0</v>
      </c>
      <c r="D10" s="78">
        <f>('Balance Sheet'!D28-'Balance Sheet'!C28)+('Balance Sheet'!D31-'Balance Sheet'!C31)-('Balance Sheet'!D7-'Balance Sheet'!C7)</f>
        <v>0</v>
      </c>
      <c r="E10" s="78">
        <f>('Balance Sheet'!E28-'Balance Sheet'!D28)+('Balance Sheet'!E31-'Balance Sheet'!D31)-('Balance Sheet'!E7-'Balance Sheet'!D7)</f>
        <v>0</v>
      </c>
      <c r="F10" s="79" t="e">
        <f>('Balance Sheet'!F28-'Balance Sheet'!A28)+('Balance Sheet'!F31-'Balance Sheet'!A31)-('Balance Sheet'!F7-'Balance Sheet'!A7)</f>
        <v>#VALUE!</v>
      </c>
      <c r="G10" s="78">
        <f>('Balance Sheet'!G28-'Balance Sheet'!F28)+('Balance Sheet'!G31-'Balance Sheet'!F31)-('Balance Sheet'!G7-'Balance Sheet'!F7)</f>
        <v>0</v>
      </c>
      <c r="H10" s="78">
        <f>('Balance Sheet'!H28-'Balance Sheet'!G28)+('Balance Sheet'!H31-'Balance Sheet'!G31)-('Balance Sheet'!H7-'Balance Sheet'!G7)</f>
        <v>0</v>
      </c>
      <c r="I10" s="78">
        <f>('Balance Sheet'!I28-'Balance Sheet'!H28)+('Balance Sheet'!I31-'Balance Sheet'!H31)-('Balance Sheet'!I7-'Balance Sheet'!H7)</f>
        <v>0</v>
      </c>
      <c r="J10" s="78">
        <f>('Balance Sheet'!J28-'Balance Sheet'!I28)+('Balance Sheet'!J31-'Balance Sheet'!I31)-('Balance Sheet'!J7-'Balance Sheet'!I7)</f>
        <v>0</v>
      </c>
      <c r="K10" s="79">
        <f>('Balance Sheet'!K28-'Balance Sheet'!F28)+('Balance Sheet'!K31-'Balance Sheet'!F31)-('Balance Sheet'!K7-'Balance Sheet'!F7)</f>
        <v>0</v>
      </c>
      <c r="L10" s="78">
        <f>('Balance Sheet'!L28-'Balance Sheet'!K28)+('Balance Sheet'!L31-'Balance Sheet'!K31)-('Balance Sheet'!L7-'Balance Sheet'!K7)</f>
        <v>0</v>
      </c>
      <c r="M10" s="78">
        <f>('Balance Sheet'!M28-'Balance Sheet'!L28)+('Balance Sheet'!M31-'Balance Sheet'!L31)-('Balance Sheet'!M7-'Balance Sheet'!L7)</f>
        <v>0</v>
      </c>
      <c r="N10" s="78">
        <f>('Balance Sheet'!N28-'Balance Sheet'!M28)+('Balance Sheet'!N31-'Balance Sheet'!M31)-('Balance Sheet'!N7-'Balance Sheet'!M7)</f>
        <v>0</v>
      </c>
      <c r="O10" s="78">
        <f>('Balance Sheet'!O28-'Balance Sheet'!N28)+('Balance Sheet'!O31-'Balance Sheet'!N31)-('Balance Sheet'!O7-'Balance Sheet'!N7)</f>
        <v>0</v>
      </c>
      <c r="P10" s="79">
        <f>('Balance Sheet'!P28-'Balance Sheet'!K28)+('Balance Sheet'!P31-'Balance Sheet'!K31)-('Balance Sheet'!P7-'Balance Sheet'!K7)</f>
        <v>0</v>
      </c>
      <c r="Q10" s="78">
        <f>('Balance Sheet'!Q28-'Balance Sheet'!P28)+('Balance Sheet'!Q31-'Balance Sheet'!P31)-('Balance Sheet'!Q7-'Balance Sheet'!P7)</f>
        <v>0</v>
      </c>
      <c r="R10" s="78">
        <f>('Balance Sheet'!R28-'Balance Sheet'!Q28)+('Balance Sheet'!R31-'Balance Sheet'!Q31)-('Balance Sheet'!R7-'Balance Sheet'!Q7)</f>
        <v>0</v>
      </c>
      <c r="S10" s="78">
        <f>('Balance Sheet'!S28-'Balance Sheet'!R28)+('Balance Sheet'!S31-'Balance Sheet'!R31)-('Balance Sheet'!S7-'Balance Sheet'!R7)</f>
        <v>0</v>
      </c>
      <c r="T10" s="78">
        <f>('Balance Sheet'!T28-'Balance Sheet'!S28)+('Balance Sheet'!T31-'Balance Sheet'!S31)-('Balance Sheet'!T7-'Balance Sheet'!S7)</f>
        <v>0</v>
      </c>
      <c r="U10" s="79">
        <f>('Balance Sheet'!U28-'Balance Sheet'!P28)+('Balance Sheet'!U31-'Balance Sheet'!P31)-('Balance Sheet'!U7-'Balance Sheet'!P7)</f>
        <v>0</v>
      </c>
      <c r="V10" s="78">
        <f>('Balance Sheet'!V28-'Balance Sheet'!U28)+('Balance Sheet'!V31-'Balance Sheet'!U31)-('Balance Sheet'!V7-'Balance Sheet'!U7)</f>
        <v>0</v>
      </c>
      <c r="W10" s="78">
        <f>('Balance Sheet'!W28-'Balance Sheet'!V28)+('Balance Sheet'!W31-'Balance Sheet'!V31)-('Balance Sheet'!W7-'Balance Sheet'!V7)</f>
        <v>0</v>
      </c>
      <c r="X10" s="78">
        <f>('Balance Sheet'!X28-'Balance Sheet'!W28)+('Balance Sheet'!X31-'Balance Sheet'!W31)-('Balance Sheet'!X7-'Balance Sheet'!W7)</f>
        <v>0</v>
      </c>
      <c r="Y10" s="78">
        <f>('Balance Sheet'!Y28-'Balance Sheet'!X28)+('Balance Sheet'!Y31-'Balance Sheet'!X31)-('Balance Sheet'!Y7-'Balance Sheet'!X7)</f>
        <v>0</v>
      </c>
      <c r="Z10" s="79">
        <f>('Balance Sheet'!Z28-'Balance Sheet'!U28)+('Balance Sheet'!Z31-'Balance Sheet'!U31)-('Balance Sheet'!Z7-'Balance Sheet'!U7)</f>
        <v>0</v>
      </c>
      <c r="AA10" s="78">
        <f>('Balance Sheet'!AA28-'Balance Sheet'!Z28)+('Balance Sheet'!AA31-'Balance Sheet'!Z31)-('Balance Sheet'!AA7-'Balance Sheet'!Z7)</f>
        <v>0</v>
      </c>
      <c r="AB10" s="78">
        <f>('Balance Sheet'!AB28-'Balance Sheet'!AA28)+('Balance Sheet'!AB31-'Balance Sheet'!AA31)-('Balance Sheet'!AB7-'Balance Sheet'!AA7)</f>
        <v>0</v>
      </c>
      <c r="AC10" s="78">
        <f>('Balance Sheet'!AC28-'Balance Sheet'!AB28)+('Balance Sheet'!AC31-'Balance Sheet'!AB31)-('Balance Sheet'!AC7-'Balance Sheet'!AB7)</f>
        <v>0</v>
      </c>
      <c r="AD10" s="78">
        <f>('Balance Sheet'!AD28-'Balance Sheet'!AC28)+('Balance Sheet'!AD31-'Balance Sheet'!AC31)-('Balance Sheet'!AD7-'Balance Sheet'!AC7)</f>
        <v>0</v>
      </c>
      <c r="AE10" s="79">
        <f>('Balance Sheet'!AE28-'Balance Sheet'!Z28)+('Balance Sheet'!AE31-'Balance Sheet'!Z31)-('Balance Sheet'!AE7-'Balance Sheet'!Z7)</f>
        <v>0</v>
      </c>
      <c r="AF10" s="78">
        <f>('Balance Sheet'!AF28-'Balance Sheet'!AE28)+('Balance Sheet'!AF31-'Balance Sheet'!AE31)-('Balance Sheet'!AF7-'Balance Sheet'!AE7)</f>
        <v>0</v>
      </c>
      <c r="AG10" s="78">
        <f>('Balance Sheet'!AG28-'Balance Sheet'!AF28)+('Balance Sheet'!AG31-'Balance Sheet'!AF31)-('Balance Sheet'!AG7-'Balance Sheet'!AF7)</f>
        <v>0</v>
      </c>
      <c r="AH10" s="78">
        <f>('Balance Sheet'!AH28-'Balance Sheet'!AG28)+('Balance Sheet'!AH31-'Balance Sheet'!AG31)-('Balance Sheet'!AH7-'Balance Sheet'!AG7)</f>
        <v>0</v>
      </c>
      <c r="AI10" s="78">
        <f>('Balance Sheet'!AI28-'Balance Sheet'!AH28)+('Balance Sheet'!AI31-'Balance Sheet'!AH31)-('Balance Sheet'!AI7-'Balance Sheet'!AH7)</f>
        <v>82372.712</v>
      </c>
      <c r="AJ10" s="79">
        <f>('Balance Sheet'!AJ28-'Balance Sheet'!AE28)+('Balance Sheet'!AJ31-'Balance Sheet'!AE31)-('Balance Sheet'!AJ7-'Balance Sheet'!AE7)</f>
        <v>82372.712</v>
      </c>
      <c r="AK10" s="78">
        <f>('Balance Sheet'!AK28-'Balance Sheet'!AJ28)+('Balance Sheet'!AK31-'Balance Sheet'!AJ31)-('Balance Sheet'!AK7-'Balance Sheet'!AJ7)</f>
        <v>-82372.712</v>
      </c>
      <c r="AL10" s="78">
        <f>('Balance Sheet'!AL28-'Balance Sheet'!AK28)+('Balance Sheet'!AL31-'Balance Sheet'!AK31)-('Balance Sheet'!AL7-'Balance Sheet'!AK7)</f>
        <v>0</v>
      </c>
      <c r="AM10" s="78">
        <f>('Balance Sheet'!AM28-'Balance Sheet'!AL28)+('Balance Sheet'!AM31-'Balance Sheet'!AL31)-('Balance Sheet'!AM7-'Balance Sheet'!AL7)</f>
        <v>0</v>
      </c>
      <c r="AN10" s="78">
        <f>('Balance Sheet'!AN28-'Balance Sheet'!AM28)+('Balance Sheet'!AN31-'Balance Sheet'!AM31)-('Balance Sheet'!AN7-'Balance Sheet'!AM7)</f>
        <v>147719.47</v>
      </c>
      <c r="AO10" s="79">
        <f>('Balance Sheet'!AO28-'Balance Sheet'!AJ28)+('Balance Sheet'!AO31-'Balance Sheet'!AJ31)-('Balance Sheet'!AO7-'Balance Sheet'!AJ7)</f>
        <v>65346.758000000016</v>
      </c>
      <c r="AP10" s="78">
        <f>('Balance Sheet'!AP28-'Balance Sheet'!AO28)+('Balance Sheet'!AP31-'Balance Sheet'!AO31)-('Balance Sheet'!AP7-'Balance Sheet'!AO7)</f>
        <v>-147719.47</v>
      </c>
      <c r="AQ10" s="78">
        <f>('Balance Sheet'!AQ28-'Balance Sheet'!AP28)+('Balance Sheet'!AQ31-'Balance Sheet'!AP31)-('Balance Sheet'!AQ7-'Balance Sheet'!AP7)</f>
        <v>0</v>
      </c>
      <c r="AR10" s="78">
        <f>('Balance Sheet'!AR28-'Balance Sheet'!AQ28)+('Balance Sheet'!AR31-'Balance Sheet'!AQ31)-('Balance Sheet'!AR7-'Balance Sheet'!AQ7)</f>
        <v>0</v>
      </c>
      <c r="AS10" s="78">
        <f>('Balance Sheet'!AS28-'Balance Sheet'!AR28)+('Balance Sheet'!AS31-'Balance Sheet'!AR31)-('Balance Sheet'!AS7-'Balance Sheet'!AR7)</f>
        <v>98943.024000000005</v>
      </c>
      <c r="AT10" s="79">
        <f>('Balance Sheet'!AT28-'Balance Sheet'!AO28)+('Balance Sheet'!AT31-'Balance Sheet'!AO31)-('Balance Sheet'!AT7-'Balance Sheet'!AO7)</f>
        <v>-48776.446000000011</v>
      </c>
      <c r="AU10" s="78">
        <f>('Balance Sheet'!AU28-'Balance Sheet'!AT28)+('Balance Sheet'!AU31-'Balance Sheet'!AT31)-('Balance Sheet'!AU7-'Balance Sheet'!AT7)</f>
        <v>-98943.024000000005</v>
      </c>
      <c r="AV10" s="78">
        <f>('Balance Sheet'!AV28-'Balance Sheet'!AU28)+('Balance Sheet'!AV31-'Balance Sheet'!AU31)-('Balance Sheet'!AV7-'Balance Sheet'!AU7)</f>
        <v>0</v>
      </c>
      <c r="AW10" s="78">
        <f>('Balance Sheet'!AW28-'Balance Sheet'!AV28)+('Balance Sheet'!AW31-'Balance Sheet'!AV31)-('Balance Sheet'!AW7-'Balance Sheet'!AV7)</f>
        <v>0</v>
      </c>
      <c r="AX10" s="78">
        <f>('Balance Sheet'!AX28-'Balance Sheet'!AW28)+('Balance Sheet'!AX31-'Balance Sheet'!AW31)-('Balance Sheet'!AX7-'Balance Sheet'!AW7)</f>
        <v>100778</v>
      </c>
      <c r="AY10" s="79">
        <f>('Balance Sheet'!AY28-'Balance Sheet'!AT28)+('Balance Sheet'!AY31-'Balance Sheet'!AT31)-('Balance Sheet'!AY7-'Balance Sheet'!AT7)</f>
        <v>1834.9759999999933</v>
      </c>
      <c r="AZ10" s="78">
        <f>('Balance Sheet'!AZ28-'Balance Sheet'!AY28)+('Balance Sheet'!AZ31-'Balance Sheet'!AY31)-('Balance Sheet'!AZ7-'Balance Sheet'!AY7)</f>
        <v>-100778</v>
      </c>
      <c r="BA10" s="78">
        <f>('Balance Sheet'!BA28-'Balance Sheet'!AZ28)+('Balance Sheet'!BA31-'Balance Sheet'!AZ31)-('Balance Sheet'!BA7-'Balance Sheet'!AZ7)</f>
        <v>0</v>
      </c>
      <c r="BB10" s="78">
        <f>('Balance Sheet'!BB28-'Balance Sheet'!BA28)+('Balance Sheet'!BB31-'Balance Sheet'!BA31)-('Balance Sheet'!BB7-'Balance Sheet'!BA7)</f>
        <v>0</v>
      </c>
      <c r="BC10" s="78">
        <f>('Balance Sheet'!BC28-'Balance Sheet'!BB28)+('Balance Sheet'!BC31-'Balance Sheet'!BB31)-('Balance Sheet'!BC7-'Balance Sheet'!BB7)</f>
        <v>142591</v>
      </c>
      <c r="BD10" s="79">
        <f>('Balance Sheet'!BD28-'Balance Sheet'!AY28)+('Balance Sheet'!BD31-'Balance Sheet'!AY31)-('Balance Sheet'!BD7-'Balance Sheet'!AY7)</f>
        <v>41813</v>
      </c>
      <c r="BE10" s="78">
        <f>('Balance Sheet'!BE28-'Balance Sheet'!BD28)+('Balance Sheet'!BE31-'Balance Sheet'!BD31)-('Balance Sheet'!BE7-'Balance Sheet'!BD7)</f>
        <v>-142591</v>
      </c>
      <c r="BF10" s="78">
        <f>('Balance Sheet'!BF28-'Balance Sheet'!BE28)+('Balance Sheet'!BF31-'Balance Sheet'!BE31)-('Balance Sheet'!BF7-'Balance Sheet'!BE7)</f>
        <v>0</v>
      </c>
      <c r="BG10" s="78">
        <f>('Balance Sheet'!BG28-'Balance Sheet'!BF28)+('Balance Sheet'!BG31-'Balance Sheet'!BF31)-('Balance Sheet'!BG7-'Balance Sheet'!BF7)</f>
        <v>0</v>
      </c>
      <c r="BH10" s="78">
        <f>('Balance Sheet'!BH28-'Balance Sheet'!BG28)+('Balance Sheet'!BH31-'Balance Sheet'!BG31)-('Balance Sheet'!BH7-'Balance Sheet'!BG7)</f>
        <v>164698</v>
      </c>
      <c r="BI10" s="79">
        <f>('Balance Sheet'!BI28-'Balance Sheet'!BD28)+('Balance Sheet'!BI31-'Balance Sheet'!BD31)-('Balance Sheet'!BI7-'Balance Sheet'!BD7)</f>
        <v>22107</v>
      </c>
      <c r="BJ10" s="78">
        <f>('Balance Sheet'!BJ28-'Balance Sheet'!BI28)+('Balance Sheet'!BJ31-'Balance Sheet'!BI31)-('Balance Sheet'!BJ7-'Balance Sheet'!BI7)</f>
        <v>-164698</v>
      </c>
      <c r="BK10" s="78">
        <f>('Balance Sheet'!BK28-'Balance Sheet'!BJ28)+('Balance Sheet'!BK31-'Balance Sheet'!BJ31)-('Balance Sheet'!BK7-'Balance Sheet'!BJ7)</f>
        <v>0</v>
      </c>
      <c r="BL10" s="78">
        <f>('Balance Sheet'!BL28-'Balance Sheet'!BK28)+('Balance Sheet'!BL31-'Balance Sheet'!BK31)-('Balance Sheet'!BL7-'Balance Sheet'!BK7)</f>
        <v>0</v>
      </c>
      <c r="BM10" s="78">
        <f>('Balance Sheet'!BM28-'Balance Sheet'!BL28)+('Balance Sheet'!BM31-'Balance Sheet'!BL31)-('Balance Sheet'!BM7-'Balance Sheet'!BL7)</f>
        <v>201293</v>
      </c>
      <c r="BN10" s="79">
        <f>('Balance Sheet'!BN28-'Balance Sheet'!BI28)+('Balance Sheet'!BN31-'Balance Sheet'!BI31)-('Balance Sheet'!BN7-'Balance Sheet'!BI7)</f>
        <v>36595</v>
      </c>
      <c r="BO10" s="78">
        <f>('Balance Sheet'!BO28-'Balance Sheet'!BN28)+('Balance Sheet'!BO31-'Balance Sheet'!BN31)-('Balance Sheet'!BO7-'Balance Sheet'!BN7)</f>
        <v>-201293</v>
      </c>
      <c r="BP10" s="78">
        <f>('Balance Sheet'!BP28-'Balance Sheet'!BO28)+('Balance Sheet'!BP31-'Balance Sheet'!BO31)-('Balance Sheet'!BP7-'Balance Sheet'!BO7)</f>
        <v>0</v>
      </c>
      <c r="BQ10" s="78">
        <f>('Balance Sheet'!BQ28-'Balance Sheet'!BP28)+('Balance Sheet'!BQ31-'Balance Sheet'!BP31)-('Balance Sheet'!BQ7-'Balance Sheet'!BP7)</f>
        <v>0</v>
      </c>
      <c r="BR10" s="78">
        <f>('Balance Sheet'!BR28-'Balance Sheet'!BQ28)+('Balance Sheet'!BR31-'Balance Sheet'!BQ31)-('Balance Sheet'!BR7-'Balance Sheet'!BQ7)</f>
        <v>205498</v>
      </c>
      <c r="BS10" s="79">
        <f>('Balance Sheet'!BS28-'Balance Sheet'!BN28)+('Balance Sheet'!BS31-'Balance Sheet'!BN31)-('Balance Sheet'!BS7-'Balance Sheet'!BN7)</f>
        <v>4205</v>
      </c>
      <c r="BT10" s="78">
        <f>('Balance Sheet'!BT28-'Balance Sheet'!BS28)+('Balance Sheet'!BT31-'Balance Sheet'!BS31)-('Balance Sheet'!BT7-'Balance Sheet'!BS7)</f>
        <v>-205498</v>
      </c>
      <c r="BU10" s="78">
        <f>('Balance Sheet'!BU28-'Balance Sheet'!BT28)+('Balance Sheet'!BU31-'Balance Sheet'!BT31)-('Balance Sheet'!BU7-'Balance Sheet'!BT7)</f>
        <v>0</v>
      </c>
      <c r="BV10" s="78">
        <f>('Balance Sheet'!BV28-'Balance Sheet'!BU28)+('Balance Sheet'!BV31-'Balance Sheet'!BU31)-('Balance Sheet'!BV7-'Balance Sheet'!BU7)</f>
        <v>0</v>
      </c>
      <c r="BW10" s="78">
        <f>('Balance Sheet'!BW28-'Balance Sheet'!BV28)+('Balance Sheet'!BW31-'Balance Sheet'!BV31)-('Balance Sheet'!BW7-'Balance Sheet'!BV7)</f>
        <v>276627</v>
      </c>
      <c r="BX10" s="79">
        <f>('Balance Sheet'!BX28-'Balance Sheet'!BS28)+('Balance Sheet'!BX31-'Balance Sheet'!BS31)-('Balance Sheet'!BX7-'Balance Sheet'!BS7)</f>
        <v>71129</v>
      </c>
      <c r="BY10" s="78">
        <f>('Balance Sheet'!BY28-'Balance Sheet'!BX28)+('Balance Sheet'!BY31-'Balance Sheet'!BX31)-('Balance Sheet'!BY7-'Balance Sheet'!BX7)</f>
        <v>-276627</v>
      </c>
      <c r="BZ10" s="78">
        <f>('Balance Sheet'!BZ28-'Balance Sheet'!BY28)+('Balance Sheet'!BZ31-'Balance Sheet'!BY31)-('Balance Sheet'!BZ7-'Balance Sheet'!BY7)</f>
        <v>0</v>
      </c>
      <c r="CA10" s="78">
        <f>('Balance Sheet'!CA28-'Balance Sheet'!BZ28)+('Balance Sheet'!CA31-'Balance Sheet'!BZ31)-('Balance Sheet'!CA7-'Balance Sheet'!BZ7)</f>
        <v>0</v>
      </c>
      <c r="CB10" s="78">
        <f>('Balance Sheet'!CB28-'Balance Sheet'!CA28)+('Balance Sheet'!CB31-'Balance Sheet'!CA31)-('Balance Sheet'!CB7-'Balance Sheet'!CA7)</f>
        <v>283829</v>
      </c>
      <c r="CC10" s="79">
        <f>('Balance Sheet'!CC28-'Balance Sheet'!BX28)+('Balance Sheet'!CC31-'Balance Sheet'!BX31)-('Balance Sheet'!CC7-'Balance Sheet'!BX7)</f>
        <v>7202</v>
      </c>
      <c r="CD10" s="78">
        <f>('Balance Sheet'!CD28-'Balance Sheet'!CC28)+('Balance Sheet'!CD31-'Balance Sheet'!CC31)-('Balance Sheet'!CD7-'Balance Sheet'!CC7)</f>
        <v>-2234</v>
      </c>
      <c r="CE10" s="78">
        <f>('Balance Sheet'!CE28-'Balance Sheet'!CD28)+('Balance Sheet'!CE31-'Balance Sheet'!CD31)-('Balance Sheet'!CE7-'Balance Sheet'!CD7)</f>
        <v>33964</v>
      </c>
      <c r="CF10" s="78">
        <f>('Balance Sheet'!CF28-'Balance Sheet'!CE28)+('Balance Sheet'!CF31-'Balance Sheet'!CE31)-('Balance Sheet'!CF7-'Balance Sheet'!CE7)</f>
        <v>-34393</v>
      </c>
      <c r="CG10" s="78">
        <f>('Balance Sheet'!CG28-'Balance Sheet'!CF28)+('Balance Sheet'!CG31-'Balance Sheet'!CF31)-('Balance Sheet'!CG7-'Balance Sheet'!CF7)</f>
        <v>-9148</v>
      </c>
      <c r="CH10" s="79">
        <f>('Balance Sheet'!CH28-'Balance Sheet'!CC28)+('Balance Sheet'!CH31-'Balance Sheet'!CC31)-('Balance Sheet'!CH7-'Balance Sheet'!CC7)</f>
        <v>-11811</v>
      </c>
      <c r="CI10" s="78">
        <f>('Balance Sheet'!CI28-'Balance Sheet'!CH28)+('Balance Sheet'!CI31-'Balance Sheet'!CH31)-('Balance Sheet'!CI7-'Balance Sheet'!CH7)</f>
        <v>-2710</v>
      </c>
      <c r="CJ10" s="78">
        <f>('Balance Sheet'!CJ28-'Balance Sheet'!CI28)+('Balance Sheet'!CJ31-'Balance Sheet'!CI31)-('Balance Sheet'!CJ7-'Balance Sheet'!CI7)</f>
        <v>-3042</v>
      </c>
      <c r="CK10" s="78">
        <f>('Balance Sheet'!CK28-'Balance Sheet'!CJ28)+('Balance Sheet'!CK31-'Balance Sheet'!CJ31)-('Balance Sheet'!CK7-'Balance Sheet'!CJ7)</f>
        <v>119922</v>
      </c>
      <c r="CL10" s="78">
        <f>('Balance Sheet'!CL28-'Balance Sheet'!CK28)+('Balance Sheet'!CL31-'Balance Sheet'!CK31)-('Balance Sheet'!CL7-'Balance Sheet'!CK7)</f>
        <v>719</v>
      </c>
      <c r="CM10" s="79">
        <f>('Balance Sheet'!CM28-'Balance Sheet'!CH28)+('Balance Sheet'!CM31-'Balance Sheet'!CH31)-('Balance Sheet'!CM7-'Balance Sheet'!CH7)</f>
        <v>114889</v>
      </c>
      <c r="CN10" s="78">
        <f>('Balance Sheet'!CN28-'Balance Sheet'!CM28)+('Balance Sheet'!CN31-'Balance Sheet'!CM31)-('Balance Sheet'!CN7-'Balance Sheet'!CM7)</f>
        <v>-490</v>
      </c>
      <c r="CO10" s="78">
        <f>('Balance Sheet'!CO28-'Balance Sheet'!CN28)+('Balance Sheet'!CO31-'Balance Sheet'!CN31)-('Balance Sheet'!CO7-'Balance Sheet'!CN7)</f>
        <v>7831</v>
      </c>
      <c r="CP10" s="78">
        <f>('Balance Sheet'!CP28-'Balance Sheet'!CO28)+('Balance Sheet'!CP31-'Balance Sheet'!CO31)-('Balance Sheet'!CP7-'Balance Sheet'!CO7)</f>
        <v>57418</v>
      </c>
      <c r="CQ10" s="78">
        <f>('Balance Sheet'!CQ28-'Balance Sheet'!CP28)+('Balance Sheet'!CQ31-'Balance Sheet'!CP31)-('Balance Sheet'!CQ7-'Balance Sheet'!CP7)</f>
        <v>24249</v>
      </c>
      <c r="CR10" s="79">
        <f>('Balance Sheet'!CR28-'Balance Sheet'!CM28)+('Balance Sheet'!CR31-'Balance Sheet'!CM31)-('Balance Sheet'!CR7-'Balance Sheet'!CM7)</f>
        <v>89008</v>
      </c>
      <c r="CS10" s="78">
        <f>('Balance Sheet'!CS28-'Balance Sheet'!CR28)+('Balance Sheet'!CS31-'Balance Sheet'!CR31)-('Balance Sheet'!CS7-'Balance Sheet'!CR7)</f>
        <v>-6388</v>
      </c>
      <c r="CT10" s="78">
        <f>('Balance Sheet'!CT28-'Balance Sheet'!CS28)+('Balance Sheet'!CT31-'Balance Sheet'!CS31)-('Balance Sheet'!CT7-'Balance Sheet'!CS7)</f>
        <v>20860</v>
      </c>
      <c r="CU10" s="78">
        <f>('Balance Sheet'!CU28-'Balance Sheet'!CT28)+('Balance Sheet'!CU31-'Balance Sheet'!CT31)-('Balance Sheet'!CU7-'Balance Sheet'!CT7)</f>
        <v>146277</v>
      </c>
      <c r="CV10" s="78">
        <f>('Balance Sheet'!CV28-'Balance Sheet'!CU28)+('Balance Sheet'!CV31-'Balance Sheet'!CU31)-('Balance Sheet'!CV7-'Balance Sheet'!CU7)</f>
        <v>-36189</v>
      </c>
      <c r="CW10" s="79">
        <f>('Balance Sheet'!CW28-'Balance Sheet'!CR28)+('Balance Sheet'!CW31-'Balance Sheet'!CR31)-('Balance Sheet'!CW7-'Balance Sheet'!CR7)</f>
        <v>124560</v>
      </c>
      <c r="CX10" s="78">
        <f>('Balance Sheet'!CX28-'Balance Sheet'!CW28)+('Balance Sheet'!CX31-'Balance Sheet'!CW31)-('Balance Sheet'!CX7-'Balance Sheet'!CW7)</f>
        <v>-15620</v>
      </c>
      <c r="CY10" s="78">
        <f>('Balance Sheet'!CY28-'Balance Sheet'!CX28)+('Balance Sheet'!CY31-'Balance Sheet'!CX31)-('Balance Sheet'!CY7-'Balance Sheet'!CX7)</f>
        <v>475015</v>
      </c>
      <c r="CZ10" s="78">
        <f>('Balance Sheet'!CZ28-'Balance Sheet'!CY28)+('Balance Sheet'!CZ31-'Balance Sheet'!CY31)-('Balance Sheet'!CZ7-'Balance Sheet'!CY7)</f>
        <v>24219</v>
      </c>
      <c r="DA10" s="78">
        <f>('Balance Sheet'!DA28-'Balance Sheet'!CZ28)+('Balance Sheet'!DA31-'Balance Sheet'!CZ31)-('Balance Sheet'!DA7-'Balance Sheet'!CZ7)</f>
        <v>-117518</v>
      </c>
      <c r="DB10" s="79">
        <f>('Balance Sheet'!DB28-'Balance Sheet'!CW28)+('Balance Sheet'!DB31-'Balance Sheet'!CW31)-('Balance Sheet'!DB7-'Balance Sheet'!CW7)</f>
        <v>366096</v>
      </c>
      <c r="DC10" s="78">
        <f>('Balance Sheet'!DC28-'Balance Sheet'!DB28)+('Balance Sheet'!DC31-'Balance Sheet'!DB31)-('Balance Sheet'!DC7-'Balance Sheet'!DB7)</f>
        <v>300475</v>
      </c>
      <c r="DD10" s="78">
        <f>('Balance Sheet'!DD28-'Balance Sheet'!DC28)+('Balance Sheet'!DD31-'Balance Sheet'!DC31)-('Balance Sheet'!DD7-'Balance Sheet'!DC7)</f>
        <v>16615</v>
      </c>
      <c r="DE10" s="78">
        <f>('Balance Sheet'!DE28-'Balance Sheet'!DD28)+('Balance Sheet'!DE31-'Balance Sheet'!DD31)-('Balance Sheet'!DE7-'Balance Sheet'!DD7)</f>
        <v>26989</v>
      </c>
      <c r="DF10" s="78">
        <f>('Balance Sheet'!DF28-'Balance Sheet'!DE28)+('Balance Sheet'!DF31-'Balance Sheet'!DE31)-('Balance Sheet'!DF7-'Balance Sheet'!DE7)</f>
        <v>152344</v>
      </c>
      <c r="DG10" s="79">
        <f>('Balance Sheet'!DG28-'Balance Sheet'!DB28)+('Balance Sheet'!DG31-'Balance Sheet'!DB31)-('Balance Sheet'!DG7-'Balance Sheet'!DB7)</f>
        <v>496423</v>
      </c>
      <c r="DH10" s="78">
        <f>('Balance Sheet'!DH28-'Balance Sheet'!DG28)+('Balance Sheet'!DH31-'Balance Sheet'!DG31)-('Balance Sheet'!DH7-'Balance Sheet'!DG7)</f>
        <v>-130443</v>
      </c>
      <c r="DI10" s="78">
        <f>('Balance Sheet'!DI28-'Balance Sheet'!DH28)+('Balance Sheet'!DI31-'Balance Sheet'!DH31)-('Balance Sheet'!DI7-'Balance Sheet'!DH7)</f>
        <v>-7687</v>
      </c>
      <c r="DJ10" s="78">
        <f>('Balance Sheet'!DJ28-'Balance Sheet'!DI28)+('Balance Sheet'!DJ31-'Balance Sheet'!DI31)-('Balance Sheet'!DJ7-'Balance Sheet'!DI7)</f>
        <v>52809.263325737789</v>
      </c>
      <c r="DK10" s="78">
        <f>('Balance Sheet'!DK28-'Balance Sheet'!DJ28)+('Balance Sheet'!DK31-'Balance Sheet'!DJ31)-('Balance Sheet'!DK7-'Balance Sheet'!DJ7)</f>
        <v>32811.644983015722</v>
      </c>
      <c r="DL10" s="79">
        <f>('Balance Sheet'!DL28-'Balance Sheet'!DG28)+('Balance Sheet'!DL31-'Balance Sheet'!DG31)-('Balance Sheet'!DL7-'Balance Sheet'!DG7)</f>
        <v>-52509.091691246489</v>
      </c>
      <c r="DM10" s="78">
        <f>('Balance Sheet'!DM28-'Balance Sheet'!DL28)+('Balance Sheet'!DM31-'Balance Sheet'!DL31)-('Balance Sheet'!DM7-'Balance Sheet'!DL7)</f>
        <v>-7373.9550051721744</v>
      </c>
      <c r="DN10" s="78">
        <f>('Balance Sheet'!DN28-'Balance Sheet'!DM28)+('Balance Sheet'!DN31-'Balance Sheet'!DM31)-('Balance Sheet'!DN7-'Balance Sheet'!DM7)</f>
        <v>44070.900677459547</v>
      </c>
      <c r="DO10" s="78">
        <f>('Balance Sheet'!DO28-'Balance Sheet'!DN28)+('Balance Sheet'!DO31-'Balance Sheet'!DN31)-('Balance Sheet'!DO7-'Balance Sheet'!DN7)</f>
        <v>37487.12732716254</v>
      </c>
      <c r="DP10" s="78">
        <f>('Balance Sheet'!DP28-'Balance Sheet'!DO28)+('Balance Sheet'!DP31-'Balance Sheet'!DO31)-('Balance Sheet'!DP7-'Balance Sheet'!DO7)</f>
        <v>34504.482456417754</v>
      </c>
      <c r="DQ10" s="79">
        <f>('Balance Sheet'!DQ28-'Balance Sheet'!DL28)+('Balance Sheet'!DQ31-'Balance Sheet'!DL31)-('Balance Sheet'!DQ7-'Balance Sheet'!DL7)</f>
        <v>108688.55545586767</v>
      </c>
      <c r="DR10" s="78">
        <f>('Balance Sheet'!DR28-'Balance Sheet'!DQ28)+('Balance Sheet'!DR31-'Balance Sheet'!DQ31)-('Balance Sheet'!DR7-'Balance Sheet'!DQ7)</f>
        <v>32372.403060745681</v>
      </c>
      <c r="DS10" s="78">
        <f>('Balance Sheet'!DS28-'Balance Sheet'!DR28)+('Balance Sheet'!DS31-'Balance Sheet'!DR31)-('Balance Sheet'!DS7-'Balance Sheet'!DR7)</f>
        <v>30805.419528527185</v>
      </c>
      <c r="DT10" s="78">
        <f>('Balance Sheet'!DT28-'Balance Sheet'!DS28)+('Balance Sheet'!DT31-'Balance Sheet'!DS31)-('Balance Sheet'!DT7-'Balance Sheet'!DS7)</f>
        <v>29598.180256271968</v>
      </c>
      <c r="DU10" s="78">
        <f>('Balance Sheet'!DU28-'Balance Sheet'!DT28)+('Balance Sheet'!DU31-'Balance Sheet'!DT31)-('Balance Sheet'!DU7-'Balance Sheet'!DT7)</f>
        <v>28633.67800941621</v>
      </c>
      <c r="DV10" s="79">
        <f>('Balance Sheet'!DV28-'Balance Sheet'!DQ28)+('Balance Sheet'!DV31-'Balance Sheet'!DQ31)-('Balance Sheet'!DV7-'Balance Sheet'!DQ7)</f>
        <v>121409.68085496104</v>
      </c>
      <c r="DW10" s="78">
        <f>('Balance Sheet'!DW28-'Balance Sheet'!DV28)+('Balance Sheet'!DW31-'Balance Sheet'!DV31)-('Balance Sheet'!DW7-'Balance Sheet'!DV7)</f>
        <v>27842.874283770332</v>
      </c>
      <c r="DX10" s="78">
        <f>('Balance Sheet'!DX28-'Balance Sheet'!DW28)+('Balance Sheet'!DX31-'Balance Sheet'!DW31)-('Balance Sheet'!DX7-'Balance Sheet'!DW7)</f>
        <v>27183.781549426727</v>
      </c>
      <c r="DY10" s="78">
        <f>('Balance Sheet'!DY28-'Balance Sheet'!DX28)+('Balance Sheet'!DY31-'Balance Sheet'!DX31)-('Balance Sheet'!DY7-'Balance Sheet'!DX7)</f>
        <v>26629.773907067953</v>
      </c>
      <c r="DZ10" s="78">
        <f>('Balance Sheet'!DZ28-'Balance Sheet'!DY28)+('Balance Sheet'!DZ31-'Balance Sheet'!DY31)-('Balance Sheet'!DZ7-'Balance Sheet'!DY7)</f>
        <v>26163.071552656824</v>
      </c>
      <c r="EA10" s="79">
        <f>('Balance Sheet'!EA28-'Balance Sheet'!DV28)+('Balance Sheet'!EA31-'Balance Sheet'!DV31)-('Balance Sheet'!EA7-'Balance Sheet'!DV7)</f>
        <v>107819.50129292184</v>
      </c>
      <c r="EB10" s="78">
        <f>('Balance Sheet'!EB28-'Balance Sheet'!EA28)+('Balance Sheet'!EB31-'Balance Sheet'!EA31)-('Balance Sheet'!EB7-'Balance Sheet'!EA7)</f>
        <v>25771.09581244085</v>
      </c>
      <c r="EC10" s="78">
        <f>('Balance Sheet'!EC28-'Balance Sheet'!EB28)+('Balance Sheet'!EC31-'Balance Sheet'!EB31)-('Balance Sheet'!EC7-'Balance Sheet'!EB7)</f>
        <v>25444.41910264059</v>
      </c>
      <c r="ED10" s="78">
        <f>('Balance Sheet'!ED28-'Balance Sheet'!EC28)+('Balance Sheet'!ED31-'Balance Sheet'!EC31)-('Balance Sheet'!ED7-'Balance Sheet'!EC7)</f>
        <v>25175.602099021198</v>
      </c>
      <c r="EE10" s="78">
        <f>('Balance Sheet'!EE28-'Balance Sheet'!ED28)+('Balance Sheet'!EE31-'Balance Sheet'!ED31)-('Balance Sheet'!EE7-'Balance Sheet'!ED7)</f>
        <v>24958.525413942989</v>
      </c>
      <c r="EF10" s="79">
        <f>('Balance Sheet'!EF28-'Balance Sheet'!EA28)+('Balance Sheet'!EF31-'Balance Sheet'!EA31)-('Balance Sheet'!EF7-'Balance Sheet'!EA7)</f>
        <v>101349.64242804563</v>
      </c>
    </row>
    <row r="11" spans="1:136" ht="12" customHeight="1" outlineLevel="1">
      <c r="A11" s="1" t="s">
        <v>149</v>
      </c>
      <c r="B11" s="78" t="e">
        <f>('Balance Sheet'!B42-'Balance Sheet'!A42)+('Balance Sheet'!B43-'Balance Sheet'!A43)+('Balance Sheet'!B38-'Balance Sheet'!A38)-B4</f>
        <v>#VALUE!</v>
      </c>
      <c r="C11" s="78">
        <f>('Balance Sheet'!C42-'Balance Sheet'!B42)+('Balance Sheet'!C43-'Balance Sheet'!B43)+('Balance Sheet'!C38-'Balance Sheet'!B38)-C4</f>
        <v>0</v>
      </c>
      <c r="D11" s="78">
        <f>('Balance Sheet'!D42-'Balance Sheet'!C42)+('Balance Sheet'!D43-'Balance Sheet'!C43)+('Balance Sheet'!D38-'Balance Sheet'!C38)-D4</f>
        <v>0</v>
      </c>
      <c r="E11" s="78">
        <f>('Balance Sheet'!E42-'Balance Sheet'!D42)+('Balance Sheet'!E43-'Balance Sheet'!D43)+('Balance Sheet'!E38-'Balance Sheet'!D38)-E4</f>
        <v>0</v>
      </c>
      <c r="F11" s="79" t="e">
        <f>('Balance Sheet'!F42-'Balance Sheet'!A42)+('Balance Sheet'!F43-'Balance Sheet'!A43)+('Balance Sheet'!F38-'Balance Sheet'!A38)-F4</f>
        <v>#VALUE!</v>
      </c>
      <c r="G11" s="78">
        <f>('Balance Sheet'!G42-'Balance Sheet'!F42)+('Balance Sheet'!G43-'Balance Sheet'!F43)+('Balance Sheet'!G38-'Balance Sheet'!F38)-G4</f>
        <v>0</v>
      </c>
      <c r="H11" s="78">
        <f>('Balance Sheet'!H42-'Balance Sheet'!G42)+('Balance Sheet'!H43-'Balance Sheet'!G43)+('Balance Sheet'!H38-'Balance Sheet'!G38)-H4</f>
        <v>0</v>
      </c>
      <c r="I11" s="78">
        <f>('Balance Sheet'!I42-'Balance Sheet'!H42)+('Balance Sheet'!I43-'Balance Sheet'!H43)+('Balance Sheet'!I38-'Balance Sheet'!H38)-I4</f>
        <v>0</v>
      </c>
      <c r="J11" s="78">
        <f>('Balance Sheet'!J42-'Balance Sheet'!I42)+('Balance Sheet'!J43-'Balance Sheet'!I43)+('Balance Sheet'!J38-'Balance Sheet'!I38)-J4</f>
        <v>0</v>
      </c>
      <c r="K11" s="79">
        <f>('Balance Sheet'!K42-'Balance Sheet'!F42)+('Balance Sheet'!K43-'Balance Sheet'!F43)+('Balance Sheet'!K38-'Balance Sheet'!F38)-K4</f>
        <v>0</v>
      </c>
      <c r="L11" s="78">
        <f>('Balance Sheet'!L42-'Balance Sheet'!K42)+('Balance Sheet'!L43-'Balance Sheet'!K43)+('Balance Sheet'!L38-'Balance Sheet'!K38)-L4</f>
        <v>0</v>
      </c>
      <c r="M11" s="78">
        <f>('Balance Sheet'!M42-'Balance Sheet'!L42)+('Balance Sheet'!M43-'Balance Sheet'!L43)+('Balance Sheet'!M38-'Balance Sheet'!L38)-M4</f>
        <v>0</v>
      </c>
      <c r="N11" s="78">
        <f>('Balance Sheet'!N42-'Balance Sheet'!M42)+('Balance Sheet'!N43-'Balance Sheet'!M43)+('Balance Sheet'!N38-'Balance Sheet'!M38)-N4</f>
        <v>0</v>
      </c>
      <c r="O11" s="78">
        <f>('Balance Sheet'!O42-'Balance Sheet'!N42)+('Balance Sheet'!O43-'Balance Sheet'!N43)+('Balance Sheet'!O38-'Balance Sheet'!N38)-O4</f>
        <v>0</v>
      </c>
      <c r="P11" s="79">
        <f>('Balance Sheet'!P42-'Balance Sheet'!K42)+('Balance Sheet'!P43-'Balance Sheet'!K43)+('Balance Sheet'!P38-'Balance Sheet'!K38)-P4</f>
        <v>0</v>
      </c>
      <c r="Q11" s="78">
        <f>('Balance Sheet'!Q42-'Balance Sheet'!P42)+('Balance Sheet'!Q43-'Balance Sheet'!P43)+('Balance Sheet'!Q38-'Balance Sheet'!P38)-Q4</f>
        <v>0</v>
      </c>
      <c r="R11" s="78">
        <f>('Balance Sheet'!R42-'Balance Sheet'!Q42)+('Balance Sheet'!R43-'Balance Sheet'!Q43)+('Balance Sheet'!R38-'Balance Sheet'!Q38)-R4</f>
        <v>0</v>
      </c>
      <c r="S11" s="78">
        <f>('Balance Sheet'!S42-'Balance Sheet'!R42)+('Balance Sheet'!S43-'Balance Sheet'!R43)+('Balance Sheet'!S38-'Balance Sheet'!R38)-S4</f>
        <v>0</v>
      </c>
      <c r="T11" s="78">
        <f>('Balance Sheet'!T42-'Balance Sheet'!S42)+('Balance Sheet'!T43-'Balance Sheet'!S43)+('Balance Sheet'!T38-'Balance Sheet'!S38)-T4</f>
        <v>0</v>
      </c>
      <c r="U11" s="79">
        <f>('Balance Sheet'!U42-'Balance Sheet'!P42)+('Balance Sheet'!U43-'Balance Sheet'!P43)+('Balance Sheet'!U38-'Balance Sheet'!P38)-U4</f>
        <v>0</v>
      </c>
      <c r="V11" s="78">
        <f>('Balance Sheet'!V42-'Balance Sheet'!U42)+('Balance Sheet'!V43-'Balance Sheet'!U43)+('Balance Sheet'!V38-'Balance Sheet'!U38)-V4</f>
        <v>0</v>
      </c>
      <c r="W11" s="78">
        <f>('Balance Sheet'!W42-'Balance Sheet'!V42)+('Balance Sheet'!W43-'Balance Sheet'!V43)+('Balance Sheet'!W38-'Balance Sheet'!V38)-W4</f>
        <v>0</v>
      </c>
      <c r="X11" s="78">
        <f>('Balance Sheet'!X42-'Balance Sheet'!W42)+('Balance Sheet'!X43-'Balance Sheet'!W43)+('Balance Sheet'!X38-'Balance Sheet'!W38)-X4</f>
        <v>0</v>
      </c>
      <c r="Y11" s="78">
        <f>('Balance Sheet'!Y42-'Balance Sheet'!X42)+('Balance Sheet'!Y43-'Balance Sheet'!X43)+('Balance Sheet'!Y38-'Balance Sheet'!X38)-Y4</f>
        <v>0</v>
      </c>
      <c r="Z11" s="79">
        <f>('Balance Sheet'!Z42-'Balance Sheet'!U42)+('Balance Sheet'!Z43-'Balance Sheet'!U43)+('Balance Sheet'!Z38-'Balance Sheet'!U38)-Z4</f>
        <v>0</v>
      </c>
      <c r="AA11" s="78">
        <f>('Balance Sheet'!AA42-'Balance Sheet'!Z42)+('Balance Sheet'!AA43-'Balance Sheet'!Z43)+('Balance Sheet'!AA38-'Balance Sheet'!Z38)-AA4</f>
        <v>0</v>
      </c>
      <c r="AB11" s="78">
        <f>('Balance Sheet'!AB42-'Balance Sheet'!AA42)+('Balance Sheet'!AB43-'Balance Sheet'!AA43)+('Balance Sheet'!AB38-'Balance Sheet'!AA38)-AB4</f>
        <v>0</v>
      </c>
      <c r="AC11" s="78">
        <f>('Balance Sheet'!AC42-'Balance Sheet'!AB42)+('Balance Sheet'!AC43-'Balance Sheet'!AB43)+('Balance Sheet'!AC38-'Balance Sheet'!AB38)-AC4</f>
        <v>0</v>
      </c>
      <c r="AD11" s="78">
        <f>('Balance Sheet'!AD42-'Balance Sheet'!AC42)+('Balance Sheet'!AD43-'Balance Sheet'!AC43)+('Balance Sheet'!AD38-'Balance Sheet'!AC38)-AD4</f>
        <v>0</v>
      </c>
      <c r="AE11" s="79">
        <f>('Balance Sheet'!AE42-'Balance Sheet'!Z42)+('Balance Sheet'!AE43-'Balance Sheet'!Z43)+('Balance Sheet'!AE38-'Balance Sheet'!Z38)-AE4</f>
        <v>0</v>
      </c>
      <c r="AF11" s="78">
        <f>('Balance Sheet'!AF42-'Balance Sheet'!AE42)+('Balance Sheet'!AF43-'Balance Sheet'!AE43)+('Balance Sheet'!AF38-'Balance Sheet'!AE38)-AF4</f>
        <v>0</v>
      </c>
      <c r="AG11" s="78">
        <f>('Balance Sheet'!AG42-'Balance Sheet'!AF42)+('Balance Sheet'!AG43-'Balance Sheet'!AF43)+('Balance Sheet'!AG38-'Balance Sheet'!AF38)-AG4</f>
        <v>0</v>
      </c>
      <c r="AH11" s="78">
        <f>('Balance Sheet'!AH42-'Balance Sheet'!AG42)+('Balance Sheet'!AH43-'Balance Sheet'!AG43)+('Balance Sheet'!AH38-'Balance Sheet'!AG38)-AH4</f>
        <v>0</v>
      </c>
      <c r="AI11" s="78">
        <f>('Balance Sheet'!AI42-'Balance Sheet'!AH42)+('Balance Sheet'!AI43-'Balance Sheet'!AH43)+('Balance Sheet'!AI38-'Balance Sheet'!AH38)-AI4</f>
        <v>82664.347999999969</v>
      </c>
      <c r="AJ11" s="79">
        <f>('Balance Sheet'!AJ42-'Balance Sheet'!AE42)+('Balance Sheet'!AJ43-'Balance Sheet'!AE43)+('Balance Sheet'!AJ38-'Balance Sheet'!AE38)-AJ4</f>
        <v>82664.347999999969</v>
      </c>
      <c r="AK11" s="78">
        <f>('Balance Sheet'!AK42-'Balance Sheet'!AJ42)+('Balance Sheet'!AK43-'Balance Sheet'!AJ43)+('Balance Sheet'!AK38-'Balance Sheet'!AJ38)-AK4</f>
        <v>-134762.11499999999</v>
      </c>
      <c r="AL11" s="78">
        <f>('Balance Sheet'!AL42-'Balance Sheet'!AK42)+('Balance Sheet'!AL43-'Balance Sheet'!AK43)+('Balance Sheet'!AL38-'Balance Sheet'!AK38)-AL4</f>
        <v>0</v>
      </c>
      <c r="AM11" s="78">
        <f>('Balance Sheet'!AM42-'Balance Sheet'!AL42)+('Balance Sheet'!AM43-'Balance Sheet'!AL43)+('Balance Sheet'!AM38-'Balance Sheet'!AL38)-AM4</f>
        <v>0</v>
      </c>
      <c r="AN11" s="78">
        <f>('Balance Sheet'!AN42-'Balance Sheet'!AM42)+('Balance Sheet'!AN43-'Balance Sheet'!AM43)+('Balance Sheet'!AN38-'Balance Sheet'!AM38)-AN4</f>
        <v>122962.71100000001</v>
      </c>
      <c r="AO11" s="79">
        <f>('Balance Sheet'!AO42-'Balance Sheet'!AJ42)+('Balance Sheet'!AO43-'Balance Sheet'!AJ43)+('Balance Sheet'!AO38-'Balance Sheet'!AJ38)-AO4</f>
        <v>-11799.40400000001</v>
      </c>
      <c r="AP11" s="78">
        <f>('Balance Sheet'!AP42-'Balance Sheet'!AO42)+('Balance Sheet'!AP43-'Balance Sheet'!AO43)+('Balance Sheet'!AP38-'Balance Sheet'!AO38)-AP4</f>
        <v>-212965.584</v>
      </c>
      <c r="AQ11" s="78">
        <f>('Balance Sheet'!AQ42-'Balance Sheet'!AP42)+('Balance Sheet'!AQ43-'Balance Sheet'!AP43)+('Balance Sheet'!AQ38-'Balance Sheet'!AP38)-AQ4</f>
        <v>0</v>
      </c>
      <c r="AR11" s="78">
        <f>('Balance Sheet'!AR42-'Balance Sheet'!AQ42)+('Balance Sheet'!AR43-'Balance Sheet'!AQ43)+('Balance Sheet'!AR38-'Balance Sheet'!AQ38)-AR4</f>
        <v>0</v>
      </c>
      <c r="AS11" s="78">
        <f>('Balance Sheet'!AS42-'Balance Sheet'!AR42)+('Balance Sheet'!AS43-'Balance Sheet'!AR43)+('Balance Sheet'!AS38-'Balance Sheet'!AR38)-AS4</f>
        <v>288970.48199999996</v>
      </c>
      <c r="AT11" s="79">
        <f>('Balance Sheet'!AT42-'Balance Sheet'!AO42)+('Balance Sheet'!AT43-'Balance Sheet'!AO43)+('Balance Sheet'!AT38-'Balance Sheet'!AO38)-AT4</f>
        <v>76004.898000000016</v>
      </c>
      <c r="AU11" s="78">
        <f>('Balance Sheet'!AU42-'Balance Sheet'!AT42)+('Balance Sheet'!AU43-'Balance Sheet'!AT43)+('Balance Sheet'!AU38-'Balance Sheet'!AT38)-AU4</f>
        <v>-369051.66899999999</v>
      </c>
      <c r="AV11" s="78">
        <f>('Balance Sheet'!AV42-'Balance Sheet'!AU42)+('Balance Sheet'!AV43-'Balance Sheet'!AU43)+('Balance Sheet'!AV38-'Balance Sheet'!AU38)-AV4</f>
        <v>0</v>
      </c>
      <c r="AW11" s="78">
        <f>('Balance Sheet'!AW42-'Balance Sheet'!AV42)+('Balance Sheet'!AW43-'Balance Sheet'!AV43)+('Balance Sheet'!AW38-'Balance Sheet'!AV38)-AW4</f>
        <v>0</v>
      </c>
      <c r="AX11" s="78">
        <f>('Balance Sheet'!AX42-'Balance Sheet'!AW42)+('Balance Sheet'!AX43-'Balance Sheet'!AW43)+('Balance Sheet'!AX38-'Balance Sheet'!AW38)-AX4</f>
        <v>351884.74900000007</v>
      </c>
      <c r="AY11" s="79">
        <f>('Balance Sheet'!AY42-'Balance Sheet'!AT42)+('Balance Sheet'!AY43-'Balance Sheet'!AT43)+('Balance Sheet'!AY38-'Balance Sheet'!AT38)-AY4</f>
        <v>-17166.919999999955</v>
      </c>
      <c r="AZ11" s="78">
        <f>('Balance Sheet'!AZ42-'Balance Sheet'!AY42)+('Balance Sheet'!AZ43-'Balance Sheet'!AY43)+('Balance Sheet'!AZ38-'Balance Sheet'!AY38)-AZ4</f>
        <v>-456965</v>
      </c>
      <c r="BA11" s="298">
        <f>('Balance Sheet'!BA42-'Balance Sheet'!AZ42)+('Balance Sheet'!BA43-'Balance Sheet'!AZ43)+('Balance Sheet'!BA38-'Balance Sheet'!AZ38)-'Income Statement'!BA48</f>
        <v>0</v>
      </c>
      <c r="BB11" s="78">
        <f>('Balance Sheet'!BB42-'Balance Sheet'!BA42)+('Balance Sheet'!BB43-'Balance Sheet'!BA43)+('Balance Sheet'!BB38-'Balance Sheet'!BA38)-BB4</f>
        <v>0</v>
      </c>
      <c r="BC11" s="78">
        <f>('Balance Sheet'!BC42-'Balance Sheet'!BB42)+('Balance Sheet'!BC43-'Balance Sheet'!BB43)+('Balance Sheet'!BC38-'Balance Sheet'!BB38)-BC4</f>
        <v>404618</v>
      </c>
      <c r="BD11" s="79">
        <f>('Balance Sheet'!BD42-'Balance Sheet'!AY42)+('Balance Sheet'!BD43-'Balance Sheet'!AY43)+('Balance Sheet'!BD38-'Balance Sheet'!AY38)-BD4</f>
        <v>-52347</v>
      </c>
      <c r="BE11" s="78">
        <f>('Balance Sheet'!BE42-'Balance Sheet'!BD42)+('Balance Sheet'!BE43-'Balance Sheet'!BD43)+('Balance Sheet'!BE38-'Balance Sheet'!BD38)-BE4</f>
        <v>-539149</v>
      </c>
      <c r="BF11" s="78">
        <f>('Balance Sheet'!BF42-'Balance Sheet'!BE42)+('Balance Sheet'!BF43-'Balance Sheet'!BE43)+('Balance Sheet'!BF38-'Balance Sheet'!BE38)-BF4</f>
        <v>0</v>
      </c>
      <c r="BG11" s="78">
        <f>('Balance Sheet'!BG42-'Balance Sheet'!BF42)+('Balance Sheet'!BG43-'Balance Sheet'!BF43)+('Balance Sheet'!BG38-'Balance Sheet'!BF38)-BG4</f>
        <v>0</v>
      </c>
      <c r="BH11" s="78">
        <f>('Balance Sheet'!BH42-'Balance Sheet'!BG42)+('Balance Sheet'!BH43-'Balance Sheet'!BG43)+('Balance Sheet'!BH38-'Balance Sheet'!BG38)-BH4</f>
        <v>449137</v>
      </c>
      <c r="BI11" s="79">
        <f>('Balance Sheet'!BI42-'Balance Sheet'!BD42)+('Balance Sheet'!BI43-'Balance Sheet'!BD43)+('Balance Sheet'!BI38-'Balance Sheet'!BD38)-BI4</f>
        <v>-90012</v>
      </c>
      <c r="BJ11" s="78">
        <f>('Balance Sheet'!BJ42-'Balance Sheet'!BI42)+('Balance Sheet'!BJ43-'Balance Sheet'!BI43)+('Balance Sheet'!BJ38-'Balance Sheet'!BI38)-BJ4</f>
        <v>-580245</v>
      </c>
      <c r="BK11" s="78">
        <f>('Balance Sheet'!BK42-'Balance Sheet'!BJ42)+('Balance Sheet'!BK43-'Balance Sheet'!BJ43)+('Balance Sheet'!BK38-'Balance Sheet'!BJ38)-BK4</f>
        <v>0</v>
      </c>
      <c r="BL11" s="78">
        <f>('Balance Sheet'!BL42-'Balance Sheet'!BK42)+('Balance Sheet'!BL43-'Balance Sheet'!BK43)+('Balance Sheet'!BL38-'Balance Sheet'!BK38)-BL4</f>
        <v>0</v>
      </c>
      <c r="BM11" s="78">
        <f>('Balance Sheet'!BM42-'Balance Sheet'!BL42)+('Balance Sheet'!BM43-'Balance Sheet'!BL43)+('Balance Sheet'!BM38-'Balance Sheet'!BL38)-BM4</f>
        <v>427971</v>
      </c>
      <c r="BN11" s="79">
        <f>('Balance Sheet'!BN42-'Balance Sheet'!BI42)+('Balance Sheet'!BN43-'Balance Sheet'!BI43)+('Balance Sheet'!BN38-'Balance Sheet'!BI38)-BN4</f>
        <v>-152274</v>
      </c>
      <c r="BO11" s="78">
        <f>('Balance Sheet'!BO42-'Balance Sheet'!BN42)+('Balance Sheet'!BO43-'Balance Sheet'!BN43)+('Balance Sheet'!BO38-'Balance Sheet'!BN38)-BO4</f>
        <v>-518957</v>
      </c>
      <c r="BP11" s="78">
        <f>('Balance Sheet'!BP42-'Balance Sheet'!BO42)+('Balance Sheet'!BP43-'Balance Sheet'!BO43)+('Balance Sheet'!BP38-'Balance Sheet'!BO38)-BP4</f>
        <v>0</v>
      </c>
      <c r="BQ11" s="78">
        <f>('Balance Sheet'!BQ42-'Balance Sheet'!BP42)+('Balance Sheet'!BQ43-'Balance Sheet'!BP43)+('Balance Sheet'!BQ38-'Balance Sheet'!BP38)-BQ4</f>
        <v>0</v>
      </c>
      <c r="BR11" s="78">
        <f>('Balance Sheet'!BR42-'Balance Sheet'!BQ42)+('Balance Sheet'!BR43-'Balance Sheet'!BQ43)+('Balance Sheet'!BR38-'Balance Sheet'!BQ38)-BR4</f>
        <v>465922</v>
      </c>
      <c r="BS11" s="79">
        <f>('Balance Sheet'!BS42-'Balance Sheet'!BN42)+('Balance Sheet'!BS43-'Balance Sheet'!BN43)+('Balance Sheet'!BS38-'Balance Sheet'!BN38)-BS4</f>
        <v>-53035</v>
      </c>
      <c r="BT11" s="78">
        <f>('Balance Sheet'!BT42-'Balance Sheet'!BS42)+('Balance Sheet'!BT43-'Balance Sheet'!BS43)+('Balance Sheet'!BT38-'Balance Sheet'!BS38)-BT4</f>
        <v>-578756</v>
      </c>
      <c r="BU11" s="78">
        <f>('Balance Sheet'!BU42-'Balance Sheet'!BT42)+('Balance Sheet'!BU43-'Balance Sheet'!BT43)+('Balance Sheet'!BU38-'Balance Sheet'!BT38)-BU4</f>
        <v>0</v>
      </c>
      <c r="BV11" s="78">
        <f>('Balance Sheet'!BV42-'Balance Sheet'!BU42)+('Balance Sheet'!BV43-'Balance Sheet'!BU43)+('Balance Sheet'!BV38-'Balance Sheet'!BU38)-BV4</f>
        <v>0</v>
      </c>
      <c r="BW11" s="78">
        <f>('Balance Sheet'!BW42-'Balance Sheet'!BV42)+('Balance Sheet'!BW43-'Balance Sheet'!BV43)+('Balance Sheet'!BW38-'Balance Sheet'!BV38)-BW4</f>
        <v>350017</v>
      </c>
      <c r="BX11" s="79">
        <f>('Balance Sheet'!BX42-'Balance Sheet'!BS42)+('Balance Sheet'!BX43-'Balance Sheet'!BS43)+('Balance Sheet'!BX38-'Balance Sheet'!BS38)-BX4</f>
        <v>-228739</v>
      </c>
      <c r="BY11" s="78">
        <f>('Balance Sheet'!BY42-'Balance Sheet'!BX42)+('Balance Sheet'!BY43-'Balance Sheet'!BX43)+('Balance Sheet'!BY38-'Balance Sheet'!BX38)-BY4</f>
        <v>-499392</v>
      </c>
      <c r="BZ11" s="78">
        <f>('Balance Sheet'!BZ42-'Balance Sheet'!BY42)+('Balance Sheet'!BZ43-'Balance Sheet'!BY43)+('Balance Sheet'!BZ38-'Balance Sheet'!BY38)-BZ4</f>
        <v>-61073</v>
      </c>
      <c r="CA11" s="78">
        <f>('Balance Sheet'!CA42-'Balance Sheet'!BZ42)+('Balance Sheet'!CA43-'Balance Sheet'!BZ43)+('Balance Sheet'!CA38-'Balance Sheet'!BZ38)-CA4</f>
        <v>-30308</v>
      </c>
      <c r="CB11" s="78">
        <f>('Balance Sheet'!CB42-'Balance Sheet'!CA42)+('Balance Sheet'!CB43-'Balance Sheet'!CA43)+('Balance Sheet'!CB38-'Balance Sheet'!CA38)-CB4</f>
        <v>483426</v>
      </c>
      <c r="CC11" s="79">
        <f>('Balance Sheet'!CC42-'Balance Sheet'!BX42)+('Balance Sheet'!CC43-'Balance Sheet'!BX43)+('Balance Sheet'!CC38-'Balance Sheet'!BX38)-CC4</f>
        <v>-107347</v>
      </c>
      <c r="CD11" s="78">
        <f>('Balance Sheet'!CD42-'Balance Sheet'!CC42)+('Balance Sheet'!CD43-'Balance Sheet'!CC43)+('Balance Sheet'!CD38-'Balance Sheet'!CC38)-CD4</f>
        <v>5327</v>
      </c>
      <c r="CE11" s="78">
        <f>('Balance Sheet'!CE42-'Balance Sheet'!CD42)+('Balance Sheet'!CE43-'Balance Sheet'!CD43)+('Balance Sheet'!CE38-'Balance Sheet'!CD38)-CE4</f>
        <v>7158</v>
      </c>
      <c r="CF11" s="78">
        <f>('Balance Sheet'!CF42-'Balance Sheet'!CE42)+('Balance Sheet'!CF43-'Balance Sheet'!CE43)+('Balance Sheet'!CF38-'Balance Sheet'!CE38)-CF4</f>
        <v>161498</v>
      </c>
      <c r="CG11" s="78">
        <f>('Balance Sheet'!CG42-'Balance Sheet'!CF42)+('Balance Sheet'!CG43-'Balance Sheet'!CF43)+('Balance Sheet'!CG38-'Balance Sheet'!CF38)-CG4</f>
        <v>-188012</v>
      </c>
      <c r="CH11" s="79">
        <f>('Balance Sheet'!CH42-'Balance Sheet'!CC42)+('Balance Sheet'!CH43-'Balance Sheet'!CC43)+('Balance Sheet'!CH38-'Balance Sheet'!CC38)-CH4</f>
        <v>-14029</v>
      </c>
      <c r="CI11" s="78">
        <f>('Balance Sheet'!CI42-'Balance Sheet'!CH42)+('Balance Sheet'!CI43-'Balance Sheet'!CH43)+('Balance Sheet'!CI38-'Balance Sheet'!CH38)-CI4</f>
        <v>1335</v>
      </c>
      <c r="CJ11" s="78">
        <f>('Balance Sheet'!CJ42-'Balance Sheet'!CI42)+('Balance Sheet'!CJ43-'Balance Sheet'!CI43)+('Balance Sheet'!CJ38-'Balance Sheet'!CI38)-CJ4</f>
        <v>-4126</v>
      </c>
      <c r="CK11" s="78">
        <f>('Balance Sheet'!CK42-'Balance Sheet'!CJ42)+('Balance Sheet'!CK43-'Balance Sheet'!CJ43)+('Balance Sheet'!CK38-'Balance Sheet'!CJ38)-CK4</f>
        <v>-116598</v>
      </c>
      <c r="CL11" s="78">
        <f>('Balance Sheet'!CL42-'Balance Sheet'!CK42)+('Balance Sheet'!CL43-'Balance Sheet'!CK43)+('Balance Sheet'!CL38-'Balance Sheet'!CK38)-CL4</f>
        <v>-51421</v>
      </c>
      <c r="CM11" s="79">
        <f>('Balance Sheet'!CM42-'Balance Sheet'!CH42)+('Balance Sheet'!CM43-'Balance Sheet'!CH43)+('Balance Sheet'!CM38-'Balance Sheet'!CH38)-CM4</f>
        <v>-170810</v>
      </c>
      <c r="CN11" s="78">
        <f>('Balance Sheet'!CN42-'Balance Sheet'!CM42)+('Balance Sheet'!CN43-'Balance Sheet'!CM43)+('Balance Sheet'!CN38-'Balance Sheet'!CM38)-CN4</f>
        <v>-8089</v>
      </c>
      <c r="CO11" s="78">
        <f>('Balance Sheet'!CO42-'Balance Sheet'!CN42)+('Balance Sheet'!CO43-'Balance Sheet'!CN43)+('Balance Sheet'!CO38-'Balance Sheet'!CN38)-CO4</f>
        <v>-3412</v>
      </c>
      <c r="CP11" s="78">
        <f>('Balance Sheet'!CP42-'Balance Sheet'!CO42)+('Balance Sheet'!CP43-'Balance Sheet'!CO43)+('Balance Sheet'!CP38-'Balance Sheet'!CO38)-CP4</f>
        <v>-163785</v>
      </c>
      <c r="CQ11" s="78">
        <f>('Balance Sheet'!CQ42-'Balance Sheet'!CP42)+('Balance Sheet'!CQ43-'Balance Sheet'!CP43)+('Balance Sheet'!CQ38-'Balance Sheet'!CP38)-CQ4</f>
        <v>-8022</v>
      </c>
      <c r="CR11" s="79">
        <f>('Balance Sheet'!CR42-'Balance Sheet'!CM42)+('Balance Sheet'!CR43-'Balance Sheet'!CM43)+('Balance Sheet'!CR38-'Balance Sheet'!CM38)-CR4</f>
        <v>-183308</v>
      </c>
      <c r="CS11" s="78">
        <f>('Balance Sheet'!CS42-'Balance Sheet'!CR42)+('Balance Sheet'!CS43-'Balance Sheet'!CR43)+('Balance Sheet'!CS38-'Balance Sheet'!CR38)-CS4</f>
        <v>-59944</v>
      </c>
      <c r="CT11" s="78">
        <f>('Balance Sheet'!CT42-'Balance Sheet'!CS42)+('Balance Sheet'!CT43-'Balance Sheet'!CS43)+('Balance Sheet'!CT38-'Balance Sheet'!CS38)-CT4</f>
        <v>-6887</v>
      </c>
      <c r="CU11" s="78">
        <f>('Balance Sheet'!CU42-'Balance Sheet'!CT42)+('Balance Sheet'!CU43-'Balance Sheet'!CT43)+('Balance Sheet'!CU38-'Balance Sheet'!CT38)-CU4</f>
        <v>-4543</v>
      </c>
      <c r="CV11" s="78">
        <f>('Balance Sheet'!CV42-'Balance Sheet'!CU42)+('Balance Sheet'!CV43-'Balance Sheet'!CU43)+('Balance Sheet'!CV38-'Balance Sheet'!CU38)-CV4</f>
        <v>-250970</v>
      </c>
      <c r="CW11" s="79">
        <f>('Balance Sheet'!CW42-'Balance Sheet'!CR42)+('Balance Sheet'!CW43-'Balance Sheet'!CR43)+('Balance Sheet'!CW38-'Balance Sheet'!CR38)-CW4</f>
        <v>-322344</v>
      </c>
      <c r="CX11" s="78">
        <f>('Balance Sheet'!CX42-'Balance Sheet'!CW42)+('Balance Sheet'!CX43-'Balance Sheet'!CW43)+('Balance Sheet'!CX38-'Balance Sheet'!CW38)-CX4</f>
        <v>20221</v>
      </c>
      <c r="CY11" s="78">
        <f>('Balance Sheet'!CY42-'Balance Sheet'!CX42)+('Balance Sheet'!CY43-'Balance Sheet'!CX43)+('Balance Sheet'!CY38-'Balance Sheet'!CX38)-CY4</f>
        <v>-131256</v>
      </c>
      <c r="CZ11" s="78">
        <f>('Balance Sheet'!CZ42-'Balance Sheet'!CY42)+('Balance Sheet'!CZ43-'Balance Sheet'!CY43)+('Balance Sheet'!CZ38-'Balance Sheet'!CY38)-CZ4</f>
        <v>-255221</v>
      </c>
      <c r="DA11" s="78">
        <f>('Balance Sheet'!DA42-'Balance Sheet'!CZ42)+('Balance Sheet'!DA43-'Balance Sheet'!CZ43)+('Balance Sheet'!DA38-'Balance Sheet'!CZ38)-DA4</f>
        <v>-35227</v>
      </c>
      <c r="DB11" s="79">
        <f>('Balance Sheet'!DB42-'Balance Sheet'!CW42)+('Balance Sheet'!DB43-'Balance Sheet'!CW43)+('Balance Sheet'!DB38-'Balance Sheet'!CW38)-DB4</f>
        <v>-401483</v>
      </c>
      <c r="DC11" s="78">
        <f>('Balance Sheet'!DC42-'Balance Sheet'!DB42)+('Balance Sheet'!DC43-'Balance Sheet'!DB43)+('Balance Sheet'!DC38-'Balance Sheet'!DB38)-DC4</f>
        <v>-161530</v>
      </c>
      <c r="DD11" s="78">
        <f>('Balance Sheet'!DD42-'Balance Sheet'!DC42)+('Balance Sheet'!DD43-'Balance Sheet'!DC43)+('Balance Sheet'!DD38-'Balance Sheet'!DC38)-DD4</f>
        <v>-74259</v>
      </c>
      <c r="DE11" s="78">
        <f>('Balance Sheet'!DE42-'Balance Sheet'!DD42)+('Balance Sheet'!DE43-'Balance Sheet'!DD43)+('Balance Sheet'!DE38-'Balance Sheet'!DD38)-DE4</f>
        <v>8582</v>
      </c>
      <c r="DF11" s="78">
        <f>('Balance Sheet'!DF42-'Balance Sheet'!DE42)+('Balance Sheet'!DF43-'Balance Sheet'!DE43)+('Balance Sheet'!DF38-'Balance Sheet'!DE38)-DF4</f>
        <v>-450152</v>
      </c>
      <c r="DG11" s="79">
        <f>('Balance Sheet'!DG42-'Balance Sheet'!DB42)+('Balance Sheet'!DG43-'Balance Sheet'!DB43)+('Balance Sheet'!DG38-'Balance Sheet'!DB38)-DG4</f>
        <v>-677359</v>
      </c>
      <c r="DH11" s="78">
        <f>('Balance Sheet'!DH42-'Balance Sheet'!DG42)+('Balance Sheet'!DH43-'Balance Sheet'!DG43)+('Balance Sheet'!DH38-'Balance Sheet'!DG38)-DH4</f>
        <v>67079</v>
      </c>
      <c r="DI11" s="78">
        <f>('Balance Sheet'!DI42-'Balance Sheet'!DH42)+('Balance Sheet'!DI43-'Balance Sheet'!DH43)+('Balance Sheet'!DI38-'Balance Sheet'!DH38)-DI4</f>
        <v>-223580</v>
      </c>
      <c r="DJ11" s="78">
        <f ca="1">('Balance Sheet'!DJ42-'Balance Sheet'!DI42)+('Balance Sheet'!DJ43-'Balance Sheet'!DI43)+('Balance Sheet'!DJ38-'Balance Sheet'!DI38)-DJ4</f>
        <v>-197847.79374999995</v>
      </c>
      <c r="DK11" s="78">
        <f ca="1">('Balance Sheet'!DK42-'Balance Sheet'!DJ42)+('Balance Sheet'!DK43-'Balance Sheet'!DJ43)+('Balance Sheet'!DK38-'Balance Sheet'!DJ38)-DK4</f>
        <v>-194978.45942116471</v>
      </c>
      <c r="DL11" s="79">
        <f ca="1">('Balance Sheet'!DL42-'Balance Sheet'!DG42)+('Balance Sheet'!DL43-'Balance Sheet'!DG43)+('Balance Sheet'!DL38-'Balance Sheet'!DG38)-DL4</f>
        <v>-549327.25317116478</v>
      </c>
      <c r="DM11" s="78">
        <f ca="1">('Balance Sheet'!DM42-'Balance Sheet'!DL42)+('Balance Sheet'!DM43-'Balance Sheet'!DL43)+('Balance Sheet'!DM38-'Balance Sheet'!DL38)-DM4</f>
        <v>-229514.79647976754</v>
      </c>
      <c r="DN11" s="78">
        <f ca="1">('Balance Sheet'!DN42-'Balance Sheet'!DM42)+('Balance Sheet'!DN43-'Balance Sheet'!DM43)+('Balance Sheet'!DN38-'Balance Sheet'!DM38)-DN4</f>
        <v>-228673.81967386999</v>
      </c>
      <c r="DO11" s="78">
        <f ca="1">('Balance Sheet'!DO42-'Balance Sheet'!DN42)+('Balance Sheet'!DO43-'Balance Sheet'!DN43)+('Balance Sheet'!DO38-'Balance Sheet'!DN38)-DO4</f>
        <v>-227796.05013271433</v>
      </c>
      <c r="DP11" s="78">
        <f ca="1">('Balance Sheet'!DP42-'Balance Sheet'!DO42)+('Balance Sheet'!DP43-'Balance Sheet'!DO43)+('Balance Sheet'!DP38-'Balance Sheet'!DO38)-DP4</f>
        <v>21857.245297577232</v>
      </c>
      <c r="DQ11" s="79">
        <f ca="1">('Balance Sheet'!DQ42-'Balance Sheet'!DL42)+('Balance Sheet'!DQ43-'Balance Sheet'!DL43)+('Balance Sheet'!DQ38-'Balance Sheet'!DL38)-DQ4</f>
        <v>-664127.42098877451</v>
      </c>
      <c r="DR11" s="78">
        <f ca="1">('Balance Sheet'!DR42-'Balance Sheet'!DQ42)+('Balance Sheet'!DR43-'Balance Sheet'!DQ43)+('Balance Sheet'!DR38-'Balance Sheet'!DQ38)-DR4</f>
        <v>-1206974.0584644531</v>
      </c>
      <c r="DS11" s="78">
        <f ca="1">('Balance Sheet'!DS42-'Balance Sheet'!DR42)+('Balance Sheet'!DS43-'Balance Sheet'!DR43)+('Balance Sheet'!DS38-'Balance Sheet'!DR38)-DS4</f>
        <v>-228449.40402507765</v>
      </c>
      <c r="DT11" s="78">
        <f ca="1">('Balance Sheet'!DT42-'Balance Sheet'!DS42)+('Balance Sheet'!DT43-'Balance Sheet'!DS43)+('Balance Sheet'!DT38-'Balance Sheet'!DS38)-DT4</f>
        <v>21048.508925882226</v>
      </c>
      <c r="DU11" s="78">
        <f ca="1">('Balance Sheet'!DU42-'Balance Sheet'!DT42)+('Balance Sheet'!DU43-'Balance Sheet'!DT43)+('Balance Sheet'!DU38-'Balance Sheet'!DT38)-DU4</f>
        <v>21837.828010601981</v>
      </c>
      <c r="DV11" s="79">
        <f ca="1">('Balance Sheet'!DV42-'Balance Sheet'!DQ42)+('Balance Sheet'!DV43-'Balance Sheet'!DQ43)+('Balance Sheet'!DV38-'Balance Sheet'!DQ38)-DV4</f>
        <v>-1392537.1255530464</v>
      </c>
      <c r="DW11" s="78">
        <f ca="1">('Balance Sheet'!DW42-'Balance Sheet'!DV42)+('Balance Sheet'!DW43-'Balance Sheet'!DV43)+('Balance Sheet'!DW38-'Balance Sheet'!DV38)-DW4</f>
        <v>-1511451.4131915078</v>
      </c>
      <c r="DX11" s="78">
        <f ca="1">('Balance Sheet'!DX42-'Balance Sheet'!DW42)+('Balance Sheet'!DX43-'Balance Sheet'!DW43)+('Balance Sheet'!DX38-'Balance Sheet'!DW38)-DX4</f>
        <v>23506.37455703743</v>
      </c>
      <c r="DY11" s="78">
        <f ca="1">('Balance Sheet'!DY42-'Balance Sheet'!DX42)+('Balance Sheet'!DY43-'Balance Sheet'!DX43)+('Balance Sheet'!DY38-'Balance Sheet'!DX38)-DY4</f>
        <v>24387.86360292678</v>
      </c>
      <c r="DZ11" s="78">
        <f ca="1">('Balance Sheet'!DZ42-'Balance Sheet'!DY42)+('Balance Sheet'!DZ43-'Balance Sheet'!DY43)+('Balance Sheet'!DZ38-'Balance Sheet'!DY38)-DZ4</f>
        <v>25302.408488037763</v>
      </c>
      <c r="EA11" s="79">
        <f ca="1">('Balance Sheet'!EA42-'Balance Sheet'!DV42)+('Balance Sheet'!EA43-'Balance Sheet'!DV43)+('Balance Sheet'!EA38-'Balance Sheet'!DV38)-EA4</f>
        <v>-1438254.7665435057</v>
      </c>
      <c r="EB11" s="78">
        <f ca="1">('Balance Sheet'!EB42-'Balance Sheet'!EA42)+('Balance Sheet'!EB43-'Balance Sheet'!EA43)+('Balance Sheet'!EB38-'Balance Sheet'!EA38)-EB4</f>
        <v>-1589799.6641028025</v>
      </c>
      <c r="EC11" s="78">
        <f ca="1">('Balance Sheet'!EC42-'Balance Sheet'!EB42)+('Balance Sheet'!EC43-'Balance Sheet'!EB43)+('Balance Sheet'!EC38-'Balance Sheet'!EB38)-EC4</f>
        <v>27235.6706365805</v>
      </c>
      <c r="ED11" s="78">
        <f ca="1">('Balance Sheet'!ED42-'Balance Sheet'!EC42)+('Balance Sheet'!ED43-'Balance Sheet'!EC43)+('Balance Sheet'!ED38-'Balance Sheet'!EC38)-ED4</f>
        <v>28257.008285444055</v>
      </c>
      <c r="EE11" s="78">
        <f ca="1">('Balance Sheet'!EE42-'Balance Sheet'!ED42)+('Balance Sheet'!EE43-'Balance Sheet'!ED43)+('Balance Sheet'!EE38-'Balance Sheet'!ED38)-EE4</f>
        <v>29316.646096190671</v>
      </c>
      <c r="EF11" s="79">
        <f ca="1">('Balance Sheet'!EF42-'Balance Sheet'!EA42)+('Balance Sheet'!EF43-'Balance Sheet'!EA43)+('Balance Sheet'!EF38-'Balance Sheet'!EA38)-EF4</f>
        <v>-1504990.3390845873</v>
      </c>
    </row>
    <row r="12" spans="1:136" ht="12" customHeight="1">
      <c r="A12" s="3" t="s">
        <v>150</v>
      </c>
      <c r="B12" s="80" t="e">
        <f t="shared" ref="B12:K12" si="10">SUM(B10:B11)</f>
        <v>#VALUE!</v>
      </c>
      <c r="C12" s="80">
        <f t="shared" si="10"/>
        <v>0</v>
      </c>
      <c r="D12" s="80">
        <f t="shared" si="10"/>
        <v>0</v>
      </c>
      <c r="E12" s="80">
        <f t="shared" si="10"/>
        <v>0</v>
      </c>
      <c r="F12" s="81" t="e">
        <f t="shared" si="10"/>
        <v>#VALUE!</v>
      </c>
      <c r="G12" s="80">
        <f t="shared" si="10"/>
        <v>0</v>
      </c>
      <c r="H12" s="80">
        <f t="shared" si="10"/>
        <v>0</v>
      </c>
      <c r="I12" s="80">
        <f t="shared" si="10"/>
        <v>0</v>
      </c>
      <c r="J12" s="80">
        <f t="shared" si="10"/>
        <v>0</v>
      </c>
      <c r="K12" s="81">
        <f t="shared" si="10"/>
        <v>0</v>
      </c>
      <c r="L12" s="80">
        <f t="shared" ref="L12:BW12" si="11">SUM(L10:L11)</f>
        <v>0</v>
      </c>
      <c r="M12" s="80">
        <f t="shared" si="11"/>
        <v>0</v>
      </c>
      <c r="N12" s="80">
        <f t="shared" si="11"/>
        <v>0</v>
      </c>
      <c r="O12" s="80">
        <f t="shared" si="11"/>
        <v>0</v>
      </c>
      <c r="P12" s="81">
        <f t="shared" si="11"/>
        <v>0</v>
      </c>
      <c r="Q12" s="80">
        <f t="shared" si="11"/>
        <v>0</v>
      </c>
      <c r="R12" s="80">
        <f t="shared" si="11"/>
        <v>0</v>
      </c>
      <c r="S12" s="80">
        <f t="shared" si="11"/>
        <v>0</v>
      </c>
      <c r="T12" s="80">
        <f t="shared" si="11"/>
        <v>0</v>
      </c>
      <c r="U12" s="81">
        <f t="shared" si="11"/>
        <v>0</v>
      </c>
      <c r="V12" s="80">
        <f t="shared" si="11"/>
        <v>0</v>
      </c>
      <c r="W12" s="80">
        <f t="shared" si="11"/>
        <v>0</v>
      </c>
      <c r="X12" s="80">
        <f t="shared" si="11"/>
        <v>0</v>
      </c>
      <c r="Y12" s="80">
        <f t="shared" si="11"/>
        <v>0</v>
      </c>
      <c r="Z12" s="81">
        <f t="shared" si="11"/>
        <v>0</v>
      </c>
      <c r="AA12" s="80">
        <f t="shared" si="11"/>
        <v>0</v>
      </c>
      <c r="AB12" s="80">
        <f t="shared" si="11"/>
        <v>0</v>
      </c>
      <c r="AC12" s="80">
        <f t="shared" si="11"/>
        <v>0</v>
      </c>
      <c r="AD12" s="80">
        <f t="shared" si="11"/>
        <v>0</v>
      </c>
      <c r="AE12" s="81">
        <f t="shared" si="11"/>
        <v>0</v>
      </c>
      <c r="AF12" s="80">
        <f t="shared" si="11"/>
        <v>0</v>
      </c>
      <c r="AG12" s="80">
        <f t="shared" si="11"/>
        <v>0</v>
      </c>
      <c r="AH12" s="80">
        <f t="shared" si="11"/>
        <v>0</v>
      </c>
      <c r="AI12" s="80">
        <f t="shared" si="11"/>
        <v>165037.05999999997</v>
      </c>
      <c r="AJ12" s="81">
        <f t="shared" si="11"/>
        <v>165037.05999999997</v>
      </c>
      <c r="AK12" s="80">
        <f t="shared" si="11"/>
        <v>-217134.82699999999</v>
      </c>
      <c r="AL12" s="80">
        <f t="shared" si="11"/>
        <v>0</v>
      </c>
      <c r="AM12" s="80">
        <f t="shared" si="11"/>
        <v>0</v>
      </c>
      <c r="AN12" s="80">
        <f t="shared" si="11"/>
        <v>270682.18099999998</v>
      </c>
      <c r="AO12" s="81">
        <f t="shared" si="11"/>
        <v>53547.354000000007</v>
      </c>
      <c r="AP12" s="80">
        <f t="shared" si="11"/>
        <v>-360685.054</v>
      </c>
      <c r="AQ12" s="80">
        <f t="shared" si="11"/>
        <v>0</v>
      </c>
      <c r="AR12" s="80">
        <f t="shared" si="11"/>
        <v>0</v>
      </c>
      <c r="AS12" s="80">
        <f t="shared" si="11"/>
        <v>387913.50599999994</v>
      </c>
      <c r="AT12" s="81">
        <f t="shared" si="11"/>
        <v>27228.452000000005</v>
      </c>
      <c r="AU12" s="80">
        <f t="shared" si="11"/>
        <v>-467994.69299999997</v>
      </c>
      <c r="AV12" s="80">
        <f t="shared" si="11"/>
        <v>0</v>
      </c>
      <c r="AW12" s="80">
        <f t="shared" si="11"/>
        <v>0</v>
      </c>
      <c r="AX12" s="80">
        <f t="shared" si="11"/>
        <v>452662.74900000007</v>
      </c>
      <c r="AY12" s="81">
        <f t="shared" si="11"/>
        <v>-15331.943999999961</v>
      </c>
      <c r="AZ12" s="80">
        <f t="shared" si="11"/>
        <v>-557743</v>
      </c>
      <c r="BA12" s="80">
        <f t="shared" si="11"/>
        <v>0</v>
      </c>
      <c r="BB12" s="80">
        <f t="shared" si="11"/>
        <v>0</v>
      </c>
      <c r="BC12" s="80">
        <f t="shared" si="11"/>
        <v>547209</v>
      </c>
      <c r="BD12" s="81">
        <f t="shared" si="11"/>
        <v>-10534</v>
      </c>
      <c r="BE12" s="80">
        <f t="shared" si="11"/>
        <v>-681740</v>
      </c>
      <c r="BF12" s="80">
        <f t="shared" si="11"/>
        <v>0</v>
      </c>
      <c r="BG12" s="80">
        <f t="shared" si="11"/>
        <v>0</v>
      </c>
      <c r="BH12" s="80">
        <f t="shared" si="11"/>
        <v>613835</v>
      </c>
      <c r="BI12" s="81">
        <f t="shared" si="11"/>
        <v>-67905</v>
      </c>
      <c r="BJ12" s="80">
        <f t="shared" si="11"/>
        <v>-744943</v>
      </c>
      <c r="BK12" s="80">
        <f t="shared" si="11"/>
        <v>0</v>
      </c>
      <c r="BL12" s="80">
        <f t="shared" si="11"/>
        <v>0</v>
      </c>
      <c r="BM12" s="80">
        <f t="shared" si="11"/>
        <v>629264</v>
      </c>
      <c r="BN12" s="81">
        <f t="shared" si="11"/>
        <v>-115679</v>
      </c>
      <c r="BO12" s="80">
        <f t="shared" si="11"/>
        <v>-720250</v>
      </c>
      <c r="BP12" s="80">
        <f t="shared" si="11"/>
        <v>0</v>
      </c>
      <c r="BQ12" s="80">
        <f t="shared" si="11"/>
        <v>0</v>
      </c>
      <c r="BR12" s="80">
        <f t="shared" si="11"/>
        <v>671420</v>
      </c>
      <c r="BS12" s="81">
        <f t="shared" si="11"/>
        <v>-48830</v>
      </c>
      <c r="BT12" s="80">
        <f t="shared" si="11"/>
        <v>-784254</v>
      </c>
      <c r="BU12" s="80">
        <f t="shared" si="11"/>
        <v>0</v>
      </c>
      <c r="BV12" s="80">
        <f t="shared" si="11"/>
        <v>0</v>
      </c>
      <c r="BW12" s="80">
        <f t="shared" si="11"/>
        <v>626644</v>
      </c>
      <c r="BX12" s="81">
        <f t="shared" ref="BX12:CC12" si="12">SUM(BX10:BX11)</f>
        <v>-157610</v>
      </c>
      <c r="BY12" s="80">
        <f t="shared" si="12"/>
        <v>-776019</v>
      </c>
      <c r="BZ12" s="80">
        <f t="shared" si="12"/>
        <v>-61073</v>
      </c>
      <c r="CA12" s="80">
        <f t="shared" si="12"/>
        <v>-30308</v>
      </c>
      <c r="CB12" s="80">
        <f t="shared" si="12"/>
        <v>767255</v>
      </c>
      <c r="CC12" s="81">
        <f t="shared" si="12"/>
        <v>-100145</v>
      </c>
      <c r="CD12" s="80">
        <f t="shared" ref="CD12:DG12" si="13">SUM(CD10:CD11)</f>
        <v>3093</v>
      </c>
      <c r="CE12" s="80">
        <f t="shared" si="13"/>
        <v>41122</v>
      </c>
      <c r="CF12" s="80">
        <f t="shared" si="13"/>
        <v>127105</v>
      </c>
      <c r="CG12" s="80">
        <f t="shared" si="13"/>
        <v>-197160</v>
      </c>
      <c r="CH12" s="81">
        <f t="shared" si="13"/>
        <v>-25840</v>
      </c>
      <c r="CI12" s="80">
        <f t="shared" si="13"/>
        <v>-1375</v>
      </c>
      <c r="CJ12" s="80">
        <f t="shared" si="13"/>
        <v>-7168</v>
      </c>
      <c r="CK12" s="80">
        <f t="shared" si="13"/>
        <v>3324</v>
      </c>
      <c r="CL12" s="80">
        <f t="shared" si="13"/>
        <v>-50702</v>
      </c>
      <c r="CM12" s="81">
        <f t="shared" si="13"/>
        <v>-55921</v>
      </c>
      <c r="CN12" s="80">
        <f t="shared" si="13"/>
        <v>-8579</v>
      </c>
      <c r="CO12" s="80">
        <f t="shared" si="13"/>
        <v>4419</v>
      </c>
      <c r="CP12" s="80">
        <f t="shared" si="13"/>
        <v>-106367</v>
      </c>
      <c r="CQ12" s="80">
        <f t="shared" si="13"/>
        <v>16227</v>
      </c>
      <c r="CR12" s="81">
        <f t="shared" si="13"/>
        <v>-94300</v>
      </c>
      <c r="CS12" s="80">
        <f t="shared" si="13"/>
        <v>-66332</v>
      </c>
      <c r="CT12" s="80">
        <f t="shared" si="13"/>
        <v>13973</v>
      </c>
      <c r="CU12" s="80">
        <f t="shared" si="13"/>
        <v>141734</v>
      </c>
      <c r="CV12" s="80">
        <f t="shared" si="13"/>
        <v>-287159</v>
      </c>
      <c r="CW12" s="81">
        <f t="shared" si="13"/>
        <v>-197784</v>
      </c>
      <c r="CX12" s="80">
        <f t="shared" si="13"/>
        <v>4601</v>
      </c>
      <c r="CY12" s="80">
        <f t="shared" si="13"/>
        <v>343759</v>
      </c>
      <c r="CZ12" s="80">
        <f t="shared" si="13"/>
        <v>-231002</v>
      </c>
      <c r="DA12" s="80">
        <f t="shared" si="13"/>
        <v>-152745</v>
      </c>
      <c r="DB12" s="81">
        <f t="shared" si="13"/>
        <v>-35387</v>
      </c>
      <c r="DC12" s="80">
        <f t="shared" si="13"/>
        <v>138945</v>
      </c>
      <c r="DD12" s="80">
        <f t="shared" si="13"/>
        <v>-57644</v>
      </c>
      <c r="DE12" s="80">
        <f t="shared" si="13"/>
        <v>35571</v>
      </c>
      <c r="DF12" s="80">
        <f t="shared" si="13"/>
        <v>-297808</v>
      </c>
      <c r="DG12" s="81">
        <f t="shared" si="13"/>
        <v>-180936</v>
      </c>
      <c r="DH12" s="80">
        <f t="shared" ref="DH12:EF12" si="14">SUM(DH10:DH11)</f>
        <v>-63364</v>
      </c>
      <c r="DI12" s="80">
        <f t="shared" si="14"/>
        <v>-231267</v>
      </c>
      <c r="DJ12" s="80">
        <f t="shared" ca="1" si="14"/>
        <v>-145038.53042426216</v>
      </c>
      <c r="DK12" s="80">
        <f t="shared" ca="1" si="14"/>
        <v>-162166.81443814898</v>
      </c>
      <c r="DL12" s="81">
        <f t="shared" ca="1" si="14"/>
        <v>-601836.34486241126</v>
      </c>
      <c r="DM12" s="80">
        <f t="shared" ca="1" si="14"/>
        <v>-236888.75148493971</v>
      </c>
      <c r="DN12" s="80">
        <f t="shared" ca="1" si="14"/>
        <v>-184602.91899641044</v>
      </c>
      <c r="DO12" s="80">
        <f t="shared" ca="1" si="14"/>
        <v>-190308.92280555179</v>
      </c>
      <c r="DP12" s="80">
        <f t="shared" ca="1" si="14"/>
        <v>56361.727753994986</v>
      </c>
      <c r="DQ12" s="81">
        <f t="shared" ca="1" si="14"/>
        <v>-555438.86553290684</v>
      </c>
      <c r="DR12" s="80">
        <f t="shared" ca="1" si="14"/>
        <v>-1174601.6554037074</v>
      </c>
      <c r="DS12" s="80">
        <f t="shared" ca="1" si="14"/>
        <v>-197643.98449655046</v>
      </c>
      <c r="DT12" s="80">
        <f t="shared" ca="1" si="14"/>
        <v>50646.689182154194</v>
      </c>
      <c r="DU12" s="80">
        <f t="shared" ca="1" si="14"/>
        <v>50471.506020018191</v>
      </c>
      <c r="DV12" s="81">
        <f t="shared" ca="1" si="14"/>
        <v>-1271127.4446980853</v>
      </c>
      <c r="DW12" s="80">
        <f t="shared" ca="1" si="14"/>
        <v>-1483608.5389077375</v>
      </c>
      <c r="DX12" s="80">
        <f t="shared" ca="1" si="14"/>
        <v>50690.156106464157</v>
      </c>
      <c r="DY12" s="80">
        <f t="shared" ca="1" si="14"/>
        <v>51017.637509994733</v>
      </c>
      <c r="DZ12" s="80">
        <f t="shared" ca="1" si="14"/>
        <v>51465.480040694587</v>
      </c>
      <c r="EA12" s="81">
        <f t="shared" ca="1" si="14"/>
        <v>-1330435.2652505839</v>
      </c>
      <c r="EB12" s="80">
        <f t="shared" ca="1" si="14"/>
        <v>-1564028.5682903617</v>
      </c>
      <c r="EC12" s="80">
        <f t="shared" ca="1" si="14"/>
        <v>52680.08973922109</v>
      </c>
      <c r="ED12" s="80">
        <f t="shared" ca="1" si="14"/>
        <v>53432.610384465253</v>
      </c>
      <c r="EE12" s="80">
        <f t="shared" ca="1" si="14"/>
        <v>54275.171510133659</v>
      </c>
      <c r="EF12" s="81">
        <f t="shared" ca="1" si="14"/>
        <v>-1403640.6966565417</v>
      </c>
    </row>
    <row r="13" spans="1:136" ht="12" customHeight="1">
      <c r="A13" s="3" t="s">
        <v>68</v>
      </c>
      <c r="B13" s="80" t="e">
        <f t="shared" ref="B13:K13" si="15">B7+B9+B12</f>
        <v>#VALUE!</v>
      </c>
      <c r="C13" s="80">
        <f t="shared" si="15"/>
        <v>0</v>
      </c>
      <c r="D13" s="80">
        <f t="shared" si="15"/>
        <v>0</v>
      </c>
      <c r="E13" s="80">
        <f t="shared" si="15"/>
        <v>0</v>
      </c>
      <c r="F13" s="81" t="e">
        <f t="shared" si="15"/>
        <v>#VALUE!</v>
      </c>
      <c r="G13" s="80">
        <f t="shared" si="15"/>
        <v>0</v>
      </c>
      <c r="H13" s="80">
        <f t="shared" si="15"/>
        <v>0</v>
      </c>
      <c r="I13" s="80">
        <f t="shared" si="15"/>
        <v>0</v>
      </c>
      <c r="J13" s="80">
        <f t="shared" si="15"/>
        <v>0</v>
      </c>
      <c r="K13" s="81">
        <f t="shared" si="15"/>
        <v>0</v>
      </c>
      <c r="L13" s="80">
        <f t="shared" ref="L13:BW13" si="16">L7+L9+L12</f>
        <v>0</v>
      </c>
      <c r="M13" s="80">
        <f t="shared" si="16"/>
        <v>0</v>
      </c>
      <c r="N13" s="80">
        <f t="shared" si="16"/>
        <v>0</v>
      </c>
      <c r="O13" s="80">
        <f t="shared" si="16"/>
        <v>0</v>
      </c>
      <c r="P13" s="81">
        <f t="shared" si="16"/>
        <v>0</v>
      </c>
      <c r="Q13" s="80">
        <f t="shared" si="16"/>
        <v>0</v>
      </c>
      <c r="R13" s="80">
        <f t="shared" si="16"/>
        <v>0</v>
      </c>
      <c r="S13" s="80">
        <f t="shared" si="16"/>
        <v>0</v>
      </c>
      <c r="T13" s="80">
        <f t="shared" si="16"/>
        <v>0</v>
      </c>
      <c r="U13" s="81">
        <f t="shared" si="16"/>
        <v>0</v>
      </c>
      <c r="V13" s="80">
        <f t="shared" si="16"/>
        <v>0</v>
      </c>
      <c r="W13" s="80">
        <f t="shared" si="16"/>
        <v>0</v>
      </c>
      <c r="X13" s="80">
        <f t="shared" si="16"/>
        <v>0</v>
      </c>
      <c r="Y13" s="80">
        <f t="shared" si="16"/>
        <v>0</v>
      </c>
      <c r="Z13" s="81">
        <f t="shared" si="16"/>
        <v>0</v>
      </c>
      <c r="AA13" s="80">
        <f t="shared" si="16"/>
        <v>0</v>
      </c>
      <c r="AB13" s="80">
        <f t="shared" si="16"/>
        <v>0</v>
      </c>
      <c r="AC13" s="80">
        <f t="shared" si="16"/>
        <v>0</v>
      </c>
      <c r="AD13" s="80">
        <f t="shared" si="16"/>
        <v>0</v>
      </c>
      <c r="AE13" s="81">
        <f t="shared" si="16"/>
        <v>0</v>
      </c>
      <c r="AF13" s="80">
        <f t="shared" si="16"/>
        <v>0</v>
      </c>
      <c r="AG13" s="80">
        <f t="shared" si="16"/>
        <v>0</v>
      </c>
      <c r="AH13" s="80">
        <f t="shared" si="16"/>
        <v>0</v>
      </c>
      <c r="AI13" s="80">
        <f t="shared" si="16"/>
        <v>22154.917999999976</v>
      </c>
      <c r="AJ13" s="81">
        <f t="shared" si="16"/>
        <v>22154.917999999976</v>
      </c>
      <c r="AK13" s="80">
        <f t="shared" si="16"/>
        <v>-22154.917999999976</v>
      </c>
      <c r="AL13" s="80">
        <f t="shared" si="16"/>
        <v>0</v>
      </c>
      <c r="AM13" s="80">
        <f t="shared" si="16"/>
        <v>0</v>
      </c>
      <c r="AN13" s="80">
        <f t="shared" si="16"/>
        <v>50296.697999999946</v>
      </c>
      <c r="AO13" s="81">
        <f t="shared" si="16"/>
        <v>28141.779999999977</v>
      </c>
      <c r="AP13" s="80">
        <f t="shared" si="16"/>
        <v>-50296.697999999975</v>
      </c>
      <c r="AQ13" s="80">
        <f t="shared" si="16"/>
        <v>0</v>
      </c>
      <c r="AR13" s="80">
        <f t="shared" si="16"/>
        <v>0</v>
      </c>
      <c r="AS13" s="80">
        <f t="shared" si="16"/>
        <v>81383.579000000027</v>
      </c>
      <c r="AT13" s="81">
        <f t="shared" si="16"/>
        <v>31086.881000000081</v>
      </c>
      <c r="AU13" s="80">
        <f t="shared" si="16"/>
        <v>-81383.579000000085</v>
      </c>
      <c r="AV13" s="80">
        <f t="shared" si="16"/>
        <v>0</v>
      </c>
      <c r="AW13" s="80">
        <f t="shared" si="16"/>
        <v>0</v>
      </c>
      <c r="AX13" s="80">
        <f t="shared" si="16"/>
        <v>85862</v>
      </c>
      <c r="AY13" s="81">
        <f t="shared" si="16"/>
        <v>4478.4209999999784</v>
      </c>
      <c r="AZ13" s="80">
        <f t="shared" si="16"/>
        <v>-85862</v>
      </c>
      <c r="BA13" s="80">
        <f t="shared" si="16"/>
        <v>0</v>
      </c>
      <c r="BB13" s="80">
        <f t="shared" si="16"/>
        <v>0</v>
      </c>
      <c r="BC13" s="80">
        <f t="shared" si="16"/>
        <v>142139</v>
      </c>
      <c r="BD13" s="81">
        <f t="shared" si="16"/>
        <v>56277</v>
      </c>
      <c r="BE13" s="80">
        <f t="shared" si="16"/>
        <v>-142139</v>
      </c>
      <c r="BF13" s="80">
        <f t="shared" si="16"/>
        <v>0</v>
      </c>
      <c r="BG13" s="80">
        <f t="shared" si="16"/>
        <v>0</v>
      </c>
      <c r="BH13" s="80">
        <f t="shared" si="16"/>
        <v>152522</v>
      </c>
      <c r="BI13" s="81">
        <f t="shared" si="16"/>
        <v>10383</v>
      </c>
      <c r="BJ13" s="80">
        <f t="shared" si="16"/>
        <v>-152522</v>
      </c>
      <c r="BK13" s="80">
        <f t="shared" si="16"/>
        <v>0</v>
      </c>
      <c r="BL13" s="80">
        <f t="shared" si="16"/>
        <v>0</v>
      </c>
      <c r="BM13" s="80">
        <f t="shared" si="16"/>
        <v>161739</v>
      </c>
      <c r="BN13" s="81">
        <f t="shared" si="16"/>
        <v>9217</v>
      </c>
      <c r="BO13" s="80">
        <f t="shared" si="16"/>
        <v>-161739</v>
      </c>
      <c r="BP13" s="80">
        <f t="shared" si="16"/>
        <v>0</v>
      </c>
      <c r="BQ13" s="80">
        <f t="shared" si="16"/>
        <v>0</v>
      </c>
      <c r="BR13" s="80">
        <f t="shared" si="16"/>
        <v>198506</v>
      </c>
      <c r="BS13" s="81">
        <f t="shared" si="16"/>
        <v>36767</v>
      </c>
      <c r="BT13" s="80">
        <f t="shared" si="16"/>
        <v>-198506</v>
      </c>
      <c r="BU13" s="80">
        <f t="shared" si="16"/>
        <v>0</v>
      </c>
      <c r="BV13" s="80">
        <f t="shared" si="16"/>
        <v>0</v>
      </c>
      <c r="BW13" s="80">
        <f t="shared" si="16"/>
        <v>250961</v>
      </c>
      <c r="BX13" s="81">
        <f t="shared" ref="BX13:CC13" si="17">BX7+BX9+BX12</f>
        <v>52455</v>
      </c>
      <c r="BY13" s="80">
        <f t="shared" si="17"/>
        <v>-250961</v>
      </c>
      <c r="BZ13" s="80">
        <f t="shared" si="17"/>
        <v>0</v>
      </c>
      <c r="CA13" s="80">
        <f t="shared" si="17"/>
        <v>0</v>
      </c>
      <c r="CB13" s="80">
        <f t="shared" si="17"/>
        <v>314343</v>
      </c>
      <c r="CC13" s="81">
        <f t="shared" si="17"/>
        <v>63382</v>
      </c>
      <c r="CD13" s="80">
        <f t="shared" ref="CD13:DG13" si="18">CD7+CD9+CD12</f>
        <v>11185</v>
      </c>
      <c r="CE13" s="80">
        <f t="shared" si="18"/>
        <v>100319</v>
      </c>
      <c r="CF13" s="80">
        <f t="shared" si="18"/>
        <v>184002</v>
      </c>
      <c r="CG13" s="80">
        <f t="shared" si="18"/>
        <v>-178951</v>
      </c>
      <c r="CH13" s="81">
        <f t="shared" si="18"/>
        <v>116555</v>
      </c>
      <c r="CI13" s="80">
        <f t="shared" si="18"/>
        <v>5746</v>
      </c>
      <c r="CJ13" s="80">
        <f t="shared" si="18"/>
        <v>55343</v>
      </c>
      <c r="CK13" s="80">
        <f t="shared" si="18"/>
        <v>62940</v>
      </c>
      <c r="CL13" s="80">
        <f t="shared" si="18"/>
        <v>39560</v>
      </c>
      <c r="CM13" s="81">
        <f t="shared" si="18"/>
        <v>163589</v>
      </c>
      <c r="CN13" s="80">
        <f t="shared" si="18"/>
        <v>8081</v>
      </c>
      <c r="CO13" s="80">
        <f t="shared" si="18"/>
        <v>77409</v>
      </c>
      <c r="CP13" s="80">
        <f t="shared" si="18"/>
        <v>-45069</v>
      </c>
      <c r="CQ13" s="80">
        <f t="shared" si="18"/>
        <v>154518</v>
      </c>
      <c r="CR13" s="81">
        <f t="shared" si="18"/>
        <v>194939</v>
      </c>
      <c r="CS13" s="80">
        <f t="shared" si="18"/>
        <v>-59603</v>
      </c>
      <c r="CT13" s="80">
        <f t="shared" si="18"/>
        <v>105567</v>
      </c>
      <c r="CU13" s="80">
        <f t="shared" si="18"/>
        <v>273685</v>
      </c>
      <c r="CV13" s="80">
        <f t="shared" si="18"/>
        <v>-116806</v>
      </c>
      <c r="CW13" s="81">
        <f t="shared" si="18"/>
        <v>202843</v>
      </c>
      <c r="CX13" s="80">
        <f t="shared" si="18"/>
        <v>19399</v>
      </c>
      <c r="CY13" s="80">
        <f t="shared" si="18"/>
        <v>546352</v>
      </c>
      <c r="CZ13" s="80">
        <f t="shared" si="18"/>
        <v>-132805</v>
      </c>
      <c r="DA13" s="80">
        <f t="shared" si="18"/>
        <v>-8979</v>
      </c>
      <c r="DB13" s="81">
        <f t="shared" si="18"/>
        <v>423967</v>
      </c>
      <c r="DC13" s="80">
        <f t="shared" si="18"/>
        <v>127570</v>
      </c>
      <c r="DD13" s="80">
        <f t="shared" si="18"/>
        <v>-12931</v>
      </c>
      <c r="DE13" s="80">
        <f t="shared" si="18"/>
        <v>242328</v>
      </c>
      <c r="DF13" s="80">
        <f t="shared" si="18"/>
        <v>17734</v>
      </c>
      <c r="DG13" s="81">
        <f t="shared" si="18"/>
        <v>374701</v>
      </c>
      <c r="DH13" s="80">
        <f t="shared" ref="DH13:EF13" si="19">DH7+DH9+DH12</f>
        <v>-33627</v>
      </c>
      <c r="DI13" s="80">
        <f t="shared" si="19"/>
        <v>-123604</v>
      </c>
      <c r="DJ13" s="80">
        <f t="shared" ca="1" si="19"/>
        <v>58021.598926778504</v>
      </c>
      <c r="DK13" s="80">
        <f t="shared" ca="1" si="19"/>
        <v>100261.37079502578</v>
      </c>
      <c r="DL13" s="81">
        <f t="shared" ca="1" si="19"/>
        <v>1051.969721804373</v>
      </c>
      <c r="DM13" s="80">
        <f t="shared" ca="1" si="19"/>
        <v>246916.5152401888</v>
      </c>
      <c r="DN13" s="80">
        <f t="shared" ca="1" si="19"/>
        <v>115058.00225036545</v>
      </c>
      <c r="DO13" s="80">
        <f t="shared" ca="1" si="19"/>
        <v>120977.49368143716</v>
      </c>
      <c r="DP13" s="80">
        <f t="shared" ca="1" si="19"/>
        <v>377306.70949004689</v>
      </c>
      <c r="DQ13" s="81">
        <f t="shared" ca="1" si="19"/>
        <v>860258.72066203819</v>
      </c>
      <c r="DR13" s="80">
        <f t="shared" ca="1" si="19"/>
        <v>-823629.72038409591</v>
      </c>
      <c r="DS13" s="80">
        <f t="shared" ca="1" si="19"/>
        <v>148595.17901355319</v>
      </c>
      <c r="DT13" s="80">
        <f t="shared" ca="1" si="19"/>
        <v>415471.43009510322</v>
      </c>
      <c r="DU13" s="80">
        <f t="shared" ca="1" si="19"/>
        <v>434367.08804864623</v>
      </c>
      <c r="DV13" s="81">
        <f t="shared" ca="1" si="19"/>
        <v>174803.97677320661</v>
      </c>
      <c r="DW13" s="80">
        <f t="shared" ca="1" si="19"/>
        <v>-1103283.6489746096</v>
      </c>
      <c r="DX13" s="80">
        <f t="shared" ca="1" si="19"/>
        <v>426048.15580988798</v>
      </c>
      <c r="DY13" s="80">
        <f t="shared" ca="1" si="19"/>
        <v>444548.82015013066</v>
      </c>
      <c r="DZ13" s="80">
        <f t="shared" ca="1" si="19"/>
        <v>463503.08317284909</v>
      </c>
      <c r="EA13" s="81">
        <f t="shared" ca="1" si="19"/>
        <v>230816.4101582584</v>
      </c>
      <c r="EB13" s="80">
        <f t="shared" ca="1" si="19"/>
        <v>-1157438.213904659</v>
      </c>
      <c r="EC13" s="80">
        <f t="shared" ca="1" si="19"/>
        <v>448525.76143536181</v>
      </c>
      <c r="ED13" s="80">
        <f t="shared" ca="1" si="19"/>
        <v>461874.57530690351</v>
      </c>
      <c r="EE13" s="80">
        <f t="shared" ca="1" si="19"/>
        <v>475565.30278814485</v>
      </c>
      <c r="EF13" s="81">
        <f t="shared" ca="1" si="19"/>
        <v>228527.42562575149</v>
      </c>
    </row>
    <row r="14" spans="1:136" ht="12" customHeight="1">
      <c r="A14" s="1" t="s">
        <v>69</v>
      </c>
      <c r="B14" s="82" t="str">
        <f>'Balance Sheet'!A6</f>
        <v xml:space="preserve">  Cash and Equivalents</v>
      </c>
      <c r="C14" s="82">
        <f>'Balance Sheet'!B6</f>
        <v>0</v>
      </c>
      <c r="D14" s="82">
        <f>'Balance Sheet'!C6</f>
        <v>0</v>
      </c>
      <c r="E14" s="82">
        <f>'Balance Sheet'!D6</f>
        <v>0</v>
      </c>
      <c r="F14" s="77" t="str">
        <f>'Balance Sheet'!A6</f>
        <v xml:space="preserve">  Cash and Equivalents</v>
      </c>
      <c r="G14" s="82">
        <f>'Balance Sheet'!F6</f>
        <v>0</v>
      </c>
      <c r="H14" s="82">
        <f>'Balance Sheet'!G6</f>
        <v>0</v>
      </c>
      <c r="I14" s="82">
        <f>'Balance Sheet'!H6</f>
        <v>0</v>
      </c>
      <c r="J14" s="82">
        <f>'Balance Sheet'!I6</f>
        <v>0</v>
      </c>
      <c r="K14" s="77">
        <f>'Balance Sheet'!F6</f>
        <v>0</v>
      </c>
      <c r="L14" s="82">
        <f>'Balance Sheet'!K6</f>
        <v>0</v>
      </c>
      <c r="M14" s="82">
        <f>'Balance Sheet'!L6</f>
        <v>0</v>
      </c>
      <c r="N14" s="82">
        <f>'Balance Sheet'!M6</f>
        <v>0</v>
      </c>
      <c r="O14" s="82">
        <f>'Balance Sheet'!N6</f>
        <v>0</v>
      </c>
      <c r="P14" s="77">
        <f>'Balance Sheet'!K6</f>
        <v>0</v>
      </c>
      <c r="Q14" s="83">
        <f>'Balance Sheet'!P6</f>
        <v>0</v>
      </c>
      <c r="R14" s="83">
        <f>'Balance Sheet'!Q6</f>
        <v>0</v>
      </c>
      <c r="S14" s="83">
        <f>'Balance Sheet'!R6</f>
        <v>0</v>
      </c>
      <c r="T14" s="83">
        <f>'Balance Sheet'!S6</f>
        <v>0</v>
      </c>
      <c r="U14" s="26">
        <f>'Balance Sheet'!P6</f>
        <v>0</v>
      </c>
      <c r="V14" s="82">
        <f>U15</f>
        <v>0</v>
      </c>
      <c r="W14" s="82">
        <f>V15</f>
        <v>0</v>
      </c>
      <c r="X14" s="82">
        <f>W15</f>
        <v>0</v>
      </c>
      <c r="Y14" s="82">
        <f>X15</f>
        <v>0</v>
      </c>
      <c r="Z14" s="77">
        <f>U15</f>
        <v>0</v>
      </c>
      <c r="AA14" s="82">
        <f t="shared" ref="AA14:AX14" si="20">Z15</f>
        <v>0</v>
      </c>
      <c r="AB14" s="82">
        <f t="shared" si="20"/>
        <v>0</v>
      </c>
      <c r="AC14" s="82">
        <f t="shared" si="20"/>
        <v>0</v>
      </c>
      <c r="AD14" s="82">
        <f t="shared" si="20"/>
        <v>0</v>
      </c>
      <c r="AE14" s="77">
        <f>Z15</f>
        <v>0</v>
      </c>
      <c r="AF14" s="82">
        <f>AE15</f>
        <v>0</v>
      </c>
      <c r="AG14" s="82">
        <f>AF15</f>
        <v>0</v>
      </c>
      <c r="AH14" s="82">
        <f t="shared" si="20"/>
        <v>0</v>
      </c>
      <c r="AI14" s="82">
        <f t="shared" si="20"/>
        <v>0</v>
      </c>
      <c r="AJ14" s="77">
        <f>AE15</f>
        <v>0</v>
      </c>
      <c r="AK14" s="82">
        <f>AJ15</f>
        <v>22154.918000000001</v>
      </c>
      <c r="AL14" s="82">
        <f>AK15</f>
        <v>0</v>
      </c>
      <c r="AM14" s="82">
        <f t="shared" si="20"/>
        <v>0</v>
      </c>
      <c r="AN14" s="82">
        <f t="shared" si="20"/>
        <v>0</v>
      </c>
      <c r="AO14" s="77">
        <f>AJ15</f>
        <v>22154.918000000001</v>
      </c>
      <c r="AP14" s="82">
        <f>AO15</f>
        <v>50296.697999999997</v>
      </c>
      <c r="AQ14" s="82">
        <f>AP15</f>
        <v>0</v>
      </c>
      <c r="AR14" s="82">
        <f t="shared" si="20"/>
        <v>0</v>
      </c>
      <c r="AS14" s="82">
        <f t="shared" si="20"/>
        <v>0</v>
      </c>
      <c r="AT14" s="77">
        <f>AO15</f>
        <v>50296.697999999997</v>
      </c>
      <c r="AU14" s="82">
        <f t="shared" ref="AU14:BA14" si="21">AT15</f>
        <v>81383.578999999998</v>
      </c>
      <c r="AV14" s="82">
        <f t="shared" si="21"/>
        <v>0</v>
      </c>
      <c r="AW14" s="82">
        <f t="shared" si="20"/>
        <v>0</v>
      </c>
      <c r="AX14" s="82">
        <f t="shared" si="20"/>
        <v>0</v>
      </c>
      <c r="AY14" s="77">
        <f>AT15</f>
        <v>81383.578999999998</v>
      </c>
      <c r="AZ14" s="82">
        <f t="shared" si="21"/>
        <v>85862</v>
      </c>
      <c r="BA14" s="82">
        <f t="shared" si="21"/>
        <v>0</v>
      </c>
      <c r="BB14" s="83">
        <f>'Balance Sheet'!BA6</f>
        <v>0</v>
      </c>
      <c r="BC14" s="83">
        <f>'Balance Sheet'!BB6</f>
        <v>0</v>
      </c>
      <c r="BD14" s="26">
        <f>'Balance Sheet'!AY6</f>
        <v>85862</v>
      </c>
      <c r="BE14" s="83">
        <f>'Balance Sheet'!BD6</f>
        <v>142139</v>
      </c>
      <c r="BF14" s="83">
        <f>'Balance Sheet'!BE6</f>
        <v>0</v>
      </c>
      <c r="BG14" s="83">
        <f>'Balance Sheet'!BF6</f>
        <v>0</v>
      </c>
      <c r="BH14" s="83">
        <f>'Balance Sheet'!BG6</f>
        <v>0</v>
      </c>
      <c r="BI14" s="26">
        <f>'Balance Sheet'!BD6</f>
        <v>142139</v>
      </c>
      <c r="BJ14" s="83">
        <f>'Balance Sheet'!BI6</f>
        <v>152522</v>
      </c>
      <c r="BK14" s="83">
        <f>'Balance Sheet'!BJ6</f>
        <v>0</v>
      </c>
      <c r="BL14" s="83">
        <f>'Balance Sheet'!BK6</f>
        <v>0</v>
      </c>
      <c r="BM14" s="83">
        <f>'Balance Sheet'!BL6</f>
        <v>0</v>
      </c>
      <c r="BN14" s="26">
        <f>'Balance Sheet'!BI6</f>
        <v>152522</v>
      </c>
      <c r="BO14" s="83">
        <f>'Balance Sheet'!BN6</f>
        <v>161739</v>
      </c>
      <c r="BP14" s="83">
        <f>'Balance Sheet'!BO6</f>
        <v>0</v>
      </c>
      <c r="BQ14" s="83">
        <f>'Balance Sheet'!BP6</f>
        <v>0</v>
      </c>
      <c r="BR14" s="83">
        <f>'Balance Sheet'!BQ6</f>
        <v>0</v>
      </c>
      <c r="BS14" s="26">
        <f>'Balance Sheet'!BN6</f>
        <v>161739</v>
      </c>
      <c r="BT14" s="83">
        <f>'Balance Sheet'!BS6</f>
        <v>198506</v>
      </c>
      <c r="BU14" s="83">
        <f>'Balance Sheet'!BT6</f>
        <v>0</v>
      </c>
      <c r="BV14" s="83">
        <f>'Balance Sheet'!BU6</f>
        <v>0</v>
      </c>
      <c r="BW14" s="83">
        <f>'Balance Sheet'!BV6</f>
        <v>0</v>
      </c>
      <c r="BX14" s="26">
        <f>'Balance Sheet'!BS6</f>
        <v>198506</v>
      </c>
      <c r="BY14" s="83">
        <f>'Balance Sheet'!BX6</f>
        <v>250961</v>
      </c>
      <c r="BZ14" s="83">
        <f>'Balance Sheet'!BY6</f>
        <v>0</v>
      </c>
      <c r="CA14" s="83">
        <f>'Balance Sheet'!BZ6</f>
        <v>0</v>
      </c>
      <c r="CB14" s="83">
        <f>'Balance Sheet'!CA6</f>
        <v>0</v>
      </c>
      <c r="CC14" s="26">
        <f>'Balance Sheet'!BX6</f>
        <v>250961</v>
      </c>
      <c r="CD14" s="83">
        <f>'Balance Sheet'!CC6</f>
        <v>314343</v>
      </c>
      <c r="CE14" s="83">
        <f>'Balance Sheet'!CD6</f>
        <v>325528</v>
      </c>
      <c r="CF14" s="83">
        <f>'Balance Sheet'!CE6</f>
        <v>425847</v>
      </c>
      <c r="CG14" s="83">
        <f>'Balance Sheet'!CF6</f>
        <v>609849</v>
      </c>
      <c r="CH14" s="26">
        <f>'Balance Sheet'!CC6</f>
        <v>314343</v>
      </c>
      <c r="CI14" s="83">
        <f>'Balance Sheet'!CH6</f>
        <v>430898</v>
      </c>
      <c r="CJ14" s="83">
        <f>'Balance Sheet'!CI6</f>
        <v>436644</v>
      </c>
      <c r="CK14" s="83">
        <f>'Balance Sheet'!CJ6</f>
        <v>491987</v>
      </c>
      <c r="CL14" s="83">
        <f>'Balance Sheet'!CK6</f>
        <v>554927</v>
      </c>
      <c r="CM14" s="26">
        <f>'Balance Sheet'!CH6</f>
        <v>430898</v>
      </c>
      <c r="CN14" s="83">
        <f>'Balance Sheet'!CM6</f>
        <v>594487</v>
      </c>
      <c r="CO14" s="83">
        <f>'Balance Sheet'!CN6</f>
        <v>602568</v>
      </c>
      <c r="CP14" s="83">
        <f>'Balance Sheet'!CO6</f>
        <v>679977</v>
      </c>
      <c r="CQ14" s="83">
        <f>'Balance Sheet'!CP6</f>
        <v>634908</v>
      </c>
      <c r="CR14" s="26">
        <f>'Balance Sheet'!CM6</f>
        <v>594487</v>
      </c>
      <c r="CS14" s="83">
        <f>'Balance Sheet'!CR6</f>
        <v>789426</v>
      </c>
      <c r="CT14" s="83">
        <f>'Balance Sheet'!CS6</f>
        <v>729823</v>
      </c>
      <c r="CU14" s="83">
        <f>'Balance Sheet'!CT6</f>
        <v>835390</v>
      </c>
      <c r="CV14" s="83">
        <f>'Balance Sheet'!CU6</f>
        <v>1109075</v>
      </c>
      <c r="CW14" s="26">
        <f>'Balance Sheet'!CR6</f>
        <v>789426</v>
      </c>
      <c r="CX14" s="83">
        <f>'Balance Sheet'!CW6</f>
        <v>992269</v>
      </c>
      <c r="CY14" s="83">
        <f>'Balance Sheet'!CX6</f>
        <v>1011668</v>
      </c>
      <c r="CZ14" s="83">
        <f>'Balance Sheet'!CY6</f>
        <v>1558020</v>
      </c>
      <c r="DA14" s="83">
        <f>'Balance Sheet'!CZ6</f>
        <v>1425215</v>
      </c>
      <c r="DB14" s="26">
        <f>'Balance Sheet'!CW6</f>
        <v>992269</v>
      </c>
      <c r="DC14" s="83">
        <f>'Balance Sheet'!DB6</f>
        <v>1416236</v>
      </c>
      <c r="DD14" s="83">
        <f>'Balance Sheet'!DC6</f>
        <v>1543806</v>
      </c>
      <c r="DE14" s="83">
        <f>'Balance Sheet'!DD6</f>
        <v>1530875</v>
      </c>
      <c r="DF14" s="83">
        <f>'Balance Sheet'!DE6</f>
        <v>1773203</v>
      </c>
      <c r="DG14" s="26">
        <f>'Balance Sheet'!DB6</f>
        <v>1416236</v>
      </c>
      <c r="DH14" s="83">
        <f>'Balance Sheet'!DG6</f>
        <v>1790937</v>
      </c>
      <c r="DI14" s="83">
        <f>'Balance Sheet'!DH6</f>
        <v>1757310</v>
      </c>
      <c r="DJ14" s="83">
        <f>'Balance Sheet'!DI6</f>
        <v>1633706</v>
      </c>
      <c r="DK14" s="83">
        <f ca="1">'Balance Sheet'!DJ6</f>
        <v>1691727.5989267784</v>
      </c>
      <c r="DL14" s="26">
        <f>'Balance Sheet'!DG6</f>
        <v>1790937</v>
      </c>
      <c r="DM14" s="83">
        <f ca="1">'Balance Sheet'!DL6</f>
        <v>1791988.9697218041</v>
      </c>
      <c r="DN14" s="83">
        <f ca="1">'Balance Sheet'!DM6</f>
        <v>2038905.4849619931</v>
      </c>
      <c r="DO14" s="83">
        <f ca="1">'Balance Sheet'!DN6</f>
        <v>2153963.4872123585</v>
      </c>
      <c r="DP14" s="83">
        <f ca="1">'Balance Sheet'!DO6</f>
        <v>2274940.9808937958</v>
      </c>
      <c r="DQ14" s="26">
        <f ca="1">'Balance Sheet'!DL6</f>
        <v>1791988.9697218041</v>
      </c>
      <c r="DR14" s="83">
        <f ca="1">'Balance Sheet'!DQ6</f>
        <v>2652247.6903838427</v>
      </c>
      <c r="DS14" s="83">
        <f ca="1">'Balance Sheet'!DR6</f>
        <v>1828617.9699997469</v>
      </c>
      <c r="DT14" s="83">
        <f ca="1">'Balance Sheet'!DS6</f>
        <v>1977213.1490133</v>
      </c>
      <c r="DU14" s="83">
        <f ca="1">'Balance Sheet'!DT6</f>
        <v>2392684.5791084031</v>
      </c>
      <c r="DV14" s="26">
        <f ca="1">'Balance Sheet'!DQ6</f>
        <v>2652247.6903838427</v>
      </c>
      <c r="DW14" s="83">
        <f ca="1">'Balance Sheet'!DV6</f>
        <v>2827051.6671570493</v>
      </c>
      <c r="DX14" s="83">
        <f ca="1">'Balance Sheet'!DW6</f>
        <v>1723768.01818244</v>
      </c>
      <c r="DY14" s="83">
        <f ca="1">'Balance Sheet'!DX6</f>
        <v>2149816.1739923279</v>
      </c>
      <c r="DZ14" s="83">
        <f ca="1">'Balance Sheet'!DY6</f>
        <v>2594364.9941424616</v>
      </c>
      <c r="EA14" s="26">
        <f ca="1">'Balance Sheet'!DV6</f>
        <v>2827051.6671570493</v>
      </c>
      <c r="EB14" s="83">
        <f ca="1">'Balance Sheet'!EA6</f>
        <v>3057868.0773153142</v>
      </c>
      <c r="EC14" s="83">
        <f ca="1">'Balance Sheet'!EB6</f>
        <v>1900429.8634106587</v>
      </c>
      <c r="ED14" s="83">
        <f ca="1">'Balance Sheet'!EC6</f>
        <v>2348955.6248460161</v>
      </c>
      <c r="EE14" s="83">
        <f ca="1">'Balance Sheet'!ED6</f>
        <v>2810830.2001529974</v>
      </c>
      <c r="EF14" s="26">
        <f ca="1">'Balance Sheet'!EA6</f>
        <v>3057868.0773153142</v>
      </c>
    </row>
    <row r="15" spans="1:136" ht="12" customHeight="1">
      <c r="A15" s="1" t="s">
        <v>70</v>
      </c>
      <c r="B15" s="82">
        <f>'Balance Sheet'!B6</f>
        <v>0</v>
      </c>
      <c r="C15" s="82">
        <f>'Balance Sheet'!C6</f>
        <v>0</v>
      </c>
      <c r="D15" s="82">
        <f>'Balance Sheet'!D6</f>
        <v>0</v>
      </c>
      <c r="E15" s="82">
        <f>'Balance Sheet'!E6</f>
        <v>0</v>
      </c>
      <c r="F15" s="77">
        <f>'Balance Sheet'!F6</f>
        <v>0</v>
      </c>
      <c r="G15" s="82">
        <f>'Balance Sheet'!G6</f>
        <v>0</v>
      </c>
      <c r="H15" s="82">
        <f>'Balance Sheet'!H6</f>
        <v>0</v>
      </c>
      <c r="I15" s="82">
        <f>'Balance Sheet'!I6</f>
        <v>0</v>
      </c>
      <c r="J15" s="82">
        <f>'Balance Sheet'!J6</f>
        <v>0</v>
      </c>
      <c r="K15" s="77">
        <f>'Balance Sheet'!K6</f>
        <v>0</v>
      </c>
      <c r="L15" s="82">
        <f>'Balance Sheet'!L6</f>
        <v>0</v>
      </c>
      <c r="M15" s="82">
        <f>'Balance Sheet'!M6</f>
        <v>0</v>
      </c>
      <c r="N15" s="82">
        <f>'Balance Sheet'!N6</f>
        <v>0</v>
      </c>
      <c r="O15" s="82">
        <f>'Balance Sheet'!O6</f>
        <v>0</v>
      </c>
      <c r="P15" s="77">
        <f>'Balance Sheet'!P6</f>
        <v>0</v>
      </c>
      <c r="Q15" s="83">
        <f>'Balance Sheet'!Q6</f>
        <v>0</v>
      </c>
      <c r="R15" s="83">
        <f>'Balance Sheet'!R6</f>
        <v>0</v>
      </c>
      <c r="S15" s="83">
        <f>'Balance Sheet'!S6</f>
        <v>0</v>
      </c>
      <c r="T15" s="83">
        <f>'Balance Sheet'!T6</f>
        <v>0</v>
      </c>
      <c r="U15" s="26">
        <f>'Balance Sheet'!U6</f>
        <v>0</v>
      </c>
      <c r="V15" s="82">
        <f>'Balance Sheet'!V6</f>
        <v>0</v>
      </c>
      <c r="W15" s="82">
        <f>'Balance Sheet'!W6</f>
        <v>0</v>
      </c>
      <c r="X15" s="82">
        <f>'Balance Sheet'!X6</f>
        <v>0</v>
      </c>
      <c r="Y15" s="82">
        <f>'Balance Sheet'!Y6</f>
        <v>0</v>
      </c>
      <c r="Z15" s="77">
        <f>'Balance Sheet'!Z6</f>
        <v>0</v>
      </c>
      <c r="AA15" s="83">
        <f>'Balance Sheet'!AA6</f>
        <v>0</v>
      </c>
      <c r="AB15" s="83">
        <f>'Balance Sheet'!AB6</f>
        <v>0</v>
      </c>
      <c r="AC15" s="83">
        <f>'Balance Sheet'!AC6</f>
        <v>0</v>
      </c>
      <c r="AD15" s="83">
        <f>'Balance Sheet'!AD6</f>
        <v>0</v>
      </c>
      <c r="AE15" s="26">
        <f>'Balance Sheet'!AE6</f>
        <v>0</v>
      </c>
      <c r="AF15" s="83">
        <f>'Balance Sheet'!AF6</f>
        <v>0</v>
      </c>
      <c r="AG15" s="83">
        <f>'Balance Sheet'!AG6</f>
        <v>0</v>
      </c>
      <c r="AH15" s="83">
        <f>'Balance Sheet'!AH6</f>
        <v>0</v>
      </c>
      <c r="AI15" s="83">
        <f>'Balance Sheet'!AI6</f>
        <v>22154.918000000001</v>
      </c>
      <c r="AJ15" s="26">
        <f>'Balance Sheet'!AJ6</f>
        <v>22154.918000000001</v>
      </c>
      <c r="AK15" s="83">
        <f>'Balance Sheet'!AK6</f>
        <v>0</v>
      </c>
      <c r="AL15" s="83">
        <f>'Balance Sheet'!AL6</f>
        <v>0</v>
      </c>
      <c r="AM15" s="83">
        <f>'Balance Sheet'!AM6</f>
        <v>0</v>
      </c>
      <c r="AN15" s="83">
        <f>'Balance Sheet'!AN6</f>
        <v>50296.697999999997</v>
      </c>
      <c r="AO15" s="26">
        <f>'Balance Sheet'!AO6</f>
        <v>50296.697999999997</v>
      </c>
      <c r="AP15" s="83">
        <f>'Balance Sheet'!AP6</f>
        <v>0</v>
      </c>
      <c r="AQ15" s="83">
        <f>'Balance Sheet'!AQ6</f>
        <v>0</v>
      </c>
      <c r="AR15" s="83">
        <f>'Balance Sheet'!AR6</f>
        <v>0</v>
      </c>
      <c r="AS15" s="83">
        <f>'Balance Sheet'!AS6</f>
        <v>81383.578999999998</v>
      </c>
      <c r="AT15" s="26">
        <f>'Balance Sheet'!AT6</f>
        <v>81383.578999999998</v>
      </c>
      <c r="AU15" s="83">
        <f>'Balance Sheet'!AU6</f>
        <v>0</v>
      </c>
      <c r="AV15" s="83">
        <f>'Balance Sheet'!AV6</f>
        <v>0</v>
      </c>
      <c r="AW15" s="83">
        <f>'Balance Sheet'!AW6</f>
        <v>0</v>
      </c>
      <c r="AX15" s="83">
        <f>'Balance Sheet'!AX6</f>
        <v>85862</v>
      </c>
      <c r="AY15" s="26">
        <f>'Balance Sheet'!AY6</f>
        <v>85862</v>
      </c>
      <c r="AZ15" s="83">
        <f>'Balance Sheet'!AZ6</f>
        <v>0</v>
      </c>
      <c r="BA15" s="83">
        <f>'Balance Sheet'!BA6</f>
        <v>0</v>
      </c>
      <c r="BB15" s="83">
        <f t="shared" ref="BB15:CC15" si="22">BB13+BB14</f>
        <v>0</v>
      </c>
      <c r="BC15" s="83">
        <f t="shared" si="22"/>
        <v>142139</v>
      </c>
      <c r="BD15" s="26">
        <f t="shared" si="22"/>
        <v>142139</v>
      </c>
      <c r="BE15" s="83">
        <f t="shared" si="22"/>
        <v>0</v>
      </c>
      <c r="BF15" s="83">
        <f t="shared" si="22"/>
        <v>0</v>
      </c>
      <c r="BG15" s="83">
        <f t="shared" si="22"/>
        <v>0</v>
      </c>
      <c r="BH15" s="83">
        <f t="shared" si="22"/>
        <v>152522</v>
      </c>
      <c r="BI15" s="26">
        <f t="shared" si="22"/>
        <v>152522</v>
      </c>
      <c r="BJ15" s="83">
        <f t="shared" si="22"/>
        <v>0</v>
      </c>
      <c r="BK15" s="83">
        <f t="shared" si="22"/>
        <v>0</v>
      </c>
      <c r="BL15" s="83">
        <f t="shared" si="22"/>
        <v>0</v>
      </c>
      <c r="BM15" s="83">
        <f t="shared" si="22"/>
        <v>161739</v>
      </c>
      <c r="BN15" s="26">
        <f t="shared" si="22"/>
        <v>161739</v>
      </c>
      <c r="BO15" s="83">
        <f t="shared" si="22"/>
        <v>0</v>
      </c>
      <c r="BP15" s="83">
        <f t="shared" si="22"/>
        <v>0</v>
      </c>
      <c r="BQ15" s="83">
        <f t="shared" si="22"/>
        <v>0</v>
      </c>
      <c r="BR15" s="83">
        <f t="shared" si="22"/>
        <v>198506</v>
      </c>
      <c r="BS15" s="26">
        <f t="shared" si="22"/>
        <v>198506</v>
      </c>
      <c r="BT15" s="83">
        <f t="shared" si="22"/>
        <v>0</v>
      </c>
      <c r="BU15" s="83">
        <f t="shared" si="22"/>
        <v>0</v>
      </c>
      <c r="BV15" s="83">
        <f t="shared" si="22"/>
        <v>0</v>
      </c>
      <c r="BW15" s="83">
        <f t="shared" si="22"/>
        <v>250961</v>
      </c>
      <c r="BX15" s="26">
        <f t="shared" si="22"/>
        <v>250961</v>
      </c>
      <c r="BY15" s="83">
        <f t="shared" si="22"/>
        <v>0</v>
      </c>
      <c r="BZ15" s="83">
        <f t="shared" si="22"/>
        <v>0</v>
      </c>
      <c r="CA15" s="83">
        <f t="shared" si="22"/>
        <v>0</v>
      </c>
      <c r="CB15" s="83">
        <f t="shared" si="22"/>
        <v>314343</v>
      </c>
      <c r="CC15" s="26">
        <f t="shared" si="22"/>
        <v>314343</v>
      </c>
      <c r="CD15" s="83">
        <f t="shared" ref="CD15:DG15" si="23">CD13+CD14</f>
        <v>325528</v>
      </c>
      <c r="CE15" s="83">
        <f t="shared" si="23"/>
        <v>425847</v>
      </c>
      <c r="CF15" s="83">
        <f t="shared" si="23"/>
        <v>609849</v>
      </c>
      <c r="CG15" s="83">
        <f t="shared" si="23"/>
        <v>430898</v>
      </c>
      <c r="CH15" s="26">
        <f t="shared" si="23"/>
        <v>430898</v>
      </c>
      <c r="CI15" s="83">
        <f t="shared" si="23"/>
        <v>436644</v>
      </c>
      <c r="CJ15" s="83">
        <f t="shared" si="23"/>
        <v>491987</v>
      </c>
      <c r="CK15" s="83">
        <f t="shared" si="23"/>
        <v>554927</v>
      </c>
      <c r="CL15" s="83">
        <f t="shared" si="23"/>
        <v>594487</v>
      </c>
      <c r="CM15" s="26">
        <f t="shared" si="23"/>
        <v>594487</v>
      </c>
      <c r="CN15" s="83">
        <f t="shared" si="23"/>
        <v>602568</v>
      </c>
      <c r="CO15" s="83">
        <f t="shared" si="23"/>
        <v>679977</v>
      </c>
      <c r="CP15" s="83">
        <f t="shared" si="23"/>
        <v>634908</v>
      </c>
      <c r="CQ15" s="83">
        <f t="shared" si="23"/>
        <v>789426</v>
      </c>
      <c r="CR15" s="26">
        <f t="shared" si="23"/>
        <v>789426</v>
      </c>
      <c r="CS15" s="83">
        <f t="shared" si="23"/>
        <v>729823</v>
      </c>
      <c r="CT15" s="83">
        <f t="shared" si="23"/>
        <v>835390</v>
      </c>
      <c r="CU15" s="83">
        <f t="shared" si="23"/>
        <v>1109075</v>
      </c>
      <c r="CV15" s="83">
        <f t="shared" si="23"/>
        <v>992269</v>
      </c>
      <c r="CW15" s="26">
        <f t="shared" si="23"/>
        <v>992269</v>
      </c>
      <c r="CX15" s="83">
        <f t="shared" si="23"/>
        <v>1011668</v>
      </c>
      <c r="CY15" s="83">
        <f t="shared" si="23"/>
        <v>1558020</v>
      </c>
      <c r="CZ15" s="83">
        <f t="shared" si="23"/>
        <v>1425215</v>
      </c>
      <c r="DA15" s="83">
        <f t="shared" si="23"/>
        <v>1416236</v>
      </c>
      <c r="DB15" s="26">
        <f t="shared" si="23"/>
        <v>1416236</v>
      </c>
      <c r="DC15" s="83">
        <f t="shared" si="23"/>
        <v>1543806</v>
      </c>
      <c r="DD15" s="83">
        <f t="shared" si="23"/>
        <v>1530875</v>
      </c>
      <c r="DE15" s="83">
        <f t="shared" si="23"/>
        <v>1773203</v>
      </c>
      <c r="DF15" s="83">
        <f t="shared" si="23"/>
        <v>1790937</v>
      </c>
      <c r="DG15" s="26">
        <f t="shared" si="23"/>
        <v>1790937</v>
      </c>
      <c r="DH15" s="83">
        <f t="shared" ref="DH15:EF15" si="24">DH13+DH14</f>
        <v>1757310</v>
      </c>
      <c r="DI15" s="83">
        <f t="shared" si="24"/>
        <v>1633706</v>
      </c>
      <c r="DJ15" s="83">
        <f t="shared" ca="1" si="24"/>
        <v>1691727.5989267784</v>
      </c>
      <c r="DK15" s="83">
        <f t="shared" ca="1" si="24"/>
        <v>1791988.9697218041</v>
      </c>
      <c r="DL15" s="26">
        <f t="shared" ca="1" si="24"/>
        <v>1791988.9697218044</v>
      </c>
      <c r="DM15" s="83">
        <f t="shared" ca="1" si="24"/>
        <v>2038905.4849619931</v>
      </c>
      <c r="DN15" s="83">
        <f t="shared" ca="1" si="24"/>
        <v>2153963.4872123585</v>
      </c>
      <c r="DO15" s="83">
        <f t="shared" ca="1" si="24"/>
        <v>2274940.9808937958</v>
      </c>
      <c r="DP15" s="83">
        <f t="shared" ca="1" si="24"/>
        <v>2652247.6903838427</v>
      </c>
      <c r="DQ15" s="26">
        <f t="shared" ca="1" si="24"/>
        <v>2652247.6903838422</v>
      </c>
      <c r="DR15" s="83">
        <f t="shared" ca="1" si="24"/>
        <v>1828617.9699997469</v>
      </c>
      <c r="DS15" s="83">
        <f t="shared" ca="1" si="24"/>
        <v>1977213.1490133</v>
      </c>
      <c r="DT15" s="83">
        <f t="shared" ca="1" si="24"/>
        <v>2392684.5791084031</v>
      </c>
      <c r="DU15" s="83">
        <f t="shared" ca="1" si="24"/>
        <v>2827051.6671570493</v>
      </c>
      <c r="DV15" s="26">
        <f t="shared" ca="1" si="24"/>
        <v>2827051.6671570493</v>
      </c>
      <c r="DW15" s="83">
        <f t="shared" ca="1" si="24"/>
        <v>1723768.0181824397</v>
      </c>
      <c r="DX15" s="83">
        <f t="shared" ca="1" si="24"/>
        <v>2149816.1739923279</v>
      </c>
      <c r="DY15" s="83">
        <f t="shared" ca="1" si="24"/>
        <v>2594364.9941424588</v>
      </c>
      <c r="DZ15" s="83">
        <f t="shared" ca="1" si="24"/>
        <v>3057868.0773153105</v>
      </c>
      <c r="EA15" s="26">
        <f t="shared" ca="1" si="24"/>
        <v>3057868.0773153077</v>
      </c>
      <c r="EB15" s="83">
        <f t="shared" ca="1" si="24"/>
        <v>1900429.8634106552</v>
      </c>
      <c r="EC15" s="83">
        <f t="shared" ca="1" si="24"/>
        <v>2348955.6248460207</v>
      </c>
      <c r="ED15" s="83">
        <f t="shared" ca="1" si="24"/>
        <v>2810830.2001529196</v>
      </c>
      <c r="EE15" s="83">
        <f t="shared" ca="1" si="24"/>
        <v>3286395.5029411423</v>
      </c>
      <c r="EF15" s="26">
        <f t="shared" ca="1" si="24"/>
        <v>3286395.5029410655</v>
      </c>
    </row>
    <row r="16" spans="1:136" s="33" customFormat="1" ht="12" customHeight="1">
      <c r="A16" s="33" t="s">
        <v>141</v>
      </c>
      <c r="B16" s="84" t="e">
        <f t="shared" ref="B16:K16" si="25">B13-B11-B10</f>
        <v>#VALUE!</v>
      </c>
      <c r="C16" s="84">
        <f t="shared" si="25"/>
        <v>0</v>
      </c>
      <c r="D16" s="84">
        <f t="shared" si="25"/>
        <v>0</v>
      </c>
      <c r="E16" s="84">
        <f t="shared" si="25"/>
        <v>0</v>
      </c>
      <c r="F16" s="85" t="e">
        <f t="shared" si="25"/>
        <v>#VALUE!</v>
      </c>
      <c r="G16" s="84">
        <f t="shared" si="25"/>
        <v>0</v>
      </c>
      <c r="H16" s="84">
        <f t="shared" si="25"/>
        <v>0</v>
      </c>
      <c r="I16" s="84">
        <f t="shared" si="25"/>
        <v>0</v>
      </c>
      <c r="J16" s="84">
        <f t="shared" si="25"/>
        <v>0</v>
      </c>
      <c r="K16" s="85">
        <f t="shared" si="25"/>
        <v>0</v>
      </c>
      <c r="L16" s="84">
        <f t="shared" ref="L16:BW16" si="26">L13-L11-L10</f>
        <v>0</v>
      </c>
      <c r="M16" s="84">
        <f t="shared" si="26"/>
        <v>0</v>
      </c>
      <c r="N16" s="84">
        <f t="shared" si="26"/>
        <v>0</v>
      </c>
      <c r="O16" s="84">
        <f t="shared" si="26"/>
        <v>0</v>
      </c>
      <c r="P16" s="85">
        <f t="shared" si="26"/>
        <v>0</v>
      </c>
      <c r="Q16" s="84">
        <f t="shared" si="26"/>
        <v>0</v>
      </c>
      <c r="R16" s="84">
        <f t="shared" si="26"/>
        <v>0</v>
      </c>
      <c r="S16" s="84">
        <f t="shared" si="26"/>
        <v>0</v>
      </c>
      <c r="T16" s="84">
        <f t="shared" si="26"/>
        <v>0</v>
      </c>
      <c r="U16" s="85">
        <f t="shared" si="26"/>
        <v>0</v>
      </c>
      <c r="V16" s="84">
        <f t="shared" si="26"/>
        <v>0</v>
      </c>
      <c r="W16" s="84">
        <f t="shared" si="26"/>
        <v>0</v>
      </c>
      <c r="X16" s="84">
        <f t="shared" si="26"/>
        <v>0</v>
      </c>
      <c r="Y16" s="84">
        <f t="shared" si="26"/>
        <v>0</v>
      </c>
      <c r="Z16" s="85">
        <f t="shared" si="26"/>
        <v>0</v>
      </c>
      <c r="AA16" s="84">
        <f t="shared" si="26"/>
        <v>0</v>
      </c>
      <c r="AB16" s="84">
        <f t="shared" si="26"/>
        <v>0</v>
      </c>
      <c r="AC16" s="84">
        <f t="shared" si="26"/>
        <v>0</v>
      </c>
      <c r="AD16" s="84">
        <f t="shared" si="26"/>
        <v>0</v>
      </c>
      <c r="AE16" s="85">
        <f t="shared" si="26"/>
        <v>0</v>
      </c>
      <c r="AF16" s="84">
        <f t="shared" si="26"/>
        <v>0</v>
      </c>
      <c r="AG16" s="84">
        <f t="shared" si="26"/>
        <v>0</v>
      </c>
      <c r="AH16" s="84">
        <f t="shared" si="26"/>
        <v>0</v>
      </c>
      <c r="AI16" s="84">
        <f t="shared" si="26"/>
        <v>-142882.14199999999</v>
      </c>
      <c r="AJ16" s="85">
        <f t="shared" si="26"/>
        <v>-142882.14199999999</v>
      </c>
      <c r="AK16" s="84">
        <f t="shared" si="26"/>
        <v>194979.90900000001</v>
      </c>
      <c r="AL16" s="84">
        <f t="shared" si="26"/>
        <v>0</v>
      </c>
      <c r="AM16" s="84">
        <f t="shared" si="26"/>
        <v>0</v>
      </c>
      <c r="AN16" s="84">
        <f t="shared" si="26"/>
        <v>-220385.48300000007</v>
      </c>
      <c r="AO16" s="85">
        <f t="shared" si="26"/>
        <v>-25405.57400000003</v>
      </c>
      <c r="AP16" s="84">
        <f t="shared" si="26"/>
        <v>310388.35600000003</v>
      </c>
      <c r="AQ16" s="84">
        <f t="shared" si="26"/>
        <v>0</v>
      </c>
      <c r="AR16" s="84">
        <f t="shared" si="26"/>
        <v>0</v>
      </c>
      <c r="AS16" s="84">
        <f t="shared" si="26"/>
        <v>-306529.92699999991</v>
      </c>
      <c r="AT16" s="85">
        <f t="shared" si="26"/>
        <v>3858.4290000000765</v>
      </c>
      <c r="AU16" s="84">
        <f t="shared" si="26"/>
        <v>386611.11399999994</v>
      </c>
      <c r="AV16" s="84">
        <f t="shared" si="26"/>
        <v>0</v>
      </c>
      <c r="AW16" s="84">
        <f t="shared" si="26"/>
        <v>0</v>
      </c>
      <c r="AX16" s="84">
        <f t="shared" si="26"/>
        <v>-366800.74900000007</v>
      </c>
      <c r="AY16" s="85">
        <f t="shared" si="26"/>
        <v>19810.36499999994</v>
      </c>
      <c r="AZ16" s="84">
        <f t="shared" si="26"/>
        <v>471881</v>
      </c>
      <c r="BA16" s="84">
        <f t="shared" si="26"/>
        <v>0</v>
      </c>
      <c r="BB16" s="84">
        <f t="shared" si="26"/>
        <v>0</v>
      </c>
      <c r="BC16" s="84">
        <f t="shared" si="26"/>
        <v>-405070</v>
      </c>
      <c r="BD16" s="85">
        <f t="shared" si="26"/>
        <v>66811</v>
      </c>
      <c r="BE16" s="84">
        <f t="shared" si="26"/>
        <v>539601</v>
      </c>
      <c r="BF16" s="84">
        <f t="shared" si="26"/>
        <v>0</v>
      </c>
      <c r="BG16" s="84">
        <f t="shared" si="26"/>
        <v>0</v>
      </c>
      <c r="BH16" s="84">
        <f t="shared" si="26"/>
        <v>-461313</v>
      </c>
      <c r="BI16" s="85">
        <f t="shared" si="26"/>
        <v>78288</v>
      </c>
      <c r="BJ16" s="84">
        <f t="shared" si="26"/>
        <v>592421</v>
      </c>
      <c r="BK16" s="84">
        <f t="shared" si="26"/>
        <v>0</v>
      </c>
      <c r="BL16" s="84">
        <f t="shared" si="26"/>
        <v>0</v>
      </c>
      <c r="BM16" s="84">
        <f t="shared" si="26"/>
        <v>-467525</v>
      </c>
      <c r="BN16" s="85">
        <f t="shared" si="26"/>
        <v>124896</v>
      </c>
      <c r="BO16" s="84">
        <f t="shared" si="26"/>
        <v>558511</v>
      </c>
      <c r="BP16" s="84">
        <f t="shared" si="26"/>
        <v>0</v>
      </c>
      <c r="BQ16" s="84">
        <f t="shared" si="26"/>
        <v>0</v>
      </c>
      <c r="BR16" s="84">
        <f t="shared" si="26"/>
        <v>-472914</v>
      </c>
      <c r="BS16" s="85">
        <f t="shared" si="26"/>
        <v>85597</v>
      </c>
      <c r="BT16" s="84">
        <f t="shared" si="26"/>
        <v>585748</v>
      </c>
      <c r="BU16" s="84">
        <f t="shared" si="26"/>
        <v>0</v>
      </c>
      <c r="BV16" s="84">
        <f t="shared" si="26"/>
        <v>0</v>
      </c>
      <c r="BW16" s="84">
        <f t="shared" si="26"/>
        <v>-375683</v>
      </c>
      <c r="BX16" s="85">
        <f t="shared" ref="BX16:CC16" si="27">BX13-BX11-BX10</f>
        <v>210065</v>
      </c>
      <c r="BY16" s="84">
        <f t="shared" si="27"/>
        <v>525058</v>
      </c>
      <c r="BZ16" s="84">
        <f t="shared" si="27"/>
        <v>61073</v>
      </c>
      <c r="CA16" s="84">
        <f t="shared" si="27"/>
        <v>30308</v>
      </c>
      <c r="CB16" s="84">
        <f t="shared" si="27"/>
        <v>-452912</v>
      </c>
      <c r="CC16" s="85">
        <f t="shared" si="27"/>
        <v>163527</v>
      </c>
      <c r="CD16" s="84">
        <f t="shared" ref="CD16:DG16" si="28">CD13-CD11-CD10</f>
        <v>8092</v>
      </c>
      <c r="CE16" s="84">
        <f t="shared" si="28"/>
        <v>59197</v>
      </c>
      <c r="CF16" s="84">
        <f t="shared" si="28"/>
        <v>56897</v>
      </c>
      <c r="CG16" s="84">
        <f t="shared" si="28"/>
        <v>18209</v>
      </c>
      <c r="CH16" s="85">
        <f t="shared" si="28"/>
        <v>142395</v>
      </c>
      <c r="CI16" s="84">
        <f t="shared" si="28"/>
        <v>7121</v>
      </c>
      <c r="CJ16" s="84">
        <f t="shared" si="28"/>
        <v>62511</v>
      </c>
      <c r="CK16" s="84">
        <f t="shared" si="28"/>
        <v>59616</v>
      </c>
      <c r="CL16" s="84">
        <f t="shared" si="28"/>
        <v>90262</v>
      </c>
      <c r="CM16" s="85">
        <f t="shared" si="28"/>
        <v>219510</v>
      </c>
      <c r="CN16" s="84">
        <f t="shared" si="28"/>
        <v>16660</v>
      </c>
      <c r="CO16" s="84">
        <f t="shared" si="28"/>
        <v>72990</v>
      </c>
      <c r="CP16" s="84">
        <f t="shared" si="28"/>
        <v>61298</v>
      </c>
      <c r="CQ16" s="84">
        <f t="shared" si="28"/>
        <v>138291</v>
      </c>
      <c r="CR16" s="85">
        <f t="shared" si="28"/>
        <v>289239</v>
      </c>
      <c r="CS16" s="84">
        <f t="shared" si="28"/>
        <v>6729</v>
      </c>
      <c r="CT16" s="84">
        <f t="shared" si="28"/>
        <v>91594</v>
      </c>
      <c r="CU16" s="84">
        <f t="shared" si="28"/>
        <v>131951</v>
      </c>
      <c r="CV16" s="84">
        <f t="shared" si="28"/>
        <v>170353</v>
      </c>
      <c r="CW16" s="85">
        <f t="shared" si="28"/>
        <v>400627</v>
      </c>
      <c r="CX16" s="84">
        <f t="shared" si="28"/>
        <v>14798</v>
      </c>
      <c r="CY16" s="84">
        <f t="shared" si="28"/>
        <v>202593</v>
      </c>
      <c r="CZ16" s="84">
        <f t="shared" si="28"/>
        <v>98197</v>
      </c>
      <c r="DA16" s="84">
        <f t="shared" si="28"/>
        <v>143766</v>
      </c>
      <c r="DB16" s="85">
        <f t="shared" si="28"/>
        <v>459354</v>
      </c>
      <c r="DC16" s="84">
        <f t="shared" si="28"/>
        <v>-11375</v>
      </c>
      <c r="DD16" s="84">
        <f t="shared" si="28"/>
        <v>44713</v>
      </c>
      <c r="DE16" s="84">
        <f t="shared" si="28"/>
        <v>206757</v>
      </c>
      <c r="DF16" s="84">
        <f t="shared" si="28"/>
        <v>315542</v>
      </c>
      <c r="DG16" s="85">
        <f t="shared" si="28"/>
        <v>555637</v>
      </c>
      <c r="DH16" s="84">
        <f t="shared" ref="DH16:EF16" si="29">DH13-DH11-DH10</f>
        <v>29737</v>
      </c>
      <c r="DI16" s="84">
        <f t="shared" si="29"/>
        <v>107663</v>
      </c>
      <c r="DJ16" s="84">
        <f t="shared" ca="1" si="29"/>
        <v>203060.12935104067</v>
      </c>
      <c r="DK16" s="84">
        <f t="shared" ca="1" si="29"/>
        <v>262428.18523317477</v>
      </c>
      <c r="DL16" s="85">
        <f t="shared" ca="1" si="29"/>
        <v>602888.31458421564</v>
      </c>
      <c r="DM16" s="84">
        <f t="shared" ca="1" si="29"/>
        <v>483805.26672512852</v>
      </c>
      <c r="DN16" s="84">
        <f t="shared" ca="1" si="29"/>
        <v>299660.92124677589</v>
      </c>
      <c r="DO16" s="84">
        <f t="shared" ca="1" si="29"/>
        <v>311286.41648698895</v>
      </c>
      <c r="DP16" s="84">
        <f t="shared" ca="1" si="29"/>
        <v>320944.98173605191</v>
      </c>
      <c r="DQ16" s="85">
        <f t="shared" ca="1" si="29"/>
        <v>1415697.586194945</v>
      </c>
      <c r="DR16" s="84">
        <f t="shared" ca="1" si="29"/>
        <v>350971.9350196115</v>
      </c>
      <c r="DS16" s="84">
        <f t="shared" ca="1" si="29"/>
        <v>346239.16351010365</v>
      </c>
      <c r="DT16" s="84">
        <f t="shared" ca="1" si="29"/>
        <v>364824.74091294903</v>
      </c>
      <c r="DU16" s="84">
        <f t="shared" ca="1" si="29"/>
        <v>383895.58202862804</v>
      </c>
      <c r="DV16" s="85">
        <f t="shared" ca="1" si="29"/>
        <v>1445931.4214712919</v>
      </c>
      <c r="DW16" s="84">
        <f t="shared" ca="1" si="29"/>
        <v>380324.88993312791</v>
      </c>
      <c r="DX16" s="84">
        <f t="shared" ca="1" si="29"/>
        <v>375357.99970342382</v>
      </c>
      <c r="DY16" s="84">
        <f t="shared" ca="1" si="29"/>
        <v>393531.18264013593</v>
      </c>
      <c r="DZ16" s="84">
        <f t="shared" ca="1" si="29"/>
        <v>412037.6031321545</v>
      </c>
      <c r="EA16" s="85">
        <f t="shared" ca="1" si="29"/>
        <v>1561251.6754088423</v>
      </c>
      <c r="EB16" s="84">
        <f t="shared" ca="1" si="29"/>
        <v>406590.35438570264</v>
      </c>
      <c r="EC16" s="84">
        <f t="shared" ca="1" si="29"/>
        <v>395845.67169614072</v>
      </c>
      <c r="ED16" s="84">
        <f t="shared" ca="1" si="29"/>
        <v>408441.96492243826</v>
      </c>
      <c r="EE16" s="84">
        <f t="shared" ca="1" si="29"/>
        <v>421290.13127801119</v>
      </c>
      <c r="EF16" s="85">
        <f t="shared" ca="1" si="29"/>
        <v>1632168.1222822932</v>
      </c>
    </row>
    <row r="17" spans="1:136" s="86" customFormat="1" ht="12" customHeight="1" thickBot="1">
      <c r="A17" s="86" t="s">
        <v>142</v>
      </c>
      <c r="B17" s="87" t="e">
        <f t="shared" ref="B17:K17" si="30">B13-B11</f>
        <v>#VALUE!</v>
      </c>
      <c r="C17" s="87">
        <f t="shared" si="30"/>
        <v>0</v>
      </c>
      <c r="D17" s="87">
        <f t="shared" si="30"/>
        <v>0</v>
      </c>
      <c r="E17" s="87">
        <f t="shared" si="30"/>
        <v>0</v>
      </c>
      <c r="F17" s="88" t="e">
        <f t="shared" si="30"/>
        <v>#VALUE!</v>
      </c>
      <c r="G17" s="87">
        <f t="shared" si="30"/>
        <v>0</v>
      </c>
      <c r="H17" s="87">
        <f t="shared" si="30"/>
        <v>0</v>
      </c>
      <c r="I17" s="87">
        <f t="shared" si="30"/>
        <v>0</v>
      </c>
      <c r="J17" s="87">
        <f t="shared" si="30"/>
        <v>0</v>
      </c>
      <c r="K17" s="88">
        <f t="shared" si="30"/>
        <v>0</v>
      </c>
      <c r="L17" s="87">
        <f t="shared" ref="L17:BW17" si="31">L13-L11</f>
        <v>0</v>
      </c>
      <c r="M17" s="87">
        <f t="shared" si="31"/>
        <v>0</v>
      </c>
      <c r="N17" s="87">
        <f t="shared" si="31"/>
        <v>0</v>
      </c>
      <c r="O17" s="87">
        <f t="shared" si="31"/>
        <v>0</v>
      </c>
      <c r="P17" s="88">
        <f t="shared" si="31"/>
        <v>0</v>
      </c>
      <c r="Q17" s="87">
        <f t="shared" si="31"/>
        <v>0</v>
      </c>
      <c r="R17" s="87">
        <f t="shared" si="31"/>
        <v>0</v>
      </c>
      <c r="S17" s="87">
        <f t="shared" si="31"/>
        <v>0</v>
      </c>
      <c r="T17" s="87">
        <f t="shared" si="31"/>
        <v>0</v>
      </c>
      <c r="U17" s="88">
        <f t="shared" si="31"/>
        <v>0</v>
      </c>
      <c r="V17" s="87">
        <f t="shared" si="31"/>
        <v>0</v>
      </c>
      <c r="W17" s="87">
        <f t="shared" si="31"/>
        <v>0</v>
      </c>
      <c r="X17" s="87">
        <f t="shared" si="31"/>
        <v>0</v>
      </c>
      <c r="Y17" s="87">
        <f t="shared" si="31"/>
        <v>0</v>
      </c>
      <c r="Z17" s="88">
        <f t="shared" si="31"/>
        <v>0</v>
      </c>
      <c r="AA17" s="87">
        <f t="shared" si="31"/>
        <v>0</v>
      </c>
      <c r="AB17" s="87">
        <f t="shared" si="31"/>
        <v>0</v>
      </c>
      <c r="AC17" s="87">
        <f t="shared" si="31"/>
        <v>0</v>
      </c>
      <c r="AD17" s="87">
        <f t="shared" si="31"/>
        <v>0</v>
      </c>
      <c r="AE17" s="88">
        <f t="shared" si="31"/>
        <v>0</v>
      </c>
      <c r="AF17" s="87">
        <f t="shared" si="31"/>
        <v>0</v>
      </c>
      <c r="AG17" s="87">
        <f t="shared" si="31"/>
        <v>0</v>
      </c>
      <c r="AH17" s="87">
        <f t="shared" si="31"/>
        <v>0</v>
      </c>
      <c r="AI17" s="87">
        <f t="shared" si="31"/>
        <v>-60509.429999999993</v>
      </c>
      <c r="AJ17" s="88">
        <f t="shared" si="31"/>
        <v>-60509.429999999993</v>
      </c>
      <c r="AK17" s="87">
        <f t="shared" si="31"/>
        <v>112607.19700000001</v>
      </c>
      <c r="AL17" s="87">
        <f t="shared" si="31"/>
        <v>0</v>
      </c>
      <c r="AM17" s="87">
        <f t="shared" si="31"/>
        <v>0</v>
      </c>
      <c r="AN17" s="87">
        <f t="shared" si="31"/>
        <v>-72666.013000000064</v>
      </c>
      <c r="AO17" s="88">
        <f t="shared" si="31"/>
        <v>39941.183999999987</v>
      </c>
      <c r="AP17" s="87">
        <f t="shared" si="31"/>
        <v>162668.88600000003</v>
      </c>
      <c r="AQ17" s="87">
        <f t="shared" si="31"/>
        <v>0</v>
      </c>
      <c r="AR17" s="87">
        <f t="shared" si="31"/>
        <v>0</v>
      </c>
      <c r="AS17" s="87">
        <f t="shared" si="31"/>
        <v>-207586.90299999993</v>
      </c>
      <c r="AT17" s="88">
        <f t="shared" si="31"/>
        <v>-44918.016999999934</v>
      </c>
      <c r="AU17" s="87">
        <f t="shared" si="31"/>
        <v>287668.08999999991</v>
      </c>
      <c r="AV17" s="87">
        <f t="shared" si="31"/>
        <v>0</v>
      </c>
      <c r="AW17" s="87">
        <f t="shared" si="31"/>
        <v>0</v>
      </c>
      <c r="AX17" s="87">
        <f t="shared" si="31"/>
        <v>-266022.74900000007</v>
      </c>
      <c r="AY17" s="88">
        <f t="shared" si="31"/>
        <v>21645.340999999935</v>
      </c>
      <c r="AZ17" s="87">
        <f t="shared" si="31"/>
        <v>371103</v>
      </c>
      <c r="BA17" s="87">
        <f t="shared" si="31"/>
        <v>0</v>
      </c>
      <c r="BB17" s="87">
        <f t="shared" si="31"/>
        <v>0</v>
      </c>
      <c r="BC17" s="87">
        <f t="shared" si="31"/>
        <v>-262479</v>
      </c>
      <c r="BD17" s="88">
        <f t="shared" si="31"/>
        <v>108624</v>
      </c>
      <c r="BE17" s="87">
        <f t="shared" si="31"/>
        <v>397010</v>
      </c>
      <c r="BF17" s="87">
        <f t="shared" si="31"/>
        <v>0</v>
      </c>
      <c r="BG17" s="87">
        <f t="shared" si="31"/>
        <v>0</v>
      </c>
      <c r="BH17" s="87">
        <f t="shared" si="31"/>
        <v>-296615</v>
      </c>
      <c r="BI17" s="88">
        <f t="shared" si="31"/>
        <v>100395</v>
      </c>
      <c r="BJ17" s="87">
        <f t="shared" si="31"/>
        <v>427723</v>
      </c>
      <c r="BK17" s="87">
        <f t="shared" si="31"/>
        <v>0</v>
      </c>
      <c r="BL17" s="87">
        <f t="shared" si="31"/>
        <v>0</v>
      </c>
      <c r="BM17" s="87">
        <f t="shared" si="31"/>
        <v>-266232</v>
      </c>
      <c r="BN17" s="88">
        <f t="shared" si="31"/>
        <v>161491</v>
      </c>
      <c r="BO17" s="87">
        <f t="shared" si="31"/>
        <v>357218</v>
      </c>
      <c r="BP17" s="87">
        <f t="shared" si="31"/>
        <v>0</v>
      </c>
      <c r="BQ17" s="87">
        <f t="shared" si="31"/>
        <v>0</v>
      </c>
      <c r="BR17" s="87">
        <f t="shared" si="31"/>
        <v>-267416</v>
      </c>
      <c r="BS17" s="88">
        <f t="shared" si="31"/>
        <v>89802</v>
      </c>
      <c r="BT17" s="87">
        <f t="shared" si="31"/>
        <v>380250</v>
      </c>
      <c r="BU17" s="87">
        <f t="shared" si="31"/>
        <v>0</v>
      </c>
      <c r="BV17" s="87">
        <f t="shared" si="31"/>
        <v>0</v>
      </c>
      <c r="BW17" s="87">
        <f t="shared" si="31"/>
        <v>-99056</v>
      </c>
      <c r="BX17" s="88">
        <f t="shared" ref="BX17:CC17" si="32">BX13-BX11</f>
        <v>281194</v>
      </c>
      <c r="BY17" s="87">
        <f t="shared" si="32"/>
        <v>248431</v>
      </c>
      <c r="BZ17" s="87">
        <f t="shared" si="32"/>
        <v>61073</v>
      </c>
      <c r="CA17" s="87">
        <f t="shared" si="32"/>
        <v>30308</v>
      </c>
      <c r="CB17" s="87">
        <f t="shared" si="32"/>
        <v>-169083</v>
      </c>
      <c r="CC17" s="88">
        <f t="shared" si="32"/>
        <v>170729</v>
      </c>
      <c r="CD17" s="87">
        <f t="shared" ref="CD17:DG17" si="33">CD13-CD11</f>
        <v>5858</v>
      </c>
      <c r="CE17" s="87">
        <f t="shared" si="33"/>
        <v>93161</v>
      </c>
      <c r="CF17" s="87">
        <f t="shared" si="33"/>
        <v>22504</v>
      </c>
      <c r="CG17" s="87">
        <f t="shared" si="33"/>
        <v>9061</v>
      </c>
      <c r="CH17" s="88">
        <f t="shared" si="33"/>
        <v>130584</v>
      </c>
      <c r="CI17" s="87">
        <f t="shared" si="33"/>
        <v>4411</v>
      </c>
      <c r="CJ17" s="87">
        <f t="shared" si="33"/>
        <v>59469</v>
      </c>
      <c r="CK17" s="87">
        <f t="shared" si="33"/>
        <v>179538</v>
      </c>
      <c r="CL17" s="87">
        <f t="shared" si="33"/>
        <v>90981</v>
      </c>
      <c r="CM17" s="88">
        <f t="shared" si="33"/>
        <v>334399</v>
      </c>
      <c r="CN17" s="87">
        <f t="shared" si="33"/>
        <v>16170</v>
      </c>
      <c r="CO17" s="87">
        <f t="shared" si="33"/>
        <v>80821</v>
      </c>
      <c r="CP17" s="87">
        <f t="shared" si="33"/>
        <v>118716</v>
      </c>
      <c r="CQ17" s="87">
        <f t="shared" si="33"/>
        <v>162540</v>
      </c>
      <c r="CR17" s="88">
        <f t="shared" si="33"/>
        <v>378247</v>
      </c>
      <c r="CS17" s="87">
        <f t="shared" si="33"/>
        <v>341</v>
      </c>
      <c r="CT17" s="87">
        <f t="shared" si="33"/>
        <v>112454</v>
      </c>
      <c r="CU17" s="87">
        <f t="shared" si="33"/>
        <v>278228</v>
      </c>
      <c r="CV17" s="87">
        <f t="shared" si="33"/>
        <v>134164</v>
      </c>
      <c r="CW17" s="88">
        <f t="shared" si="33"/>
        <v>525187</v>
      </c>
      <c r="CX17" s="87">
        <f t="shared" si="33"/>
        <v>-822</v>
      </c>
      <c r="CY17" s="87">
        <f t="shared" si="33"/>
        <v>677608</v>
      </c>
      <c r="CZ17" s="87">
        <f t="shared" si="33"/>
        <v>122416</v>
      </c>
      <c r="DA17" s="87">
        <f t="shared" si="33"/>
        <v>26248</v>
      </c>
      <c r="DB17" s="88">
        <f t="shared" si="33"/>
        <v>825450</v>
      </c>
      <c r="DC17" s="87">
        <f t="shared" si="33"/>
        <v>289100</v>
      </c>
      <c r="DD17" s="87">
        <f t="shared" si="33"/>
        <v>61328</v>
      </c>
      <c r="DE17" s="87">
        <f t="shared" si="33"/>
        <v>233746</v>
      </c>
      <c r="DF17" s="87">
        <f t="shared" si="33"/>
        <v>467886</v>
      </c>
      <c r="DG17" s="88">
        <f t="shared" si="33"/>
        <v>1052060</v>
      </c>
      <c r="DH17" s="87">
        <f t="shared" ref="DH17:EF17" si="34">DH13-DH11</f>
        <v>-100706</v>
      </c>
      <c r="DI17" s="87">
        <f t="shared" si="34"/>
        <v>99976</v>
      </c>
      <c r="DJ17" s="87">
        <f t="shared" ca="1" si="34"/>
        <v>255869.39267677846</v>
      </c>
      <c r="DK17" s="87">
        <f t="shared" ca="1" si="34"/>
        <v>295239.83021619049</v>
      </c>
      <c r="DL17" s="88">
        <f t="shared" ca="1" si="34"/>
        <v>550379.22289296915</v>
      </c>
      <c r="DM17" s="87">
        <f t="shared" ca="1" si="34"/>
        <v>476431.31171995634</v>
      </c>
      <c r="DN17" s="87">
        <f t="shared" ca="1" si="34"/>
        <v>343731.82192423544</v>
      </c>
      <c r="DO17" s="87">
        <f t="shared" ca="1" si="34"/>
        <v>348773.54381415149</v>
      </c>
      <c r="DP17" s="87">
        <f t="shared" ca="1" si="34"/>
        <v>355449.46419246966</v>
      </c>
      <c r="DQ17" s="88">
        <f t="shared" ca="1" si="34"/>
        <v>1524386.1416508127</v>
      </c>
      <c r="DR17" s="87">
        <f t="shared" ca="1" si="34"/>
        <v>383344.33808035718</v>
      </c>
      <c r="DS17" s="87">
        <f t="shared" ca="1" si="34"/>
        <v>377044.58303863084</v>
      </c>
      <c r="DT17" s="87">
        <f t="shared" ca="1" si="34"/>
        <v>394422.92116922099</v>
      </c>
      <c r="DU17" s="87">
        <f t="shared" ca="1" si="34"/>
        <v>412529.26003804425</v>
      </c>
      <c r="DV17" s="88">
        <f t="shared" ca="1" si="34"/>
        <v>1567341.102326253</v>
      </c>
      <c r="DW17" s="87">
        <f t="shared" ca="1" si="34"/>
        <v>408167.76421689824</v>
      </c>
      <c r="DX17" s="87">
        <f t="shared" ca="1" si="34"/>
        <v>402541.78125285055</v>
      </c>
      <c r="DY17" s="87">
        <f t="shared" ca="1" si="34"/>
        <v>420160.95654720388</v>
      </c>
      <c r="DZ17" s="87">
        <f t="shared" ca="1" si="34"/>
        <v>438200.67468481133</v>
      </c>
      <c r="EA17" s="88">
        <f t="shared" ca="1" si="34"/>
        <v>1669071.1767017641</v>
      </c>
      <c r="EB17" s="87">
        <f t="shared" ca="1" si="34"/>
        <v>432361.45019814349</v>
      </c>
      <c r="EC17" s="87">
        <f t="shared" ca="1" si="34"/>
        <v>421290.09079878131</v>
      </c>
      <c r="ED17" s="87">
        <f t="shared" ca="1" si="34"/>
        <v>433617.56702145946</v>
      </c>
      <c r="EE17" s="87">
        <f t="shared" ca="1" si="34"/>
        <v>446248.65669195418</v>
      </c>
      <c r="EF17" s="88">
        <f t="shared" ca="1" si="34"/>
        <v>1733517.7647103388</v>
      </c>
    </row>
    <row r="18" spans="1:136" ht="12" customHeight="1">
      <c r="B18" s="82" t="e">
        <f t="shared" ref="B18:K18" si="35">B13+B14</f>
        <v>#VALUE!</v>
      </c>
      <c r="C18" s="82">
        <f t="shared" si="35"/>
        <v>0</v>
      </c>
      <c r="D18" s="82">
        <f t="shared" si="35"/>
        <v>0</v>
      </c>
      <c r="E18" s="82">
        <f t="shared" si="35"/>
        <v>0</v>
      </c>
      <c r="F18" s="67" t="e">
        <f t="shared" si="35"/>
        <v>#VALUE!</v>
      </c>
      <c r="G18" s="82">
        <f t="shared" si="35"/>
        <v>0</v>
      </c>
      <c r="H18" s="82">
        <f t="shared" si="35"/>
        <v>0</v>
      </c>
      <c r="I18" s="82">
        <f t="shared" si="35"/>
        <v>0</v>
      </c>
      <c r="J18" s="82">
        <f t="shared" si="35"/>
        <v>0</v>
      </c>
      <c r="K18" s="67">
        <f t="shared" si="35"/>
        <v>0</v>
      </c>
      <c r="L18" s="82">
        <f t="shared" ref="L18:BW18" si="36">L13+L14</f>
        <v>0</v>
      </c>
      <c r="M18" s="82">
        <f t="shared" si="36"/>
        <v>0</v>
      </c>
      <c r="N18" s="82">
        <f t="shared" si="36"/>
        <v>0</v>
      </c>
      <c r="O18" s="82">
        <f t="shared" si="36"/>
        <v>0</v>
      </c>
      <c r="P18" s="67">
        <f t="shared" si="36"/>
        <v>0</v>
      </c>
      <c r="Q18" s="82">
        <f t="shared" si="36"/>
        <v>0</v>
      </c>
      <c r="R18" s="82">
        <f t="shared" si="36"/>
        <v>0</v>
      </c>
      <c r="S18" s="82">
        <f t="shared" si="36"/>
        <v>0</v>
      </c>
      <c r="T18" s="82">
        <f t="shared" si="36"/>
        <v>0</v>
      </c>
      <c r="U18" s="67">
        <f t="shared" si="36"/>
        <v>0</v>
      </c>
      <c r="V18" s="82">
        <f t="shared" si="36"/>
        <v>0</v>
      </c>
      <c r="W18" s="82">
        <f t="shared" si="36"/>
        <v>0</v>
      </c>
      <c r="X18" s="82">
        <f t="shared" si="36"/>
        <v>0</v>
      </c>
      <c r="Y18" s="82">
        <f t="shared" si="36"/>
        <v>0</v>
      </c>
      <c r="Z18" s="67">
        <f t="shared" si="36"/>
        <v>0</v>
      </c>
      <c r="AA18" s="82">
        <f t="shared" si="36"/>
        <v>0</v>
      </c>
      <c r="AB18" s="82">
        <f t="shared" si="36"/>
        <v>0</v>
      </c>
      <c r="AC18" s="82">
        <f t="shared" si="36"/>
        <v>0</v>
      </c>
      <c r="AD18" s="82">
        <f t="shared" si="36"/>
        <v>0</v>
      </c>
      <c r="AE18" s="67">
        <f t="shared" si="36"/>
        <v>0</v>
      </c>
      <c r="AF18" s="82">
        <f t="shared" si="36"/>
        <v>0</v>
      </c>
      <c r="AG18" s="82">
        <f t="shared" si="36"/>
        <v>0</v>
      </c>
      <c r="AH18" s="82">
        <f t="shared" si="36"/>
        <v>0</v>
      </c>
      <c r="AI18" s="82">
        <f t="shared" si="36"/>
        <v>22154.917999999976</v>
      </c>
      <c r="AJ18" s="67">
        <f t="shared" si="36"/>
        <v>22154.917999999976</v>
      </c>
      <c r="AK18" s="82">
        <f t="shared" si="36"/>
        <v>0</v>
      </c>
      <c r="AL18" s="82">
        <f t="shared" si="36"/>
        <v>0</v>
      </c>
      <c r="AM18" s="82">
        <f t="shared" si="36"/>
        <v>0</v>
      </c>
      <c r="AN18" s="82">
        <f t="shared" si="36"/>
        <v>50296.697999999946</v>
      </c>
      <c r="AO18" s="67">
        <f>AO13+AO14</f>
        <v>50296.697999999975</v>
      </c>
      <c r="AP18" s="82">
        <f t="shared" si="36"/>
        <v>0</v>
      </c>
      <c r="AQ18" s="82">
        <f t="shared" si="36"/>
        <v>0</v>
      </c>
      <c r="AR18" s="82">
        <f t="shared" si="36"/>
        <v>0</v>
      </c>
      <c r="AS18" s="82">
        <f t="shared" si="36"/>
        <v>81383.579000000027</v>
      </c>
      <c r="AT18" s="67">
        <f t="shared" si="36"/>
        <v>81383.579000000085</v>
      </c>
      <c r="AU18" s="82">
        <f t="shared" si="36"/>
        <v>0</v>
      </c>
      <c r="AV18" s="82">
        <f t="shared" si="36"/>
        <v>0</v>
      </c>
      <c r="AW18" s="82">
        <f t="shared" si="36"/>
        <v>0</v>
      </c>
      <c r="AX18" s="82">
        <f t="shared" si="36"/>
        <v>85862</v>
      </c>
      <c r="AY18" s="67">
        <f t="shared" si="36"/>
        <v>85861.999999999971</v>
      </c>
      <c r="AZ18" s="82">
        <f t="shared" si="36"/>
        <v>0</v>
      </c>
      <c r="BA18" s="82">
        <f t="shared" si="36"/>
        <v>0</v>
      </c>
      <c r="BB18" s="82">
        <f t="shared" si="36"/>
        <v>0</v>
      </c>
      <c r="BC18" s="82">
        <f t="shared" si="36"/>
        <v>142139</v>
      </c>
      <c r="BD18" s="67">
        <f t="shared" si="36"/>
        <v>142139</v>
      </c>
      <c r="BE18" s="82">
        <f t="shared" si="36"/>
        <v>0</v>
      </c>
      <c r="BF18" s="82">
        <f t="shared" si="36"/>
        <v>0</v>
      </c>
      <c r="BG18" s="82">
        <f t="shared" si="36"/>
        <v>0</v>
      </c>
      <c r="BH18" s="82">
        <f t="shared" si="36"/>
        <v>152522</v>
      </c>
      <c r="BI18" s="67">
        <f t="shared" si="36"/>
        <v>152522</v>
      </c>
      <c r="BJ18" s="82">
        <f t="shared" si="36"/>
        <v>0</v>
      </c>
      <c r="BK18" s="82">
        <f t="shared" si="36"/>
        <v>0</v>
      </c>
      <c r="BL18" s="82">
        <f t="shared" si="36"/>
        <v>0</v>
      </c>
      <c r="BM18" s="82">
        <f t="shared" si="36"/>
        <v>161739</v>
      </c>
      <c r="BN18" s="67">
        <f t="shared" si="36"/>
        <v>161739</v>
      </c>
      <c r="BO18" s="82">
        <f t="shared" si="36"/>
        <v>0</v>
      </c>
      <c r="BP18" s="82">
        <f t="shared" si="36"/>
        <v>0</v>
      </c>
      <c r="BQ18" s="82">
        <f t="shared" si="36"/>
        <v>0</v>
      </c>
      <c r="BR18" s="82">
        <f t="shared" si="36"/>
        <v>198506</v>
      </c>
      <c r="BS18" s="67">
        <f t="shared" si="36"/>
        <v>198506</v>
      </c>
      <c r="BT18" s="82">
        <f t="shared" si="36"/>
        <v>0</v>
      </c>
      <c r="BU18" s="82">
        <f t="shared" si="36"/>
        <v>0</v>
      </c>
      <c r="BV18" s="82">
        <f t="shared" si="36"/>
        <v>0</v>
      </c>
      <c r="BW18" s="82">
        <f t="shared" si="36"/>
        <v>250961</v>
      </c>
      <c r="BX18" s="67">
        <f t="shared" ref="BX18:CC18" si="37">BX13+BX14</f>
        <v>250961</v>
      </c>
      <c r="BY18" s="82">
        <f t="shared" si="37"/>
        <v>0</v>
      </c>
      <c r="BZ18" s="82">
        <f t="shared" si="37"/>
        <v>0</v>
      </c>
      <c r="CA18" s="82">
        <f t="shared" si="37"/>
        <v>0</v>
      </c>
      <c r="CB18" s="82">
        <f t="shared" si="37"/>
        <v>314343</v>
      </c>
      <c r="CC18" s="67">
        <f t="shared" si="37"/>
        <v>314343</v>
      </c>
      <c r="CD18" s="82">
        <f t="shared" ref="CD18:DG18" si="38">CD13+CD14</f>
        <v>325528</v>
      </c>
      <c r="CE18" s="82">
        <f t="shared" si="38"/>
        <v>425847</v>
      </c>
      <c r="CF18" s="82">
        <f t="shared" si="38"/>
        <v>609849</v>
      </c>
      <c r="CG18" s="82">
        <f t="shared" si="38"/>
        <v>430898</v>
      </c>
      <c r="CH18" s="67">
        <f t="shared" si="38"/>
        <v>430898</v>
      </c>
      <c r="CI18" s="82">
        <f t="shared" si="38"/>
        <v>436644</v>
      </c>
      <c r="CJ18" s="82">
        <f t="shared" si="38"/>
        <v>491987</v>
      </c>
      <c r="CK18" s="82">
        <f t="shared" si="38"/>
        <v>554927</v>
      </c>
      <c r="CL18" s="82">
        <f t="shared" si="38"/>
        <v>594487</v>
      </c>
      <c r="CM18" s="67">
        <f t="shared" si="38"/>
        <v>594487</v>
      </c>
      <c r="CN18" s="82">
        <f t="shared" si="38"/>
        <v>602568</v>
      </c>
      <c r="CO18" s="82">
        <f t="shared" si="38"/>
        <v>679977</v>
      </c>
      <c r="CP18" s="82">
        <f t="shared" si="38"/>
        <v>634908</v>
      </c>
      <c r="CQ18" s="82">
        <f t="shared" si="38"/>
        <v>789426</v>
      </c>
      <c r="CR18" s="67">
        <f t="shared" si="38"/>
        <v>789426</v>
      </c>
      <c r="CS18" s="82">
        <f t="shared" si="38"/>
        <v>729823</v>
      </c>
      <c r="CT18" s="82">
        <f t="shared" si="38"/>
        <v>835390</v>
      </c>
      <c r="CU18" s="82">
        <f t="shared" si="38"/>
        <v>1109075</v>
      </c>
      <c r="CV18" s="82">
        <f t="shared" si="38"/>
        <v>992269</v>
      </c>
      <c r="CW18" s="67">
        <f t="shared" si="38"/>
        <v>992269</v>
      </c>
      <c r="CX18" s="82">
        <f t="shared" si="38"/>
        <v>1011668</v>
      </c>
      <c r="CY18" s="82">
        <f t="shared" si="38"/>
        <v>1558020</v>
      </c>
      <c r="CZ18" s="82">
        <f t="shared" si="38"/>
        <v>1425215</v>
      </c>
      <c r="DA18" s="82">
        <f t="shared" si="38"/>
        <v>1416236</v>
      </c>
      <c r="DB18" s="67">
        <f t="shared" si="38"/>
        <v>1416236</v>
      </c>
      <c r="DC18" s="82">
        <f t="shared" si="38"/>
        <v>1543806</v>
      </c>
      <c r="DD18" s="82">
        <f t="shared" si="38"/>
        <v>1530875</v>
      </c>
      <c r="DE18" s="82">
        <f t="shared" si="38"/>
        <v>1773203</v>
      </c>
      <c r="DF18" s="82">
        <f t="shared" si="38"/>
        <v>1790937</v>
      </c>
      <c r="DG18" s="67">
        <f t="shared" si="38"/>
        <v>1790937</v>
      </c>
      <c r="DH18" s="82">
        <f t="shared" ref="DH18:EF18" si="39">DH13+DH14</f>
        <v>1757310</v>
      </c>
      <c r="DI18" s="82">
        <f t="shared" si="39"/>
        <v>1633706</v>
      </c>
      <c r="DJ18" s="82">
        <f t="shared" ca="1" si="39"/>
        <v>1691727.5989267784</v>
      </c>
      <c r="DK18" s="82">
        <f t="shared" ca="1" si="39"/>
        <v>1791988.9697218041</v>
      </c>
      <c r="DL18" s="67">
        <f t="shared" ca="1" si="39"/>
        <v>1791988.9697218044</v>
      </c>
      <c r="DM18" s="82">
        <f t="shared" ca="1" si="39"/>
        <v>2038905.4849619931</v>
      </c>
      <c r="DN18" s="82">
        <f t="shared" ca="1" si="39"/>
        <v>2153963.4872123585</v>
      </c>
      <c r="DO18" s="82">
        <f t="shared" ca="1" si="39"/>
        <v>2274940.9808937958</v>
      </c>
      <c r="DP18" s="82">
        <f t="shared" ca="1" si="39"/>
        <v>2652247.6903838427</v>
      </c>
      <c r="DQ18" s="67">
        <f t="shared" ca="1" si="39"/>
        <v>2652247.6903838422</v>
      </c>
      <c r="DR18" s="82">
        <f t="shared" ca="1" si="39"/>
        <v>1828617.9699997469</v>
      </c>
      <c r="DS18" s="82">
        <f t="shared" ca="1" si="39"/>
        <v>1977213.1490133</v>
      </c>
      <c r="DT18" s="82">
        <f t="shared" ca="1" si="39"/>
        <v>2392684.5791084031</v>
      </c>
      <c r="DU18" s="82">
        <f t="shared" ca="1" si="39"/>
        <v>2827051.6671570493</v>
      </c>
      <c r="DV18" s="67">
        <f t="shared" ca="1" si="39"/>
        <v>2827051.6671570493</v>
      </c>
      <c r="DW18" s="82">
        <f t="shared" ca="1" si="39"/>
        <v>1723768.0181824397</v>
      </c>
      <c r="DX18" s="82">
        <f t="shared" ca="1" si="39"/>
        <v>2149816.1739923279</v>
      </c>
      <c r="DY18" s="82">
        <f t="shared" ca="1" si="39"/>
        <v>2594364.9941424588</v>
      </c>
      <c r="DZ18" s="82">
        <f t="shared" ca="1" si="39"/>
        <v>3057868.0773153105</v>
      </c>
      <c r="EA18" s="67">
        <f t="shared" ca="1" si="39"/>
        <v>3057868.0773153077</v>
      </c>
      <c r="EB18" s="82">
        <f t="shared" ca="1" si="39"/>
        <v>1900429.8634106552</v>
      </c>
      <c r="EC18" s="82">
        <f t="shared" ca="1" si="39"/>
        <v>2348955.6248460207</v>
      </c>
      <c r="ED18" s="82">
        <f t="shared" ca="1" si="39"/>
        <v>2810830.2001529196</v>
      </c>
      <c r="EE18" s="82">
        <f t="shared" ca="1" si="39"/>
        <v>3286395.5029411423</v>
      </c>
      <c r="EF18" s="67">
        <f t="shared" ca="1" si="39"/>
        <v>3286395.5029410655</v>
      </c>
    </row>
    <row r="19" spans="1:136" ht="12" customHeight="1">
      <c r="L19" s="82"/>
      <c r="M19" s="82"/>
      <c r="N19" s="82"/>
      <c r="O19" s="82"/>
      <c r="P19" s="67"/>
      <c r="Q19" s="82"/>
      <c r="R19" s="82"/>
      <c r="S19" s="82"/>
      <c r="T19" s="82"/>
      <c r="U19" s="67"/>
      <c r="V19" s="82"/>
      <c r="W19" s="82"/>
      <c r="X19" s="82"/>
      <c r="Y19" s="82"/>
      <c r="Z19" s="67"/>
      <c r="AA19" s="82"/>
      <c r="AB19" s="82"/>
      <c r="AC19" s="82"/>
      <c r="AD19" s="82"/>
      <c r="AE19" s="67"/>
      <c r="AF19" s="82"/>
      <c r="AG19" s="82"/>
      <c r="AH19" s="82"/>
      <c r="AI19" s="82"/>
      <c r="AJ19" s="67"/>
      <c r="AK19" s="82"/>
      <c r="AL19" s="82"/>
      <c r="AM19" s="82"/>
      <c r="AN19" s="82"/>
      <c r="AO19" s="67"/>
      <c r="AP19" s="82"/>
      <c r="AQ19" s="82"/>
      <c r="AR19" s="82"/>
      <c r="AS19" s="82"/>
      <c r="AT19" s="67"/>
      <c r="AU19" s="82"/>
      <c r="AV19" s="82"/>
      <c r="AW19" s="82"/>
      <c r="AX19" s="82"/>
      <c r="AY19" s="67"/>
      <c r="AZ19" s="82"/>
      <c r="BA19" s="82"/>
      <c r="BB19" s="82"/>
      <c r="BC19" s="82"/>
      <c r="BD19" s="67"/>
      <c r="BE19" s="82"/>
      <c r="BF19" s="82"/>
      <c r="BG19" s="82"/>
      <c r="BH19" s="82"/>
      <c r="BI19" s="67"/>
      <c r="BJ19" s="82"/>
      <c r="BK19" s="82"/>
      <c r="BL19" s="82"/>
      <c r="BM19" s="82"/>
      <c r="BN19" s="67"/>
      <c r="BO19" s="82"/>
      <c r="BP19" s="82"/>
      <c r="BQ19" s="82"/>
      <c r="BR19" s="82"/>
      <c r="BS19" s="67"/>
      <c r="BT19" s="82"/>
      <c r="BU19" s="82"/>
      <c r="BV19" s="82"/>
      <c r="BW19" s="82"/>
      <c r="BX19" s="67"/>
      <c r="BY19" s="82"/>
      <c r="BZ19" s="82"/>
      <c r="CA19" s="82"/>
      <c r="CB19" s="82"/>
      <c r="CC19" s="67"/>
      <c r="CD19" s="82"/>
      <c r="CE19" s="82"/>
      <c r="CF19" s="82"/>
      <c r="CG19" s="82"/>
      <c r="CH19" s="67"/>
      <c r="CM19" s="67"/>
      <c r="CN19" s="82"/>
      <c r="CO19" s="82"/>
      <c r="CP19" s="82"/>
      <c r="CQ19" s="82"/>
      <c r="CR19" s="67"/>
      <c r="CS19" s="82"/>
      <c r="CT19" s="82"/>
      <c r="CU19" s="82"/>
      <c r="CV19" s="82"/>
      <c r="CW19" s="67"/>
      <c r="CX19" s="82"/>
      <c r="CY19" s="82"/>
      <c r="CZ19" s="82"/>
      <c r="DA19" s="82"/>
      <c r="DB19" s="67"/>
    </row>
    <row r="20" spans="1:136" ht="12" customHeight="1">
      <c r="L20" s="82"/>
      <c r="M20" s="82"/>
      <c r="N20" s="82"/>
      <c r="O20" s="82"/>
      <c r="P20" s="67"/>
      <c r="Q20" s="82"/>
      <c r="R20" s="82"/>
      <c r="S20" s="82"/>
      <c r="T20" s="82"/>
      <c r="U20" s="76"/>
      <c r="V20" s="82"/>
      <c r="W20" s="82"/>
      <c r="X20" s="82"/>
      <c r="Y20" s="82"/>
      <c r="Z20" s="76" t="e">
        <f>Z7/'Income Statement'!Z48</f>
        <v>#DIV/0!</v>
      </c>
      <c r="AA20" s="82"/>
      <c r="AB20" s="82"/>
      <c r="AC20" s="82"/>
      <c r="AD20" s="82"/>
      <c r="AE20" s="76" t="e">
        <f>AE7/'Income Statement'!AE48</f>
        <v>#DIV/0!</v>
      </c>
      <c r="AF20" s="82"/>
      <c r="AG20" s="82"/>
      <c r="AH20" s="82"/>
      <c r="AI20" s="82"/>
      <c r="AJ20" s="76">
        <f>AJ7/'Income Statement'!AJ48</f>
        <v>-2.64651534872886</v>
      </c>
      <c r="AK20" s="82"/>
      <c r="AL20" s="82"/>
      <c r="AM20" s="82"/>
      <c r="AN20" s="82"/>
      <c r="AO20" s="76">
        <f>AO7/'Income Statement'!AO48</f>
        <v>-0.2584513052155572</v>
      </c>
      <c r="AP20" s="82"/>
      <c r="AQ20" s="82"/>
      <c r="AR20" s="82"/>
      <c r="AS20" s="82"/>
      <c r="AT20" s="76">
        <f>AT7/'Income Statement'!AT48</f>
        <v>0.34141329598423759</v>
      </c>
      <c r="AU20" s="82"/>
      <c r="AV20" s="82"/>
      <c r="AW20" s="82"/>
      <c r="AX20" s="82"/>
      <c r="AY20" s="76">
        <f>AY7/'Income Statement'!AY48</f>
        <v>5.1362610468069211E-2</v>
      </c>
      <c r="AZ20" s="82"/>
      <c r="BA20" s="82"/>
      <c r="BB20" s="82"/>
      <c r="BC20" s="82"/>
      <c r="BD20" s="76">
        <f>BD7/'Income Statement'!BD48</f>
        <v>0.57759921505080614</v>
      </c>
      <c r="BE20" s="82"/>
      <c r="BF20" s="82"/>
      <c r="BG20" s="82"/>
      <c r="BH20" s="82"/>
      <c r="BI20" s="76">
        <f>BI7/'Income Statement'!BI48</f>
        <v>0.53586356286420356</v>
      </c>
      <c r="BJ20" s="82"/>
      <c r="BK20" s="82"/>
      <c r="BL20" s="82"/>
      <c r="BM20" s="82"/>
      <c r="BN20" s="76">
        <f>BN7/'Income Statement'!BN48</f>
        <v>1.4345723517903852</v>
      </c>
      <c r="BO20" s="82"/>
      <c r="BP20" s="82"/>
      <c r="BQ20" s="82"/>
      <c r="BR20" s="82"/>
      <c r="BS20" s="76">
        <f>BS7/'Income Statement'!BS48</f>
        <v>0.95305493025151988</v>
      </c>
      <c r="BT20" s="82"/>
      <c r="BU20" s="82"/>
      <c r="BV20" s="82"/>
      <c r="BW20" s="82"/>
      <c r="BX20" s="76">
        <f>BX7/'Income Statement'!BX48</f>
        <v>1.6159054649272131</v>
      </c>
      <c r="BY20" s="82"/>
      <c r="BZ20" s="82"/>
      <c r="CA20" s="82"/>
      <c r="CB20" s="82"/>
      <c r="CC20" s="76">
        <f>CC7/'Income Statement'!CC48</f>
        <v>1.0631744604316546</v>
      </c>
      <c r="CD20" s="82"/>
      <c r="CE20" s="82"/>
      <c r="CF20" s="82"/>
      <c r="CG20" s="82"/>
      <c r="CH20" s="67"/>
      <c r="CM20" s="76"/>
      <c r="CN20" s="82"/>
      <c r="CO20" s="82"/>
      <c r="CP20" s="82"/>
      <c r="CQ20" s="82"/>
      <c r="CR20" s="76"/>
      <c r="CS20" s="82"/>
      <c r="CT20" s="82"/>
      <c r="CU20" s="82"/>
      <c r="CV20" s="82"/>
      <c r="CW20" s="76"/>
      <c r="CX20" s="82"/>
      <c r="CY20" s="82"/>
      <c r="CZ20" s="82"/>
      <c r="DA20" s="82"/>
      <c r="DB20" s="67"/>
    </row>
    <row r="21" spans="1:136" ht="12" customHeight="1">
      <c r="L21" s="82"/>
      <c r="M21" s="82"/>
      <c r="N21" s="82"/>
      <c r="O21" s="82"/>
      <c r="P21" s="67"/>
      <c r="Q21" s="82"/>
      <c r="R21" s="82"/>
      <c r="S21" s="82"/>
      <c r="T21" s="82"/>
      <c r="U21" s="67"/>
      <c r="V21" s="82"/>
      <c r="W21" s="82"/>
      <c r="X21" s="82"/>
      <c r="Y21" s="82"/>
      <c r="Z21" s="67"/>
      <c r="AA21" s="82"/>
      <c r="AB21" s="82"/>
      <c r="AC21" s="82"/>
      <c r="AD21" s="82"/>
      <c r="AE21" s="67"/>
      <c r="AF21" s="82"/>
      <c r="AG21" s="82"/>
      <c r="AH21" s="82"/>
      <c r="AI21" s="82"/>
      <c r="AJ21" s="67"/>
      <c r="AK21" s="82"/>
      <c r="AL21" s="82"/>
      <c r="AM21" s="82"/>
      <c r="AN21" s="82"/>
      <c r="AO21" s="67"/>
      <c r="AP21" s="82"/>
      <c r="AQ21" s="82"/>
      <c r="AR21" s="82"/>
      <c r="AS21" s="82"/>
      <c r="AT21" s="67"/>
      <c r="AU21" s="82"/>
      <c r="AV21" s="82"/>
      <c r="AW21" s="82"/>
      <c r="AX21" s="82"/>
      <c r="AY21" s="67"/>
      <c r="AZ21" s="82"/>
      <c r="BA21" s="82"/>
      <c r="BB21" s="82"/>
      <c r="BC21" s="82"/>
      <c r="BD21" s="67"/>
      <c r="BE21" s="82"/>
      <c r="BF21" s="82"/>
      <c r="BG21" s="82"/>
      <c r="BH21" s="82"/>
      <c r="BI21" s="67"/>
      <c r="BJ21" s="82"/>
      <c r="BK21" s="82"/>
      <c r="BL21" s="82"/>
      <c r="BM21" s="82"/>
      <c r="BN21" s="67"/>
      <c r="BO21" s="82"/>
      <c r="BP21" s="82"/>
      <c r="BQ21" s="82"/>
      <c r="BR21" s="82"/>
      <c r="BS21" s="67"/>
      <c r="BT21" s="82"/>
      <c r="BU21" s="82"/>
      <c r="BV21" s="82"/>
      <c r="BW21" s="82"/>
      <c r="BX21" s="67"/>
      <c r="BY21" s="82"/>
      <c r="BZ21" s="82"/>
      <c r="CA21" s="82"/>
      <c r="CB21" s="82"/>
      <c r="CC21" s="67"/>
      <c r="CD21" s="82"/>
      <c r="CE21" s="82"/>
      <c r="CF21" s="82"/>
      <c r="CG21" s="82"/>
      <c r="CH21" s="67"/>
      <c r="CM21" s="67"/>
      <c r="CN21" s="82"/>
      <c r="CO21" s="82"/>
      <c r="CP21" s="82"/>
      <c r="CQ21" s="82"/>
      <c r="CR21" s="67"/>
      <c r="CS21" s="82"/>
      <c r="CT21" s="82"/>
      <c r="CU21" s="82"/>
      <c r="CV21" s="82"/>
      <c r="CW21" s="67"/>
      <c r="CX21" s="82"/>
      <c r="CY21" s="82"/>
      <c r="CZ21" s="82"/>
      <c r="DA21" s="82"/>
      <c r="DB21" s="67"/>
    </row>
    <row r="22" spans="1:136" s="3" customFormat="1" outlineLevel="1">
      <c r="A22" s="3" t="s">
        <v>128</v>
      </c>
      <c r="F22" s="89">
        <f>SUM(B22:E22)</f>
        <v>0</v>
      </c>
      <c r="K22" s="89">
        <f>SUM(G22:J22)</f>
        <v>0</v>
      </c>
      <c r="L22" s="90">
        <v>0</v>
      </c>
      <c r="M22" s="90">
        <v>0</v>
      </c>
      <c r="N22" s="90">
        <v>0</v>
      </c>
      <c r="O22" s="90">
        <v>0</v>
      </c>
      <c r="P22" s="89">
        <f>SUM(L22:O22)</f>
        <v>0</v>
      </c>
      <c r="Q22" s="226">
        <v>0</v>
      </c>
      <c r="R22" s="226">
        <v>0</v>
      </c>
      <c r="S22" s="226">
        <v>0</v>
      </c>
      <c r="T22" s="226">
        <v>0</v>
      </c>
      <c r="U22" s="89">
        <f>SUM(Q22:T22)</f>
        <v>0</v>
      </c>
      <c r="V22" s="226">
        <v>0</v>
      </c>
      <c r="W22" s="226">
        <v>0</v>
      </c>
      <c r="X22" s="226">
        <v>0</v>
      </c>
      <c r="Y22" s="226">
        <v>0</v>
      </c>
      <c r="Z22" s="89">
        <f>SUM(V22:Y22)</f>
        <v>0</v>
      </c>
      <c r="AA22" s="226">
        <v>0</v>
      </c>
      <c r="AB22" s="226">
        <v>0</v>
      </c>
      <c r="AC22" s="226">
        <v>0</v>
      </c>
      <c r="AD22" s="226">
        <v>0</v>
      </c>
      <c r="AE22" s="89">
        <f>SUM(AA22:AD22)</f>
        <v>0</v>
      </c>
      <c r="AF22" s="226">
        <v>0</v>
      </c>
      <c r="AG22" s="226">
        <v>0</v>
      </c>
      <c r="AH22" s="226">
        <v>0</v>
      </c>
      <c r="AI22" s="226">
        <v>0</v>
      </c>
      <c r="AJ22" s="89">
        <f>SUM(AF22:AI22)</f>
        <v>0</v>
      </c>
      <c r="AK22" s="226">
        <v>0</v>
      </c>
      <c r="AL22" s="226">
        <v>0</v>
      </c>
      <c r="AM22" s="226">
        <v>0</v>
      </c>
      <c r="AN22" s="226">
        <v>0</v>
      </c>
      <c r="AO22" s="89">
        <f>SUM(AK22:AN22)</f>
        <v>0</v>
      </c>
      <c r="AP22" s="226">
        <v>0</v>
      </c>
      <c r="AQ22" s="226">
        <v>0</v>
      </c>
      <c r="AR22" s="226">
        <v>0</v>
      </c>
      <c r="AS22" s="226">
        <v>0</v>
      </c>
      <c r="AT22" s="89">
        <f>SUM(AP22:AS22)</f>
        <v>0</v>
      </c>
      <c r="AU22" s="226">
        <v>0</v>
      </c>
      <c r="AV22" s="226">
        <v>0</v>
      </c>
      <c r="AW22" s="226">
        <f>-'Balance Sheet'!AV30*10%/4</f>
        <v>0</v>
      </c>
      <c r="AX22" s="226">
        <f>-'Balance Sheet'!AW30*10%/4</f>
        <v>0</v>
      </c>
      <c r="AY22" s="89">
        <f>SUM(AU22:AX22)</f>
        <v>0</v>
      </c>
      <c r="AZ22" s="226">
        <f>-'Balance Sheet'!AY30*10%/4</f>
        <v>0</v>
      </c>
      <c r="BA22" s="226">
        <f>-'Balance Sheet'!AZ30*10%/4</f>
        <v>0</v>
      </c>
      <c r="BB22" s="226">
        <f>-'Balance Sheet'!BA30*20%/4</f>
        <v>0</v>
      </c>
      <c r="BC22" s="226">
        <f>-'Balance Sheet'!BB30*20%/4</f>
        <v>0</v>
      </c>
      <c r="BD22" s="89">
        <f>SUM(AZ22:BC22)</f>
        <v>0</v>
      </c>
      <c r="BE22" s="226">
        <f>-'Balance Sheet'!BD30*20%/4</f>
        <v>0</v>
      </c>
      <c r="BF22" s="226">
        <f>-'Balance Sheet'!BE30*20%/4</f>
        <v>0</v>
      </c>
      <c r="BG22" s="226">
        <f>-'Balance Sheet'!BF30*20%/4</f>
        <v>0</v>
      </c>
      <c r="BH22" s="226">
        <f>-'Balance Sheet'!BG30*20%/4</f>
        <v>0</v>
      </c>
      <c r="BI22" s="89">
        <f>SUM(BE22:BH22)</f>
        <v>0</v>
      </c>
      <c r="BJ22" s="226">
        <f>-'Balance Sheet'!BI30*10%/4</f>
        <v>0</v>
      </c>
      <c r="BK22" s="226">
        <f>-'Balance Sheet'!BJ30*10%/4</f>
        <v>0</v>
      </c>
      <c r="BL22" s="226">
        <f>-'Balance Sheet'!BK30*10%/4</f>
        <v>0</v>
      </c>
      <c r="BM22" s="226">
        <f>-'Balance Sheet'!BL30*10%/4</f>
        <v>0</v>
      </c>
      <c r="BN22" s="89">
        <f>SUM(BJ22:BM22)</f>
        <v>0</v>
      </c>
      <c r="BO22" s="226">
        <f>-'Balance Sheet'!BN30*10%/4</f>
        <v>0</v>
      </c>
      <c r="BP22" s="226">
        <f>-'Balance Sheet'!BO30*10%/4</f>
        <v>0</v>
      </c>
      <c r="BQ22" s="226">
        <f>-'Balance Sheet'!BP30*10%/4</f>
        <v>0</v>
      </c>
      <c r="BR22" s="226">
        <f>-'Balance Sheet'!BQ30*10%/4</f>
        <v>0</v>
      </c>
      <c r="BS22" s="89">
        <f>SUM(BO22:BR22)</f>
        <v>0</v>
      </c>
      <c r="BT22" s="226">
        <v>0</v>
      </c>
      <c r="BU22" s="226">
        <v>0</v>
      </c>
      <c r="BV22" s="226">
        <v>0</v>
      </c>
      <c r="BW22" s="226">
        <v>0</v>
      </c>
      <c r="BX22" s="89">
        <f>SUM(BT22:BW22)</f>
        <v>0</v>
      </c>
      <c r="BY22" s="226">
        <v>0</v>
      </c>
      <c r="BZ22" s="226">
        <v>0</v>
      </c>
      <c r="CA22" s="226">
        <v>0</v>
      </c>
      <c r="CB22" s="226">
        <v>0</v>
      </c>
      <c r="CC22" s="89">
        <f>SUM(BY22:CB22)</f>
        <v>0</v>
      </c>
      <c r="CD22" s="226">
        <v>0</v>
      </c>
      <c r="CE22" s="226">
        <v>0</v>
      </c>
      <c r="CF22" s="226">
        <v>0</v>
      </c>
      <c r="CG22" s="226">
        <v>0</v>
      </c>
      <c r="CH22" s="89">
        <f>SUM(CD22:CG22)</f>
        <v>0</v>
      </c>
      <c r="CM22" s="89"/>
      <c r="CN22" s="226"/>
      <c r="CO22" s="226"/>
      <c r="CP22" s="226"/>
      <c r="CQ22" s="226"/>
      <c r="CR22" s="89"/>
      <c r="CS22" s="226"/>
      <c r="CT22" s="226"/>
      <c r="CU22" s="226"/>
      <c r="CV22" s="226"/>
      <c r="CW22" s="89"/>
      <c r="CX22" s="226"/>
      <c r="CY22" s="226"/>
      <c r="CZ22" s="226"/>
      <c r="DA22" s="226"/>
      <c r="DB22" s="89"/>
    </row>
    <row r="23" spans="1:136" ht="12" customHeight="1">
      <c r="L23" s="52"/>
      <c r="M23" s="52"/>
      <c r="N23" s="52"/>
      <c r="O23" s="52"/>
      <c r="Q23" s="52"/>
      <c r="R23" s="52"/>
      <c r="S23" s="52"/>
      <c r="T23" s="52"/>
      <c r="U23" s="67">
        <f>U7+U9</f>
        <v>0</v>
      </c>
      <c r="V23" s="52"/>
      <c r="W23" s="52"/>
      <c r="X23" s="52"/>
      <c r="Y23" s="52"/>
      <c r="Z23" s="67">
        <f>Z7+Z9</f>
        <v>0</v>
      </c>
      <c r="AA23" s="52"/>
      <c r="AB23" s="52"/>
      <c r="AC23" s="52"/>
      <c r="AD23" s="52"/>
      <c r="AE23" s="67">
        <f>AE7+AE9</f>
        <v>0</v>
      </c>
      <c r="AF23" s="52"/>
      <c r="AG23" s="52"/>
      <c r="AH23" s="52"/>
      <c r="AI23" s="52"/>
      <c r="AJ23" s="67">
        <f>AJ7+AJ9</f>
        <v>-142882.14199999999</v>
      </c>
      <c r="AK23" s="52"/>
      <c r="AL23" s="52"/>
      <c r="AM23" s="52"/>
      <c r="AN23" s="52"/>
      <c r="AO23" s="67">
        <f>AO7+AO9</f>
        <v>-25405.57400000003</v>
      </c>
      <c r="AP23" s="52"/>
      <c r="AQ23" s="52"/>
      <c r="AR23" s="52"/>
      <c r="AS23" s="52"/>
      <c r="AT23" s="67">
        <f t="shared" ref="AT23:AY23" si="40">AT7+AT9</f>
        <v>3858.4290000000765</v>
      </c>
      <c r="AU23" s="52">
        <f t="shared" si="40"/>
        <v>386611.11399999988</v>
      </c>
      <c r="AV23" s="52">
        <f t="shared" si="40"/>
        <v>0</v>
      </c>
      <c r="AW23" s="52">
        <f t="shared" si="40"/>
        <v>0</v>
      </c>
      <c r="AX23" s="52">
        <f t="shared" si="40"/>
        <v>-366800.74900000007</v>
      </c>
      <c r="AY23" s="67">
        <f t="shared" si="40"/>
        <v>19810.36499999994</v>
      </c>
      <c r="AZ23" s="52"/>
      <c r="BA23" s="52"/>
      <c r="BB23" s="52"/>
      <c r="BC23" s="52"/>
      <c r="BD23" s="67">
        <f>BD7+BD9</f>
        <v>66811</v>
      </c>
      <c r="BE23" s="52"/>
      <c r="BF23" s="52"/>
      <c r="BG23" s="52"/>
      <c r="BH23" s="52"/>
      <c r="BI23" s="67">
        <f>BI7+BI9</f>
        <v>78288</v>
      </c>
      <c r="BJ23" s="52"/>
      <c r="BK23" s="52"/>
      <c r="BL23" s="52"/>
      <c r="BM23" s="52"/>
      <c r="BN23" s="67">
        <f>BN7+BN9</f>
        <v>124896</v>
      </c>
      <c r="BO23" s="52"/>
      <c r="BP23" s="52"/>
      <c r="BQ23" s="52"/>
      <c r="BR23" s="52"/>
      <c r="BS23" s="67">
        <f>BS7+BS9</f>
        <v>85597</v>
      </c>
      <c r="BT23" s="52"/>
      <c r="BU23" s="52"/>
      <c r="BV23" s="52"/>
      <c r="BW23" s="52"/>
      <c r="BX23" s="67">
        <f>BX7+BX9</f>
        <v>210065</v>
      </c>
      <c r="BY23" s="52"/>
      <c r="BZ23" s="52"/>
      <c r="CA23" s="52"/>
      <c r="CB23" s="52"/>
      <c r="CC23" s="67">
        <f>CC7+CC9</f>
        <v>163527</v>
      </c>
      <c r="CD23" s="52"/>
      <c r="CE23" s="52"/>
      <c r="CF23" s="52"/>
      <c r="CG23" s="52"/>
      <c r="CM23" s="67"/>
      <c r="CN23" s="52"/>
      <c r="CO23" s="52"/>
      <c r="CP23" s="52"/>
      <c r="CQ23" s="52"/>
      <c r="CR23" s="67"/>
      <c r="CS23" s="52"/>
      <c r="CT23" s="52"/>
      <c r="CU23" s="52"/>
      <c r="CV23" s="52"/>
      <c r="CW23" s="67"/>
      <c r="CX23" s="52"/>
      <c r="CY23" s="52"/>
      <c r="CZ23" s="52"/>
      <c r="DA23" s="52"/>
    </row>
    <row r="24" spans="1:136" ht="12" customHeight="1">
      <c r="U24" s="270" t="e">
        <f>'Balance Sheet'!U55</f>
        <v>#DIV/0!</v>
      </c>
      <c r="Z24" s="270" t="e">
        <f>'Balance Sheet'!Z55</f>
        <v>#DIV/0!</v>
      </c>
      <c r="AE24" s="270" t="e">
        <f>'Balance Sheet'!AE55</f>
        <v>#DIV/0!</v>
      </c>
      <c r="AJ24" s="270">
        <f>'Balance Sheet'!AJ55</f>
        <v>0.61409020045743101</v>
      </c>
      <c r="AO24" s="270">
        <f>'Balance Sheet'!AO55</f>
        <v>0.54208161194401272</v>
      </c>
      <c r="AT24" s="270">
        <f>'Balance Sheet'!AT55</f>
        <v>7.6688431766405385E-2</v>
      </c>
      <c r="AY24" s="270">
        <f>'Balance Sheet'!AY55</f>
        <v>4.7098555817124181E-2</v>
      </c>
      <c r="BD24" s="270">
        <f>'Balance Sheet'!BD55</f>
        <v>1.7599958453043591E-2</v>
      </c>
      <c r="BI24" s="270">
        <f>'Balance Sheet'!BI55</f>
        <v>7.7316412741577467E-2</v>
      </c>
      <c r="BN24" s="270">
        <f>'Balance Sheet'!BN55</f>
        <v>0.19185031716073733</v>
      </c>
      <c r="BS24" s="270">
        <f>'Balance Sheet'!BS55</f>
        <v>6.7772699057615265E-2</v>
      </c>
      <c r="BX24" s="270">
        <f>'Balance Sheet'!BX55</f>
        <v>0.12268965258606017</v>
      </c>
      <c r="CC24" s="270">
        <f>'Balance Sheet'!CC55</f>
        <v>1.3469050047141676E-2</v>
      </c>
      <c r="CM24" s="270"/>
      <c r="CR24" s="270"/>
      <c r="CW24" s="270"/>
    </row>
    <row r="25" spans="1:136">
      <c r="AW25" s="91" t="e">
        <f>-AW22/AW7</f>
        <v>#DIV/0!</v>
      </c>
      <c r="AX25" s="91">
        <f>-AX22/AX7</f>
        <v>0</v>
      </c>
      <c r="AY25" s="270">
        <f>-AY22/AY7</f>
        <v>0</v>
      </c>
      <c r="BD25" s="270">
        <f>-BD22/BD7</f>
        <v>0</v>
      </c>
      <c r="BI25" s="270">
        <f>-BI22/BI7</f>
        <v>0</v>
      </c>
      <c r="BN25" s="270">
        <f>-BN22/BN7</f>
        <v>0</v>
      </c>
      <c r="BS25" s="270">
        <f>-BS22/BS7</f>
        <v>0</v>
      </c>
      <c r="BX25" s="270">
        <f>-BX22/BX7</f>
        <v>0</v>
      </c>
      <c r="CM25" s="270"/>
      <c r="CR25" s="270"/>
    </row>
    <row r="26" spans="1:136">
      <c r="AY26" s="69">
        <f>AY23/DCF!AT29</f>
        <v>2.1158032736156127E-3</v>
      </c>
    </row>
    <row r="27" spans="1:136" ht="12" customHeight="1"/>
    <row r="28" spans="1:136" ht="12" customHeight="1"/>
    <row r="29" spans="1:136" ht="12" customHeight="1">
      <c r="B29" s="82">
        <f>'Balance Sheet'!B88-'Balance Sheet'!B87</f>
        <v>0</v>
      </c>
      <c r="C29" s="82">
        <f>'Balance Sheet'!C88-'Balance Sheet'!C87</f>
        <v>0</v>
      </c>
      <c r="D29" s="82">
        <f>'Balance Sheet'!D88-'Balance Sheet'!D87</f>
        <v>0</v>
      </c>
      <c r="E29" s="82">
        <f>'Balance Sheet'!E88-'Balance Sheet'!E87</f>
        <v>0</v>
      </c>
      <c r="F29" s="77">
        <f>'Balance Sheet'!F88-'Balance Sheet'!F87</f>
        <v>0</v>
      </c>
      <c r="G29" s="82">
        <f>'Balance Sheet'!G88-'Balance Sheet'!G87</f>
        <v>0</v>
      </c>
      <c r="H29" s="82">
        <f>'Balance Sheet'!H88-'Balance Sheet'!H87</f>
        <v>0</v>
      </c>
      <c r="I29" s="82">
        <f>'Balance Sheet'!I88-'Balance Sheet'!I87</f>
        <v>0</v>
      </c>
      <c r="J29" s="82">
        <f>'Balance Sheet'!J88-'Balance Sheet'!J87</f>
        <v>0</v>
      </c>
      <c r="K29" s="77">
        <f>'Balance Sheet'!K88-'Balance Sheet'!K87</f>
        <v>0</v>
      </c>
      <c r="L29" s="82">
        <f>'Balance Sheet'!L88-'Balance Sheet'!L87</f>
        <v>0</v>
      </c>
      <c r="M29" s="82">
        <f>'Balance Sheet'!M88-'Balance Sheet'!M87</f>
        <v>0</v>
      </c>
      <c r="N29" s="82">
        <f>'Balance Sheet'!N88-'Balance Sheet'!N87</f>
        <v>0</v>
      </c>
      <c r="O29" s="82">
        <f>'Balance Sheet'!O88-'Balance Sheet'!O87</f>
        <v>0</v>
      </c>
      <c r="P29" s="77">
        <f>'Balance Sheet'!P88-'Balance Sheet'!P87</f>
        <v>0</v>
      </c>
      <c r="Q29" s="83">
        <f>'Balance Sheet'!Q88-'Balance Sheet'!Q87</f>
        <v>0</v>
      </c>
      <c r="R29" s="83">
        <f>'Balance Sheet'!R88-'Balance Sheet'!R87</f>
        <v>0</v>
      </c>
      <c r="S29" s="83">
        <f>'Balance Sheet'!S88-'Balance Sheet'!S87</f>
        <v>0</v>
      </c>
      <c r="T29" s="83">
        <f>'Balance Sheet'!T88-'Balance Sheet'!T87</f>
        <v>0</v>
      </c>
      <c r="U29" s="26">
        <f>'Balance Sheet'!U88-'Balance Sheet'!U87</f>
        <v>0</v>
      </c>
      <c r="V29" s="83">
        <f>'Balance Sheet'!V88-'Balance Sheet'!V87</f>
        <v>0</v>
      </c>
      <c r="W29" s="82">
        <f>'Balance Sheet'!W88-'Balance Sheet'!W87</f>
        <v>0</v>
      </c>
      <c r="X29" s="82">
        <f>'Balance Sheet'!X88-'Balance Sheet'!X87</f>
        <v>0</v>
      </c>
      <c r="Y29" s="82">
        <f>'Balance Sheet'!Y88-'Balance Sheet'!Y87</f>
        <v>0</v>
      </c>
      <c r="Z29" s="77">
        <f>'Balance Sheet'!Z88-'Balance Sheet'!Z87</f>
        <v>0</v>
      </c>
      <c r="AA29" s="83">
        <f>'Balance Sheet'!AA88-'Balance Sheet'!AA87</f>
        <v>0</v>
      </c>
      <c r="AB29" s="83">
        <f>'Balance Sheet'!AB88-'Balance Sheet'!AB87</f>
        <v>0</v>
      </c>
      <c r="AC29" s="83">
        <f>'Balance Sheet'!AC88-'Balance Sheet'!AC87</f>
        <v>0</v>
      </c>
      <c r="AD29" s="83">
        <f>'Balance Sheet'!AD88-'Balance Sheet'!AD87</f>
        <v>0</v>
      </c>
      <c r="AE29" s="26">
        <f>'Balance Sheet'!AE88-'Balance Sheet'!AE87</f>
        <v>0</v>
      </c>
      <c r="AF29" s="83">
        <f>'Balance Sheet'!AF88-'Balance Sheet'!AF87</f>
        <v>0</v>
      </c>
      <c r="AG29" s="83">
        <f>'Balance Sheet'!AG88-'Balance Sheet'!AG87</f>
        <v>0</v>
      </c>
      <c r="AH29" s="83">
        <f>'Balance Sheet'!AH88-'Balance Sheet'!AH87</f>
        <v>0</v>
      </c>
      <c r="AI29" s="83">
        <f>'Balance Sheet'!AI88-'Balance Sheet'!AI87</f>
        <v>167.00700000000143</v>
      </c>
      <c r="AJ29" s="26">
        <f>'Balance Sheet'!AJ88-'Balance Sheet'!AJ87</f>
        <v>167.00700000000143</v>
      </c>
      <c r="AK29" s="83">
        <f>'Balance Sheet'!AK88-'Balance Sheet'!AK87</f>
        <v>0</v>
      </c>
      <c r="AL29" s="83">
        <f>'Balance Sheet'!AL88-'Balance Sheet'!AL87</f>
        <v>0</v>
      </c>
      <c r="AM29" s="83">
        <f>'Balance Sheet'!AM88-'Balance Sheet'!AM87</f>
        <v>0</v>
      </c>
      <c r="AN29" s="83">
        <f>'Balance Sheet'!AN88-'Balance Sheet'!AN87</f>
        <v>53219.297000000006</v>
      </c>
      <c r="AO29" s="26">
        <f>'Balance Sheet'!AO88-'Balance Sheet'!AO87</f>
        <v>53219.297000000006</v>
      </c>
      <c r="AP29" s="83">
        <f>'Balance Sheet'!AP88-'Balance Sheet'!AP87</f>
        <v>0</v>
      </c>
      <c r="AQ29" s="83">
        <f>'Balance Sheet'!AQ88-'Balance Sheet'!AQ87</f>
        <v>0</v>
      </c>
      <c r="AR29" s="83">
        <f>'Balance Sheet'!AR88-'Balance Sheet'!AR87</f>
        <v>0</v>
      </c>
      <c r="AS29" s="83">
        <f>'Balance Sheet'!AS88-'Balance Sheet'!AS87</f>
        <v>118456.624</v>
      </c>
      <c r="AT29" s="26">
        <f>'Balance Sheet'!AT88-'Balance Sheet'!AT87</f>
        <v>118456.624</v>
      </c>
      <c r="AU29" s="83">
        <f>'Balance Sheet'!AU88-'Balance Sheet'!AU87</f>
        <v>0</v>
      </c>
      <c r="AV29" s="83">
        <f>'Balance Sheet'!AV88-'Balance Sheet'!AV87</f>
        <v>0</v>
      </c>
      <c r="AW29" s="83">
        <f>'Balance Sheet'!AW88-'Balance Sheet'!AW87</f>
        <v>0</v>
      </c>
      <c r="AX29" s="83">
        <f>'Balance Sheet'!AX88-'Balance Sheet'!AX87</f>
        <v>127781</v>
      </c>
      <c r="AY29" s="26">
        <f>'Balance Sheet'!AY88-'Balance Sheet'!AY87</f>
        <v>127781</v>
      </c>
      <c r="AZ29" s="83">
        <f>'Balance Sheet'!AZ88-'Balance Sheet'!AZ87</f>
        <v>0</v>
      </c>
      <c r="BA29" s="83">
        <f>'Balance Sheet'!BA88-'Balance Sheet'!BA87</f>
        <v>0</v>
      </c>
      <c r="BB29" s="83">
        <f>'Balance Sheet'!BB88-'Balance Sheet'!BB87</f>
        <v>0</v>
      </c>
      <c r="BC29" s="83">
        <f>'Balance Sheet'!BC88-'Balance Sheet'!BC87</f>
        <v>171729</v>
      </c>
      <c r="BD29" s="26">
        <f>'Balance Sheet'!BD88-'Balance Sheet'!BD87</f>
        <v>171729</v>
      </c>
      <c r="BE29" s="83">
        <f>'Balance Sheet'!BE88-'Balance Sheet'!BE87</f>
        <v>0</v>
      </c>
      <c r="BF29" s="83">
        <f>'Balance Sheet'!BF88-'Balance Sheet'!BF87</f>
        <v>0</v>
      </c>
      <c r="BG29" s="83">
        <f>'Balance Sheet'!BG88-'Balance Sheet'!BG87</f>
        <v>0</v>
      </c>
      <c r="BH29" s="83">
        <f>'Balance Sheet'!BH88-'Balance Sheet'!BH87</f>
        <v>192093</v>
      </c>
      <c r="BI29" s="26">
        <f>'Balance Sheet'!BI88-'Balance Sheet'!BI87</f>
        <v>192093</v>
      </c>
      <c r="BJ29" s="83">
        <f>'Balance Sheet'!BJ88-'Balance Sheet'!BJ87</f>
        <v>0</v>
      </c>
      <c r="BK29" s="83">
        <f>'Balance Sheet'!BK88-'Balance Sheet'!BK87</f>
        <v>0</v>
      </c>
      <c r="BL29" s="83">
        <f>'Balance Sheet'!BL88-'Balance Sheet'!BL87</f>
        <v>0</v>
      </c>
      <c r="BM29" s="83">
        <f>'Balance Sheet'!BM88-'Balance Sheet'!BM87</f>
        <v>174222</v>
      </c>
      <c r="BN29" s="26">
        <f>'Balance Sheet'!BN88-'Balance Sheet'!BN87</f>
        <v>174222</v>
      </c>
      <c r="BO29" s="83">
        <f>'Balance Sheet'!BO88-'Balance Sheet'!BO87</f>
        <v>0</v>
      </c>
      <c r="BP29" s="83">
        <f>'Balance Sheet'!BP88-'Balance Sheet'!BP87</f>
        <v>0</v>
      </c>
      <c r="BQ29" s="83">
        <f>'Balance Sheet'!BQ88-'Balance Sheet'!BQ87</f>
        <v>0</v>
      </c>
      <c r="BR29" s="83">
        <f>'Balance Sheet'!BR88-'Balance Sheet'!BR87</f>
        <v>159575</v>
      </c>
      <c r="BS29" s="26">
        <f>'Balance Sheet'!BS88-'Balance Sheet'!BS87</f>
        <v>159575</v>
      </c>
      <c r="BT29" s="83">
        <f>'Balance Sheet'!BT88-'Balance Sheet'!BT87</f>
        <v>0</v>
      </c>
      <c r="BU29" s="83">
        <f>'Balance Sheet'!BU88-'Balance Sheet'!BU87</f>
        <v>0</v>
      </c>
      <c r="BV29" s="83">
        <f>'Balance Sheet'!BV88-'Balance Sheet'!BV87</f>
        <v>0</v>
      </c>
      <c r="BW29" s="83">
        <f>'Balance Sheet'!BW88-'Balance Sheet'!BW87</f>
        <v>175094</v>
      </c>
      <c r="BX29" s="26">
        <f>'Balance Sheet'!BX88-'Balance Sheet'!BX87</f>
        <v>175094</v>
      </c>
      <c r="BY29" s="83">
        <f>'Balance Sheet'!BY88-'Balance Sheet'!BY87</f>
        <v>0</v>
      </c>
      <c r="BZ29" s="83">
        <f>'Balance Sheet'!BZ88-'Balance Sheet'!BZ87</f>
        <v>0</v>
      </c>
      <c r="CA29" s="83">
        <f>'Balance Sheet'!CA88-'Balance Sheet'!CA87</f>
        <v>0</v>
      </c>
      <c r="CB29" s="83">
        <f>'Balance Sheet'!CB88-'Balance Sheet'!CB87</f>
        <v>59871</v>
      </c>
      <c r="CC29" s="26">
        <f>'Balance Sheet'!CC88-'Balance Sheet'!CC87</f>
        <v>59871</v>
      </c>
      <c r="CD29" s="83"/>
      <c r="CE29" s="83"/>
      <c r="CF29" s="83"/>
      <c r="CG29" s="83"/>
      <c r="CH29" s="26"/>
      <c r="CM29" s="26"/>
      <c r="CN29" s="83"/>
      <c r="CO29" s="83"/>
      <c r="CP29" s="83"/>
      <c r="CQ29" s="83"/>
      <c r="CR29" s="26"/>
      <c r="CS29" s="83"/>
      <c r="CT29" s="83"/>
      <c r="CU29" s="83"/>
      <c r="CV29" s="83"/>
      <c r="CW29" s="26"/>
      <c r="CX29" s="83"/>
      <c r="CY29" s="83"/>
      <c r="CZ29" s="83"/>
      <c r="DA29" s="83"/>
      <c r="DB29" s="26"/>
    </row>
    <row r="30" spans="1:136" ht="12" customHeight="1">
      <c r="L30" s="52">
        <f>L29-J29</f>
        <v>0</v>
      </c>
      <c r="M30" s="52">
        <f>M29-L29</f>
        <v>0</v>
      </c>
      <c r="N30" s="52">
        <f>N29-M29</f>
        <v>0</v>
      </c>
      <c r="O30" s="52">
        <f>O29-N29</f>
        <v>0</v>
      </c>
      <c r="P30" s="67">
        <f>SUM(L30:O30)</f>
        <v>0</v>
      </c>
      <c r="Q30" s="52">
        <f>Q29-O29</f>
        <v>0</v>
      </c>
      <c r="R30" s="52">
        <f>R29-Q29</f>
        <v>0</v>
      </c>
      <c r="S30" s="52">
        <f>S29-R29</f>
        <v>0</v>
      </c>
      <c r="T30" s="52">
        <f>T29-S29</f>
        <v>0</v>
      </c>
      <c r="U30" s="67">
        <f>SUM(Q30:T30)</f>
        <v>0</v>
      </c>
      <c r="V30" s="52">
        <f>V29-T29</f>
        <v>0</v>
      </c>
      <c r="W30" s="52">
        <f>W29-V29</f>
        <v>0</v>
      </c>
      <c r="X30" s="52">
        <f>X29-W29</f>
        <v>0</v>
      </c>
      <c r="Y30" s="52">
        <f>Y29-X29</f>
        <v>0</v>
      </c>
      <c r="Z30" s="67">
        <f>SUM(V30:Y30)</f>
        <v>0</v>
      </c>
      <c r="AA30" s="52">
        <f>AA29-Y29</f>
        <v>0</v>
      </c>
      <c r="AB30" s="52">
        <f>AB29-AA29</f>
        <v>0</v>
      </c>
      <c r="AC30" s="52">
        <f>AC29-AB29</f>
        <v>0</v>
      </c>
      <c r="AD30" s="52">
        <f>AD29-AC29</f>
        <v>0</v>
      </c>
      <c r="AE30" s="67">
        <f>SUM(AA30:AD30)</f>
        <v>0</v>
      </c>
      <c r="AF30" s="52">
        <f>AF29-AD29</f>
        <v>0</v>
      </c>
      <c r="AG30" s="52">
        <f>AG29-AF29</f>
        <v>0</v>
      </c>
      <c r="AH30" s="52">
        <f>AH29-AG29</f>
        <v>0</v>
      </c>
      <c r="AI30" s="52">
        <f>AI29-AH29</f>
        <v>167.00700000000143</v>
      </c>
      <c r="AJ30" s="67">
        <f>SUM(AF30:AI30)</f>
        <v>167.00700000000143</v>
      </c>
      <c r="AK30" s="52">
        <f>AK29-AI29</f>
        <v>-167.00700000000143</v>
      </c>
      <c r="AL30" s="52">
        <f>AL29-AK29</f>
        <v>0</v>
      </c>
      <c r="AM30" s="52">
        <f>AM29-AL29</f>
        <v>0</v>
      </c>
      <c r="AN30" s="52">
        <f>AN29-AM29</f>
        <v>53219.297000000006</v>
      </c>
      <c r="AO30" s="67">
        <f>SUM(AK30:AN30)</f>
        <v>53052.290000000008</v>
      </c>
      <c r="AP30" s="52">
        <f>AP29-AN29</f>
        <v>-53219.297000000006</v>
      </c>
      <c r="AQ30" s="52">
        <f>AQ29-AP29</f>
        <v>0</v>
      </c>
      <c r="AR30" s="52">
        <f>AR29-AQ29</f>
        <v>0</v>
      </c>
      <c r="AS30" s="52">
        <f>AS29-AR29</f>
        <v>118456.624</v>
      </c>
      <c r="AT30" s="67">
        <f>SUM(AP30:AS30)</f>
        <v>65237.32699999999</v>
      </c>
      <c r="AU30" s="52">
        <f>AU29-AS29</f>
        <v>-118456.624</v>
      </c>
      <c r="AV30" s="52">
        <f>AV29-AU29</f>
        <v>0</v>
      </c>
      <c r="AW30" s="52">
        <f>AW29-AV29</f>
        <v>0</v>
      </c>
      <c r="AX30" s="52">
        <f>AX29-AW29</f>
        <v>127781</v>
      </c>
      <c r="AY30" s="67">
        <f>SUM(AU30:AX30)</f>
        <v>9324.3760000000038</v>
      </c>
      <c r="AZ30" s="52">
        <f>AZ29-AX29</f>
        <v>-127781</v>
      </c>
      <c r="BA30" s="52">
        <f>BA29-AZ29</f>
        <v>0</v>
      </c>
      <c r="BB30" s="52">
        <f>BB29-BA29</f>
        <v>0</v>
      </c>
      <c r="BC30" s="52">
        <f>BC29-BB29</f>
        <v>171729</v>
      </c>
      <c r="BD30" s="67">
        <f>SUM(AZ30:BC30)</f>
        <v>43948</v>
      </c>
      <c r="BE30" s="52">
        <f>BE29-BC29</f>
        <v>-171729</v>
      </c>
      <c r="BF30" s="52">
        <f>BF29-BE29</f>
        <v>0</v>
      </c>
      <c r="BG30" s="52">
        <f>BG29-BF29</f>
        <v>0</v>
      </c>
      <c r="BH30" s="52">
        <f>BH29-BG29</f>
        <v>192093</v>
      </c>
      <c r="BI30" s="67">
        <f>SUM(BE30:BH30)</f>
        <v>20364</v>
      </c>
      <c r="BJ30" s="52">
        <f>BJ29-BH29</f>
        <v>-192093</v>
      </c>
      <c r="BK30" s="52">
        <f>BK29-BJ29</f>
        <v>0</v>
      </c>
      <c r="BL30" s="52">
        <f>BL29-BK29</f>
        <v>0</v>
      </c>
      <c r="BM30" s="52">
        <f>BM29-BL29</f>
        <v>174222</v>
      </c>
      <c r="BN30" s="67">
        <f>SUM(BJ30:BM30)</f>
        <v>-17871</v>
      </c>
      <c r="BO30" s="52">
        <f>BO29-BM29</f>
        <v>-174222</v>
      </c>
      <c r="BP30" s="52">
        <f>BP29-BO29</f>
        <v>0</v>
      </c>
      <c r="BQ30" s="52">
        <f>BQ29-BP29</f>
        <v>0</v>
      </c>
      <c r="BR30" s="52">
        <f>BR29-BQ29</f>
        <v>159575</v>
      </c>
      <c r="BS30" s="67">
        <f>SUM(BO30:BR30)</f>
        <v>-14647</v>
      </c>
      <c r="BT30" s="52">
        <f>BT29-BR29</f>
        <v>-159575</v>
      </c>
      <c r="BU30" s="52">
        <f>BU29-BT29</f>
        <v>0</v>
      </c>
      <c r="BV30" s="52">
        <f>BV29-BU29</f>
        <v>0</v>
      </c>
      <c r="BW30" s="52">
        <f>BW29-BV29</f>
        <v>175094</v>
      </c>
      <c r="BX30" s="67">
        <f>SUM(BT30:BW30)</f>
        <v>15519</v>
      </c>
      <c r="BY30" s="52">
        <f>BY29-BW29</f>
        <v>-175094</v>
      </c>
      <c r="BZ30" s="52">
        <f>BZ29-BY29</f>
        <v>0</v>
      </c>
      <c r="CA30" s="52">
        <f>CA29-BZ29</f>
        <v>0</v>
      </c>
      <c r="CB30" s="52">
        <f>CB29-CA29</f>
        <v>59871</v>
      </c>
      <c r="CC30" s="67">
        <f>SUM(BY30:CB30)</f>
        <v>-115223</v>
      </c>
      <c r="CM30" s="67"/>
      <c r="CN30" s="52"/>
      <c r="CO30" s="52"/>
      <c r="CP30" s="52"/>
      <c r="CQ30" s="52"/>
      <c r="CR30" s="67"/>
      <c r="CS30" s="52"/>
      <c r="CT30" s="52"/>
      <c r="CU30" s="52"/>
      <c r="CV30" s="52"/>
      <c r="CW30" s="67"/>
    </row>
    <row r="31" spans="1:136" ht="12" customHeight="1">
      <c r="L31" s="52">
        <f>L7+L30</f>
        <v>0</v>
      </c>
      <c r="M31" s="52">
        <f>M7+M30</f>
        <v>0</v>
      </c>
      <c r="N31" s="52">
        <f>N7+N30</f>
        <v>0</v>
      </c>
      <c r="O31" s="52">
        <f>O7+O30</f>
        <v>0</v>
      </c>
      <c r="P31" s="67">
        <f>SUM(L31:O31)</f>
        <v>0</v>
      </c>
      <c r="Q31" s="52">
        <f>Q7+Q30</f>
        <v>0</v>
      </c>
      <c r="R31" s="52">
        <f>R7+R30</f>
        <v>0</v>
      </c>
      <c r="S31" s="52">
        <f>S7+S30</f>
        <v>0</v>
      </c>
      <c r="T31" s="52">
        <f>T7+T30</f>
        <v>0</v>
      </c>
      <c r="U31" s="67">
        <f>SUM(Q31:T31)</f>
        <v>0</v>
      </c>
      <c r="V31" s="52">
        <f>V7+V30</f>
        <v>0</v>
      </c>
      <c r="W31" s="52">
        <f>W7+W30</f>
        <v>0</v>
      </c>
      <c r="X31" s="52">
        <f>X7+X30</f>
        <v>0</v>
      </c>
      <c r="Y31" s="52">
        <f>Y7+Y30</f>
        <v>0</v>
      </c>
      <c r="Z31" s="67">
        <f>SUM(V31:Y31)</f>
        <v>0</v>
      </c>
      <c r="AA31" s="52">
        <f>AA7+AA30</f>
        <v>0</v>
      </c>
      <c r="AB31" s="52">
        <f>AB7+AB30</f>
        <v>0</v>
      </c>
      <c r="AC31" s="52">
        <f>AC7+AC30</f>
        <v>0</v>
      </c>
      <c r="AD31" s="52">
        <f>AD7+AD30</f>
        <v>0</v>
      </c>
      <c r="AE31" s="67">
        <f>SUM(AA31:AD31)</f>
        <v>0</v>
      </c>
      <c r="AF31" s="52">
        <f>AF7+AF30</f>
        <v>0</v>
      </c>
      <c r="AG31" s="52">
        <f>AG7+AG30</f>
        <v>0</v>
      </c>
      <c r="AH31" s="52">
        <f>AH7+AH30</f>
        <v>0</v>
      </c>
      <c r="AI31" s="52">
        <f>AI7+AI30</f>
        <v>-137710.53299999997</v>
      </c>
      <c r="AJ31" s="67">
        <f>SUM(AF31:AI31)</f>
        <v>-137710.53299999997</v>
      </c>
      <c r="AK31" s="52">
        <f>AK7+AK30</f>
        <v>189808.3</v>
      </c>
      <c r="AL31" s="52">
        <f>AL7+AL30</f>
        <v>0</v>
      </c>
      <c r="AM31" s="52">
        <f>AM7+AM30</f>
        <v>0</v>
      </c>
      <c r="AN31" s="52">
        <f>AN7+AN30</f>
        <v>-160017.37000000005</v>
      </c>
      <c r="AO31" s="67">
        <f>SUM(AK31:AN31)</f>
        <v>29790.929999999935</v>
      </c>
      <c r="AP31" s="52">
        <f>AP7+AP30</f>
        <v>250020.24300000002</v>
      </c>
      <c r="AQ31" s="52">
        <f>AQ7+AQ30</f>
        <v>0</v>
      </c>
      <c r="AR31" s="52">
        <f>AR7+AR30</f>
        <v>0</v>
      </c>
      <c r="AS31" s="52">
        <f>AS7+AS30</f>
        <v>-157442.1339999999</v>
      </c>
      <c r="AT31" s="67">
        <f>SUM(AP31:AS31)</f>
        <v>92578.109000000113</v>
      </c>
      <c r="AU31" s="52">
        <f>AU7+AU30</f>
        <v>237523.32099999988</v>
      </c>
      <c r="AV31" s="52">
        <f>AV7+AV30</f>
        <v>0</v>
      </c>
      <c r="AW31" s="52">
        <f>AW7+AW30</f>
        <v>0</v>
      </c>
      <c r="AX31" s="52">
        <f>AX7+AX30</f>
        <v>-222801.74900000007</v>
      </c>
      <c r="AY31" s="67">
        <f>SUM(AU31:AX31)</f>
        <v>14721.571999999811</v>
      </c>
      <c r="AZ31" s="52">
        <f>AZ7+AZ30</f>
        <v>327882</v>
      </c>
      <c r="BA31" s="52">
        <f>BA7+BA30</f>
        <v>0</v>
      </c>
      <c r="BB31" s="52">
        <f>BB7+BB30</f>
        <v>0</v>
      </c>
      <c r="BC31" s="52">
        <f>BC7+BC30</f>
        <v>-206229</v>
      </c>
      <c r="BD31" s="67">
        <f>SUM(AZ31:BC31)</f>
        <v>121653</v>
      </c>
      <c r="BE31" s="52">
        <f>BE7+BE30</f>
        <v>345702</v>
      </c>
      <c r="BF31" s="52">
        <f>BF7+BF30</f>
        <v>0</v>
      </c>
      <c r="BG31" s="52">
        <f>BG7+BG30</f>
        <v>0</v>
      </c>
      <c r="BH31" s="52">
        <f>BH7+BH30</f>
        <v>-255082</v>
      </c>
      <c r="BI31" s="67">
        <f>SUM(BE31:BH31)</f>
        <v>90620</v>
      </c>
      <c r="BJ31" s="52">
        <f>BJ7+BJ30</f>
        <v>389558</v>
      </c>
      <c r="BK31" s="52">
        <f>BK7+BK30</f>
        <v>0</v>
      </c>
      <c r="BL31" s="52">
        <f>BL7+BL30</f>
        <v>0</v>
      </c>
      <c r="BM31" s="52">
        <f>BM7+BM30</f>
        <v>-276903</v>
      </c>
      <c r="BN31" s="67">
        <f>SUM(BJ31:BM31)</f>
        <v>112655</v>
      </c>
      <c r="BO31" s="52">
        <f>BO7+BO30</f>
        <v>373663</v>
      </c>
      <c r="BP31" s="52">
        <f>BP7+BP30</f>
        <v>0</v>
      </c>
      <c r="BQ31" s="52">
        <f>BQ7+BQ30</f>
        <v>0</v>
      </c>
      <c r="BR31" s="52">
        <f>BR7+BR30</f>
        <v>-280773</v>
      </c>
      <c r="BS31" s="67">
        <f>SUM(BO31:BR31)</f>
        <v>92890</v>
      </c>
      <c r="BT31" s="52">
        <f>BT7+BT30</f>
        <v>401078</v>
      </c>
      <c r="BU31" s="52">
        <f>BU7+BU30</f>
        <v>0</v>
      </c>
      <c r="BV31" s="52">
        <f>BV7+BV30</f>
        <v>0</v>
      </c>
      <c r="BW31" s="52">
        <f>BW7+BW30</f>
        <v>-173877</v>
      </c>
      <c r="BX31" s="67">
        <f>SUM(BT31:BW31)</f>
        <v>227201</v>
      </c>
      <c r="BY31" s="52">
        <f>BY7+BY30</f>
        <v>328824</v>
      </c>
      <c r="BZ31" s="52">
        <f>BZ7+BZ30</f>
        <v>61252</v>
      </c>
      <c r="CA31" s="52">
        <f>CA7+CA30</f>
        <v>30707</v>
      </c>
      <c r="CB31" s="52">
        <f>CB7+CB30</f>
        <v>-365762</v>
      </c>
      <c r="CC31" s="67">
        <f>SUM(BY31:CB31)</f>
        <v>55021</v>
      </c>
      <c r="CM31" s="67"/>
      <c r="CN31" s="52"/>
      <c r="CO31" s="52"/>
      <c r="CP31" s="52"/>
      <c r="CQ31" s="52"/>
      <c r="CR31" s="67"/>
      <c r="CS31" s="52"/>
      <c r="CT31" s="52"/>
      <c r="CU31" s="52"/>
      <c r="CV31" s="52"/>
      <c r="CW31" s="67"/>
    </row>
    <row r="32" spans="1:13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S45"/>
  <sheetViews>
    <sheetView workbookViewId="0">
      <selection activeCell="F17" sqref="F17"/>
    </sheetView>
  </sheetViews>
  <sheetFormatPr defaultColWidth="9.140625" defaultRowHeight="12.75" outlineLevelRow="1"/>
  <cols>
    <col min="1" max="1" width="1.7109375" style="244" customWidth="1"/>
    <col min="2" max="2" width="48.85546875" style="244" customWidth="1"/>
    <col min="3" max="3" width="16.140625" style="244" customWidth="1"/>
    <col min="4" max="4" width="10.140625" style="244" customWidth="1"/>
    <col min="5" max="5" width="9.140625" style="244"/>
    <col min="6" max="6" width="12" style="244" bestFit="1" customWidth="1"/>
    <col min="7" max="16384" width="9.140625" style="244"/>
  </cols>
  <sheetData>
    <row r="1" spans="2:8" s="1" customFormat="1" ht="30" customHeight="1"/>
    <row r="2" spans="2:8">
      <c r="B2" s="244" t="s">
        <v>270</v>
      </c>
      <c r="C2" s="245" t="s">
        <v>476</v>
      </c>
      <c r="D2" s="257" t="str">
        <f>LEFT(C2,2)</f>
        <v>3Q</v>
      </c>
      <c r="E2" s="257" t="str">
        <f>RIGHT(C2,2)</f>
        <v>26</v>
      </c>
    </row>
    <row r="3" spans="2:8">
      <c r="B3" s="244" t="s">
        <v>276</v>
      </c>
      <c r="C3" s="246" t="str">
        <f>D2&amp;E2+1&amp;"E"</f>
        <v>3Q27E</v>
      </c>
    </row>
    <row r="4" spans="2:8">
      <c r="B4" s="244" t="s">
        <v>271</v>
      </c>
      <c r="C4" s="247">
        <f ca="1">HLOOKUP($C$3,'Balance Sheet'!3:183,D4,0)+C6</f>
        <v>2192419.9884189153</v>
      </c>
      <c r="D4" s="244">
        <v>149</v>
      </c>
    </row>
    <row r="5" spans="2:8">
      <c r="B5" s="248" t="s">
        <v>272</v>
      </c>
      <c r="C5" s="277">
        <f ca="1">F7</f>
        <v>6.0949919857683197</v>
      </c>
      <c r="F5" s="406"/>
    </row>
    <row r="6" spans="2:8" outlineLevel="1">
      <c r="B6" s="244" t="s">
        <v>277</v>
      </c>
      <c r="C6" s="250">
        <f>HLOOKUP($C$3,'Balance Sheet'!3:183,D6,0)</f>
        <v>0</v>
      </c>
      <c r="D6" s="244">
        <v>133</v>
      </c>
      <c r="F6" s="406">
        <f ca="1">(AVERAGE('Balance Sheet'!DL163:DL163)-DCF!B25)/(DCF!B23-DCF!B25)</f>
        <v>5.9285749437581412</v>
      </c>
    </row>
    <row r="7" spans="2:8">
      <c r="B7" s="244" t="s">
        <v>273</v>
      </c>
      <c r="C7" s="250">
        <v>0</v>
      </c>
      <c r="D7" s="257"/>
      <c r="F7" s="473">
        <f ca="1">(AVERAGE('Balance Sheet'!DG163:EF163)-DCF!B25)/(DCF!B23-DCF!B25)</f>
        <v>6.0949919857684618</v>
      </c>
    </row>
    <row r="8" spans="2:8">
      <c r="B8" s="244" t="s">
        <v>281</v>
      </c>
      <c r="C8" s="247">
        <f ca="1">(C4-C6)*C5+C7</f>
        <v>13362782.258851562</v>
      </c>
      <c r="D8" s="428"/>
      <c r="E8" s="255"/>
      <c r="F8" s="473">
        <f ca="1">(AVERAGE('Balance Sheet'!DL163:EF163)-DCF!B25)/(DCF!B23-DCF!B25)</f>
        <v>6.0517945808309888</v>
      </c>
    </row>
    <row r="9" spans="2:8">
      <c r="B9" s="244" t="s">
        <v>274</v>
      </c>
      <c r="C9" s="247">
        <f>HLOOKUP(C3,'Income Statement'!3:91,D9,0)</f>
        <v>308047.59399999998</v>
      </c>
      <c r="D9" s="244">
        <v>76</v>
      </c>
      <c r="F9" s="406"/>
    </row>
    <row r="10" spans="2:8" s="278" customFormat="1">
      <c r="B10" s="278" t="s">
        <v>471</v>
      </c>
      <c r="C10" s="251">
        <f>SUM('Income Statement'!DE81:DF81,'Income Statement'!DH81:DI81)</f>
        <v>4.3843149655676807</v>
      </c>
      <c r="D10" s="278">
        <v>79</v>
      </c>
      <c r="F10" s="251"/>
    </row>
    <row r="11" spans="2:8">
      <c r="B11" s="248" t="s">
        <v>275</v>
      </c>
      <c r="C11" s="249">
        <f ca="1">ROUND(C8/C9+C10,0)</f>
        <v>48</v>
      </c>
      <c r="D11" s="255">
        <f ca="1">C8/C9*0.8</f>
        <v>34.703162807631763</v>
      </c>
      <c r="F11" s="255"/>
      <c r="G11" s="244" t="s">
        <v>378</v>
      </c>
      <c r="H11" s="244" t="s">
        <v>379</v>
      </c>
    </row>
    <row r="12" spans="2:8">
      <c r="C12" s="267">
        <v>34.21</v>
      </c>
      <c r="F12" s="244" t="s">
        <v>375</v>
      </c>
      <c r="G12" s="428">
        <v>3000</v>
      </c>
      <c r="H12" s="428">
        <f>H13+H14</f>
        <v>73547.041071428568</v>
      </c>
    </row>
    <row r="13" spans="2:8">
      <c r="C13" s="287">
        <f ca="1">C11/C12-1</f>
        <v>0.40309850920783385</v>
      </c>
      <c r="F13" s="244" t="s">
        <v>376</v>
      </c>
      <c r="G13" s="428">
        <v>200</v>
      </c>
      <c r="H13" s="428">
        <f>G13/G14*H14</f>
        <v>4903.1360714285711</v>
      </c>
    </row>
    <row r="14" spans="2:8">
      <c r="C14" s="256"/>
      <c r="F14" s="244" t="s">
        <v>377</v>
      </c>
      <c r="G14" s="428">
        <f>G12-G13</f>
        <v>2800</v>
      </c>
      <c r="H14" s="428">
        <v>68643.904999999999</v>
      </c>
    </row>
    <row r="15" spans="2:8">
      <c r="B15" s="244" t="s">
        <v>374</v>
      </c>
      <c r="C15" s="276">
        <f ca="1">C11/'Income Statement'!CH80</f>
        <v>84.406888739646291</v>
      </c>
    </row>
    <row r="16" spans="2:8">
      <c r="B16" s="244" t="s">
        <v>373</v>
      </c>
      <c r="C16" s="276">
        <f ca="1">C11/'Income Statement'!CM80</f>
        <v>46.734771505492922</v>
      </c>
      <c r="D16" s="276">
        <f ca="1">C11*(1+DCF!B23)/'Income Statement'!CH80</f>
        <v>97.641888894022827</v>
      </c>
    </row>
    <row r="17" spans="2:19">
      <c r="B17" s="244" t="s">
        <v>466</v>
      </c>
      <c r="C17" s="276">
        <f ca="1">C11/'Income Statement'!CR80</f>
        <v>42.252104290889243</v>
      </c>
      <c r="F17" s="458">
        <f ca="1">C8/1.4</f>
        <v>9544844.4706082586</v>
      </c>
    </row>
    <row r="19" spans="2:19">
      <c r="B19" s="252" t="s">
        <v>276</v>
      </c>
      <c r="C19" s="253" t="str">
        <f>C3</f>
        <v>3Q27E</v>
      </c>
    </row>
    <row r="20" spans="2:19">
      <c r="B20" s="252" t="s">
        <v>271</v>
      </c>
      <c r="C20" s="254">
        <f ca="1">C4/1000</f>
        <v>2192.4199884189152</v>
      </c>
    </row>
    <row r="21" spans="2:19">
      <c r="B21" s="252" t="s">
        <v>272</v>
      </c>
      <c r="C21" s="259">
        <f ca="1">C5</f>
        <v>6.0949919857683197</v>
      </c>
    </row>
    <row r="22" spans="2:19" hidden="1" outlineLevel="1">
      <c r="B22" s="252" t="s">
        <v>277</v>
      </c>
      <c r="C22" s="254">
        <f>C6/1000</f>
        <v>0</v>
      </c>
    </row>
    <row r="23" spans="2:19" hidden="1" outlineLevel="1">
      <c r="B23" s="252" t="s">
        <v>273</v>
      </c>
      <c r="C23" s="254">
        <f>C7/1000</f>
        <v>0</v>
      </c>
      <c r="E23" s="287">
        <f>14/10.83-1</f>
        <v>0.29270544783010166</v>
      </c>
    </row>
    <row r="24" spans="2:19" collapsed="1">
      <c r="B24" s="252" t="s">
        <v>281</v>
      </c>
      <c r="C24" s="254">
        <f ca="1">C8/1000</f>
        <v>13362.782258851561</v>
      </c>
    </row>
    <row r="25" spans="2:19">
      <c r="B25" s="252" t="s">
        <v>274</v>
      </c>
      <c r="C25" s="300">
        <f>C9/1000</f>
        <v>308.047594</v>
      </c>
    </row>
    <row r="26" spans="2:19">
      <c r="B26" s="252" t="str">
        <f>"Dividends until "&amp;C3&amp;" (R$/share)"</f>
        <v>Dividends until 3Q27E (R$/share)</v>
      </c>
      <c r="C26" s="253">
        <f>C10</f>
        <v>4.3843149655676807</v>
      </c>
    </row>
    <row r="27" spans="2:19">
      <c r="B27" s="252" t="s">
        <v>275</v>
      </c>
      <c r="C27" s="253">
        <f ca="1">C11</f>
        <v>48</v>
      </c>
    </row>
    <row r="28" spans="2:19">
      <c r="B28" s="252" t="s">
        <v>286</v>
      </c>
      <c r="C28" s="268">
        <f ca="1">C27/DCF!B13-1</f>
        <v>0.40309850920783385</v>
      </c>
    </row>
    <row r="29" spans="2:19" hidden="1" outlineLevel="1">
      <c r="B29" s="252" t="s">
        <v>129</v>
      </c>
      <c r="C29" s="268">
        <f ca="1">C10/C13</f>
        <v>10.876534805806411</v>
      </c>
    </row>
    <row r="30" spans="2:19" hidden="1" outlineLevel="1">
      <c r="C30" s="269">
        <f ca="1">+C28+C29</f>
        <v>11.279633315014244</v>
      </c>
    </row>
    <row r="31" spans="2:19" collapsed="1"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</row>
    <row r="32" spans="2:19"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84">
        <f ca="1">C5</f>
        <v>6.0949919857683197</v>
      </c>
      <c r="P32" s="278" t="s">
        <v>300</v>
      </c>
      <c r="Q32" s="278"/>
      <c r="R32" s="278"/>
      <c r="S32" s="278"/>
    </row>
    <row r="33" spans="4:19">
      <c r="D33" s="278"/>
      <c r="E33" s="285" t="s">
        <v>301</v>
      </c>
      <c r="F33" s="285" t="s">
        <v>302</v>
      </c>
      <c r="G33" s="285" t="s">
        <v>364</v>
      </c>
      <c r="H33" s="285" t="s">
        <v>365</v>
      </c>
      <c r="I33" s="285" t="s">
        <v>366</v>
      </c>
      <c r="J33" s="285" t="s">
        <v>367</v>
      </c>
      <c r="K33" s="285" t="s">
        <v>368</v>
      </c>
      <c r="L33" s="285" t="s">
        <v>369</v>
      </c>
      <c r="M33" s="285" t="s">
        <v>370</v>
      </c>
      <c r="N33" s="285" t="s">
        <v>371</v>
      </c>
      <c r="O33" s="285" t="s">
        <v>372</v>
      </c>
      <c r="P33" s="278"/>
      <c r="Q33" s="278"/>
      <c r="R33" s="278"/>
      <c r="S33" s="278"/>
    </row>
    <row r="34" spans="4:19">
      <c r="D34" s="278"/>
      <c r="E34" s="286" t="e">
        <f ca="1">(1+IRR(F34:O34))^2-1</f>
        <v>#VALUE!</v>
      </c>
      <c r="F34" s="251">
        <f ca="1">-C8/C9*0.8</f>
        <v>-34.703162807631763</v>
      </c>
      <c r="G34" s="251" t="e">
        <f>HLOOKUP(G33,'Income Statement'!77:81,5,0)</f>
        <v>#N/A</v>
      </c>
      <c r="H34" s="251">
        <v>0</v>
      </c>
      <c r="I34" s="251" t="e">
        <f>HLOOKUP(I33,'Income Statement'!77:81,5,0)</f>
        <v>#N/A</v>
      </c>
      <c r="J34" s="251">
        <v>0</v>
      </c>
      <c r="K34" s="251" t="e">
        <f>HLOOKUP(K33,'Income Statement'!77:81,5,0)</f>
        <v>#N/A</v>
      </c>
      <c r="L34" s="251">
        <v>0</v>
      </c>
      <c r="M34" s="251" t="e">
        <f>HLOOKUP(M33,'Income Statement'!77:81,5,0)</f>
        <v>#N/A</v>
      </c>
      <c r="N34" s="251">
        <v>0</v>
      </c>
      <c r="O34" s="251" t="e">
        <f ca="1">HLOOKUP(O33,'Balance Sheet'!130:160,25,0)*O32+HLOOKUP(O33,'Income Statement'!77:81,5,0)</f>
        <v>#N/A</v>
      </c>
      <c r="P34" s="278"/>
      <c r="Q34" s="278"/>
      <c r="R34" s="278"/>
      <c r="S34" s="278"/>
    </row>
    <row r="35" spans="4:19">
      <c r="D35" s="278"/>
      <c r="E35" s="278"/>
      <c r="F35" s="278"/>
      <c r="G35" s="256" t="e">
        <f ca="1">G34/-$F$34</f>
        <v>#N/A</v>
      </c>
      <c r="H35" s="256"/>
      <c r="I35" s="256" t="e">
        <f ca="1">I34/-$F$34</f>
        <v>#N/A</v>
      </c>
      <c r="J35" s="256"/>
      <c r="K35" s="256" t="e">
        <f ca="1">K34/-$F$34</f>
        <v>#N/A</v>
      </c>
      <c r="L35" s="256"/>
      <c r="M35" s="256" t="e">
        <f ca="1">M34/-$F$34</f>
        <v>#N/A</v>
      </c>
      <c r="N35" s="256"/>
      <c r="O35" s="256" t="e">
        <f ca="1">O34/-$F$34-1</f>
        <v>#N/A</v>
      </c>
      <c r="P35" s="287" t="e">
        <f ca="1">((1+G35)*(1+I35)*(1+K35)*(1+M35)*(1+O35))^(1/5)-1</f>
        <v>#N/A</v>
      </c>
      <c r="Q35" s="278"/>
      <c r="R35" s="278"/>
      <c r="S35" s="278"/>
    </row>
    <row r="36" spans="4:19"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88">
        <f>K37+M37</f>
        <v>0</v>
      </c>
    </row>
    <row r="37" spans="4:19">
      <c r="D37" s="278"/>
      <c r="E37" s="286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89" t="e">
        <f ca="1">E34</f>
        <v>#VALUE!</v>
      </c>
      <c r="Q37" s="278"/>
      <c r="R37" s="278"/>
      <c r="S37" s="278"/>
    </row>
    <row r="38" spans="4:19">
      <c r="D38" s="278"/>
      <c r="E38" s="278"/>
      <c r="F38" s="288"/>
      <c r="G38" s="278"/>
      <c r="H38" s="278"/>
      <c r="I38" s="278"/>
      <c r="J38" s="278"/>
      <c r="K38" s="278"/>
      <c r="L38" s="278"/>
      <c r="M38" s="278"/>
      <c r="N38" s="278"/>
      <c r="O38" s="278"/>
      <c r="P38" s="251">
        <v>0.7</v>
      </c>
      <c r="Q38" s="287">
        <v>0.13127441266245032</v>
      </c>
      <c r="R38" s="278"/>
      <c r="S38" s="278"/>
    </row>
    <row r="39" spans="4:19">
      <c r="D39" s="278"/>
      <c r="E39" s="278"/>
      <c r="F39" s="278"/>
      <c r="G39" s="278">
        <f>3568.2</f>
        <v>3568.2</v>
      </c>
      <c r="H39" s="278"/>
      <c r="I39" s="278"/>
      <c r="J39" s="278"/>
      <c r="K39" s="278"/>
      <c r="L39" s="278"/>
      <c r="M39" s="278"/>
      <c r="N39" s="278"/>
      <c r="O39" s="278"/>
      <c r="P39" s="251">
        <v>0.8</v>
      </c>
      <c r="Q39" s="287">
        <v>0.14884088620082347</v>
      </c>
      <c r="R39" s="278"/>
      <c r="S39" s="278"/>
    </row>
    <row r="40" spans="4:19">
      <c r="D40" s="278"/>
      <c r="E40" s="278"/>
      <c r="F40" s="278"/>
      <c r="G40" s="278">
        <v>3211.38</v>
      </c>
      <c r="H40" s="278"/>
      <c r="I40" s="278"/>
      <c r="J40" s="278"/>
      <c r="K40" s="278"/>
      <c r="L40" s="278"/>
      <c r="M40" s="278"/>
      <c r="N40" s="278"/>
      <c r="O40" s="278"/>
      <c r="P40" s="251">
        <v>0.9</v>
      </c>
      <c r="Q40" s="287">
        <v>0.16524791736599109</v>
      </c>
      <c r="R40" s="278"/>
      <c r="S40" s="278"/>
    </row>
    <row r="41" spans="4:19">
      <c r="D41" s="278"/>
      <c r="E41" s="278"/>
      <c r="F41" s="290"/>
      <c r="G41" s="256">
        <f>G40/G39-1</f>
        <v>-9.9999999999999978E-2</v>
      </c>
      <c r="H41" s="278"/>
      <c r="I41" s="278"/>
      <c r="J41" s="278"/>
      <c r="K41" s="278"/>
      <c r="L41" s="278"/>
      <c r="M41" s="278"/>
      <c r="N41" s="278"/>
      <c r="O41" s="278"/>
      <c r="P41" s="251">
        <v>1</v>
      </c>
      <c r="Q41" s="287">
        <v>0.18065924866559313</v>
      </c>
      <c r="R41" s="278"/>
      <c r="S41" s="278"/>
    </row>
    <row r="42" spans="4:19"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51">
        <v>1.1000000000000001</v>
      </c>
      <c r="Q42" s="287">
        <v>0.19520483071607075</v>
      </c>
      <c r="R42" s="278"/>
      <c r="S42" s="278"/>
    </row>
    <row r="43" spans="4:19"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51">
        <v>1.2</v>
      </c>
      <c r="Q43" s="287">
        <v>0.2089897025956986</v>
      </c>
      <c r="R43" s="278"/>
      <c r="S43" s="278"/>
    </row>
    <row r="44" spans="4:19"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51">
        <v>1.3</v>
      </c>
      <c r="Q44" s="287">
        <v>0.22210010171325445</v>
      </c>
      <c r="R44" s="278"/>
      <c r="S44" s="278"/>
    </row>
    <row r="45" spans="4:19"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  <c r="P45" s="278"/>
      <c r="Q45" s="278"/>
      <c r="R45" s="278"/>
      <c r="S45" s="278"/>
    </row>
  </sheetData>
  <pageMargins left="0.7" right="0.7" top="0.75" bottom="0.75" header="0.3" footer="0.3"/>
  <pageSetup orientation="portrait" horizontalDpi="90" verticalDpi="90" r:id="rId1"/>
  <ignoredErrors>
    <ignoredError sqref="C20:C2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32"/>
    <pageSetUpPr fitToPage="1"/>
  </sheetPr>
  <dimension ref="A1:EU38"/>
  <sheetViews>
    <sheetView zoomScaleNormal="100" workbookViewId="0">
      <pane xSplit="1" ySplit="3" topLeftCell="B4" activePane="bottomRight" state="frozen"/>
      <selection activeCell="AU21" sqref="AU21"/>
      <selection pane="topRight" activeCell="AU21" sqref="AU21"/>
      <selection pane="bottomLeft" activeCell="AU21" sqref="AU21"/>
      <selection pane="bottomRight" activeCell="B22" sqref="B22"/>
    </sheetView>
  </sheetViews>
  <sheetFormatPr defaultColWidth="10.7109375" defaultRowHeight="12.75" customHeight="1" outlineLevelRow="1" outlineLevelCol="1"/>
  <cols>
    <col min="1" max="1" width="30.7109375" style="1" customWidth="1"/>
    <col min="2" max="5" width="10.7109375" style="1" customWidth="1" outlineLevel="1"/>
    <col min="6" max="6" width="10.7109375" style="2" customWidth="1"/>
    <col min="7" max="10" width="10.7109375" style="1" hidden="1" customWidth="1" outlineLevel="1"/>
    <col min="11" max="11" width="10.7109375" style="2" hidden="1" customWidth="1" collapsed="1"/>
    <col min="12" max="15" width="10.7109375" style="1" hidden="1" customWidth="1" outlineLevel="1"/>
    <col min="16" max="16" width="10.7109375" style="2" hidden="1" customWidth="1" collapsed="1"/>
    <col min="17" max="20" width="10.7109375" style="1" hidden="1" customWidth="1" outlineLevel="1"/>
    <col min="21" max="21" width="10.7109375" style="2" hidden="1" customWidth="1" collapsed="1"/>
    <col min="22" max="25" width="10.7109375" style="1" hidden="1" customWidth="1" outlineLevel="1"/>
    <col min="26" max="26" width="10.7109375" style="2" hidden="1" customWidth="1" collapsed="1"/>
    <col min="27" max="30" width="10.7109375" style="1" hidden="1" customWidth="1" outlineLevel="1"/>
    <col min="31" max="31" width="10.7109375" style="2" hidden="1" customWidth="1" collapsed="1"/>
    <col min="32" max="35" width="10.7109375" style="1" hidden="1" customWidth="1" outlineLevel="1"/>
    <col min="36" max="36" width="10.7109375" style="2" hidden="1" customWidth="1" collapsed="1"/>
    <col min="37" max="40" width="10.7109375" style="1" hidden="1" customWidth="1" outlineLevel="1"/>
    <col min="41" max="41" width="10.7109375" style="2" hidden="1" customWidth="1" collapsed="1"/>
    <col min="42" max="45" width="10.7109375" style="1" hidden="1" customWidth="1" outlineLevel="1"/>
    <col min="46" max="46" width="10.7109375" style="2" hidden="1" customWidth="1" collapsed="1"/>
    <col min="47" max="50" width="10.7109375" style="1" hidden="1" customWidth="1" outlineLevel="1"/>
    <col min="51" max="51" width="10.7109375" style="2" hidden="1" customWidth="1" collapsed="1"/>
    <col min="52" max="55" width="10.7109375" style="1" hidden="1" customWidth="1" outlineLevel="1"/>
    <col min="56" max="56" width="10.7109375" style="2" customWidth="1" collapsed="1"/>
    <col min="57" max="60" width="10.7109375" style="1" hidden="1" customWidth="1" outlineLevel="1"/>
    <col min="61" max="61" width="10.7109375" style="2" customWidth="1" collapsed="1"/>
    <col min="62" max="65" width="10.7109375" style="1" hidden="1" customWidth="1" outlineLevel="1"/>
    <col min="66" max="66" width="10.7109375" style="2" customWidth="1" collapsed="1"/>
    <col min="67" max="70" width="10.7109375" style="1" hidden="1" customWidth="1" outlineLevel="1"/>
    <col min="71" max="71" width="10.7109375" style="2" customWidth="1" collapsed="1"/>
    <col min="72" max="75" width="10.7109375" style="1" hidden="1" customWidth="1" outlineLevel="1"/>
    <col min="76" max="76" width="10.7109375" style="2" customWidth="1" collapsed="1"/>
    <col min="77" max="80" width="10.7109375" style="1" hidden="1" customWidth="1" outlineLevel="1"/>
    <col min="81" max="81" width="10.7109375" style="2" customWidth="1" collapsed="1"/>
    <col min="82" max="85" width="10.7109375" style="1" hidden="1" customWidth="1" outlineLevel="1"/>
    <col min="86" max="86" width="10.7109375" style="2" customWidth="1" collapsed="1"/>
    <col min="87" max="90" width="10.7109375" style="1" hidden="1" customWidth="1" outlineLevel="1"/>
    <col min="91" max="91" width="10.7109375" style="2" customWidth="1" collapsed="1"/>
    <col min="92" max="95" width="10.7109375" style="1" hidden="1" customWidth="1" outlineLevel="1"/>
    <col min="96" max="96" width="10.7109375" style="2" customWidth="1" collapsed="1"/>
    <col min="97" max="100" width="10.7109375" style="1" hidden="1" customWidth="1" outlineLevel="1"/>
    <col min="101" max="101" width="10.7109375" style="2" customWidth="1" collapsed="1"/>
    <col min="102" max="105" width="10.7109375" style="1" hidden="1" customWidth="1" outlineLevel="1"/>
    <col min="106" max="106" width="10.7109375" style="2" customWidth="1" collapsed="1"/>
    <col min="107" max="110" width="10.7109375" style="1" customWidth="1" outlineLevel="1"/>
    <col min="111" max="111" width="10.7109375" style="2" customWidth="1"/>
    <col min="112" max="115" width="10.7109375" style="1" customWidth="1" outlineLevel="1"/>
    <col min="116" max="116" width="10.7109375" style="2" customWidth="1"/>
    <col min="117" max="120" width="10.7109375" style="1" hidden="1" customWidth="1" outlineLevel="1"/>
    <col min="121" max="121" width="10.7109375" style="2" customWidth="1" collapsed="1"/>
    <col min="122" max="125" width="10.7109375" style="1" hidden="1" customWidth="1" outlineLevel="1"/>
    <col min="126" max="126" width="10.7109375" style="2" customWidth="1" collapsed="1"/>
    <col min="127" max="130" width="10.7109375" style="1" hidden="1" customWidth="1" outlineLevel="1"/>
    <col min="131" max="131" width="10.7109375" style="2" customWidth="1" collapsed="1"/>
    <col min="132" max="135" width="10.7109375" style="1" hidden="1" customWidth="1" outlineLevel="1"/>
    <col min="136" max="136" width="10.7109375" style="2" customWidth="1" collapsed="1"/>
    <col min="137" max="16384" width="10.7109375" style="1"/>
  </cols>
  <sheetData>
    <row r="1" spans="1:151" ht="30" customHeight="1"/>
    <row r="2" spans="1:151" ht="12.75" customHeight="1">
      <c r="A2" s="3" t="str">
        <f ca="1">"Cury - TP: R$"&amp;'TP Calculation'!C11</f>
        <v>Cury - TP: R$48</v>
      </c>
      <c r="O2" s="27"/>
      <c r="T2" s="27"/>
      <c r="Y2" s="27"/>
      <c r="Z2" s="28"/>
      <c r="AD2" s="27"/>
      <c r="AE2" s="28"/>
      <c r="AI2" s="27"/>
      <c r="AJ2" s="28"/>
      <c r="AN2" s="27"/>
      <c r="AO2" s="28"/>
      <c r="AS2" s="27"/>
      <c r="AT2" s="28"/>
      <c r="AX2" s="27"/>
      <c r="AY2" s="28"/>
      <c r="BC2" s="27"/>
      <c r="BD2" s="28"/>
      <c r="BH2" s="27"/>
      <c r="BI2" s="28"/>
      <c r="BM2" s="27"/>
      <c r="BN2" s="28"/>
      <c r="BR2" s="27"/>
      <c r="BS2" s="28"/>
      <c r="BW2" s="27"/>
      <c r="BX2" s="28"/>
      <c r="CB2" s="27"/>
      <c r="CC2" s="28"/>
      <c r="CG2" s="27"/>
      <c r="CH2" s="28"/>
      <c r="CL2" s="27"/>
      <c r="CM2" s="28"/>
      <c r="CQ2" s="27"/>
      <c r="CR2" s="28"/>
      <c r="CV2" s="27"/>
      <c r="CW2" s="28"/>
      <c r="DA2" s="27"/>
      <c r="DB2" s="28"/>
      <c r="DF2" s="27"/>
      <c r="DG2" s="28"/>
      <c r="DK2" s="27"/>
      <c r="DL2" s="28"/>
      <c r="DP2" s="27"/>
      <c r="DQ2" s="28"/>
      <c r="DU2" s="27"/>
      <c r="DV2" s="28"/>
      <c r="DZ2" s="27"/>
      <c r="EA2" s="28"/>
      <c r="EE2" s="27"/>
      <c r="EF2" s="28"/>
    </row>
    <row r="3" spans="1:151" s="8" customFormat="1" ht="12.75" customHeight="1" thickBot="1">
      <c r="A3" s="4"/>
      <c r="B3" s="222"/>
      <c r="C3" s="222"/>
      <c r="D3" s="222"/>
      <c r="E3" s="222"/>
      <c r="F3" s="29"/>
      <c r="G3" s="222"/>
      <c r="H3" s="222"/>
      <c r="I3" s="222"/>
      <c r="J3" s="222"/>
      <c r="K3" s="29"/>
      <c r="L3" s="222" t="str">
        <f>Macro!L$3</f>
        <v>1Q06</v>
      </c>
      <c r="M3" s="222" t="str">
        <f>Macro!M$3</f>
        <v>2Q06</v>
      </c>
      <c r="N3" s="222" t="str">
        <f>Macro!N$3</f>
        <v>3Q06</v>
      </c>
      <c r="O3" s="31" t="str">
        <f>Macro!O$3</f>
        <v>4Q06</v>
      </c>
      <c r="P3" s="29" t="str">
        <f>Macro!P$3</f>
        <v>2006</v>
      </c>
      <c r="Q3" s="222" t="str">
        <f>Macro!Q$3</f>
        <v>1Q07</v>
      </c>
      <c r="R3" s="222" t="str">
        <f>Macro!R$3</f>
        <v>2Q07</v>
      </c>
      <c r="S3" s="222" t="str">
        <f>Macro!S$3</f>
        <v>3Q07</v>
      </c>
      <c r="T3" s="31" t="str">
        <f>Macro!T$3</f>
        <v>4Q07</v>
      </c>
      <c r="U3" s="29" t="str">
        <f>Macro!U$3</f>
        <v>2007</v>
      </c>
      <c r="V3" s="222" t="str">
        <f>Macro!V$3</f>
        <v>1Q08</v>
      </c>
      <c r="W3" s="222" t="str">
        <f>Macro!W$3</f>
        <v>2Q08</v>
      </c>
      <c r="X3" s="222" t="str">
        <f>Macro!X$3</f>
        <v>3Q08</v>
      </c>
      <c r="Y3" s="31" t="str">
        <f>Macro!Y$3</f>
        <v>4Q08</v>
      </c>
      <c r="Z3" s="29" t="str">
        <f>Macro!Z$3</f>
        <v>2008</v>
      </c>
      <c r="AA3" s="222" t="str">
        <f>Macro!AA$3</f>
        <v>1Q09</v>
      </c>
      <c r="AB3" s="222" t="str">
        <f>Macro!AB$3</f>
        <v>2Q09</v>
      </c>
      <c r="AC3" s="222" t="str">
        <f>Macro!AC$3</f>
        <v>3Q09</v>
      </c>
      <c r="AD3" s="31" t="str">
        <f>Macro!AD$3</f>
        <v>4Q09</v>
      </c>
      <c r="AE3" s="29" t="str">
        <f>Macro!AE$3</f>
        <v>2009</v>
      </c>
      <c r="AF3" s="222" t="str">
        <f>Macro!AF$3</f>
        <v>1Q10</v>
      </c>
      <c r="AG3" s="222" t="str">
        <f>Macro!AG$3</f>
        <v>2Q10</v>
      </c>
      <c r="AH3" s="222" t="str">
        <f>Macro!AH$3</f>
        <v>3Q10</v>
      </c>
      <c r="AI3" s="31" t="str">
        <f>Macro!AI$3</f>
        <v>4Q10</v>
      </c>
      <c r="AJ3" s="29" t="str">
        <f>Macro!AJ$3</f>
        <v>2010</v>
      </c>
      <c r="AK3" s="222" t="str">
        <f>Macro!AK$3</f>
        <v>1Q11</v>
      </c>
      <c r="AL3" s="222" t="str">
        <f>Macro!AL$3</f>
        <v>2Q11</v>
      </c>
      <c r="AM3" s="222" t="str">
        <f>Macro!AM$3</f>
        <v>3Q11</v>
      </c>
      <c r="AN3" s="31" t="str">
        <f>Macro!AN$3</f>
        <v>4Q11</v>
      </c>
      <c r="AO3" s="29" t="str">
        <f>Macro!AO$3</f>
        <v>2011</v>
      </c>
      <c r="AP3" s="222" t="str">
        <f>Macro!AP$3</f>
        <v>1Q12</v>
      </c>
      <c r="AQ3" s="222" t="str">
        <f>Macro!AQ$3</f>
        <v>2Q12</v>
      </c>
      <c r="AR3" s="222" t="str">
        <f>Macro!AR$3</f>
        <v>3Q12</v>
      </c>
      <c r="AS3" s="31" t="str">
        <f>Macro!AS$3</f>
        <v>4Q12</v>
      </c>
      <c r="AT3" s="29" t="str">
        <f>Macro!AT$3</f>
        <v>2012</v>
      </c>
      <c r="AU3" s="222" t="str">
        <f>Macro!AU$3</f>
        <v>1Q13</v>
      </c>
      <c r="AV3" s="222" t="str">
        <f>Macro!AV$3</f>
        <v>2Q13</v>
      </c>
      <c r="AW3" s="222" t="str">
        <f>Macro!AW$3</f>
        <v>3Q13</v>
      </c>
      <c r="AX3" s="31" t="str">
        <f>Macro!AX$3</f>
        <v>4Q13</v>
      </c>
      <c r="AY3" s="29" t="str">
        <f>Macro!AY$3</f>
        <v>2013</v>
      </c>
      <c r="AZ3" s="222" t="str">
        <f>Macro!AZ$3</f>
        <v>1Q14</v>
      </c>
      <c r="BA3" s="222" t="str">
        <f>Macro!BA$3</f>
        <v>2Q14</v>
      </c>
      <c r="BB3" s="222" t="str">
        <f>Macro!BB$3</f>
        <v>3Q14</v>
      </c>
      <c r="BC3" s="31" t="str">
        <f>Macro!BC$3</f>
        <v>4Q14</v>
      </c>
      <c r="BD3" s="29" t="str">
        <f>Macro!BD$3</f>
        <v>2014</v>
      </c>
      <c r="BE3" s="222" t="str">
        <f>Macro!BE$3</f>
        <v>1Q15</v>
      </c>
      <c r="BF3" s="222" t="str">
        <f>Macro!BF$3</f>
        <v>2Q15</v>
      </c>
      <c r="BG3" s="222" t="str">
        <f>Macro!BG$3</f>
        <v>3Q15</v>
      </c>
      <c r="BH3" s="31" t="str">
        <f>Macro!BH$3</f>
        <v>4Q15</v>
      </c>
      <c r="BI3" s="29" t="str">
        <f>Macro!BI$3</f>
        <v>2015</v>
      </c>
      <c r="BJ3" s="222" t="str">
        <f>Macro!BJ$3</f>
        <v>1Q16</v>
      </c>
      <c r="BK3" s="222" t="str">
        <f>Macro!BK$3</f>
        <v>2Q16</v>
      </c>
      <c r="BL3" s="222" t="str">
        <f>Macro!BL$3</f>
        <v>3Q16</v>
      </c>
      <c r="BM3" s="31" t="str">
        <f>Macro!BM$3</f>
        <v>4Q16</v>
      </c>
      <c r="BN3" s="29" t="str">
        <f>Macro!BN$3</f>
        <v>2016</v>
      </c>
      <c r="BO3" s="222" t="str">
        <f>Macro!BO$3</f>
        <v>1Q17</v>
      </c>
      <c r="BP3" s="222" t="str">
        <f>Macro!BP$3</f>
        <v>2Q17</v>
      </c>
      <c r="BQ3" s="222" t="str">
        <f>Macro!BQ$3</f>
        <v>3Q17</v>
      </c>
      <c r="BR3" s="31" t="str">
        <f>Macro!BR$3</f>
        <v>4Q17</v>
      </c>
      <c r="BS3" s="29" t="str">
        <f>Macro!BS$3</f>
        <v>2017</v>
      </c>
      <c r="BT3" s="222" t="str">
        <f>Macro!BT$3</f>
        <v>1Q18</v>
      </c>
      <c r="BU3" s="222" t="str">
        <f>Macro!BU$3</f>
        <v>2Q18</v>
      </c>
      <c r="BV3" s="222" t="str">
        <f>Macro!BV$3</f>
        <v>3Q18</v>
      </c>
      <c r="BW3" s="31" t="str">
        <f>Macro!BW$3</f>
        <v>4Q18</v>
      </c>
      <c r="BX3" s="29" t="str">
        <f>Macro!BX$3</f>
        <v>2018</v>
      </c>
      <c r="BY3" s="222" t="str">
        <f>Macro!BY$3</f>
        <v>1Q19</v>
      </c>
      <c r="BZ3" s="222" t="str">
        <f>Macro!BZ$3</f>
        <v>2Q19</v>
      </c>
      <c r="CA3" s="222" t="str">
        <f>Macro!CA$3</f>
        <v>3Q19</v>
      </c>
      <c r="CB3" s="31" t="str">
        <f>Macro!CB$3</f>
        <v>4Q19</v>
      </c>
      <c r="CC3" s="29" t="str">
        <f>Macro!CC$3</f>
        <v>2019</v>
      </c>
      <c r="CD3" s="222" t="str">
        <f>Macro!CD$3</f>
        <v>1Q20</v>
      </c>
      <c r="CE3" s="222" t="str">
        <f>Macro!CE$3</f>
        <v>2Q20</v>
      </c>
      <c r="CF3" s="222" t="str">
        <f>Macro!CF$3</f>
        <v>3Q20</v>
      </c>
      <c r="CG3" s="31" t="str">
        <f>Macro!CG$3</f>
        <v>4Q20</v>
      </c>
      <c r="CH3" s="29" t="str">
        <f>Macro!CH$3</f>
        <v>2020</v>
      </c>
      <c r="CI3" s="222" t="str">
        <f>Macro!CI$3</f>
        <v>1Q21</v>
      </c>
      <c r="CJ3" s="222" t="str">
        <f>Macro!CJ$3</f>
        <v>2Q21</v>
      </c>
      <c r="CK3" s="222" t="str">
        <f>Macro!CK$3</f>
        <v>3Q21</v>
      </c>
      <c r="CL3" s="31" t="str">
        <f>Macro!CL$3</f>
        <v>4Q21</v>
      </c>
      <c r="CM3" s="29" t="str">
        <f>Macro!CM$3</f>
        <v>2021</v>
      </c>
      <c r="CN3" s="222" t="str">
        <f>Macro!CN$3</f>
        <v>1Q22</v>
      </c>
      <c r="CO3" s="222" t="str">
        <f>Macro!CO$3</f>
        <v>2Q22</v>
      </c>
      <c r="CP3" s="222" t="str">
        <f>Macro!CP$3</f>
        <v>3Q22</v>
      </c>
      <c r="CQ3" s="31" t="str">
        <f>Macro!CQ$3</f>
        <v>4Q22</v>
      </c>
      <c r="CR3" s="29" t="str">
        <f>Macro!CR$3</f>
        <v>2022</v>
      </c>
      <c r="CS3" s="222" t="str">
        <f>Macro!CS$3</f>
        <v>1Q23</v>
      </c>
      <c r="CT3" s="222" t="str">
        <f>Macro!CT$3</f>
        <v>2Q23</v>
      </c>
      <c r="CU3" s="222" t="str">
        <f>Macro!CU$3</f>
        <v>3Q23</v>
      </c>
      <c r="CV3" s="31" t="str">
        <f>Macro!CV$3</f>
        <v>4Q23</v>
      </c>
      <c r="CW3" s="29" t="str">
        <f>Macro!CW$3</f>
        <v>2023</v>
      </c>
      <c r="CX3" s="222" t="str">
        <f>Macro!CX$3</f>
        <v>1Q24</v>
      </c>
      <c r="CY3" s="222" t="str">
        <f>Macro!CY$3</f>
        <v>2Q24</v>
      </c>
      <c r="CZ3" s="222" t="str">
        <f>Macro!CZ$3</f>
        <v>3Q24</v>
      </c>
      <c r="DA3" s="31" t="str">
        <f>Macro!DA$3</f>
        <v>4Q24</v>
      </c>
      <c r="DB3" s="29" t="str">
        <f>Macro!DB$3</f>
        <v>2024</v>
      </c>
      <c r="DC3" s="222" t="str">
        <f>Macro!DC$3</f>
        <v>1Q25</v>
      </c>
      <c r="DD3" s="222" t="str">
        <f>Macro!DD$3</f>
        <v>2Q25</v>
      </c>
      <c r="DE3" s="222" t="str">
        <f>Macro!DE$3</f>
        <v>3Q25</v>
      </c>
      <c r="DF3" s="31" t="str">
        <f>Macro!DF$3</f>
        <v>4Q25</v>
      </c>
      <c r="DG3" s="29" t="str">
        <f>Macro!DG$3</f>
        <v>2025</v>
      </c>
      <c r="DH3" s="222" t="str">
        <f>Macro!DH$3</f>
        <v>1Q26</v>
      </c>
      <c r="DI3" s="222" t="str">
        <f>Macro!DI$3</f>
        <v>2Q26</v>
      </c>
      <c r="DJ3" s="222" t="str">
        <f>Macro!DJ$3</f>
        <v>3Q26E</v>
      </c>
      <c r="DK3" s="31" t="str">
        <f>Macro!DK$3</f>
        <v>4Q26E</v>
      </c>
      <c r="DL3" s="29" t="str">
        <f>Macro!DL$3</f>
        <v>2026E</v>
      </c>
      <c r="DM3" s="222" t="str">
        <f>Macro!DM$3</f>
        <v>1Q27E</v>
      </c>
      <c r="DN3" s="222" t="str">
        <f>Macro!DN$3</f>
        <v>2Q27E</v>
      </c>
      <c r="DO3" s="222" t="str">
        <f>Macro!DO$3</f>
        <v>3Q27E</v>
      </c>
      <c r="DP3" s="31" t="str">
        <f>Macro!DP$3</f>
        <v>4Q27E</v>
      </c>
      <c r="DQ3" s="29" t="str">
        <f>Macro!DQ$3</f>
        <v>2027E</v>
      </c>
      <c r="DR3" s="222" t="str">
        <f>Macro!DR$3</f>
        <v>1Q28E</v>
      </c>
      <c r="DS3" s="222" t="str">
        <f>Macro!DS$3</f>
        <v>2Q28E</v>
      </c>
      <c r="DT3" s="222" t="str">
        <f>Macro!DT$3</f>
        <v>3Q28E</v>
      </c>
      <c r="DU3" s="31" t="str">
        <f>Macro!DU$3</f>
        <v>4Q28E</v>
      </c>
      <c r="DV3" s="29" t="str">
        <f>Macro!DV$3</f>
        <v>2028E</v>
      </c>
      <c r="DW3" s="222" t="str">
        <f>Macro!DW$3</f>
        <v>1Q29E</v>
      </c>
      <c r="DX3" s="222" t="str">
        <f>Macro!DX$3</f>
        <v>2Q29E</v>
      </c>
      <c r="DY3" s="222" t="str">
        <f>Macro!DY$3</f>
        <v>3Q29E</v>
      </c>
      <c r="DZ3" s="31" t="str">
        <f>Macro!DZ$3</f>
        <v>4Q29E</v>
      </c>
      <c r="EA3" s="29" t="str">
        <f>Macro!EA$3</f>
        <v>2029E</v>
      </c>
      <c r="EB3" s="222" t="str">
        <f>Macro!EB$3</f>
        <v>1Q30E</v>
      </c>
      <c r="EC3" s="222" t="str">
        <f>Macro!EC$3</f>
        <v>2Q30E</v>
      </c>
      <c r="ED3" s="222" t="str">
        <f>Macro!ED$3</f>
        <v>3Q30E</v>
      </c>
      <c r="EE3" s="31" t="str">
        <f>Macro!EE$3</f>
        <v>4Q30E</v>
      </c>
      <c r="EF3" s="29" t="str">
        <f>Macro!EF$3</f>
        <v>2030E</v>
      </c>
      <c r="EG3" s="213" t="s">
        <v>55</v>
      </c>
    </row>
    <row r="4" spans="1:151" s="33" customFormat="1" ht="12.75" customHeight="1">
      <c r="A4" s="32" t="s">
        <v>237</v>
      </c>
      <c r="B4" s="35"/>
      <c r="C4" s="35"/>
      <c r="D4" s="35"/>
      <c r="E4" s="35"/>
      <c r="F4" s="36"/>
      <c r="G4" s="35">
        <f>'Cash Flow'!G17</f>
        <v>0</v>
      </c>
      <c r="H4" s="35">
        <f>'Cash Flow'!H17</f>
        <v>0</v>
      </c>
      <c r="I4" s="35">
        <f>'Cash Flow'!I17</f>
        <v>0</v>
      </c>
      <c r="J4" s="35">
        <f>'Cash Flow'!J17</f>
        <v>0</v>
      </c>
      <c r="K4" s="36">
        <f>'Cash Flow'!K17</f>
        <v>0</v>
      </c>
      <c r="L4" s="35">
        <f>'Cash Flow'!L17</f>
        <v>0</v>
      </c>
      <c r="M4" s="35">
        <f>'Cash Flow'!M17</f>
        <v>0</v>
      </c>
      <c r="N4" s="35">
        <f>'Cash Flow'!N17</f>
        <v>0</v>
      </c>
      <c r="O4" s="35">
        <f>'Cash Flow'!O17</f>
        <v>0</v>
      </c>
      <c r="P4" s="36">
        <f>'Cash Flow'!P17</f>
        <v>0</v>
      </c>
      <c r="Q4" s="35">
        <f>'Cash Flow'!Q17</f>
        <v>0</v>
      </c>
      <c r="R4" s="35">
        <f>'Cash Flow'!R17</f>
        <v>0</v>
      </c>
      <c r="S4" s="35">
        <f>'Cash Flow'!S17</f>
        <v>0</v>
      </c>
      <c r="T4" s="35">
        <f>'Cash Flow'!T17</f>
        <v>0</v>
      </c>
      <c r="U4" s="36">
        <f>'Cash Flow'!U17</f>
        <v>0</v>
      </c>
      <c r="V4" s="35">
        <f>'Cash Flow'!V17</f>
        <v>0</v>
      </c>
      <c r="W4" s="35">
        <f>'Cash Flow'!W17</f>
        <v>0</v>
      </c>
      <c r="X4" s="35">
        <f>'Cash Flow'!X17</f>
        <v>0</v>
      </c>
      <c r="Y4" s="35">
        <f>'Cash Flow'!Y17</f>
        <v>0</v>
      </c>
      <c r="Z4" s="36">
        <f>'Cash Flow'!Z17</f>
        <v>0</v>
      </c>
      <c r="AA4" s="35">
        <f>'Cash Flow'!AA17</f>
        <v>0</v>
      </c>
      <c r="AB4" s="35">
        <f>'Cash Flow'!AB17</f>
        <v>0</v>
      </c>
      <c r="AC4" s="35">
        <f>'Cash Flow'!AC17</f>
        <v>0</v>
      </c>
      <c r="AD4" s="35">
        <f>'Cash Flow'!AD17</f>
        <v>0</v>
      </c>
      <c r="AE4" s="36">
        <f>'Cash Flow'!AE17</f>
        <v>0</v>
      </c>
      <c r="AF4" s="35">
        <f>'Cash Flow'!AF17</f>
        <v>0</v>
      </c>
      <c r="AG4" s="35">
        <f>'Cash Flow'!AG17</f>
        <v>0</v>
      </c>
      <c r="AH4" s="35">
        <f>'Cash Flow'!AH17</f>
        <v>0</v>
      </c>
      <c r="AI4" s="35">
        <f>'Cash Flow'!AI17</f>
        <v>-60509.429999999993</v>
      </c>
      <c r="AJ4" s="36">
        <f>'Cash Flow'!AJ17</f>
        <v>-60509.429999999993</v>
      </c>
      <c r="AK4" s="35">
        <f>'Cash Flow'!AK17</f>
        <v>112607.19700000001</v>
      </c>
      <c r="AL4" s="35">
        <f>'Cash Flow'!AL17</f>
        <v>0</v>
      </c>
      <c r="AM4" s="35">
        <f>'Cash Flow'!AM17</f>
        <v>0</v>
      </c>
      <c r="AN4" s="35">
        <f>'Cash Flow'!AN17</f>
        <v>-72666.013000000064</v>
      </c>
      <c r="AO4" s="36">
        <f>'Cash Flow'!AO17</f>
        <v>39941.183999999987</v>
      </c>
      <c r="AP4" s="35">
        <f>'Cash Flow'!AP17</f>
        <v>162668.88600000003</v>
      </c>
      <c r="AQ4" s="35">
        <f>'Cash Flow'!AQ17</f>
        <v>0</v>
      </c>
      <c r="AR4" s="35">
        <f>'Cash Flow'!AR17</f>
        <v>0</v>
      </c>
      <c r="AS4" s="35">
        <f>'Cash Flow'!AS17</f>
        <v>-207586.90299999993</v>
      </c>
      <c r="AT4" s="36">
        <f>'Cash Flow'!AT17</f>
        <v>-44918.016999999934</v>
      </c>
      <c r="AU4" s="35">
        <f>'Cash Flow'!AU17</f>
        <v>287668.08999999991</v>
      </c>
      <c r="AV4" s="35">
        <f>'Cash Flow'!AV17</f>
        <v>0</v>
      </c>
      <c r="AW4" s="35">
        <f>'Cash Flow'!AW17</f>
        <v>0</v>
      </c>
      <c r="AX4" s="35">
        <f>'Cash Flow'!AX17</f>
        <v>-266022.74900000007</v>
      </c>
      <c r="AY4" s="36">
        <f>'Cash Flow'!AY17</f>
        <v>21645.340999999935</v>
      </c>
      <c r="AZ4" s="35">
        <f>'Cash Flow'!AZ17</f>
        <v>371103</v>
      </c>
      <c r="BA4" s="35">
        <f>'Cash Flow'!BA17</f>
        <v>0</v>
      </c>
      <c r="BB4" s="35">
        <f>'Cash Flow'!BB17</f>
        <v>0</v>
      </c>
      <c r="BC4" s="35">
        <f>'Cash Flow'!BC17</f>
        <v>-262479</v>
      </c>
      <c r="BD4" s="36">
        <f>'Cash Flow'!BD17</f>
        <v>108624</v>
      </c>
      <c r="BE4" s="35">
        <f>'Cash Flow'!BE17</f>
        <v>397010</v>
      </c>
      <c r="BF4" s="35">
        <f>'Cash Flow'!BF17</f>
        <v>0</v>
      </c>
      <c r="BG4" s="35">
        <f>'Cash Flow'!BG17</f>
        <v>0</v>
      </c>
      <c r="BH4" s="35">
        <f>'Cash Flow'!BH17</f>
        <v>-296615</v>
      </c>
      <c r="BI4" s="36">
        <f>'Cash Flow'!BI17</f>
        <v>100395</v>
      </c>
      <c r="BJ4" s="35">
        <f>'Cash Flow'!BJ17</f>
        <v>427723</v>
      </c>
      <c r="BK4" s="35">
        <f>'Cash Flow'!BK17</f>
        <v>0</v>
      </c>
      <c r="BL4" s="35">
        <f>'Cash Flow'!BL17</f>
        <v>0</v>
      </c>
      <c r="BM4" s="35">
        <f>'Cash Flow'!BM17</f>
        <v>-266232</v>
      </c>
      <c r="BN4" s="36">
        <f>'Cash Flow'!BN17</f>
        <v>161491</v>
      </c>
      <c r="BO4" s="35">
        <f>'Cash Flow'!BO17</f>
        <v>357218</v>
      </c>
      <c r="BP4" s="35">
        <f>'Cash Flow'!BP17</f>
        <v>0</v>
      </c>
      <c r="BQ4" s="35">
        <f>'Cash Flow'!BQ17</f>
        <v>0</v>
      </c>
      <c r="BR4" s="35">
        <f>'Cash Flow'!BR17</f>
        <v>-267416</v>
      </c>
      <c r="BS4" s="36">
        <f>'Cash Flow'!BS17</f>
        <v>89802</v>
      </c>
      <c r="BT4" s="35">
        <f>'Cash Flow'!BT17</f>
        <v>380250</v>
      </c>
      <c r="BU4" s="35">
        <f>'Cash Flow'!BU17</f>
        <v>0</v>
      </c>
      <c r="BV4" s="35">
        <f>'Cash Flow'!BV17</f>
        <v>0</v>
      </c>
      <c r="BW4" s="35">
        <f>'Cash Flow'!BW17</f>
        <v>-99056</v>
      </c>
      <c r="BX4" s="36">
        <f>'Cash Flow'!BX17</f>
        <v>281194</v>
      </c>
      <c r="BY4" s="35">
        <f>'Cash Flow'!BY17</f>
        <v>248431</v>
      </c>
      <c r="BZ4" s="35">
        <f>'Cash Flow'!BZ17</f>
        <v>61073</v>
      </c>
      <c r="CA4" s="35">
        <f>'Cash Flow'!CA17</f>
        <v>30308</v>
      </c>
      <c r="CB4" s="35">
        <f>'Cash Flow'!CB17</f>
        <v>-169083</v>
      </c>
      <c r="CC4" s="36">
        <f>'Cash Flow'!CC17</f>
        <v>170729</v>
      </c>
      <c r="CD4" s="35">
        <f>'Cash Flow'!CD17</f>
        <v>5858</v>
      </c>
      <c r="CE4" s="35">
        <f>'Cash Flow'!CE17</f>
        <v>93161</v>
      </c>
      <c r="CF4" s="35">
        <f>'Cash Flow'!CF17</f>
        <v>22504</v>
      </c>
      <c r="CG4" s="35">
        <f>'Cash Flow'!CG17</f>
        <v>9061</v>
      </c>
      <c r="CH4" s="36">
        <f>'Cash Flow'!CH17</f>
        <v>130584</v>
      </c>
      <c r="CI4" s="35">
        <f>'Cash Flow'!CI17</f>
        <v>4411</v>
      </c>
      <c r="CJ4" s="35">
        <f>'Cash Flow'!CJ17</f>
        <v>59469</v>
      </c>
      <c r="CK4" s="35">
        <f>'Cash Flow'!CK17</f>
        <v>179538</v>
      </c>
      <c r="CL4" s="35">
        <f>'Cash Flow'!CL17</f>
        <v>90981</v>
      </c>
      <c r="CM4" s="36">
        <f>'Cash Flow'!CM17</f>
        <v>334399</v>
      </c>
      <c r="CN4" s="35">
        <f>'Cash Flow'!CN17</f>
        <v>16170</v>
      </c>
      <c r="CO4" s="35">
        <f>'Cash Flow'!CO17</f>
        <v>80821</v>
      </c>
      <c r="CP4" s="35">
        <f>'Cash Flow'!CP17</f>
        <v>118716</v>
      </c>
      <c r="CQ4" s="35">
        <f>'Cash Flow'!CQ17</f>
        <v>162540</v>
      </c>
      <c r="CR4" s="36">
        <f>'Cash Flow'!CR17</f>
        <v>378247</v>
      </c>
      <c r="CS4" s="35">
        <f>'Cash Flow'!CS17</f>
        <v>341</v>
      </c>
      <c r="CT4" s="35">
        <f>'Cash Flow'!CT17</f>
        <v>112454</v>
      </c>
      <c r="CU4" s="35">
        <f>'Cash Flow'!CU17</f>
        <v>278228</v>
      </c>
      <c r="CV4" s="35">
        <f>'Cash Flow'!CV17</f>
        <v>134164</v>
      </c>
      <c r="CW4" s="36">
        <f>'Cash Flow'!CW17</f>
        <v>525187</v>
      </c>
      <c r="CX4" s="35">
        <f>'Cash Flow'!CX17</f>
        <v>-822</v>
      </c>
      <c r="CY4" s="35">
        <f>'Cash Flow'!CY17</f>
        <v>677608</v>
      </c>
      <c r="CZ4" s="35">
        <f>'Cash Flow'!CZ17</f>
        <v>122416</v>
      </c>
      <c r="DA4" s="35">
        <f>'Cash Flow'!DA17</f>
        <v>26248</v>
      </c>
      <c r="DB4" s="36">
        <f>'Cash Flow'!DB17</f>
        <v>825450</v>
      </c>
      <c r="DC4" s="35">
        <f>'Cash Flow'!DC17</f>
        <v>289100</v>
      </c>
      <c r="DD4" s="35">
        <f>'Cash Flow'!DD17</f>
        <v>61328</v>
      </c>
      <c r="DE4" s="35">
        <f>'Cash Flow'!DE17</f>
        <v>233746</v>
      </c>
      <c r="DF4" s="35">
        <f>'Cash Flow'!DF17</f>
        <v>467886</v>
      </c>
      <c r="DG4" s="36">
        <f>'Cash Flow'!DG17</f>
        <v>1052060</v>
      </c>
      <c r="DH4" s="35">
        <f>'Cash Flow'!DH17</f>
        <v>-100706</v>
      </c>
      <c r="DI4" s="35">
        <f>'Cash Flow'!DI17</f>
        <v>99976</v>
      </c>
      <c r="DJ4" s="35">
        <f ca="1">'Cash Flow'!DJ17</f>
        <v>255869.39267677846</v>
      </c>
      <c r="DK4" s="35">
        <f ca="1">'Cash Flow'!DK17</f>
        <v>295239.83021619049</v>
      </c>
      <c r="DL4" s="36">
        <f ca="1">'Cash Flow'!DL17</f>
        <v>550379.22289296915</v>
      </c>
      <c r="DM4" s="35">
        <f ca="1">'Cash Flow'!DM17</f>
        <v>476431.31171995634</v>
      </c>
      <c r="DN4" s="35">
        <f ca="1">'Cash Flow'!DN17</f>
        <v>343731.82192423544</v>
      </c>
      <c r="DO4" s="35">
        <f ca="1">'Cash Flow'!DO17</f>
        <v>348773.54381415149</v>
      </c>
      <c r="DP4" s="35">
        <f ca="1">'Cash Flow'!DP17</f>
        <v>355449.46419246966</v>
      </c>
      <c r="DQ4" s="36">
        <f ca="1">'Cash Flow'!DQ17</f>
        <v>1524386.1416508127</v>
      </c>
      <c r="DR4" s="35">
        <f ca="1">'Cash Flow'!DR17</f>
        <v>383344.33808035718</v>
      </c>
      <c r="DS4" s="35">
        <f ca="1">'Cash Flow'!DS17</f>
        <v>377044.58303863084</v>
      </c>
      <c r="DT4" s="35">
        <f ca="1">'Cash Flow'!DT17</f>
        <v>394422.92116922099</v>
      </c>
      <c r="DU4" s="35">
        <f ca="1">'Cash Flow'!DU17</f>
        <v>412529.26003804425</v>
      </c>
      <c r="DV4" s="36">
        <f ca="1">'Cash Flow'!DV17</f>
        <v>1567341.102326253</v>
      </c>
      <c r="DW4" s="35">
        <f ca="1">'Cash Flow'!DW17</f>
        <v>408167.76421689824</v>
      </c>
      <c r="DX4" s="35">
        <f ca="1">'Cash Flow'!DX17</f>
        <v>402541.78125285055</v>
      </c>
      <c r="DY4" s="35">
        <f ca="1">'Cash Flow'!DY17</f>
        <v>420160.95654720388</v>
      </c>
      <c r="DZ4" s="35">
        <f ca="1">'Cash Flow'!DZ17</f>
        <v>438200.67468481133</v>
      </c>
      <c r="EA4" s="36">
        <f ca="1">'Cash Flow'!EA17</f>
        <v>1669071.1767017641</v>
      </c>
      <c r="EB4" s="35">
        <f ca="1">'Cash Flow'!EB17</f>
        <v>432361.45019814349</v>
      </c>
      <c r="EC4" s="35">
        <f ca="1">'Cash Flow'!EC17</f>
        <v>421290.09079878131</v>
      </c>
      <c r="ED4" s="35">
        <f ca="1">'Cash Flow'!ED17</f>
        <v>433617.56702145946</v>
      </c>
      <c r="EE4" s="35">
        <f ca="1">'Cash Flow'!EE17</f>
        <v>446248.65669195418</v>
      </c>
      <c r="EF4" s="36">
        <f ca="1">'Cash Flow'!EF17</f>
        <v>1733517.7647103388</v>
      </c>
      <c r="EG4" s="279">
        <f ca="1">'Balance Sheet'!EF151</f>
        <v>3318554.6148889996</v>
      </c>
    </row>
    <row r="5" spans="1:151" ht="12.75" customHeight="1" outlineLevel="1">
      <c r="A5" s="1" t="s">
        <v>238</v>
      </c>
      <c r="U5" s="37"/>
      <c r="V5" s="38"/>
      <c r="W5" s="38"/>
      <c r="X5" s="38"/>
      <c r="Y5" s="38"/>
      <c r="Z5" s="39"/>
      <c r="AA5" s="40" t="e">
        <f>AB5/(1+#REF!)</f>
        <v>#REF!</v>
      </c>
      <c r="AB5" s="40" t="e">
        <f>AC5/(1+#REF!)</f>
        <v>#REF!</v>
      </c>
      <c r="AC5" s="41">
        <v>1</v>
      </c>
      <c r="AD5" s="41" t="e">
        <f>AC5*(1+#REF!)</f>
        <v>#REF!</v>
      </c>
      <c r="AE5" s="39"/>
      <c r="AF5" s="40"/>
      <c r="AG5" s="40"/>
      <c r="AH5" s="40"/>
      <c r="AI5" s="40"/>
      <c r="AJ5" s="39"/>
      <c r="AK5" s="41">
        <v>1</v>
      </c>
      <c r="AL5" s="41">
        <v>1</v>
      </c>
      <c r="AM5" s="41">
        <v>1</v>
      </c>
      <c r="AN5" s="41">
        <v>1</v>
      </c>
      <c r="AO5" s="39">
        <f>AO4/AO6</f>
        <v>1.0000000000000009</v>
      </c>
      <c r="AP5" s="41">
        <f>AN5*(1+$C$23)</f>
        <v>1.0370855185470003</v>
      </c>
      <c r="AQ5" s="41">
        <v>1</v>
      </c>
      <c r="AR5" s="41">
        <v>1</v>
      </c>
      <c r="AS5" s="41">
        <v>1</v>
      </c>
      <c r="AT5" s="39">
        <f>AT4/AT6</f>
        <v>0.88534657920420512</v>
      </c>
      <c r="AU5" s="41">
        <v>1</v>
      </c>
      <c r="AV5" s="41">
        <v>1</v>
      </c>
      <c r="AW5" s="41">
        <v>1</v>
      </c>
      <c r="AX5" s="41">
        <v>1</v>
      </c>
      <c r="AY5" s="39">
        <f>AY4/AY6</f>
        <v>1.0000000000000044</v>
      </c>
      <c r="AZ5" s="41">
        <v>1</v>
      </c>
      <c r="BA5" s="41">
        <v>1</v>
      </c>
      <c r="BB5" s="41">
        <v>1</v>
      </c>
      <c r="BC5" s="41">
        <f>BB5*(1+$C$23)</f>
        <v>1.0370855185470003</v>
      </c>
      <c r="BD5" s="39">
        <f>BD4/BD6</f>
        <v>0.92046372704968871</v>
      </c>
      <c r="BE5" s="41">
        <f>BC5*(1+$C$23)</f>
        <v>1.0755463727799004</v>
      </c>
      <c r="BF5" s="41">
        <f>BE5*(1+$C$23)</f>
        <v>1.1154335677357883</v>
      </c>
      <c r="BG5" s="41">
        <f>BF5*(1+$C$23)</f>
        <v>1.1568000000000005</v>
      </c>
      <c r="BH5" s="41">
        <f>BG5*(1+$C$23)</f>
        <v>1.1997005278551705</v>
      </c>
      <c r="BI5" s="39">
        <f>BI4/BI6</f>
        <v>0.82369875641804546</v>
      </c>
      <c r="BJ5" s="41">
        <v>1</v>
      </c>
      <c r="BK5" s="41">
        <v>1</v>
      </c>
      <c r="BL5" s="41">
        <v>1</v>
      </c>
      <c r="BM5" s="41">
        <v>1</v>
      </c>
      <c r="BN5" s="39">
        <f>BN4/BN6</f>
        <v>1</v>
      </c>
      <c r="BO5" s="41">
        <f>BM5*(1+$C$23)</f>
        <v>1.0370855185470003</v>
      </c>
      <c r="BP5" s="41">
        <f>BO5*(1+$C$23)</f>
        <v>1.0755463727799004</v>
      </c>
      <c r="BQ5" s="41">
        <f>BP5*(1+$C$23)</f>
        <v>1.1154335677357883</v>
      </c>
      <c r="BR5" s="41">
        <f>BQ5*(1+$C$23)</f>
        <v>1.1568000000000005</v>
      </c>
      <c r="BS5" s="39">
        <f>BS4/BS6</f>
        <v>0.79277604543938673</v>
      </c>
      <c r="BT5" s="41">
        <v>1</v>
      </c>
      <c r="BU5" s="41">
        <f>BT5*(1+$C$23)</f>
        <v>1.0370855185470003</v>
      </c>
      <c r="BV5" s="41">
        <f>BU5*(1+$C$23)</f>
        <v>1.0755463727799004</v>
      </c>
      <c r="BW5" s="41">
        <f>BV5*(1+$C$23)</f>
        <v>1.1154335677357883</v>
      </c>
      <c r="BX5" s="39">
        <f>BX4/BX6</f>
        <v>0.96482675134768503</v>
      </c>
      <c r="BY5" s="41">
        <v>1</v>
      </c>
      <c r="BZ5" s="41">
        <v>1</v>
      </c>
      <c r="CA5" s="41">
        <v>1</v>
      </c>
      <c r="CB5" s="41">
        <v>1</v>
      </c>
      <c r="CC5" s="39">
        <f>CC4/CC6</f>
        <v>1</v>
      </c>
      <c r="CD5" s="41">
        <v>1</v>
      </c>
      <c r="CE5" s="41">
        <f>CD5*(1+$C$23)</f>
        <v>1.0370855185470003</v>
      </c>
      <c r="CF5" s="41">
        <f>CE5*(1+$C$23)</f>
        <v>1.0755463727799004</v>
      </c>
      <c r="CG5" s="41">
        <f>CF5*(1+$C$23)</f>
        <v>1.1154335677357883</v>
      </c>
      <c r="CH5" s="39">
        <f>CH4/CH6</f>
        <v>1.0468977911459725</v>
      </c>
      <c r="CI5" s="41">
        <f>CG5*(1+$C$23)</f>
        <v>1.1568000000000005</v>
      </c>
      <c r="CJ5" s="41">
        <v>1</v>
      </c>
      <c r="CK5" s="41">
        <v>1</v>
      </c>
      <c r="CL5" s="41">
        <v>1</v>
      </c>
      <c r="CM5" s="39">
        <f>CM4/CM6</f>
        <v>1.0017911710694418</v>
      </c>
      <c r="CN5" s="41">
        <v>1</v>
      </c>
      <c r="CO5" s="41">
        <v>1</v>
      </c>
      <c r="CP5" s="41">
        <v>1</v>
      </c>
      <c r="CQ5" s="41">
        <f>CP5*(1+$C$23)</f>
        <v>1.0370855185470003</v>
      </c>
      <c r="CR5" s="39">
        <f>CR4/CR6</f>
        <v>1.0156062994257662</v>
      </c>
      <c r="CS5" s="41">
        <v>1</v>
      </c>
      <c r="CT5" s="41">
        <v>1</v>
      </c>
      <c r="CU5" s="41">
        <v>1</v>
      </c>
      <c r="CV5" s="41">
        <f>CU5*(1+$C$23)</f>
        <v>1.0370855185470003</v>
      </c>
      <c r="CW5" s="39">
        <f>CW4/CW6</f>
        <v>1.0092192874959598</v>
      </c>
      <c r="CX5" s="41">
        <f>CV5*(1+$C$23)</f>
        <v>1.0755463727799004</v>
      </c>
      <c r="CY5" s="41">
        <f>CX5*(1+$C$23)</f>
        <v>1.1154335677357883</v>
      </c>
      <c r="CZ5" s="41">
        <f>CY5*(1+$C$23)</f>
        <v>1.1568000000000005</v>
      </c>
      <c r="DA5" s="41">
        <f>CZ5*(1+$C$23)</f>
        <v>1.1997005278551705</v>
      </c>
      <c r="DB5" s="39">
        <f>DB4/DB6</f>
        <v>1.1239459307823965</v>
      </c>
      <c r="DC5" s="41">
        <f>DA5*(1+$C$23)</f>
        <v>1.2441920440317893</v>
      </c>
      <c r="DD5" s="41">
        <v>1</v>
      </c>
      <c r="DE5" s="41">
        <v>1</v>
      </c>
      <c r="DF5" s="41">
        <v>1</v>
      </c>
      <c r="DG5" s="39">
        <f>DG4/DG6</f>
        <v>1.0570071872779239</v>
      </c>
      <c r="DH5" s="41">
        <v>1</v>
      </c>
      <c r="DI5" s="41">
        <v>1</v>
      </c>
      <c r="DJ5" s="41">
        <f>DI5*(1+$C$23)</f>
        <v>1.0370855185470003</v>
      </c>
      <c r="DK5" s="41">
        <f>DJ5*(1+$C$23)</f>
        <v>1.0755463727799004</v>
      </c>
      <c r="DL5" s="39">
        <f ca="1">DL4/DL6</f>
        <v>1.0574214007463676</v>
      </c>
      <c r="DM5" s="41">
        <f>DK5*(1+$C$23)</f>
        <v>1.1154335677357883</v>
      </c>
      <c r="DN5" s="41">
        <f>DM5*(1+$C$23)</f>
        <v>1.1568000000000005</v>
      </c>
      <c r="DO5" s="41">
        <f>DN5*(1+$C$23)</f>
        <v>1.1997005278551705</v>
      </c>
      <c r="DP5" s="41">
        <f>DO5*(1+$C$23)</f>
        <v>1.2441920440317893</v>
      </c>
      <c r="DQ5" s="39">
        <f ca="1">DQ4/DQ6</f>
        <v>1.1719998372480891</v>
      </c>
      <c r="DR5" s="41">
        <f>DP5*(1+$C$23)</f>
        <v>1.2903335511567604</v>
      </c>
      <c r="DS5" s="41">
        <f>DR5*(1+$C$23)</f>
        <v>1.3381862400000011</v>
      </c>
      <c r="DT5" s="41">
        <f>DS5*(1+$C$23)</f>
        <v>1.3878135706228616</v>
      </c>
      <c r="DU5" s="41">
        <f>DT5*(1+$C$23)</f>
        <v>1.4392813565359743</v>
      </c>
      <c r="DV5" s="39">
        <f ca="1">DV4/DV6</f>
        <v>1.3632923616417925</v>
      </c>
      <c r="DW5" s="41">
        <f>DU5*(1+$C$23)</f>
        <v>1.4926578519781408</v>
      </c>
      <c r="DX5" s="41">
        <f>DW5*(1+$C$23)</f>
        <v>1.5480138424320018</v>
      </c>
      <c r="DY5" s="41">
        <f>DX5*(1+$C$23)</f>
        <v>1.6054227384965269</v>
      </c>
      <c r="DZ5" s="41">
        <f>DY5*(1+$C$23)</f>
        <v>1.6649606732408158</v>
      </c>
      <c r="EA5" s="39">
        <f ca="1">EA4/EA6</f>
        <v>1.5769887488605525</v>
      </c>
      <c r="EB5" s="41">
        <f>DZ5*(1+$C$23)</f>
        <v>1.726706603168314</v>
      </c>
      <c r="EC5" s="41">
        <f>EB5*(1+$C$23)</f>
        <v>1.7907424129253404</v>
      </c>
      <c r="ED5" s="41">
        <f>EC5*(1+$C$23)</f>
        <v>1.8571530238927831</v>
      </c>
      <c r="EE5" s="41">
        <f>ED5*(1+$C$23)</f>
        <v>1.9260265068049767</v>
      </c>
      <c r="EF5" s="39">
        <f ca="1">EF4/EF6</f>
        <v>1.8231518453292044</v>
      </c>
      <c r="EG5" s="42">
        <f ca="1">EF5</f>
        <v>1.8231518453292044</v>
      </c>
    </row>
    <row r="6" spans="1:151" outlineLevel="1">
      <c r="A6" s="1" t="s">
        <v>56</v>
      </c>
      <c r="U6" s="43"/>
      <c r="V6" s="44"/>
      <c r="W6" s="44"/>
      <c r="X6" s="44"/>
      <c r="Y6" s="44"/>
      <c r="Z6" s="43"/>
      <c r="AA6" s="45" t="e">
        <f>#REF!/AA5</f>
        <v>#REF!</v>
      </c>
      <c r="AB6" s="45" t="e">
        <f>#REF!/AB5</f>
        <v>#REF!</v>
      </c>
      <c r="AC6" s="46" t="e">
        <f>#REF!/AC5</f>
        <v>#REF!</v>
      </c>
      <c r="AD6" s="46" t="e">
        <f>#REF!/AD5</f>
        <v>#REF!</v>
      </c>
      <c r="AE6" s="43"/>
      <c r="AF6" s="45"/>
      <c r="AG6" s="45"/>
      <c r="AH6" s="45"/>
      <c r="AI6" s="45"/>
      <c r="AJ6" s="43"/>
      <c r="AK6" s="46">
        <f>AK4/AK5</f>
        <v>112607.19700000001</v>
      </c>
      <c r="AL6" s="46">
        <f>AL4/AL5</f>
        <v>0</v>
      </c>
      <c r="AM6" s="46">
        <f>AM4/AM5</f>
        <v>0</v>
      </c>
      <c r="AN6" s="46">
        <f>AN4/AN5</f>
        <v>-72666.013000000064</v>
      </c>
      <c r="AO6" s="43">
        <f>SUM(AK6:AN6)</f>
        <v>39941.18399999995</v>
      </c>
      <c r="AP6" s="46">
        <f>AP4/AP5</f>
        <v>156851.95009559661</v>
      </c>
      <c r="AQ6" s="46">
        <f>AQ4/AQ5</f>
        <v>0</v>
      </c>
      <c r="AR6" s="46">
        <f>AR4/AR5</f>
        <v>0</v>
      </c>
      <c r="AS6" s="46">
        <f>AS4/AS5</f>
        <v>-207586.90299999993</v>
      </c>
      <c r="AT6" s="43">
        <f>SUM(AP6:AS6)</f>
        <v>-50734.952904403326</v>
      </c>
      <c r="AU6" s="46">
        <f>AU4/AU5</f>
        <v>287668.08999999991</v>
      </c>
      <c r="AV6" s="46">
        <f>AV4/AV5</f>
        <v>0</v>
      </c>
      <c r="AW6" s="46">
        <f>AW4/AW5</f>
        <v>0</v>
      </c>
      <c r="AX6" s="46">
        <f>AX4/AX5</f>
        <v>-266022.74900000007</v>
      </c>
      <c r="AY6" s="43">
        <f>SUM(AU6:AX6)</f>
        <v>21645.34099999984</v>
      </c>
      <c r="AZ6" s="46">
        <f>AZ4/AZ5</f>
        <v>371103</v>
      </c>
      <c r="BA6" s="46">
        <f>BA4/BA5</f>
        <v>0</v>
      </c>
      <c r="BB6" s="46">
        <f>BB4/BB5</f>
        <v>0</v>
      </c>
      <c r="BC6" s="46">
        <f>BC4/BC5</f>
        <v>-253092.91789913713</v>
      </c>
      <c r="BD6" s="43">
        <f>SUM(AZ6:BC6)</f>
        <v>118010.08210086287</v>
      </c>
      <c r="BE6" s="46">
        <f>BE4/BE5</f>
        <v>369124.01924044616</v>
      </c>
      <c r="BF6" s="46">
        <f>BF4/BF5</f>
        <v>0</v>
      </c>
      <c r="BG6" s="46">
        <f>BG4/BG5</f>
        <v>0</v>
      </c>
      <c r="BH6" s="46">
        <f>BH4/BH5</f>
        <v>-247240.8681275564</v>
      </c>
      <c r="BI6" s="43">
        <f>SUM(BE6:BH6)</f>
        <v>121883.15111288975</v>
      </c>
      <c r="BJ6" s="46">
        <f>BJ4/BJ5</f>
        <v>427723</v>
      </c>
      <c r="BK6" s="46">
        <f>BK4/BK5</f>
        <v>0</v>
      </c>
      <c r="BL6" s="46">
        <f>BL4/BL5</f>
        <v>0</v>
      </c>
      <c r="BM6" s="46">
        <f>BM4/BM5</f>
        <v>-266232</v>
      </c>
      <c r="BN6" s="43">
        <f>SUM(BJ6:BM6)</f>
        <v>161491</v>
      </c>
      <c r="BO6" s="46">
        <f>BO4/BO5</f>
        <v>344444.11151404103</v>
      </c>
      <c r="BP6" s="46">
        <f>BP4/BP5</f>
        <v>0</v>
      </c>
      <c r="BQ6" s="46">
        <f>BQ4/BQ5</f>
        <v>0</v>
      </c>
      <c r="BR6" s="46">
        <f>BR4/BR5</f>
        <v>-231168.74135546325</v>
      </c>
      <c r="BS6" s="43">
        <f>SUM(BO6:BR6)</f>
        <v>113275.37015857777</v>
      </c>
      <c r="BT6" s="46">
        <f>BT4/BT5</f>
        <v>380250</v>
      </c>
      <c r="BU6" s="46">
        <f>BU4/BU5</f>
        <v>0</v>
      </c>
      <c r="BV6" s="46">
        <f>BV4/BV5</f>
        <v>0</v>
      </c>
      <c r="BW6" s="46">
        <f>BW4/BW5</f>
        <v>-88804.930087475455</v>
      </c>
      <c r="BX6" s="43">
        <f>SUM(BT6:BW6)</f>
        <v>291445.06991252454</v>
      </c>
      <c r="BY6" s="46">
        <f>BY4/BY5</f>
        <v>248431</v>
      </c>
      <c r="BZ6" s="46">
        <f>BZ4/BZ5</f>
        <v>61073</v>
      </c>
      <c r="CA6" s="46">
        <f>CA4/CA5</f>
        <v>30308</v>
      </c>
      <c r="CB6" s="46">
        <f>CB4/CB5</f>
        <v>-169083</v>
      </c>
      <c r="CC6" s="43">
        <f>SUM(BY6:CB6)</f>
        <v>170729</v>
      </c>
      <c r="CD6" s="46">
        <f>CD4/CD5</f>
        <v>5858</v>
      </c>
      <c r="CE6" s="46">
        <f>CE4/CE5</f>
        <v>89829.621891280884</v>
      </c>
      <c r="CF6" s="46">
        <f>CF4/CF5</f>
        <v>20923.319132986573</v>
      </c>
      <c r="CG6" s="46">
        <f>CG4/CG5</f>
        <v>8123.2986545248659</v>
      </c>
      <c r="CH6" s="43">
        <f>SUM(CD6:CG6)</f>
        <v>124734.23967879234</v>
      </c>
      <c r="CI6" s="46">
        <f>CI4/CI5</f>
        <v>3813.1051175656967</v>
      </c>
      <c r="CJ6" s="46">
        <f>CJ4/CJ5</f>
        <v>59469</v>
      </c>
      <c r="CK6" s="46">
        <f>CK4/CK5</f>
        <v>179538</v>
      </c>
      <c r="CL6" s="46">
        <f>CL4/CL5</f>
        <v>90981</v>
      </c>
      <c r="CM6" s="43">
        <f>SUM(CI6:CL6)</f>
        <v>333801.10511756572</v>
      </c>
      <c r="CN6" s="46">
        <f>CN4/CN5</f>
        <v>16170</v>
      </c>
      <c r="CO6" s="46">
        <f>CO4/CO5</f>
        <v>80821</v>
      </c>
      <c r="CP6" s="46">
        <f>CP4/CP5</f>
        <v>118716</v>
      </c>
      <c r="CQ6" s="46">
        <f>CQ4/CQ5</f>
        <v>156727.67297698389</v>
      </c>
      <c r="CR6" s="43">
        <f>SUM(CN6:CQ6)</f>
        <v>372434.67297698389</v>
      </c>
      <c r="CS6" s="46">
        <f>CS4/CS5</f>
        <v>341</v>
      </c>
      <c r="CT6" s="46">
        <f>CT4/CT5</f>
        <v>112454</v>
      </c>
      <c r="CU6" s="46">
        <f>CU4/CU5</f>
        <v>278228</v>
      </c>
      <c r="CV6" s="46">
        <f>CV4/CV5</f>
        <v>129366.38068957835</v>
      </c>
      <c r="CW6" s="43">
        <f>SUM(CS6:CV6)</f>
        <v>520389.38068957836</v>
      </c>
      <c r="CX6" s="46">
        <f>CX4/CX5</f>
        <v>-764.26272339650563</v>
      </c>
      <c r="CY6" s="46">
        <f>CY4/CY5</f>
        <v>607483.95924238884</v>
      </c>
      <c r="CZ6" s="46">
        <f>CZ4/CZ5</f>
        <v>105822.95988934989</v>
      </c>
      <c r="DA6" s="46">
        <f>DA4/DA5</f>
        <v>21878.793407656729</v>
      </c>
      <c r="DB6" s="43">
        <f>SUM(CX6:DA6)</f>
        <v>734421.4498159989</v>
      </c>
      <c r="DC6" s="46">
        <f>DC4/DC5</f>
        <v>232359.62758865982</v>
      </c>
      <c r="DD6" s="46">
        <f>DD4/DD5</f>
        <v>61328</v>
      </c>
      <c r="DE6" s="46">
        <f>DE4/DE5</f>
        <v>233746</v>
      </c>
      <c r="DF6" s="46">
        <f>DF4/DF5</f>
        <v>467886</v>
      </c>
      <c r="DG6" s="43">
        <f>SUM(DC6:DF6)</f>
        <v>995319.62758865976</v>
      </c>
      <c r="DH6" s="46">
        <f>DH4/DH5</f>
        <v>-100706</v>
      </c>
      <c r="DI6" s="46">
        <f>DI4/DI5</f>
        <v>99976</v>
      </c>
      <c r="DJ6" s="46">
        <f ca="1">DJ4/DJ5</f>
        <v>246719.66593002094</v>
      </c>
      <c r="DK6" s="46">
        <f ca="1">DK4/DK5</f>
        <v>274502.18576173682</v>
      </c>
      <c r="DL6" s="43">
        <f ca="1">SUM(DH6:DK6)</f>
        <v>520491.85169175779</v>
      </c>
      <c r="DM6" s="46">
        <f ca="1">DM4/DM5</f>
        <v>427126.56809052406</v>
      </c>
      <c r="DN6" s="46">
        <f ca="1">DN4/DN5</f>
        <v>297140.23333699454</v>
      </c>
      <c r="DO6" s="46">
        <f ca="1">DO4/DO5</f>
        <v>290717.17125747231</v>
      </c>
      <c r="DP6" s="46">
        <f ca="1">DP4/DP5</f>
        <v>285686.97726167738</v>
      </c>
      <c r="DQ6" s="43">
        <f ca="1">SUM(DM6:DP6)</f>
        <v>1300670.9499466682</v>
      </c>
      <c r="DR6" s="46">
        <f ca="1">DR4/DR5</f>
        <v>297089.33611522074</v>
      </c>
      <c r="DS6" s="46">
        <f ca="1">DS4/DS5</f>
        <v>281757.92858147348</v>
      </c>
      <c r="DT6" s="46">
        <f ca="1">DT4/DT5</f>
        <v>284204.54268378491</v>
      </c>
      <c r="DU6" s="46">
        <f ca="1">DU4/DU5</f>
        <v>286621.69364224182</v>
      </c>
      <c r="DV6" s="43">
        <f ca="1">SUM(DR6:DU6)</f>
        <v>1149673.5010227209</v>
      </c>
      <c r="DW6" s="46">
        <f ca="1">DW4/DW5</f>
        <v>273450.31795195059</v>
      </c>
      <c r="DX6" s="46">
        <f ca="1">DX4/DX5</f>
        <v>260037.5850776881</v>
      </c>
      <c r="DY6" s="46">
        <f ca="1">DY4/DY5</f>
        <v>261713.59509999419</v>
      </c>
      <c r="DZ6" s="46">
        <f ca="1">DZ4/DZ5</f>
        <v>263189.80485698901</v>
      </c>
      <c r="EA6" s="43">
        <f ca="1">SUM(DW6:DZ6)</f>
        <v>1058391.3029866219</v>
      </c>
      <c r="EB6" s="46">
        <f ca="1">EB4/EB5</f>
        <v>250396.59279973127</v>
      </c>
      <c r="EC6" s="46">
        <f ca="1">EC4/EC5</f>
        <v>235260.01716269492</v>
      </c>
      <c r="ED6" s="46">
        <f ca="1">ED4/ED5</f>
        <v>233485.10405058198</v>
      </c>
      <c r="EE6" s="46">
        <f ca="1">EE4/EE5</f>
        <v>231693.93313917663</v>
      </c>
      <c r="EF6" s="43">
        <f ca="1">SUM(EB6:EE6)</f>
        <v>950835.64715218474</v>
      </c>
      <c r="EG6" s="44">
        <f ca="1">EG4/EG5</f>
        <v>1820229.413908073</v>
      </c>
    </row>
    <row r="7" spans="1:151">
      <c r="U7" s="43"/>
    </row>
    <row r="8" spans="1:151" ht="12.75" customHeight="1" thickBot="1">
      <c r="A8" s="4" t="s">
        <v>239</v>
      </c>
      <c r="B8" s="64"/>
      <c r="C8" s="62"/>
      <c r="D8" s="1" t="s">
        <v>131</v>
      </c>
    </row>
    <row r="9" spans="1:151" ht="12.75" hidden="1" customHeight="1" outlineLevel="1">
      <c r="A9" s="1" t="s">
        <v>112</v>
      </c>
      <c r="B9" s="225"/>
      <c r="D9" s="1" t="s">
        <v>132</v>
      </c>
      <c r="E9" s="214"/>
      <c r="K9" s="48"/>
      <c r="P9" s="48"/>
      <c r="U9" s="48"/>
      <c r="Z9" s="48"/>
      <c r="AE9" s="48"/>
      <c r="AJ9" s="50"/>
      <c r="AO9" s="50"/>
      <c r="AT9" s="50"/>
      <c r="AY9" s="50"/>
      <c r="BD9" s="50"/>
      <c r="BI9" s="50"/>
      <c r="BN9" s="50"/>
      <c r="BS9" s="50"/>
      <c r="BX9" s="50"/>
      <c r="CC9" s="50"/>
      <c r="CH9" s="50"/>
      <c r="CM9" s="50"/>
      <c r="CR9" s="50"/>
      <c r="CW9" s="50"/>
      <c r="DB9" s="50"/>
      <c r="DG9" s="50"/>
      <c r="DL9" s="50"/>
      <c r="DQ9" s="50"/>
      <c r="DV9" s="50"/>
      <c r="EA9" s="50"/>
      <c r="EF9" s="50"/>
    </row>
    <row r="10" spans="1:151" ht="12.75" customHeight="1" collapsed="1">
      <c r="A10" s="1" t="s">
        <v>86</v>
      </c>
      <c r="B10" s="225">
        <f ca="1">SUM(DI6,DJ6,DK6,DQ6,DV6,EA6,EF6,EG6,B9)*(1+B23)</f>
        <v>7983075.257647845</v>
      </c>
      <c r="D10" s="1" t="s">
        <v>133</v>
      </c>
      <c r="E10" s="215"/>
      <c r="AJ10" s="28"/>
      <c r="AO10" s="28"/>
      <c r="AT10" s="28"/>
      <c r="AY10" s="28"/>
      <c r="BD10" s="28"/>
      <c r="BI10" s="28"/>
      <c r="BN10" s="28"/>
      <c r="BS10" s="28"/>
      <c r="BX10" s="28"/>
      <c r="CC10" s="28"/>
      <c r="CH10" s="28"/>
      <c r="CM10" s="28"/>
      <c r="CR10" s="28"/>
      <c r="CW10" s="28"/>
      <c r="DB10" s="28"/>
      <c r="DG10" s="28"/>
      <c r="DL10" s="28"/>
      <c r="DQ10" s="28"/>
      <c r="DV10" s="28"/>
      <c r="EA10" s="28"/>
      <c r="EF10" s="28"/>
    </row>
    <row r="11" spans="1:151" ht="12.75" customHeight="1">
      <c r="A11" s="1" t="s">
        <v>57</v>
      </c>
      <c r="B11" s="52">
        <f>'TP Calculation'!C9</f>
        <v>308047.59399999998</v>
      </c>
      <c r="D11" s="1" t="s">
        <v>134</v>
      </c>
      <c r="E11" s="114"/>
      <c r="AE11" s="50"/>
      <c r="AJ11" s="50"/>
      <c r="AO11" s="50"/>
      <c r="AT11" s="50"/>
      <c r="AY11" s="50"/>
      <c r="BD11" s="50"/>
      <c r="BI11" s="50"/>
      <c r="BN11" s="50"/>
      <c r="BS11" s="50"/>
      <c r="BX11" s="50"/>
      <c r="CC11" s="50"/>
      <c r="CH11" s="50"/>
      <c r="CM11" s="50"/>
      <c r="CR11" s="50"/>
      <c r="CW11" s="50"/>
      <c r="DB11" s="50"/>
      <c r="DG11" s="50"/>
      <c r="DL11" s="50"/>
      <c r="DQ11" s="50"/>
      <c r="DV11" s="50"/>
      <c r="EA11" s="50"/>
      <c r="EF11" s="50"/>
    </row>
    <row r="12" spans="1:151" s="3" customFormat="1" ht="12.75" customHeight="1">
      <c r="A12" s="3" t="s">
        <v>58</v>
      </c>
      <c r="B12" s="55">
        <f ca="1">ROUND(B10/B11,0)</f>
        <v>26</v>
      </c>
      <c r="D12" s="54"/>
      <c r="F12" s="53"/>
      <c r="K12" s="53"/>
      <c r="P12" s="53"/>
      <c r="U12" s="53"/>
      <c r="Z12" s="53"/>
      <c r="AE12" s="28"/>
      <c r="AJ12" s="28"/>
      <c r="AO12" s="28"/>
      <c r="AT12" s="28"/>
      <c r="AY12" s="28"/>
      <c r="BD12" s="28"/>
      <c r="BI12" s="28"/>
      <c r="BN12" s="28"/>
      <c r="BS12" s="28"/>
      <c r="BX12" s="28"/>
      <c r="CC12" s="28"/>
      <c r="CH12" s="28"/>
      <c r="CM12" s="28"/>
      <c r="CR12" s="28"/>
      <c r="CW12" s="28"/>
      <c r="DB12" s="28"/>
      <c r="DG12" s="28"/>
      <c r="DL12" s="28"/>
      <c r="DQ12" s="28"/>
      <c r="DV12" s="28"/>
      <c r="EA12" s="28"/>
      <c r="EF12" s="28"/>
      <c r="EG12" s="59"/>
    </row>
    <row r="13" spans="1:151" ht="12.75" customHeight="1">
      <c r="A13" s="1" t="s">
        <v>59</v>
      </c>
      <c r="B13" s="57">
        <v>34.21</v>
      </c>
      <c r="C13" s="491">
        <f>44/B13-1</f>
        <v>0.2861736334405145</v>
      </c>
      <c r="D13" s="56"/>
      <c r="F13" s="28"/>
      <c r="AE13" s="28"/>
      <c r="AJ13" s="28"/>
      <c r="AO13" s="28"/>
      <c r="AT13" s="28"/>
      <c r="AY13" s="28"/>
      <c r="BD13" s="28"/>
      <c r="BI13" s="28"/>
      <c r="BN13" s="28"/>
      <c r="BS13" s="28"/>
      <c r="BX13" s="28"/>
      <c r="CC13" s="28"/>
      <c r="CH13" s="28"/>
      <c r="CM13" s="28"/>
      <c r="CR13" s="28"/>
      <c r="CW13" s="28"/>
      <c r="DB13" s="28"/>
      <c r="DG13" s="28"/>
      <c r="DL13" s="28"/>
      <c r="DQ13" s="28"/>
      <c r="DV13" s="28"/>
      <c r="EA13" s="28"/>
      <c r="EF13" s="28"/>
      <c r="EG13" s="59"/>
      <c r="EH13" s="60"/>
      <c r="EI13" s="60" t="e">
        <f>IRR(EJ13:EV13)</f>
        <v>#VALUE!</v>
      </c>
      <c r="EJ13" s="52" t="e">
        <f>-#REF!</f>
        <v>#REF!</v>
      </c>
      <c r="EK13" s="47" t="e">
        <f>#REF!</f>
        <v>#REF!</v>
      </c>
      <c r="EL13" s="47" t="e">
        <f>#REF!</f>
        <v>#REF!</v>
      </c>
      <c r="EM13" s="47" t="e">
        <f>#REF!</f>
        <v>#REF!</v>
      </c>
      <c r="EN13" s="47" t="e">
        <f>#REF!</f>
        <v>#REF!</v>
      </c>
      <c r="EO13" s="47" t="e">
        <f>#REF!</f>
        <v>#REF!</v>
      </c>
      <c r="EP13" s="47" t="e">
        <f>#REF!</f>
        <v>#REF!</v>
      </c>
      <c r="EQ13" s="47" t="e">
        <f>#REF!</f>
        <v>#REF!</v>
      </c>
      <c r="ER13" s="47" t="e">
        <f>#REF!</f>
        <v>#REF!</v>
      </c>
      <c r="ES13" s="47" t="e">
        <f>#REF!</f>
        <v>#REF!</v>
      </c>
      <c r="ET13" s="47" t="e">
        <f>#REF!</f>
        <v>#REF!</v>
      </c>
      <c r="EU13" s="47" t="e">
        <f>#REF!+#REF!</f>
        <v>#REF!</v>
      </c>
    </row>
    <row r="14" spans="1:151" s="3" customFormat="1" ht="12.75" customHeight="1">
      <c r="A14" s="3" t="s">
        <v>240</v>
      </c>
      <c r="B14" s="61">
        <f ca="1">+B12/B13-1</f>
        <v>-0.23998830751242328</v>
      </c>
      <c r="D14" s="61"/>
      <c r="F14" s="53"/>
      <c r="K14" s="53"/>
      <c r="P14" s="53"/>
      <c r="U14" s="53"/>
      <c r="Z14" s="53"/>
      <c r="AE14" s="28"/>
      <c r="AJ14" s="28"/>
      <c r="AO14" s="28"/>
      <c r="AT14" s="28"/>
      <c r="AY14" s="28"/>
      <c r="BD14" s="28"/>
      <c r="BI14" s="28"/>
      <c r="BN14" s="28"/>
      <c r="BS14" s="28"/>
      <c r="BX14" s="28"/>
      <c r="CC14" s="28"/>
      <c r="CH14" s="28"/>
      <c r="CM14" s="28"/>
      <c r="CR14" s="28"/>
      <c r="CW14" s="28"/>
      <c r="DB14" s="28"/>
      <c r="DG14" s="28"/>
      <c r="DL14" s="28"/>
      <c r="DQ14" s="28"/>
      <c r="DV14" s="28"/>
      <c r="EA14" s="28"/>
      <c r="EF14" s="28"/>
      <c r="EG14" s="59"/>
    </row>
    <row r="15" spans="1:151" ht="12.75" customHeight="1">
      <c r="B15" s="62"/>
      <c r="C15" s="62"/>
    </row>
    <row r="16" spans="1:151" ht="12.75" customHeight="1" thickBot="1">
      <c r="A16" s="4" t="s">
        <v>241</v>
      </c>
      <c r="B16" s="64"/>
      <c r="C16" s="62"/>
    </row>
    <row r="17" spans="1:137" ht="12.75" customHeight="1" outlineLevel="1">
      <c r="A17" s="1" t="s">
        <v>242</v>
      </c>
      <c r="B17" s="216">
        <v>7.0000000000000007E-2</v>
      </c>
    </row>
    <row r="18" spans="1:137" ht="12.75" customHeight="1" outlineLevel="1">
      <c r="A18" s="1" t="s">
        <v>243</v>
      </c>
      <c r="B18" s="217">
        <f>Macro!DQ16</f>
        <v>0.04</v>
      </c>
      <c r="D18" s="66"/>
    </row>
    <row r="19" spans="1:137" ht="12.75" customHeight="1">
      <c r="A19" s="1" t="s">
        <v>244</v>
      </c>
      <c r="B19" s="217">
        <f>(1+B17)*(1+B18)-1</f>
        <v>0.11280000000000001</v>
      </c>
      <c r="D19" s="66" t="s">
        <v>252</v>
      </c>
    </row>
    <row r="20" spans="1:137" ht="12.75" customHeight="1" outlineLevel="1">
      <c r="A20" s="1" t="s">
        <v>245</v>
      </c>
      <c r="B20" s="216">
        <v>0.04</v>
      </c>
      <c r="D20" s="66">
        <v>0.18</v>
      </c>
    </row>
    <row r="21" spans="1:137" ht="12.75" customHeight="1" outlineLevel="1">
      <c r="A21" s="1" t="s">
        <v>246</v>
      </c>
      <c r="B21" s="218">
        <v>1.1000000000000001</v>
      </c>
      <c r="D21" s="305">
        <f>(D20-B25)/(B23-B25)</f>
        <v>1.2031523642732045</v>
      </c>
    </row>
    <row r="22" spans="1:137" ht="12.75" customHeight="1">
      <c r="A22" s="1" t="s">
        <v>247</v>
      </c>
      <c r="B22" s="219">
        <f>B20*B21</f>
        <v>4.4000000000000004E-2</v>
      </c>
      <c r="D22" s="66"/>
    </row>
    <row r="23" spans="1:137" ht="12.75" customHeight="1">
      <c r="A23" s="3" t="s">
        <v>74</v>
      </c>
      <c r="B23" s="220">
        <f>B19+B22</f>
        <v>0.15680000000000002</v>
      </c>
      <c r="C23" s="63">
        <f>(1+B23)^0.25-1</f>
        <v>3.7085518547000262E-2</v>
      </c>
      <c r="D23" s="66"/>
    </row>
    <row r="24" spans="1:137" ht="12.75" customHeight="1" outlineLevel="1">
      <c r="A24" s="1" t="s">
        <v>248</v>
      </c>
      <c r="B24" s="459">
        <v>2.5000000000000001E-3</v>
      </c>
      <c r="D24" s="66"/>
    </row>
    <row r="25" spans="1:137" ht="12.75" customHeight="1">
      <c r="A25" s="1" t="s">
        <v>249</v>
      </c>
      <c r="B25" s="217">
        <f>(1+B18)*(1+B24)-1</f>
        <v>4.2599999999999971E-2</v>
      </c>
      <c r="C25" s="221">
        <f>1/(B23-B25)</f>
        <v>8.7565674255691732</v>
      </c>
      <c r="D25" s="66"/>
      <c r="AT25" s="48"/>
    </row>
    <row r="26" spans="1:137" ht="12.75" customHeight="1">
      <c r="Z26" s="67"/>
      <c r="AO26" s="48"/>
      <c r="AT26" s="48"/>
    </row>
    <row r="27" spans="1:137" s="8" customFormat="1" ht="12.75" customHeight="1" thickBot="1">
      <c r="A27" s="4" t="s">
        <v>97</v>
      </c>
      <c r="B27" s="222"/>
      <c r="C27" s="222"/>
      <c r="D27" s="222"/>
      <c r="E27" s="222"/>
      <c r="F27" s="29"/>
      <c r="G27" s="222"/>
      <c r="H27" s="222"/>
      <c r="I27" s="222"/>
      <c r="J27" s="222"/>
      <c r="K27" s="29"/>
      <c r="L27" s="222" t="str">
        <f>Macro!L$3</f>
        <v>1Q06</v>
      </c>
      <c r="M27" s="222" t="str">
        <f>Macro!M$3</f>
        <v>2Q06</v>
      </c>
      <c r="N27" s="222" t="str">
        <f>Macro!N$3</f>
        <v>3Q06</v>
      </c>
      <c r="O27" s="31" t="str">
        <f>Macro!O$3</f>
        <v>4Q06</v>
      </c>
      <c r="P27" s="29" t="str">
        <f>Macro!P$3</f>
        <v>2006</v>
      </c>
      <c r="Q27" s="222" t="str">
        <f>Macro!Q$3</f>
        <v>1Q07</v>
      </c>
      <c r="R27" s="222" t="str">
        <f>Macro!R$3</f>
        <v>2Q07</v>
      </c>
      <c r="S27" s="222" t="str">
        <f>Macro!S$3</f>
        <v>3Q07</v>
      </c>
      <c r="T27" s="31" t="str">
        <f>Macro!T$3</f>
        <v>4Q07</v>
      </c>
      <c r="U27" s="29" t="str">
        <f>Macro!U$3</f>
        <v>2007</v>
      </c>
      <c r="V27" s="222" t="str">
        <f>Macro!V$3</f>
        <v>1Q08</v>
      </c>
      <c r="W27" s="222" t="str">
        <f>Macro!W$3</f>
        <v>2Q08</v>
      </c>
      <c r="X27" s="222" t="str">
        <f>Macro!X$3</f>
        <v>3Q08</v>
      </c>
      <c r="Y27" s="31" t="str">
        <f>Macro!Y$3</f>
        <v>4Q08</v>
      </c>
      <c r="Z27" s="29" t="str">
        <f>Macro!Z$3</f>
        <v>2008</v>
      </c>
      <c r="AA27" s="222" t="str">
        <f>Macro!AA$3</f>
        <v>1Q09</v>
      </c>
      <c r="AB27" s="222" t="str">
        <f>Macro!AB$3</f>
        <v>2Q09</v>
      </c>
      <c r="AC27" s="222" t="str">
        <f>Macro!AC$3</f>
        <v>3Q09</v>
      </c>
      <c r="AD27" s="31" t="str">
        <f>Macro!AD$3</f>
        <v>4Q09</v>
      </c>
      <c r="AE27" s="29" t="str">
        <f>Macro!AE$3</f>
        <v>2009</v>
      </c>
      <c r="AF27" s="222" t="str">
        <f>Macro!AF$3</f>
        <v>1Q10</v>
      </c>
      <c r="AG27" s="222" t="str">
        <f>Macro!AG$3</f>
        <v>2Q10</v>
      </c>
      <c r="AH27" s="222" t="str">
        <f>Macro!AH$3</f>
        <v>3Q10</v>
      </c>
      <c r="AI27" s="31" t="str">
        <f>Macro!AI$3</f>
        <v>4Q10</v>
      </c>
      <c r="AJ27" s="29" t="str">
        <f>Macro!AJ$3</f>
        <v>2010</v>
      </c>
      <c r="AK27" s="222" t="str">
        <f>Macro!AK$3</f>
        <v>1Q11</v>
      </c>
      <c r="AL27" s="222" t="str">
        <f>Macro!AL$3</f>
        <v>2Q11</v>
      </c>
      <c r="AM27" s="222" t="str">
        <f>Macro!AM$3</f>
        <v>3Q11</v>
      </c>
      <c r="AN27" s="31" t="str">
        <f>Macro!AN$3</f>
        <v>4Q11</v>
      </c>
      <c r="AO27" s="29" t="str">
        <f>Macro!AO$3</f>
        <v>2011</v>
      </c>
      <c r="AP27" s="222" t="str">
        <f>Macro!AP$3</f>
        <v>1Q12</v>
      </c>
      <c r="AQ27" s="222" t="str">
        <f>Macro!AQ$3</f>
        <v>2Q12</v>
      </c>
      <c r="AR27" s="222" t="str">
        <f>Macro!AR$3</f>
        <v>3Q12</v>
      </c>
      <c r="AS27" s="31" t="str">
        <f>Macro!AS$3</f>
        <v>4Q12</v>
      </c>
      <c r="AT27" s="29" t="str">
        <f>Macro!AT$3</f>
        <v>2012</v>
      </c>
      <c r="AU27" s="222" t="str">
        <f>Macro!AU$3</f>
        <v>1Q13</v>
      </c>
      <c r="AV27" s="222" t="str">
        <f>Macro!AV$3</f>
        <v>2Q13</v>
      </c>
      <c r="AW27" s="222" t="str">
        <f>Macro!AW$3</f>
        <v>3Q13</v>
      </c>
      <c r="AX27" s="31" t="str">
        <f>Macro!AX$3</f>
        <v>4Q13</v>
      </c>
      <c r="AY27" s="29" t="str">
        <f>Macro!AY$3</f>
        <v>2013</v>
      </c>
      <c r="AZ27" s="222" t="str">
        <f>Macro!AZ$3</f>
        <v>1Q14</v>
      </c>
      <c r="BA27" s="222" t="str">
        <f>Macro!BA$3</f>
        <v>2Q14</v>
      </c>
      <c r="BB27" s="222" t="str">
        <f>Macro!BB$3</f>
        <v>3Q14</v>
      </c>
      <c r="BC27" s="31" t="str">
        <f>Macro!BC$3</f>
        <v>4Q14</v>
      </c>
      <c r="BD27" s="29" t="str">
        <f>Macro!BD$3</f>
        <v>2014</v>
      </c>
      <c r="BE27" s="222" t="str">
        <f>Macro!BE$3</f>
        <v>1Q15</v>
      </c>
      <c r="BF27" s="222" t="str">
        <f>Macro!BF$3</f>
        <v>2Q15</v>
      </c>
      <c r="BG27" s="222" t="str">
        <f>Macro!BG$3</f>
        <v>3Q15</v>
      </c>
      <c r="BH27" s="31" t="str">
        <f>Macro!BH$3</f>
        <v>4Q15</v>
      </c>
      <c r="BI27" s="29" t="str">
        <f>Macro!BI$3</f>
        <v>2015</v>
      </c>
      <c r="BJ27" s="222" t="str">
        <f>Macro!BJ$3</f>
        <v>1Q16</v>
      </c>
      <c r="BK27" s="222" t="str">
        <f>Macro!BK$3</f>
        <v>2Q16</v>
      </c>
      <c r="BL27" s="222" t="str">
        <f>Macro!BL$3</f>
        <v>3Q16</v>
      </c>
      <c r="BM27" s="31" t="str">
        <f>Macro!BM$3</f>
        <v>4Q16</v>
      </c>
      <c r="BN27" s="29" t="str">
        <f>Macro!BN$3</f>
        <v>2016</v>
      </c>
      <c r="BO27" s="222" t="str">
        <f>Macro!BO$3</f>
        <v>1Q17</v>
      </c>
      <c r="BP27" s="222" t="str">
        <f>Macro!BP$3</f>
        <v>2Q17</v>
      </c>
      <c r="BQ27" s="222" t="str">
        <f>Macro!BQ$3</f>
        <v>3Q17</v>
      </c>
      <c r="BR27" s="31" t="str">
        <f>Macro!BR$3</f>
        <v>4Q17</v>
      </c>
      <c r="BS27" s="29" t="str">
        <f>Macro!BS$3</f>
        <v>2017</v>
      </c>
      <c r="BT27" s="30"/>
      <c r="BU27" s="30"/>
      <c r="BV27" s="30"/>
      <c r="BW27" s="31"/>
      <c r="BX27" s="29" t="str">
        <f>Macro!BX$3</f>
        <v>2018</v>
      </c>
      <c r="BY27" s="30"/>
      <c r="BZ27" s="30"/>
      <c r="CA27" s="30"/>
      <c r="CB27" s="31"/>
      <c r="CC27" s="29" t="str">
        <f>Macro!CC$3</f>
        <v>2019</v>
      </c>
      <c r="CD27" s="30"/>
      <c r="CE27" s="30"/>
      <c r="CF27" s="30"/>
      <c r="CG27" s="31"/>
      <c r="CH27" s="29" t="str">
        <f>Macro!CH$3</f>
        <v>2020</v>
      </c>
      <c r="CI27" s="30"/>
      <c r="CJ27" s="30"/>
      <c r="CK27" s="30"/>
      <c r="CL27" s="31"/>
      <c r="CM27" s="29" t="str">
        <f>Macro!CM$3</f>
        <v>2021</v>
      </c>
      <c r="CN27" s="30"/>
      <c r="CO27" s="30"/>
      <c r="CP27" s="30"/>
      <c r="CQ27" s="31"/>
      <c r="CR27" s="29" t="str">
        <f>Macro!CR$3</f>
        <v>2022</v>
      </c>
      <c r="CS27" s="30"/>
      <c r="CT27" s="30"/>
      <c r="CU27" s="30"/>
      <c r="CV27" s="31"/>
      <c r="CW27" s="29" t="str">
        <f>Macro!CW$3</f>
        <v>2023</v>
      </c>
      <c r="CX27" s="30"/>
      <c r="CY27" s="30"/>
      <c r="CZ27" s="30"/>
      <c r="DA27" s="31"/>
      <c r="DB27" s="29" t="str">
        <f>Macro!DB$3</f>
        <v>2024</v>
      </c>
      <c r="DC27" s="30"/>
      <c r="DD27" s="30"/>
      <c r="DE27" s="30"/>
      <c r="DF27" s="31"/>
      <c r="DG27" s="29" t="str">
        <f>Macro!DG$3</f>
        <v>2025</v>
      </c>
      <c r="DH27" s="30"/>
      <c r="DI27" s="30"/>
      <c r="DJ27" s="30"/>
      <c r="DK27" s="31"/>
      <c r="DL27" s="29" t="str">
        <f>Macro!DL$3</f>
        <v>2026E</v>
      </c>
      <c r="DM27" s="30"/>
      <c r="DN27" s="30"/>
      <c r="DO27" s="30"/>
      <c r="DP27" s="31"/>
      <c r="DQ27" s="29" t="str">
        <f>Macro!DQ$3</f>
        <v>2027E</v>
      </c>
      <c r="DR27" s="30"/>
      <c r="DS27" s="30"/>
      <c r="DT27" s="30"/>
      <c r="DU27" s="31"/>
      <c r="DV27" s="29" t="str">
        <f>Macro!DV$3</f>
        <v>2028E</v>
      </c>
      <c r="DW27" s="30"/>
      <c r="DX27" s="30"/>
      <c r="DY27" s="30"/>
      <c r="DZ27" s="31"/>
      <c r="EA27" s="29" t="str">
        <f>Macro!EA$3</f>
        <v>2029E</v>
      </c>
      <c r="EB27" s="30"/>
      <c r="EC27" s="30"/>
      <c r="ED27" s="30"/>
      <c r="EE27" s="31"/>
      <c r="EF27" s="29" t="str">
        <f>Macro!EF$3</f>
        <v>2030E</v>
      </c>
      <c r="EG27" s="8" t="s">
        <v>55</v>
      </c>
    </row>
    <row r="28" spans="1:137" ht="12.75" customHeight="1">
      <c r="A28" s="1" t="s">
        <v>250</v>
      </c>
      <c r="F28" s="71"/>
      <c r="K28" s="71"/>
      <c r="L28" s="1" t="s">
        <v>99</v>
      </c>
      <c r="P28" s="71"/>
      <c r="U28" s="71"/>
      <c r="Z28" s="72"/>
      <c r="AE28" s="72"/>
      <c r="AJ28" s="72">
        <f>$B$13</f>
        <v>34.21</v>
      </c>
      <c r="AO28" s="72">
        <f>$B$13</f>
        <v>34.21</v>
      </c>
      <c r="AT28" s="72">
        <f>$B$13</f>
        <v>34.21</v>
      </c>
      <c r="AY28" s="72">
        <f>$B$13</f>
        <v>34.21</v>
      </c>
      <c r="BD28" s="72">
        <f>$B$13</f>
        <v>34.21</v>
      </c>
      <c r="BI28" s="72">
        <f>$B$13</f>
        <v>34.21</v>
      </c>
      <c r="BN28" s="72">
        <f>$B$13</f>
        <v>34.21</v>
      </c>
      <c r="BS28" s="72">
        <f>$B$13</f>
        <v>34.21</v>
      </c>
      <c r="BX28" s="72">
        <f>$B$13</f>
        <v>34.21</v>
      </c>
      <c r="CC28" s="73">
        <f>$B$13</f>
        <v>34.21</v>
      </c>
      <c r="CH28" s="73">
        <f>$B$13</f>
        <v>34.21</v>
      </c>
      <c r="CM28" s="73">
        <f>$B$13</f>
        <v>34.21</v>
      </c>
      <c r="CR28" s="73">
        <f>$B$13</f>
        <v>34.21</v>
      </c>
      <c r="CW28" s="73">
        <f>$B$13</f>
        <v>34.21</v>
      </c>
      <c r="DB28" s="73">
        <f>$B$13</f>
        <v>34.21</v>
      </c>
      <c r="DG28" s="73">
        <f>$B$13</f>
        <v>34.21</v>
      </c>
      <c r="DL28" s="73">
        <f>$B$13</f>
        <v>34.21</v>
      </c>
      <c r="DQ28" s="73">
        <f>$B$13</f>
        <v>34.21</v>
      </c>
      <c r="DV28" s="73">
        <f>$B$13</f>
        <v>34.21</v>
      </c>
      <c r="EA28" s="73">
        <f>$B$13</f>
        <v>34.21</v>
      </c>
      <c r="EF28" s="73">
        <f>$B$13</f>
        <v>34.21</v>
      </c>
    </row>
    <row r="29" spans="1:137" ht="12.75" customHeight="1" outlineLevel="1">
      <c r="A29" s="1" t="s">
        <v>53</v>
      </c>
      <c r="F29" s="43"/>
      <c r="K29" s="43"/>
      <c r="P29" s="43"/>
      <c r="U29" s="43"/>
      <c r="Z29" s="43"/>
      <c r="AE29" s="43"/>
      <c r="AJ29" s="43">
        <f>AJ28*'Income Statement'!AJ78</f>
        <v>9363046.7667000014</v>
      </c>
      <c r="AO29" s="43">
        <f>AJ29</f>
        <v>9363046.7667000014</v>
      </c>
      <c r="AT29" s="43">
        <f>AO29</f>
        <v>9363046.7667000014</v>
      </c>
      <c r="AY29" s="43">
        <f>AT29</f>
        <v>9363046.7667000014</v>
      </c>
      <c r="BD29" s="43">
        <f>AY29</f>
        <v>9363046.7667000014</v>
      </c>
      <c r="BI29" s="43">
        <f>BD29</f>
        <v>9363046.7667000014</v>
      </c>
      <c r="BN29" s="43">
        <f>BI29</f>
        <v>9363046.7667000014</v>
      </c>
      <c r="BS29" s="43">
        <f>BN29</f>
        <v>9363046.7667000014</v>
      </c>
      <c r="BX29" s="43">
        <f>BS29</f>
        <v>9363046.7667000014</v>
      </c>
      <c r="CC29" s="43">
        <f>BX29</f>
        <v>9363046.7667000014</v>
      </c>
      <c r="CH29" s="43">
        <f>CC29</f>
        <v>9363046.7667000014</v>
      </c>
      <c r="CM29" s="43">
        <f>CH29</f>
        <v>9363046.7667000014</v>
      </c>
      <c r="CR29" s="43">
        <f>CM29</f>
        <v>9363046.7667000014</v>
      </c>
      <c r="CW29" s="43">
        <f>CR29</f>
        <v>9363046.7667000014</v>
      </c>
      <c r="DB29" s="43">
        <f>CW29</f>
        <v>9363046.7667000014</v>
      </c>
      <c r="DG29" s="43">
        <f>DB29</f>
        <v>9363046.7667000014</v>
      </c>
      <c r="DL29" s="43">
        <f>DG29</f>
        <v>9363046.7667000014</v>
      </c>
      <c r="DQ29" s="43">
        <f>DL29</f>
        <v>9363046.7667000014</v>
      </c>
      <c r="DV29" s="43">
        <f>DQ29</f>
        <v>9363046.7667000014</v>
      </c>
      <c r="EA29" s="43">
        <f>DV29</f>
        <v>9363046.7667000014</v>
      </c>
      <c r="EF29" s="43">
        <f>EA29</f>
        <v>9363046.7667000014</v>
      </c>
    </row>
    <row r="30" spans="1:137" ht="12.75" customHeight="1">
      <c r="A30" s="3" t="s">
        <v>54</v>
      </c>
      <c r="F30" s="74"/>
      <c r="K30" s="74"/>
      <c r="P30" s="74"/>
      <c r="U30" s="74"/>
      <c r="Z30" s="74"/>
      <c r="AE30" s="74"/>
      <c r="AJ30" s="74">
        <f>AJ28/'Income Statement'!AJ$80</f>
        <v>179.72069257210191</v>
      </c>
      <c r="AO30" s="74">
        <f>AO28/'Income Statement'!AO$80</f>
        <v>104.03053207757047</v>
      </c>
      <c r="AT30" s="74">
        <f>AT28/'Income Statement'!AT$80</f>
        <v>116.91943036134069</v>
      </c>
      <c r="AY30" s="74">
        <f>AY28/'Income Statement'!AY$80</f>
        <v>89.103772379645378</v>
      </c>
      <c r="BD30" s="74">
        <f>BD28/'Income Statement'!BD$80</f>
        <v>69.597689504277824</v>
      </c>
      <c r="BI30" s="74">
        <f>BI28/'Income Statement'!BI$80</f>
        <v>71.414763147176387</v>
      </c>
      <c r="BN30" s="74">
        <f>BN28/'Income Statement'!BN$80</f>
        <v>102.90645557228586</v>
      </c>
      <c r="BS30" s="74">
        <f>BS28/'Income Statement'!BS$80</f>
        <v>82.980721827640608</v>
      </c>
      <c r="BX30" s="74">
        <f>BX28/'Income Statement'!BX$80</f>
        <v>71.474185044924013</v>
      </c>
      <c r="CC30" s="74">
        <f>CC28/'Income Statement'!CC$80</f>
        <v>58.472264480290768</v>
      </c>
      <c r="CH30" s="74">
        <f>CH28/'Income Statement'!CH$80</f>
        <v>60.157492995485413</v>
      </c>
      <c r="CM30" s="74">
        <f>CM28/'Income Statement'!CM$80</f>
        <v>33.308261108394021</v>
      </c>
      <c r="CR30" s="74">
        <f>CR28/'Income Statement'!CR$80</f>
        <v>30.113426828985858</v>
      </c>
      <c r="CW30" s="74">
        <f>CW28/'Income Statement'!CW$80</f>
        <v>20.584603473643792</v>
      </c>
      <c r="DB30" s="74">
        <f>DB28/'Income Statement'!DB$80</f>
        <v>15.260519067651726</v>
      </c>
      <c r="DG30" s="74">
        <f>DG28/'Income Statement'!DG$80</f>
        <v>10.359777395242205</v>
      </c>
      <c r="DL30" s="74">
        <f ca="1">DL28/'Income Statement'!DL$80</f>
        <v>8.47345023827015</v>
      </c>
      <c r="DQ30" s="74">
        <f ca="1">DQ28/'Income Statement'!DQ$80</f>
        <v>6.8735839754249213</v>
      </c>
      <c r="DV30" s="74">
        <f ca="1">DV28/'Income Statement'!DV$80</f>
        <v>6.1824046181959522</v>
      </c>
      <c r="EA30" s="74">
        <f ca="1">EA28/'Income Statement'!EA$80</f>
        <v>5.8689223810359206</v>
      </c>
      <c r="EF30" s="74">
        <f ca="1">EF28/'Income Statement'!EF$80</f>
        <v>5.6087403491873138</v>
      </c>
    </row>
    <row r="31" spans="1:137" ht="12.75" customHeight="1">
      <c r="A31" s="3" t="s">
        <v>60</v>
      </c>
      <c r="F31" s="74"/>
      <c r="K31" s="74"/>
      <c r="P31" s="74"/>
      <c r="U31" s="74"/>
      <c r="Z31" s="74"/>
      <c r="AE31" s="74"/>
      <c r="AJ31" s="74">
        <f>AJ28/('Balance Sheet'!AJ$165)</f>
        <v>77.711865088394148</v>
      </c>
      <c r="AO31" s="74">
        <f>AO28/('Balance Sheet'!AO$165)</f>
        <v>49.497216765261655</v>
      </c>
      <c r="AT31" s="74">
        <f>AT28/('Balance Sheet'!AT$165)</f>
        <v>37.418510407433295</v>
      </c>
      <c r="AY31" s="74">
        <f>AY28/('Balance Sheet'!AY$165)</f>
        <v>31.938895010148219</v>
      </c>
      <c r="BD31" s="74">
        <f>BD28/('Balance Sheet'!BD$165)</f>
        <v>24.286925037741433</v>
      </c>
      <c r="BI31" s="74">
        <f>BI28/('Balance Sheet'!BI$165)</f>
        <v>32.697225714495247</v>
      </c>
      <c r="BN31" s="74">
        <f>BN28/('Balance Sheet'!BN$165)</f>
        <v>57.301738484935647</v>
      </c>
      <c r="BS31" s="74">
        <f>BS28/('Balance Sheet'!BS$165)</f>
        <v>45.280671864028093</v>
      </c>
      <c r="BX31" s="74">
        <f>BX28/('Balance Sheet'!BX$165)</f>
        <v>44.959745151113545</v>
      </c>
      <c r="CC31" s="74">
        <f>CC28/('Balance Sheet'!CC$165)</f>
        <v>45.802539681149788</v>
      </c>
      <c r="CH31" s="74">
        <f>CH28/('Balance Sheet'!CH$165)</f>
        <v>20.957132549790011</v>
      </c>
      <c r="CM31" s="74">
        <f>CM28/('Balance Sheet'!CM$165)</f>
        <v>17.49005855142758</v>
      </c>
      <c r="CR31" s="74">
        <f>CR28/('Balance Sheet'!CR$165)</f>
        <v>13.533590567890116</v>
      </c>
      <c r="CW31" s="74">
        <f>CW28/('Balance Sheet'!CW$165)</f>
        <v>11.883436297934857</v>
      </c>
      <c r="DB31" s="74">
        <f>DB28/('Balance Sheet'!DB$165)</f>
        <v>9.3921548407529301</v>
      </c>
      <c r="DG31" s="74">
        <f>DG28/('Balance Sheet'!DG$165)</f>
        <v>7.8496529216644237</v>
      </c>
      <c r="DL31" s="74">
        <f ca="1">DL28/('Balance Sheet'!DL$165)</f>
        <v>5.7404357533830979</v>
      </c>
      <c r="DQ31" s="74">
        <f ca="1">DQ28/('Balance Sheet'!DQ$165)</f>
        <v>4.5148424963086642</v>
      </c>
      <c r="DV31" s="74">
        <f ca="1">DV28/('Balance Sheet'!DV$165)</f>
        <v>3.7528471508669501</v>
      </c>
      <c r="EA31" s="74">
        <f ca="1">EA28/('Balance Sheet'!EA$165)</f>
        <v>3.4409941685077139</v>
      </c>
      <c r="EF31" s="74">
        <f ca="1">EF28/('Balance Sheet'!EF$165)</f>
        <v>3.1755717213328096</v>
      </c>
    </row>
    <row r="32" spans="1:137" ht="12.75" customHeight="1">
      <c r="A32" s="3" t="s">
        <v>129</v>
      </c>
      <c r="F32" s="74"/>
      <c r="K32" s="74"/>
      <c r="P32" s="74"/>
      <c r="U32" s="74"/>
      <c r="V32" s="68"/>
      <c r="W32" s="68"/>
      <c r="X32" s="68"/>
      <c r="Y32" s="68"/>
      <c r="Z32" s="28"/>
      <c r="AA32" s="68"/>
      <c r="AB32" s="68"/>
      <c r="AC32" s="68"/>
      <c r="AD32" s="68"/>
      <c r="AE32" s="28"/>
      <c r="AF32" s="68"/>
      <c r="AG32" s="68"/>
      <c r="AH32" s="68"/>
      <c r="AI32" s="68"/>
      <c r="AJ32" s="223">
        <f>'Income Statement'!AJ81/AJ28</f>
        <v>0</v>
      </c>
      <c r="AK32" s="68"/>
      <c r="AL32" s="68"/>
      <c r="AM32" s="68"/>
      <c r="AN32" s="68"/>
      <c r="AO32" s="28">
        <f>'Income Statement'!AO81/AO28</f>
        <v>0</v>
      </c>
      <c r="AP32" s="68"/>
      <c r="AQ32" s="68"/>
      <c r="AR32" s="68"/>
      <c r="AS32" s="68"/>
      <c r="AT32" s="28">
        <f>'Income Statement'!AT81/AT28</f>
        <v>0</v>
      </c>
      <c r="AU32" s="68"/>
      <c r="AV32" s="68"/>
      <c r="AW32" s="68"/>
      <c r="AX32" s="68"/>
      <c r="AY32" s="28">
        <f>'Income Statement'!AY81/AY28</f>
        <v>0</v>
      </c>
      <c r="AZ32" s="68"/>
      <c r="BA32" s="68"/>
      <c r="BB32" s="68"/>
      <c r="BC32" s="68"/>
      <c r="BD32" s="28">
        <f>'Income Statement'!BD81/BD28</f>
        <v>0</v>
      </c>
      <c r="BE32" s="68"/>
      <c r="BF32" s="68"/>
      <c r="BG32" s="68"/>
      <c r="BH32" s="68"/>
      <c r="BI32" s="28">
        <f>'Income Statement'!BI81/BI28</f>
        <v>8.5442273218716332E-3</v>
      </c>
      <c r="BJ32" s="68"/>
      <c r="BK32" s="68"/>
      <c r="BL32" s="68"/>
      <c r="BM32" s="68"/>
      <c r="BN32" s="28">
        <f>'Income Statement'!BN81/BN28</f>
        <v>7.3693960651142832E-3</v>
      </c>
      <c r="BO32" s="68"/>
      <c r="BP32" s="68"/>
      <c r="BQ32" s="68"/>
      <c r="BR32" s="68"/>
      <c r="BS32" s="28">
        <f>'Income Statement'!BS81/BS28</f>
        <v>7.3693960651142832E-3</v>
      </c>
      <c r="BT32" s="68"/>
      <c r="BU32" s="68"/>
      <c r="BV32" s="68"/>
      <c r="BW32" s="68"/>
      <c r="BX32" s="28">
        <f>'Income Statement'!BX81/BX28</f>
        <v>1.5059200654798753E-2</v>
      </c>
      <c r="BY32" s="68"/>
      <c r="BZ32" s="68"/>
      <c r="CA32" s="68"/>
      <c r="CB32" s="68"/>
      <c r="CC32" s="28">
        <f>'Income Statement'!CC81/CC28</f>
        <v>1.4311580764134985E-2</v>
      </c>
      <c r="CD32" s="68"/>
      <c r="CE32" s="68"/>
      <c r="CF32" s="68"/>
      <c r="CG32" s="68"/>
      <c r="CH32" s="28">
        <f>'Income Statement'!CH81/CH28</f>
        <v>3.9479858774040836E-3</v>
      </c>
      <c r="CI32" s="68"/>
      <c r="CJ32" s="68"/>
      <c r="CK32" s="68"/>
      <c r="CL32" s="68"/>
      <c r="CM32" s="28">
        <f>'Income Statement'!CM81/CM28</f>
        <v>1.6527784598408833E-2</v>
      </c>
      <c r="CN32" s="68"/>
      <c r="CO32" s="68"/>
      <c r="CP32" s="68"/>
      <c r="CQ32" s="68"/>
      <c r="CR32" s="28">
        <f>'Income Statement'!CR81/CR28</f>
        <v>1.5076685262685803E-2</v>
      </c>
      <c r="CS32" s="68"/>
      <c r="CT32" s="68"/>
      <c r="CU32" s="68"/>
      <c r="CV32" s="68"/>
      <c r="CW32" s="28">
        <f>'Income Statement'!CW81/CW28</f>
        <v>3.310496489758958E-2</v>
      </c>
      <c r="CX32" s="68"/>
      <c r="CY32" s="68"/>
      <c r="CZ32" s="68"/>
      <c r="DA32" s="68"/>
      <c r="DB32" s="28">
        <f>'Income Statement'!DB81/DB28</f>
        <v>4.8754951349328543E-2</v>
      </c>
      <c r="DC32" s="68"/>
      <c r="DD32" s="68"/>
      <c r="DE32" s="68"/>
      <c r="DF32" s="68"/>
      <c r="DG32" s="28">
        <f>'Income Statement'!DG81/DG28</f>
        <v>0.13222401457454314</v>
      </c>
      <c r="DH32" s="68"/>
      <c r="DI32" s="68"/>
      <c r="DJ32" s="68"/>
      <c r="DK32" s="68"/>
      <c r="DL32" s="28">
        <f>'Income Statement'!DL81/DL28</f>
        <v>6.7219207718291749E-2</v>
      </c>
      <c r="DM32" s="68"/>
      <c r="DN32" s="68"/>
      <c r="DO32" s="68"/>
      <c r="DP32" s="68"/>
      <c r="DQ32" s="28">
        <f ca="1">'Income Statement'!DQ81/DQ28</f>
        <v>9.4412544772708731E-2</v>
      </c>
      <c r="DR32" s="68"/>
      <c r="DS32" s="68"/>
      <c r="DT32" s="68"/>
      <c r="DU32" s="68"/>
      <c r="DV32" s="28">
        <f ca="1">'Income Statement'!DV81/DV28</f>
        <v>0.11638760839472315</v>
      </c>
      <c r="DW32" s="68"/>
      <c r="DX32" s="68"/>
      <c r="DY32" s="68"/>
      <c r="DZ32" s="68"/>
      <c r="EA32" s="28">
        <f ca="1">'Income Statement'!EA81/EA28</f>
        <v>0.14557442541873347</v>
      </c>
      <c r="EB32" s="68"/>
      <c r="EC32" s="68"/>
      <c r="ED32" s="68"/>
      <c r="EE32" s="68"/>
      <c r="EF32" s="28">
        <f ca="1">'Income Statement'!EF81/EF28</f>
        <v>0.15335012828047342</v>
      </c>
    </row>
    <row r="33" spans="1:136" ht="12.75" customHeight="1">
      <c r="A33" s="3" t="s">
        <v>160</v>
      </c>
      <c r="Z33" s="74"/>
      <c r="AE33" s="74"/>
      <c r="AJ33" s="74">
        <f ca="1">$B$12/'Income Statement'!AJ$80</f>
        <v>136.58982773676263</v>
      </c>
      <c r="AO33" s="74">
        <f ca="1">'TP Calculation'!$C$11/'Income Statement'!AO$80</f>
        <v>145.96508447013687</v>
      </c>
      <c r="AT33" s="74">
        <f ca="1">'TP Calculation'!$C$11/'Income Statement'!AT$80</f>
        <v>164.04947843742627</v>
      </c>
      <c r="AY33" s="74">
        <f ca="1">'TP Calculation'!$C$11/'Income Statement'!AY$80</f>
        <v>125.0213701906746</v>
      </c>
      <c r="BD33" s="74">
        <f ca="1">'TP Calculation'!$C$11/'Income Statement'!BD$80</f>
        <v>97.652414387761937</v>
      </c>
      <c r="BI33" s="74">
        <f ca="1">'TP Calculation'!$C$11/'Income Statement'!BI$80</f>
        <v>100.20194770723374</v>
      </c>
      <c r="BN33" s="74">
        <f ca="1">'TP Calculation'!$C$11/'Income Statement'!BN$80</f>
        <v>144.3878944013365</v>
      </c>
      <c r="BS33" s="74">
        <f ca="1">'TP Calculation'!$C$11/'Income Statement'!BS$80</f>
        <v>116.43012708935251</v>
      </c>
      <c r="BX33" s="74">
        <f ca="1">'TP Calculation'!$C$11/'Income Statement'!BX$80</f>
        <v>100.28532248337775</v>
      </c>
      <c r="CC33" s="74">
        <f ca="1">'TP Calculation'!$C$11/'Income Statement'!CC$80</f>
        <v>82.042347122302161</v>
      </c>
      <c r="CH33" s="74">
        <f ca="1">'TP Calculation'!$C$11/'Income Statement'!CH$80</f>
        <v>84.406888739646291</v>
      </c>
      <c r="CM33" s="74">
        <f ca="1">'TP Calculation'!$C$11/'Income Statement'!CM$80</f>
        <v>46.734771505492922</v>
      </c>
      <c r="CR33" s="74">
        <f ca="1">'TP Calculation'!$C$11/'Income Statement'!CR$80</f>
        <v>42.252104290889243</v>
      </c>
      <c r="CW33" s="74">
        <f ca="1">'TP Calculation'!$C$11/'Income Statement'!CW$80</f>
        <v>28.882226446504003</v>
      </c>
      <c r="DB33" s="74">
        <f ca="1">'TP Calculation'!$C$11/'Income Statement'!DB$80</f>
        <v>21.412011553559861</v>
      </c>
      <c r="DG33" s="74">
        <f ca="1">'TP Calculation'!$C$11/'Income Statement'!DG$80</f>
        <v>14.535788218989355</v>
      </c>
      <c r="DL33" s="74">
        <f ca="1">'TP Calculation'!$C$11/'Income Statement'!DL$80</f>
        <v>11.889085397163614</v>
      </c>
      <c r="DQ33" s="74">
        <f ca="1">'TP Calculation'!$C$11/'Income Statement'!DQ$80</f>
        <v>9.6443154288335649</v>
      </c>
      <c r="DV33" s="74">
        <f ca="1">'TP Calculation'!$C$11/'Income Statement'!DV$80</f>
        <v>8.6745227031103678</v>
      </c>
      <c r="EA33" s="74">
        <f ca="1">'TP Calculation'!$C$11/'Income Statement'!EA$80</f>
        <v>8.234676243487991</v>
      </c>
      <c r="EF33" s="74">
        <f ca="1">'TP Calculation'!$C$11/'Income Statement'!EF$80</f>
        <v>7.8696152224785463</v>
      </c>
    </row>
    <row r="34" spans="1:136" ht="12.75" customHeight="1">
      <c r="A34" s="3" t="s">
        <v>161</v>
      </c>
      <c r="Z34" s="74"/>
      <c r="AE34" s="74"/>
      <c r="AJ34" s="74">
        <f ca="1">$B$12/('Balance Sheet'!AJ$165)</f>
        <v>59.061926112196659</v>
      </c>
      <c r="AO34" s="74">
        <f ca="1">$B$12/('Balance Sheet'!AO$165)</f>
        <v>37.618463487190965</v>
      </c>
      <c r="AT34" s="74">
        <f ca="1">$B$12/('Balance Sheet'!AT$165)</f>
        <v>28.438505425117381</v>
      </c>
      <c r="AY34" s="74">
        <f ca="1">$B$12/('Balance Sheet'!AY$165)</f>
        <v>24.273933652845766</v>
      </c>
      <c r="BD34" s="74">
        <f ca="1">$B$12/('Balance Sheet'!BD$165)</f>
        <v>18.458347003252769</v>
      </c>
      <c r="BI34" s="74">
        <f ca="1">$B$12/('Balance Sheet'!BI$165)</f>
        <v>24.850273854921845</v>
      </c>
      <c r="BN34" s="74">
        <f ca="1">$B$12/('Balance Sheet'!BN$165)</f>
        <v>43.549991248416454</v>
      </c>
      <c r="BS34" s="74">
        <f ca="1">$B$12/('Balance Sheet'!BS$165)</f>
        <v>34.413840060354588</v>
      </c>
      <c r="BX34" s="74">
        <f ca="1">$B$12/('Balance Sheet'!BX$165)</f>
        <v>34.169932006107928</v>
      </c>
      <c r="CC34" s="74">
        <f ca="1">$B$12/('Balance Sheet'!CC$165)</f>
        <v>34.810465703300039</v>
      </c>
      <c r="CH34" s="74">
        <f ca="1">$B$12/('Balance Sheet'!CH$165)</f>
        <v>15.92766577885239</v>
      </c>
      <c r="CM34" s="74">
        <f ca="1">$B$12/('Balance Sheet'!CM$165)</f>
        <v>13.29264900137729</v>
      </c>
      <c r="CR34" s="74">
        <f ca="1">$B$12/('Balance Sheet'!CR$165)</f>
        <v>10.285687072936071</v>
      </c>
      <c r="CW34" s="74">
        <f ca="1">$B$12/('Balance Sheet'!CW$165)</f>
        <v>9.0315505333617736</v>
      </c>
      <c r="DB34" s="74">
        <f ca="1">$B$12/('Balance Sheet'!DB$165)</f>
        <v>7.1381474966260212</v>
      </c>
      <c r="DG34" s="74">
        <f ca="1">$B$12/('Balance Sheet'!DG$165)</f>
        <v>5.9658280024342298</v>
      </c>
      <c r="DL34" s="74">
        <f ca="1">$B$12/('Balance Sheet'!DL$165)</f>
        <v>4.3627982925448858</v>
      </c>
      <c r="DQ34" s="74">
        <f ca="1">$B$12/('Balance Sheet'!DQ$165)</f>
        <v>3.4313330869343837</v>
      </c>
      <c r="DV34" s="74">
        <f ca="1">$B$12/('Balance Sheet'!DV$165)</f>
        <v>2.8522077147775708</v>
      </c>
      <c r="EA34" s="74">
        <f ca="1">$B$12/('Balance Sheet'!EA$165)</f>
        <v>2.6151958018474293</v>
      </c>
      <c r="EF34" s="74">
        <f ca="1">$B$12/('Balance Sheet'!EF$165)</f>
        <v>2.4134716385458357</v>
      </c>
    </row>
    <row r="37" spans="1:136" ht="12.75" customHeight="1">
      <c r="C37" s="1">
        <f>17-5</f>
        <v>12</v>
      </c>
      <c r="D37" s="1">
        <f>C37/C38</f>
        <v>1.1428571428571428</v>
      </c>
    </row>
    <row r="38" spans="1:136" ht="12.75" customHeight="1">
      <c r="C38" s="1">
        <f>15.5-5</f>
        <v>10.5</v>
      </c>
    </row>
  </sheetData>
  <phoneticPr fontId="4" type="noConversion"/>
  <pageMargins left="0.75" right="0.75" top="1" bottom="1" header="0.49212598499999999" footer="0.49212598499999999"/>
  <pageSetup paperSize="9" scale="41" orientation="landscape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B4:BM84"/>
  <sheetViews>
    <sheetView showGridLines="0" zoomScale="145" zoomScaleNormal="145" workbookViewId="0"/>
  </sheetViews>
  <sheetFormatPr defaultRowHeight="12.75" outlineLevelRow="1" outlineLevelCol="2"/>
  <cols>
    <col min="2" max="2" width="26.28515625" customWidth="1"/>
    <col min="3" max="4" width="9.5703125" hidden="1" customWidth="1" outlineLevel="1"/>
    <col min="5" max="5" width="9.85546875" hidden="1" customWidth="1" outlineLevel="1" collapsed="1"/>
    <col min="6" max="9" width="9.5703125" hidden="1" customWidth="1" outlineLevel="1"/>
    <col min="10" max="14" width="9.85546875" hidden="1" customWidth="1" outlineLevel="1"/>
    <col min="15" max="15" width="9.85546875" hidden="1" customWidth="1" outlineLevel="1" collapsed="1"/>
    <col min="16" max="19" width="9.85546875" hidden="1" customWidth="1" outlineLevel="1"/>
    <col min="20" max="20" width="8.5703125" hidden="1" customWidth="1" outlineLevel="1"/>
    <col min="21" max="24" width="8.5703125" hidden="1" customWidth="1" outlineLevel="2"/>
    <col min="25" max="25" width="8.5703125" hidden="1" customWidth="1" outlineLevel="1" collapsed="1"/>
    <col min="26" max="29" width="8.5703125" hidden="1" customWidth="1" outlineLevel="2"/>
    <col min="30" max="30" width="8.5703125" hidden="1" customWidth="1" outlineLevel="1" collapsed="1"/>
    <col min="31" max="34" width="8.5703125" hidden="1" customWidth="1" outlineLevel="2"/>
    <col min="35" max="35" width="8.5703125" hidden="1" customWidth="1" outlineLevel="1" collapsed="1"/>
    <col min="36" max="39" width="8.5703125" hidden="1" customWidth="1" outlineLevel="2"/>
    <col min="40" max="40" width="8.5703125" hidden="1" customWidth="1" outlineLevel="1" collapsed="1"/>
    <col min="41" max="44" width="8.5703125" hidden="1" customWidth="1" outlineLevel="2"/>
    <col min="45" max="45" width="8.5703125" hidden="1" customWidth="1" outlineLevel="1" collapsed="1"/>
    <col min="46" max="49" width="8.5703125" hidden="1" customWidth="1" outlineLevel="1"/>
    <col min="50" max="50" width="8.5703125" customWidth="1" collapsed="1"/>
    <col min="51" max="54" width="8.5703125" hidden="1" customWidth="1" outlineLevel="1"/>
    <col min="55" max="55" width="8.5703125" customWidth="1" collapsed="1"/>
    <col min="56" max="59" width="0" hidden="1" customWidth="1" outlineLevel="1"/>
    <col min="60" max="60" width="9.140625" collapsed="1"/>
    <col min="61" max="64" width="0" hidden="1" customWidth="1" outlineLevel="1"/>
    <col min="65" max="65" width="9.140625" collapsed="1"/>
  </cols>
  <sheetData>
    <row r="4" spans="2:65" ht="13.5" thickBot="1">
      <c r="B4" s="310" t="str">
        <f>Forecasts!A3</f>
        <v>Launches and sales</v>
      </c>
      <c r="C4" s="311" t="str">
        <f>Forecasts!AY3</f>
        <v>2013</v>
      </c>
      <c r="D4" s="311" t="str">
        <f>Forecasts!BD3</f>
        <v>2014</v>
      </c>
      <c r="E4" s="311" t="str">
        <f>Forecasts!BI3</f>
        <v>2015</v>
      </c>
      <c r="F4" s="312" t="str">
        <f>Forecasts!BJ3</f>
        <v>1Q16</v>
      </c>
      <c r="G4" s="312" t="str">
        <f>Forecasts!BK3</f>
        <v>2Q16</v>
      </c>
      <c r="H4" s="312" t="str">
        <f>Forecasts!BL3</f>
        <v>3Q16</v>
      </c>
      <c r="I4" s="312" t="str">
        <f>Forecasts!BM3</f>
        <v>4Q16</v>
      </c>
      <c r="J4" s="311" t="str">
        <f>Forecasts!BN3</f>
        <v>2016</v>
      </c>
      <c r="K4" s="312" t="str">
        <f>Forecasts!BO3</f>
        <v>1Q17</v>
      </c>
      <c r="L4" s="312" t="str">
        <f>Forecasts!BP3</f>
        <v>2Q17</v>
      </c>
      <c r="M4" s="312" t="str">
        <f>Forecasts!BQ3</f>
        <v>3Q17</v>
      </c>
      <c r="N4" s="312" t="str">
        <f>Forecasts!BR3</f>
        <v>4Q17</v>
      </c>
      <c r="O4" s="311" t="str">
        <f>Forecasts!BS3</f>
        <v>2017</v>
      </c>
      <c r="P4" s="312" t="str">
        <f>Forecasts!BT3</f>
        <v>1Q18</v>
      </c>
      <c r="Q4" s="312" t="str">
        <f>Forecasts!BU3</f>
        <v>2Q18</v>
      </c>
      <c r="R4" s="312" t="str">
        <f>Forecasts!BV3</f>
        <v>3Q18</v>
      </c>
      <c r="S4" s="312" t="str">
        <f>Forecasts!BW3</f>
        <v>4Q18</v>
      </c>
      <c r="T4" s="311" t="str">
        <f>Forecasts!BX3</f>
        <v>2018</v>
      </c>
      <c r="U4" s="312" t="str">
        <f>Forecasts!BY3</f>
        <v>1Q19</v>
      </c>
      <c r="V4" s="312" t="str">
        <f>Forecasts!BZ3</f>
        <v>2Q19</v>
      </c>
      <c r="W4" s="312" t="str">
        <f>Forecasts!CA3</f>
        <v>3Q19</v>
      </c>
      <c r="X4" s="312" t="str">
        <f>Forecasts!CB3</f>
        <v>4Q19</v>
      </c>
      <c r="Y4" s="311" t="str">
        <f>Forecasts!CC3</f>
        <v>2019</v>
      </c>
      <c r="Z4" s="312" t="str">
        <f>Forecasts!CD3</f>
        <v>1Q20</v>
      </c>
      <c r="AA4" s="312" t="str">
        <f>Forecasts!CE3</f>
        <v>2Q20</v>
      </c>
      <c r="AB4" s="312" t="str">
        <f>Forecasts!CF3</f>
        <v>3Q20</v>
      </c>
      <c r="AC4" s="312" t="str">
        <f>Forecasts!CG3</f>
        <v>4Q20</v>
      </c>
      <c r="AD4" s="311" t="str">
        <f>Forecasts!CH3</f>
        <v>2020</v>
      </c>
      <c r="AE4" s="312" t="str">
        <f>Forecasts!CI3</f>
        <v>1Q21</v>
      </c>
      <c r="AF4" s="312" t="str">
        <f>Forecasts!CJ3</f>
        <v>2Q21</v>
      </c>
      <c r="AG4" s="312" t="str">
        <f>Forecasts!CK3</f>
        <v>3Q21</v>
      </c>
      <c r="AH4" s="312" t="str">
        <f>Forecasts!CL3</f>
        <v>4Q21</v>
      </c>
      <c r="AI4" s="311" t="str">
        <f>Forecasts!CM3</f>
        <v>2021</v>
      </c>
      <c r="AJ4" s="312" t="str">
        <f>Forecasts!CN3</f>
        <v>1Q22</v>
      </c>
      <c r="AK4" s="312" t="str">
        <f>Forecasts!CO3</f>
        <v>2Q22</v>
      </c>
      <c r="AL4" s="312" t="str">
        <f>Forecasts!CP3</f>
        <v>3Q22</v>
      </c>
      <c r="AM4" s="312" t="str">
        <f>Forecasts!CQ3</f>
        <v>4Q22</v>
      </c>
      <c r="AN4" s="311" t="str">
        <f>Forecasts!CR3</f>
        <v>2022</v>
      </c>
      <c r="AO4" s="312" t="str">
        <f>Forecasts!CS3</f>
        <v>1Q23</v>
      </c>
      <c r="AP4" s="312" t="str">
        <f>Forecasts!CT3</f>
        <v>2Q23</v>
      </c>
      <c r="AQ4" s="312" t="str">
        <f>Forecasts!CU3</f>
        <v>3Q23</v>
      </c>
      <c r="AR4" s="312" t="str">
        <f>Forecasts!CV3</f>
        <v>4Q23</v>
      </c>
      <c r="AS4" s="311" t="str">
        <f>Forecasts!CW3</f>
        <v>2023</v>
      </c>
      <c r="AT4" s="312" t="str">
        <f>Forecasts!CX3</f>
        <v>1Q24</v>
      </c>
      <c r="AU4" s="312" t="str">
        <f>Forecasts!CY3</f>
        <v>2Q24</v>
      </c>
      <c r="AV4" s="312" t="str">
        <f>Forecasts!CZ3</f>
        <v>3Q24</v>
      </c>
      <c r="AW4" s="312" t="str">
        <f>Forecasts!DA3</f>
        <v>4Q24</v>
      </c>
      <c r="AX4" s="311" t="str">
        <f>Forecasts!DB3</f>
        <v>2024</v>
      </c>
      <c r="AY4" s="312" t="str">
        <f>Forecasts!DC3</f>
        <v>1Q25</v>
      </c>
      <c r="AZ4" s="312" t="str">
        <f>Forecasts!DD3</f>
        <v>2Q25</v>
      </c>
      <c r="BA4" s="312" t="str">
        <f>Forecasts!DE3</f>
        <v>3Q25</v>
      </c>
      <c r="BB4" s="312" t="str">
        <f>Forecasts!DF3</f>
        <v>4Q25</v>
      </c>
      <c r="BC4" s="311" t="str">
        <f>Forecasts!DG3</f>
        <v>2025</v>
      </c>
      <c r="BD4" s="312" t="str">
        <f>Forecasts!DH3</f>
        <v>1Q26</v>
      </c>
      <c r="BE4" s="312" t="str">
        <f>Forecasts!DI3</f>
        <v>2Q26</v>
      </c>
      <c r="BF4" s="312" t="str">
        <f>Forecasts!DJ3</f>
        <v>3Q26E</v>
      </c>
      <c r="BG4" s="312" t="str">
        <f>Forecasts!DK3</f>
        <v>4Q26E</v>
      </c>
      <c r="BH4" s="311" t="str">
        <f>Forecasts!DL3</f>
        <v>2026E</v>
      </c>
      <c r="BI4" s="312" t="str">
        <f>Forecasts!DM3</f>
        <v>1Q27E</v>
      </c>
      <c r="BJ4" s="312" t="str">
        <f>Forecasts!DN3</f>
        <v>2Q27E</v>
      </c>
      <c r="BK4" s="312" t="str">
        <f>Forecasts!DO3</f>
        <v>3Q27E</v>
      </c>
      <c r="BL4" s="312" t="str">
        <f>Forecasts!DP3</f>
        <v>4Q27E</v>
      </c>
      <c r="BM4" s="311" t="str">
        <f>Forecasts!DQ3</f>
        <v>2027E</v>
      </c>
    </row>
    <row r="5" spans="2:65">
      <c r="B5" s="313" t="str">
        <f>Forecasts!A4</f>
        <v>Launches' Value (100%)</v>
      </c>
      <c r="C5" s="314">
        <f>Forecasts!AY4</f>
        <v>0</v>
      </c>
      <c r="D5" s="314">
        <f>Forecasts!BD4</f>
        <v>0</v>
      </c>
      <c r="E5" s="314">
        <f>Forecasts!BI4</f>
        <v>511487</v>
      </c>
      <c r="F5" s="315">
        <f>Forecasts!BJ4</f>
        <v>0</v>
      </c>
      <c r="G5" s="315">
        <f>Forecasts!BK4</f>
        <v>0</v>
      </c>
      <c r="H5" s="316">
        <f>Forecasts!BL4</f>
        <v>0</v>
      </c>
      <c r="I5" s="316">
        <f>Forecasts!BM4</f>
        <v>542984</v>
      </c>
      <c r="J5" s="314">
        <f>Forecasts!BN4</f>
        <v>542984</v>
      </c>
      <c r="K5" s="316">
        <f>Forecasts!BO4</f>
        <v>0</v>
      </c>
      <c r="L5" s="316">
        <f>Forecasts!BP4</f>
        <v>0</v>
      </c>
      <c r="M5" s="316">
        <f>Forecasts!BQ4</f>
        <v>0</v>
      </c>
      <c r="N5" s="316">
        <f>Forecasts!BR4</f>
        <v>762042</v>
      </c>
      <c r="O5" s="314">
        <f>Forecasts!BS4</f>
        <v>762042</v>
      </c>
      <c r="P5" s="316">
        <f>Forecasts!BT4</f>
        <v>0</v>
      </c>
      <c r="Q5" s="316">
        <f>Forecasts!BU4</f>
        <v>0</v>
      </c>
      <c r="R5" s="316">
        <f>Forecasts!BV4</f>
        <v>0</v>
      </c>
      <c r="S5" s="316">
        <f>Forecasts!BW4</f>
        <v>906529</v>
      </c>
      <c r="T5" s="314">
        <f>Forecasts!BX4</f>
        <v>906529</v>
      </c>
      <c r="U5" s="316">
        <f>Forecasts!BY4</f>
        <v>0</v>
      </c>
      <c r="V5" s="316">
        <f>Forecasts!BZ4</f>
        <v>0</v>
      </c>
      <c r="W5" s="316">
        <f>Forecasts!CA4</f>
        <v>388704</v>
      </c>
      <c r="X5" s="316">
        <f>Forecasts!CB4</f>
        <v>751296</v>
      </c>
      <c r="Y5" s="314">
        <f>Forecasts!CC4</f>
        <v>1140000</v>
      </c>
      <c r="Z5" s="316">
        <f>Forecasts!CD4</f>
        <v>157588</v>
      </c>
      <c r="AA5" s="316">
        <f>Forecasts!CE4</f>
        <v>311528</v>
      </c>
      <c r="AB5" s="316">
        <f>Forecasts!CF4</f>
        <v>396910</v>
      </c>
      <c r="AC5" s="316">
        <f>Forecasts!CG4</f>
        <v>674800</v>
      </c>
      <c r="AD5" s="314">
        <f>Forecasts!CH4</f>
        <v>1540826</v>
      </c>
      <c r="AE5" s="316">
        <f>Forecasts!CI4</f>
        <v>590495</v>
      </c>
      <c r="AF5" s="316">
        <f>Forecasts!CJ4</f>
        <v>686189</v>
      </c>
      <c r="AG5" s="316">
        <f>Forecasts!CK4</f>
        <v>720224</v>
      </c>
      <c r="AH5" s="316">
        <f>Forecasts!CL4</f>
        <v>788101</v>
      </c>
      <c r="AI5" s="314">
        <f>Forecasts!CM4</f>
        <v>2785009</v>
      </c>
      <c r="AJ5" s="316">
        <f>Forecasts!CN4</f>
        <v>781150</v>
      </c>
      <c r="AK5" s="316">
        <f>Forecasts!CO4</f>
        <v>1056318</v>
      </c>
      <c r="AL5" s="316">
        <f>Forecasts!CP4</f>
        <v>919146</v>
      </c>
      <c r="AM5" s="316">
        <f>Forecasts!CQ4</f>
        <v>556159.09317999997</v>
      </c>
      <c r="AN5" s="314">
        <f>Forecasts!CR4</f>
        <v>3312773.0931799999</v>
      </c>
      <c r="AO5" s="316">
        <f>Forecasts!CS4</f>
        <v>1419980.923</v>
      </c>
      <c r="AP5" s="316">
        <f>Forecasts!CT4</f>
        <v>1222565.1810000001</v>
      </c>
      <c r="AQ5" s="316">
        <f>Forecasts!CU4</f>
        <v>941717.10800000001</v>
      </c>
      <c r="AR5" s="316">
        <f>Forecasts!CV4</f>
        <v>856606.65300000005</v>
      </c>
      <c r="AS5" s="314">
        <f>Forecasts!CW4</f>
        <v>4440869.8650000002</v>
      </c>
      <c r="AT5" s="316">
        <f>Forecasts!CX4</f>
        <v>1884338.01</v>
      </c>
      <c r="AU5" s="316">
        <f>Forecasts!CY4</f>
        <v>1734686.9450000001</v>
      </c>
      <c r="AV5" s="316">
        <f>Forecasts!CZ4</f>
        <v>1560697</v>
      </c>
      <c r="AW5" s="316">
        <f>Forecasts!DA4</f>
        <v>1399837</v>
      </c>
      <c r="AX5" s="314">
        <f>Forecasts!DB4</f>
        <v>6579558.9550000001</v>
      </c>
      <c r="AY5" s="316">
        <f>Forecasts!DC4</f>
        <v>2783509</v>
      </c>
      <c r="AZ5" s="316">
        <f>Forecasts!DD4</f>
        <v>2225285.611</v>
      </c>
      <c r="BA5" s="316">
        <f>Forecasts!DE4</f>
        <v>1986377.642</v>
      </c>
      <c r="BB5" s="316">
        <f>Forecasts!DF4</f>
        <v>1289513.8230000001</v>
      </c>
      <c r="BC5" s="314">
        <f>Forecasts!DG4</f>
        <v>8284686.0759999994</v>
      </c>
      <c r="BD5" s="316">
        <f>Forecasts!DH4</f>
        <v>2646758.1394199999</v>
      </c>
      <c r="BE5" s="316">
        <f>Forecasts!DI4</f>
        <v>2256889.2392800003</v>
      </c>
      <c r="BF5" s="316">
        <f>Forecasts!DJ4</f>
        <v>2281861.6972702644</v>
      </c>
      <c r="BG5" s="316">
        <f>Forecasts!DK4</f>
        <v>1961043.9039802914</v>
      </c>
      <c r="BH5" s="314">
        <f>Forecasts!DL4</f>
        <v>9146552.9799505547</v>
      </c>
      <c r="BI5" s="316">
        <f>Forecasts!DM4</f>
        <v>2358178.6729522855</v>
      </c>
      <c r="BJ5" s="316">
        <f>Forecasts!DN4</f>
        <v>2384271.8975637974</v>
      </c>
      <c r="BK5" s="316">
        <f>Forecasts!DO4</f>
        <v>2410653.8434577282</v>
      </c>
      <c r="BL5" s="316">
        <f>Forecasts!DP4</f>
        <v>2437327.7053323239</v>
      </c>
      <c r="BM5" s="314">
        <f>Forecasts!DQ4</f>
        <v>9590432.1193061359</v>
      </c>
    </row>
    <row r="6" spans="2:65">
      <c r="B6" s="313" t="str">
        <f>Forecasts!A5</f>
        <v>Launches' Value (co%)</v>
      </c>
      <c r="C6" s="317">
        <f>Forecasts!AY5</f>
        <v>0</v>
      </c>
      <c r="D6" s="314">
        <f>Forecasts!BD5</f>
        <v>0</v>
      </c>
      <c r="E6" s="317">
        <f>Forecasts!BI5</f>
        <v>409189.60000000003</v>
      </c>
      <c r="F6" s="315">
        <f>Forecasts!BJ5</f>
        <v>0</v>
      </c>
      <c r="G6" s="315">
        <f>Forecasts!BK5</f>
        <v>0</v>
      </c>
      <c r="H6" s="318">
        <f>Forecasts!BL5</f>
        <v>0</v>
      </c>
      <c r="I6" s="318">
        <f>Forecasts!BM5</f>
        <v>434387.20000000001</v>
      </c>
      <c r="J6" s="317">
        <f>Forecasts!BN5</f>
        <v>434387.20000000001</v>
      </c>
      <c r="K6" s="318">
        <f>Forecasts!BO5</f>
        <v>0</v>
      </c>
      <c r="L6" s="318">
        <f>Forecasts!BP5</f>
        <v>0</v>
      </c>
      <c r="M6" s="318">
        <f>Forecasts!BQ5</f>
        <v>0</v>
      </c>
      <c r="N6" s="318">
        <f>Forecasts!BR5</f>
        <v>609633.6</v>
      </c>
      <c r="O6" s="317">
        <f>Forecasts!BS5</f>
        <v>609633.6</v>
      </c>
      <c r="P6" s="318">
        <f>Forecasts!BT5</f>
        <v>0</v>
      </c>
      <c r="Q6" s="318">
        <f>Forecasts!BU5</f>
        <v>0</v>
      </c>
      <c r="R6" s="318">
        <f>Forecasts!BV5</f>
        <v>0</v>
      </c>
      <c r="S6" s="318">
        <f>Forecasts!BW5</f>
        <v>725223.20000000007</v>
      </c>
      <c r="T6" s="317">
        <f>Forecasts!BX5</f>
        <v>725223.20000000007</v>
      </c>
      <c r="U6" s="318">
        <f>Forecasts!BY5</f>
        <v>0</v>
      </c>
      <c r="V6" s="318">
        <f>Forecasts!BZ5</f>
        <v>0</v>
      </c>
      <c r="W6" s="318">
        <f>Forecasts!CA5</f>
        <v>343138</v>
      </c>
      <c r="X6" s="318">
        <f>Forecasts!CB5</f>
        <v>601036.80000000005</v>
      </c>
      <c r="Y6" s="317">
        <f>Forecasts!CC5</f>
        <v>944174.8</v>
      </c>
      <c r="Z6" s="318">
        <f>Forecasts!CD5</f>
        <v>72471</v>
      </c>
      <c r="AA6" s="318">
        <f>Forecasts!CE5</f>
        <v>311528</v>
      </c>
      <c r="AB6" s="318">
        <f>Forecasts!CF5</f>
        <v>367289</v>
      </c>
      <c r="AC6" s="318">
        <f>Forecasts!CG5</f>
        <v>625443</v>
      </c>
      <c r="AD6" s="317">
        <f>Forecasts!CH5</f>
        <v>1376731</v>
      </c>
      <c r="AE6" s="318">
        <f>Forecasts!CI5</f>
        <v>472469</v>
      </c>
      <c r="AF6" s="318">
        <f>Forecasts!CJ5</f>
        <v>650172</v>
      </c>
      <c r="AG6" s="318">
        <f>Forecasts!CK5</f>
        <v>633173</v>
      </c>
      <c r="AH6" s="318">
        <f>Forecasts!CL5</f>
        <v>719679</v>
      </c>
      <c r="AI6" s="317">
        <f>Forecasts!CM5</f>
        <v>2475493</v>
      </c>
      <c r="AJ6" s="318">
        <f>Forecasts!CN5</f>
        <v>781150</v>
      </c>
      <c r="AK6" s="318">
        <f>Forecasts!CO5</f>
        <v>1056318</v>
      </c>
      <c r="AL6" s="318">
        <f>Forecasts!CP5</f>
        <v>876846</v>
      </c>
      <c r="AM6" s="318">
        <f>Forecasts!CQ5</f>
        <v>556159.09317999997</v>
      </c>
      <c r="AN6" s="317">
        <f>Forecasts!CR5</f>
        <v>3270473.0931799999</v>
      </c>
      <c r="AO6" s="318">
        <f>Forecasts!CS5</f>
        <v>1419980.923</v>
      </c>
      <c r="AP6" s="318">
        <f>Forecasts!CT5</f>
        <v>1137966.2764999999</v>
      </c>
      <c r="AQ6" s="318">
        <f>Forecasts!CU5</f>
        <v>805577.10609999998</v>
      </c>
      <c r="AR6" s="318">
        <f>Forecasts!CV5</f>
        <v>856606.65300000005</v>
      </c>
      <c r="AS6" s="317">
        <f>Forecasts!CW5</f>
        <v>4220130.9586000005</v>
      </c>
      <c r="AT6" s="318">
        <f>Forecasts!CX5</f>
        <v>1499854.8459999999</v>
      </c>
      <c r="AU6" s="318">
        <f>Forecasts!CY5</f>
        <v>1676918.567</v>
      </c>
      <c r="AV6" s="318">
        <f>Forecasts!CZ5</f>
        <v>1503046</v>
      </c>
      <c r="AW6" s="318">
        <f>Forecasts!DA5</f>
        <v>1060952</v>
      </c>
      <c r="AX6" s="317">
        <f>Forecasts!DB5</f>
        <v>5740771.4129999997</v>
      </c>
      <c r="AY6" s="318">
        <f>Forecasts!DC5</f>
        <v>2666305</v>
      </c>
      <c r="AZ6" s="318">
        <f>Forecasts!DD5</f>
        <v>1960487.6510000001</v>
      </c>
      <c r="BA6" s="318">
        <f>Forecasts!DE5</f>
        <v>1733913.905</v>
      </c>
      <c r="BB6" s="318">
        <f>Forecasts!DF5</f>
        <v>1179132.223</v>
      </c>
      <c r="BC6" s="317">
        <f>Forecasts!DG5</f>
        <v>7539838.779000001</v>
      </c>
      <c r="BD6" s="318">
        <f>Forecasts!DH5</f>
        <v>2268903.8628519997</v>
      </c>
      <c r="BE6" s="318">
        <f>Forecasts!DI5</f>
        <v>1943927.85928</v>
      </c>
      <c r="BF6" s="318">
        <f>Forecasts!DJ5</f>
        <v>2099312.7614886435</v>
      </c>
      <c r="BG6" s="318">
        <f>Forecasts!DK5</f>
        <v>1804160.3916618682</v>
      </c>
      <c r="BH6" s="317">
        <f>Forecasts!DL5</f>
        <v>8116304.8752825111</v>
      </c>
      <c r="BI6" s="318">
        <f>Forecasts!DM5</f>
        <v>2145942.5923865801</v>
      </c>
      <c r="BJ6" s="318">
        <f>Forecasts!DN5</f>
        <v>2169687.4267830555</v>
      </c>
      <c r="BK6" s="318">
        <f>Forecasts!DO5</f>
        <v>2193694.9975465327</v>
      </c>
      <c r="BL6" s="318">
        <f>Forecasts!DP5</f>
        <v>2217968.211852415</v>
      </c>
      <c r="BM6" s="317">
        <f>Forecasts!DQ5</f>
        <v>8727293.2285685837</v>
      </c>
    </row>
    <row r="7" spans="2:65" hidden="1" outlineLevel="1">
      <c r="B7" s="313" t="str">
        <f>Forecasts!A6</f>
        <v>Avg Share (%)</v>
      </c>
      <c r="C7" s="319" t="e">
        <f>Forecasts!AY6</f>
        <v>#DIV/0!</v>
      </c>
      <c r="D7" s="319" t="e">
        <f>Forecasts!BD6</f>
        <v>#DIV/0!</v>
      </c>
      <c r="E7" s="319">
        <f>Forecasts!BI6</f>
        <v>0.8</v>
      </c>
      <c r="F7" s="320">
        <f>Forecasts!BJ6</f>
        <v>0.8</v>
      </c>
      <c r="G7" s="320">
        <f>Forecasts!BK6</f>
        <v>0.8</v>
      </c>
      <c r="H7" s="321">
        <f>Forecasts!BL6</f>
        <v>0.8</v>
      </c>
      <c r="I7" s="321">
        <f>Forecasts!BM6</f>
        <v>0.8</v>
      </c>
      <c r="J7" s="319">
        <f>Forecasts!BN6</f>
        <v>0.8</v>
      </c>
      <c r="K7" s="321">
        <f>Forecasts!BO6</f>
        <v>0.8</v>
      </c>
      <c r="L7" s="321">
        <f>Forecasts!BP6</f>
        <v>0.8</v>
      </c>
      <c r="M7" s="321">
        <f>Forecasts!BQ6</f>
        <v>0.8</v>
      </c>
      <c r="N7" s="321">
        <f>Forecasts!BR6</f>
        <v>0.79999999999999993</v>
      </c>
      <c r="O7" s="319">
        <f>Forecasts!BS6</f>
        <v>0.79999999999999993</v>
      </c>
      <c r="P7" s="321">
        <f>Forecasts!BT6</f>
        <v>0.79999999999999993</v>
      </c>
      <c r="Q7" s="321">
        <f>Forecasts!BU6</f>
        <v>0.79999999999999993</v>
      </c>
      <c r="R7" s="321">
        <f>Forecasts!BV6</f>
        <v>0.79999999999999993</v>
      </c>
      <c r="S7" s="321">
        <f>Forecasts!BW6</f>
        <v>0.8</v>
      </c>
      <c r="T7" s="319">
        <f>Forecasts!BX6</f>
        <v>0.8</v>
      </c>
      <c r="U7" s="321">
        <f>Forecasts!BY6</f>
        <v>0.8</v>
      </c>
      <c r="V7" s="321">
        <f>Forecasts!BZ6</f>
        <v>0.8</v>
      </c>
      <c r="W7" s="321">
        <f>Forecasts!CA6</f>
        <v>0.8</v>
      </c>
      <c r="X7" s="321">
        <f>Forecasts!CB6</f>
        <v>0.8</v>
      </c>
      <c r="Y7" s="319">
        <f>Forecasts!CC6</f>
        <v>0.82822350877192985</v>
      </c>
      <c r="Z7" s="321">
        <f>Forecasts!CD6</f>
        <v>0.45987638652689289</v>
      </c>
      <c r="AA7" s="321">
        <f>Forecasts!CE6</f>
        <v>1</v>
      </c>
      <c r="AB7" s="321">
        <f>Forecasts!CF6</f>
        <v>0.92537099090473907</v>
      </c>
      <c r="AC7" s="321">
        <f>Forecasts!CG6</f>
        <v>0.92685684647302902</v>
      </c>
      <c r="AD7" s="319">
        <f>Forecasts!CH6</f>
        <v>0.893501926888565</v>
      </c>
      <c r="AE7" s="321">
        <f>Forecasts!CI6</f>
        <v>0.80012362509420065</v>
      </c>
      <c r="AF7" s="321">
        <f>Forecasts!CJ6</f>
        <v>0.9475115456528741</v>
      </c>
      <c r="AG7" s="321">
        <f>Forecasts!CK6</f>
        <v>0.87913343626427332</v>
      </c>
      <c r="AH7" s="321">
        <f>Forecasts!CL6</f>
        <v>0.91318117855452541</v>
      </c>
      <c r="AI7" s="319">
        <f>Forecasts!CM6</f>
        <v>0.88886355483949964</v>
      </c>
      <c r="AJ7" s="321">
        <f>Forecasts!CN6</f>
        <v>1</v>
      </c>
      <c r="AK7" s="321">
        <f>Forecasts!CO6</f>
        <v>1</v>
      </c>
      <c r="AL7" s="321">
        <f>Forecasts!CP6</f>
        <v>0.95397901965520171</v>
      </c>
      <c r="AM7" s="321">
        <f>Forecasts!CQ6</f>
        <v>1</v>
      </c>
      <c r="AN7" s="319">
        <f>Forecasts!CR6</f>
        <v>0.98723124137687457</v>
      </c>
      <c r="AO7" s="321">
        <f>Forecasts!CS6</f>
        <v>1</v>
      </c>
      <c r="AP7" s="321">
        <f>Forecasts!CT6</f>
        <v>0.93080213160430247</v>
      </c>
      <c r="AQ7" s="321">
        <f>Forecasts!CU6</f>
        <v>0.85543429046422292</v>
      </c>
      <c r="AR7" s="321">
        <f>Forecasts!CV6</f>
        <v>1</v>
      </c>
      <c r="AS7" s="319">
        <f>Forecasts!CW6</f>
        <v>0.95029376831333923</v>
      </c>
      <c r="AT7" s="321">
        <f>Forecasts!CX6</f>
        <v>0.79595849472887292</v>
      </c>
      <c r="AU7" s="321">
        <f>Forecasts!CY6</f>
        <v>0.96669809606482049</v>
      </c>
      <c r="AV7" s="321">
        <f>Forecasts!CZ6</f>
        <v>0.9630607350433813</v>
      </c>
      <c r="AW7" s="321">
        <f>Forecasts!DA6</f>
        <v>0.75791109964945924</v>
      </c>
      <c r="AX7" s="319">
        <f>Forecasts!DB6</f>
        <v>0.87251614466307337</v>
      </c>
      <c r="AY7" s="321">
        <f>Forecasts!DC6</f>
        <v>0.95789343594721632</v>
      </c>
      <c r="AZ7" s="321">
        <f>Forecasts!DD6</f>
        <v>0.88100495563757997</v>
      </c>
      <c r="BA7" s="321">
        <f>Forecasts!DE6</f>
        <v>0.87290244731822253</v>
      </c>
      <c r="BB7" s="321">
        <f>Forecasts!DF6</f>
        <v>0.91440060739852957</v>
      </c>
      <c r="BC7" s="319">
        <f>Forecasts!DG6</f>
        <v>0.91009347968443188</v>
      </c>
      <c r="BD7" s="321">
        <f>Forecasts!DH6</f>
        <v>0.85723883458017747</v>
      </c>
      <c r="BE7" s="321">
        <f>Forecasts!DI6</f>
        <v>0.86133064283657879</v>
      </c>
      <c r="BF7" s="321">
        <f>Forecasts!DJ6</f>
        <v>0.92</v>
      </c>
      <c r="BG7" s="321">
        <f>Forecasts!DK6</f>
        <v>0.92</v>
      </c>
      <c r="BH7" s="319">
        <f>Forecasts!DL6</f>
        <v>0.88736214539768477</v>
      </c>
      <c r="BI7" s="321">
        <f>Forecasts!DM6</f>
        <v>0.91</v>
      </c>
      <c r="BJ7" s="321">
        <f>Forecasts!DN6</f>
        <v>0.91</v>
      </c>
      <c r="BK7" s="321">
        <f>Forecasts!DO6</f>
        <v>0.91</v>
      </c>
      <c r="BL7" s="321">
        <f>Forecasts!DP6</f>
        <v>0.91</v>
      </c>
      <c r="BM7" s="319">
        <f>Forecasts!DQ6</f>
        <v>0.91</v>
      </c>
    </row>
    <row r="8" spans="2:65" hidden="1" outlineLevel="1">
      <c r="B8" s="313" t="str">
        <f>Forecasts!A7</f>
        <v># of Units Launched</v>
      </c>
      <c r="C8" s="317">
        <f>Forecasts!AY7</f>
        <v>0</v>
      </c>
      <c r="D8" s="317">
        <f>Forecasts!BD7</f>
        <v>0</v>
      </c>
      <c r="E8" s="317">
        <f>Forecasts!BI7</f>
        <v>2797</v>
      </c>
      <c r="F8" s="315">
        <f>Forecasts!BJ7</f>
        <v>0</v>
      </c>
      <c r="G8" s="315">
        <f>Forecasts!BK7</f>
        <v>0</v>
      </c>
      <c r="H8" s="322">
        <f>Forecasts!BL7</f>
        <v>0</v>
      </c>
      <c r="I8" s="322">
        <f>Forecasts!BM7</f>
        <v>3089</v>
      </c>
      <c r="J8" s="317">
        <f>Forecasts!BN7</f>
        <v>3089</v>
      </c>
      <c r="K8" s="322">
        <f>Forecasts!BO7</f>
        <v>0</v>
      </c>
      <c r="L8" s="322">
        <f>Forecasts!BP7</f>
        <v>0</v>
      </c>
      <c r="M8" s="322">
        <f>Forecasts!BQ7</f>
        <v>0</v>
      </c>
      <c r="N8" s="322">
        <f>Forecasts!BR7</f>
        <v>4222</v>
      </c>
      <c r="O8" s="317">
        <f>Forecasts!BS7</f>
        <v>4222</v>
      </c>
      <c r="P8" s="322">
        <f>Forecasts!BT7</f>
        <v>0</v>
      </c>
      <c r="Q8" s="322">
        <f>Forecasts!BU7</f>
        <v>0</v>
      </c>
      <c r="R8" s="322">
        <f>Forecasts!BV7</f>
        <v>0</v>
      </c>
      <c r="S8" s="322">
        <f>Forecasts!BW7</f>
        <v>4578</v>
      </c>
      <c r="T8" s="317">
        <f>Forecasts!BX7</f>
        <v>4578</v>
      </c>
      <c r="U8" s="322">
        <f>Forecasts!BY7</f>
        <v>0</v>
      </c>
      <c r="V8" s="322">
        <f>Forecasts!BZ7</f>
        <v>0</v>
      </c>
      <c r="W8" s="322">
        <f>Forecasts!CA7</f>
        <v>2055</v>
      </c>
      <c r="X8" s="322">
        <f>Forecasts!CB7</f>
        <v>4029</v>
      </c>
      <c r="Y8" s="317">
        <f>Forecasts!CC7</f>
        <v>6084</v>
      </c>
      <c r="Z8" s="322">
        <f>Forecasts!CD7</f>
        <v>903</v>
      </c>
      <c r="AA8" s="322">
        <f>Forecasts!CE7</f>
        <v>1830</v>
      </c>
      <c r="AB8" s="322">
        <f>Forecasts!CF7</f>
        <v>2061</v>
      </c>
      <c r="AC8" s="322">
        <f>Forecasts!CG7</f>
        <v>3439</v>
      </c>
      <c r="AD8" s="317">
        <f>Forecasts!CH7</f>
        <v>8233</v>
      </c>
      <c r="AE8" s="322">
        <f>Forecasts!CI7</f>
        <v>2957</v>
      </c>
      <c r="AF8" s="322">
        <f>Forecasts!CJ7</f>
        <v>3244</v>
      </c>
      <c r="AG8" s="322">
        <f>Forecasts!CK7</f>
        <v>3163</v>
      </c>
      <c r="AH8" s="322">
        <f>Forecasts!CL7</f>
        <v>3275</v>
      </c>
      <c r="AI8" s="317">
        <f>Forecasts!CM7</f>
        <v>12639</v>
      </c>
      <c r="AJ8" s="322">
        <f>Forecasts!CN7</f>
        <v>3240</v>
      </c>
      <c r="AK8" s="322">
        <f>Forecasts!CO7</f>
        <v>3548</v>
      </c>
      <c r="AL8" s="322">
        <f>Forecasts!CP7</f>
        <v>3650</v>
      </c>
      <c r="AM8" s="322">
        <f>Forecasts!CQ7</f>
        <v>2147</v>
      </c>
      <c r="AN8" s="317">
        <f>Forecasts!CR7</f>
        <v>12585</v>
      </c>
      <c r="AO8" s="322">
        <f>Forecasts!CS7</f>
        <v>5095</v>
      </c>
      <c r="AP8" s="322">
        <f>Forecasts!CT7</f>
        <v>3799</v>
      </c>
      <c r="AQ8" s="322">
        <f>Forecasts!CU7</f>
        <v>3658</v>
      </c>
      <c r="AR8" s="322">
        <f>Forecasts!CV7</f>
        <v>3123</v>
      </c>
      <c r="AS8" s="317">
        <f>Forecasts!CW7</f>
        <v>15675</v>
      </c>
      <c r="AT8" s="322">
        <f>Forecasts!CX7</f>
        <v>5959</v>
      </c>
      <c r="AU8" s="322">
        <f>Forecasts!CY7</f>
        <v>5588</v>
      </c>
      <c r="AV8" s="322">
        <f>Forecasts!CZ7</f>
        <v>5157</v>
      </c>
      <c r="AW8" s="322">
        <f>Forecasts!DA7</f>
        <v>4061</v>
      </c>
      <c r="AX8" s="317">
        <f>Forecasts!DB7</f>
        <v>20765</v>
      </c>
      <c r="AY8" s="322">
        <f>Forecasts!DC7</f>
        <v>9132</v>
      </c>
      <c r="AZ8" s="322">
        <f>Forecasts!DD7</f>
        <v>6588</v>
      </c>
      <c r="BA8" s="322">
        <f>Forecasts!DE7</f>
        <v>6813</v>
      </c>
      <c r="BB8" s="322">
        <f>Forecasts!DF7</f>
        <v>3833</v>
      </c>
      <c r="BC8" s="317">
        <f>Forecasts!DG7</f>
        <v>26366</v>
      </c>
      <c r="BD8" s="322">
        <f>Forecasts!DH7</f>
        <v>8001</v>
      </c>
      <c r="BE8" s="322">
        <f>Forecasts!DI7</f>
        <v>6549</v>
      </c>
      <c r="BF8" s="322">
        <f>Forecasts!DJ7</f>
        <v>6549</v>
      </c>
      <c r="BG8" s="322">
        <f>Forecasts!DK7</f>
        <v>5566.6500000000005</v>
      </c>
      <c r="BH8" s="317">
        <f>Forecasts!DL7</f>
        <v>26665.65</v>
      </c>
      <c r="BI8" s="322">
        <f>Forecasts!DM7</f>
        <v>6620.7049499694076</v>
      </c>
      <c r="BJ8" s="322">
        <f>Forecasts!DN7</f>
        <v>6620.7049499694076</v>
      </c>
      <c r="BK8" s="322">
        <f>Forecasts!DO7</f>
        <v>6620.7049499694076</v>
      </c>
      <c r="BL8" s="322">
        <f>Forecasts!DP7</f>
        <v>6620.7049499694076</v>
      </c>
      <c r="BM8" s="317">
        <f>Forecasts!DQ7</f>
        <v>26482.81979987763</v>
      </c>
    </row>
    <row r="9" spans="2:65" hidden="1" outlineLevel="1">
      <c r="B9" s="323" t="str">
        <f>Forecasts!A8</f>
        <v>Avg Launching Price, R$000/unit</v>
      </c>
      <c r="C9" s="324" t="e">
        <f>Forecasts!AY8</f>
        <v>#DIV/0!</v>
      </c>
      <c r="D9" s="324" t="e">
        <f>Forecasts!BD8</f>
        <v>#DIV/0!</v>
      </c>
      <c r="E9" s="324">
        <f>Forecasts!BI8</f>
        <v>182869.86056489096</v>
      </c>
      <c r="F9" s="325">
        <f>Forecasts!BJ8</f>
        <v>182869.86056489096</v>
      </c>
      <c r="G9" s="325">
        <f>Forecasts!BK8</f>
        <v>182869.86056489096</v>
      </c>
      <c r="H9" s="326">
        <f>Forecasts!BL8</f>
        <v>182869.86056489096</v>
      </c>
      <c r="I9" s="326">
        <f>Forecasts!BM8</f>
        <v>175779.86403366787</v>
      </c>
      <c r="J9" s="324">
        <f>Forecasts!BN8</f>
        <v>175779.86403366787</v>
      </c>
      <c r="K9" s="326">
        <f>Forecasts!BO8</f>
        <v>175779.86403366787</v>
      </c>
      <c r="L9" s="326">
        <f>Forecasts!BP8</f>
        <v>175779.86403366787</v>
      </c>
      <c r="M9" s="326">
        <f>Forecasts!BQ8</f>
        <v>175779.86403366787</v>
      </c>
      <c r="N9" s="326">
        <f>Forecasts!BR8</f>
        <v>180493.1312174325</v>
      </c>
      <c r="O9" s="324">
        <f>Forecasts!BS8</f>
        <v>180493.1312174325</v>
      </c>
      <c r="P9" s="326">
        <f>Forecasts!BT8</f>
        <v>180493.1312174325</v>
      </c>
      <c r="Q9" s="326">
        <f>Forecasts!BU8</f>
        <v>180493.1312174325</v>
      </c>
      <c r="R9" s="326">
        <f>Forecasts!BV8</f>
        <v>180493.1312174325</v>
      </c>
      <c r="S9" s="326">
        <f>Forecasts!BW8</f>
        <v>198018.56705985146</v>
      </c>
      <c r="T9" s="324">
        <f>Forecasts!BX8</f>
        <v>198018.56705985146</v>
      </c>
      <c r="U9" s="326">
        <f>Forecasts!BY8</f>
        <v>198018.56705985146</v>
      </c>
      <c r="V9" s="326">
        <f>Forecasts!BZ8</f>
        <v>198018.56705985146</v>
      </c>
      <c r="W9" s="326">
        <f>Forecasts!CA8</f>
        <v>198018.56705985146</v>
      </c>
      <c r="X9" s="326">
        <f>Forecasts!CB8</f>
        <v>186472.07743857036</v>
      </c>
      <c r="Y9" s="324">
        <f>Forecasts!CC8</f>
        <v>187376.7258382643</v>
      </c>
      <c r="Z9" s="326">
        <f>Forecasts!CD8</f>
        <v>174516.05758582504</v>
      </c>
      <c r="AA9" s="326">
        <f>Forecasts!CE8</f>
        <v>170233.87978142078</v>
      </c>
      <c r="AB9" s="326">
        <f>Forecasts!CF8</f>
        <v>192581.27122755942</v>
      </c>
      <c r="AC9" s="326">
        <f>Forecasts!CG8</f>
        <v>196219.83134632162</v>
      </c>
      <c r="AD9" s="324">
        <f>Forecasts!CH8</f>
        <v>187152.43532126807</v>
      </c>
      <c r="AE9" s="326">
        <f>Forecasts!CI8</f>
        <v>199693.94656746704</v>
      </c>
      <c r="AF9" s="326">
        <f>Forecasts!CJ8</f>
        <v>211525.58569667078</v>
      </c>
      <c r="AG9" s="326">
        <f>Forecasts!CK8</f>
        <v>227702.81378438193</v>
      </c>
      <c r="AH9" s="326">
        <f>Forecasts!CL8</f>
        <v>240641.52671755725</v>
      </c>
      <c r="AI9" s="324">
        <f>Forecasts!CM8</f>
        <v>220350.42329298204</v>
      </c>
      <c r="AJ9" s="326">
        <f>Forecasts!CN8</f>
        <v>241095.67901234567</v>
      </c>
      <c r="AK9" s="326">
        <f>Forecasts!CO8</f>
        <v>297722.09695603157</v>
      </c>
      <c r="AL9" s="326">
        <f>Forecasts!CP8</f>
        <v>251820.82191780821</v>
      </c>
      <c r="AM9" s="326">
        <f>Forecasts!CQ8</f>
        <v>259040.09929203536</v>
      </c>
      <c r="AN9" s="324">
        <f>Forecasts!CR8</f>
        <v>263231.8707334128</v>
      </c>
      <c r="AO9" s="326">
        <f>Forecasts!CS8</f>
        <v>278700.86810598627</v>
      </c>
      <c r="AP9" s="326">
        <f>Forecasts!CT8</f>
        <v>321812.36667544092</v>
      </c>
      <c r="AQ9" s="326">
        <f>Forecasts!CU8</f>
        <v>257440.43411700384</v>
      </c>
      <c r="AR9" s="326">
        <f>Forecasts!CV8</f>
        <v>274289.67435158504</v>
      </c>
      <c r="AS9" s="324">
        <f>Forecasts!CW8</f>
        <v>269226.85541307816</v>
      </c>
      <c r="AT9" s="326">
        <f>Forecasts!CX8</f>
        <v>316217.1522067461</v>
      </c>
      <c r="AU9" s="326">
        <f>Forecasts!CY8</f>
        <v>310430.73460987833</v>
      </c>
      <c r="AV9" s="326">
        <f>Forecasts!CZ8</f>
        <v>302636.61043242196</v>
      </c>
      <c r="AW9" s="326">
        <f>Forecasts!DA8</f>
        <v>344702.53632110317</v>
      </c>
      <c r="AX9" s="324">
        <f>Forecasts!DB8</f>
        <v>276463.82918372261</v>
      </c>
      <c r="AY9" s="326">
        <f>Forecasts!DC8</f>
        <v>304808.25667980727</v>
      </c>
      <c r="AZ9" s="326">
        <f>Forecasts!DD8</f>
        <v>337778.62947783852</v>
      </c>
      <c r="BA9" s="326">
        <f>Forecasts!DE8</f>
        <v>291556.97079113458</v>
      </c>
      <c r="BB9" s="326">
        <f>Forecasts!DF8</f>
        <v>336424.16462301067</v>
      </c>
      <c r="BC9" s="324">
        <f>Forecasts!DG8</f>
        <v>285968.24618827284</v>
      </c>
      <c r="BD9" s="326">
        <f>Forecasts!DH8</f>
        <v>330803.41700037499</v>
      </c>
      <c r="BE9" s="326">
        <f>Forecasts!DI8</f>
        <v>344615.85574591544</v>
      </c>
      <c r="BF9" s="326">
        <f>Forecasts!DJ8</f>
        <v>348429.0269156</v>
      </c>
      <c r="BG9" s="326">
        <f>Forecasts!DK8</f>
        <v>352284.39078804874</v>
      </c>
      <c r="BH9" s="324">
        <f>Forecasts!DL8</f>
        <v>304373.0370451315</v>
      </c>
      <c r="BI9" s="326">
        <f>Forecasts!DM8</f>
        <v>356182.4142251169</v>
      </c>
      <c r="BJ9" s="326">
        <f>Forecasts!DN8</f>
        <v>360123.56925448164</v>
      </c>
      <c r="BK9" s="326">
        <f>Forecasts!DO8</f>
        <v>364108.333126802</v>
      </c>
      <c r="BL9" s="326">
        <f>Forecasts!DP8</f>
        <v>368137.1883735109</v>
      </c>
      <c r="BM9" s="324">
        <f>Forecasts!DQ8</f>
        <v>329545.46738292993</v>
      </c>
    </row>
    <row r="10" spans="2:65" collapsed="1">
      <c r="B10" s="313" t="str">
        <f>Forecasts!A9</f>
        <v>Total Contracted Sales (100%)</v>
      </c>
      <c r="C10" s="317">
        <f>Forecasts!AY9</f>
        <v>0</v>
      </c>
      <c r="D10" s="317">
        <f>Forecasts!BD9</f>
        <v>0</v>
      </c>
      <c r="E10" s="317">
        <f>Forecasts!BI9</f>
        <v>603000</v>
      </c>
      <c r="F10" s="315">
        <f>Forecasts!BJ9</f>
        <v>0</v>
      </c>
      <c r="G10" s="315">
        <f>Forecasts!BK9</f>
        <v>0</v>
      </c>
      <c r="H10" s="322">
        <f>Forecasts!BL9</f>
        <v>0</v>
      </c>
      <c r="I10" s="322">
        <f>Forecasts!BM9</f>
        <v>653000</v>
      </c>
      <c r="J10" s="317">
        <f>Forecasts!BN9</f>
        <v>653000</v>
      </c>
      <c r="K10" s="322">
        <f>Forecasts!BO9</f>
        <v>0</v>
      </c>
      <c r="L10" s="322">
        <f>Forecasts!BP9</f>
        <v>0</v>
      </c>
      <c r="M10" s="322">
        <f>Forecasts!BQ9</f>
        <v>0</v>
      </c>
      <c r="N10" s="322">
        <f>Forecasts!BR9</f>
        <v>741000</v>
      </c>
      <c r="O10" s="317">
        <f>Forecasts!BS9</f>
        <v>741000</v>
      </c>
      <c r="P10" s="322">
        <f>Forecasts!BT9</f>
        <v>0</v>
      </c>
      <c r="Q10" s="322">
        <f>Forecasts!BU9</f>
        <v>0</v>
      </c>
      <c r="R10" s="322">
        <f>Forecasts!BV9</f>
        <v>0</v>
      </c>
      <c r="S10" s="322">
        <f>Forecasts!BW9</f>
        <v>887000</v>
      </c>
      <c r="T10" s="317">
        <f>Forecasts!BX9</f>
        <v>887000</v>
      </c>
      <c r="U10" s="322">
        <f>Forecasts!BY9</f>
        <v>0</v>
      </c>
      <c r="V10" s="322">
        <f>Forecasts!BZ9</f>
        <v>0</v>
      </c>
      <c r="W10" s="322">
        <f>Forecasts!CA9</f>
        <v>261049</v>
      </c>
      <c r="X10" s="322">
        <f>Forecasts!CB9</f>
        <v>720951</v>
      </c>
      <c r="Y10" s="317">
        <f>Forecasts!CC9</f>
        <v>982000</v>
      </c>
      <c r="Z10" s="322">
        <f>Forecasts!CD9</f>
        <v>238878</v>
      </c>
      <c r="AA10" s="322">
        <f>Forecasts!CE9</f>
        <v>292082</v>
      </c>
      <c r="AB10" s="322">
        <f>Forecasts!CF9</f>
        <v>410346</v>
      </c>
      <c r="AC10" s="322">
        <f>Forecasts!CG9</f>
        <v>404605</v>
      </c>
      <c r="AD10" s="317">
        <f>Forecasts!CH9</f>
        <v>1345911</v>
      </c>
      <c r="AE10" s="322">
        <f>Forecasts!CI9</f>
        <v>590373</v>
      </c>
      <c r="AF10" s="322">
        <f>Forecasts!CJ9</f>
        <v>682578</v>
      </c>
      <c r="AG10" s="322">
        <f>Forecasts!CK9</f>
        <v>682371</v>
      </c>
      <c r="AH10" s="322">
        <f>Forecasts!CL9</f>
        <v>611366</v>
      </c>
      <c r="AI10" s="317">
        <f>Forecasts!CM9</f>
        <v>2566688</v>
      </c>
      <c r="AJ10" s="322">
        <f>Forecasts!CN9</f>
        <v>753366</v>
      </c>
      <c r="AK10" s="322">
        <f>Forecasts!CO9</f>
        <v>897485</v>
      </c>
      <c r="AL10" s="322">
        <f>Forecasts!CP9</f>
        <v>885833</v>
      </c>
      <c r="AM10" s="322">
        <f>Forecasts!CQ9</f>
        <v>753062.04715999996</v>
      </c>
      <c r="AN10" s="317">
        <f>Forecasts!CR9</f>
        <v>3289746.0471600001</v>
      </c>
      <c r="AO10" s="322">
        <f>Forecasts!CS9</f>
        <v>1078891.9739699997</v>
      </c>
      <c r="AP10" s="322">
        <f>Forecasts!CT9</f>
        <v>1193950.7560000001</v>
      </c>
      <c r="AQ10" s="322">
        <f>Forecasts!CU9</f>
        <v>972643.94625000027</v>
      </c>
      <c r="AR10" s="322">
        <f>Forecasts!CV9</f>
        <v>904671.58600000001</v>
      </c>
      <c r="AS10" s="317">
        <f>Forecasts!CW9</f>
        <v>4150158.2622199999</v>
      </c>
      <c r="AT10" s="322">
        <f>Forecasts!CX9</f>
        <v>1552135.31929</v>
      </c>
      <c r="AU10" s="322">
        <f>Forecasts!CY9</f>
        <v>1749239.9412900002</v>
      </c>
      <c r="AV10" s="322">
        <f>Forecasts!CZ9</f>
        <v>1437151.16322</v>
      </c>
      <c r="AW10" s="322">
        <f>Forecasts!DA9</f>
        <v>1423748</v>
      </c>
      <c r="AX10" s="317">
        <f>Forecasts!DB9</f>
        <v>6162274.4238000009</v>
      </c>
      <c r="AY10" s="322">
        <f>Forecasts!DC9</f>
        <v>2105578.8965500002</v>
      </c>
      <c r="AZ10" s="322">
        <f>Forecasts!DD9</f>
        <v>2261363.1793000004</v>
      </c>
      <c r="BA10" s="322">
        <f>Forecasts!DE9</f>
        <v>1827036.243</v>
      </c>
      <c r="BB10" s="322">
        <f>Forecasts!DF9</f>
        <v>1556335.6542800006</v>
      </c>
      <c r="BC10" s="317">
        <f>Forecasts!DG9</f>
        <v>7750313.9731300008</v>
      </c>
      <c r="BD10" s="322">
        <f>Forecasts!DH9</f>
        <v>2304619.7087000008</v>
      </c>
      <c r="BE10" s="322">
        <f>Forecasts!DI9</f>
        <v>2045507.7053900007</v>
      </c>
      <c r="BF10" s="322">
        <f>Forecasts!DJ9</f>
        <v>2113163.0074579474</v>
      </c>
      <c r="BG10" s="322">
        <f>Forecasts!DK9</f>
        <v>2169193.1742033567</v>
      </c>
      <c r="BH10" s="317">
        <f>Forecasts!DL9</f>
        <v>8632483.595751306</v>
      </c>
      <c r="BI10" s="322">
        <f>Forecasts!DM9</f>
        <v>2265196.8576968303</v>
      </c>
      <c r="BJ10" s="322">
        <f>Forecasts!DN9</f>
        <v>2313510.1774195712</v>
      </c>
      <c r="BK10" s="322">
        <f>Forecasts!DO9</f>
        <v>2349529.1498224647</v>
      </c>
      <c r="BL10" s="322">
        <f>Forecasts!DP9</f>
        <v>2381987.0017404603</v>
      </c>
      <c r="BM10" s="317">
        <f>Forecasts!DQ9</f>
        <v>9310223.186679326</v>
      </c>
    </row>
    <row r="11" spans="2:65">
      <c r="B11" s="313" t="str">
        <f>Forecasts!A10</f>
        <v>Contracted Sales (co%)</v>
      </c>
      <c r="C11" s="317">
        <f>Forecasts!AY10</f>
        <v>0</v>
      </c>
      <c r="D11" s="317">
        <f>Forecasts!BD10</f>
        <v>0</v>
      </c>
      <c r="E11" s="317">
        <f>Forecasts!BI10</f>
        <v>482400</v>
      </c>
      <c r="F11" s="315">
        <f>Forecasts!BJ10</f>
        <v>0</v>
      </c>
      <c r="G11" s="315">
        <f>Forecasts!BK10</f>
        <v>0</v>
      </c>
      <c r="H11" s="327">
        <f>Forecasts!BL10</f>
        <v>0</v>
      </c>
      <c r="I11" s="327">
        <f>Forecasts!BM10</f>
        <v>522400</v>
      </c>
      <c r="J11" s="317">
        <f>Forecasts!BN10</f>
        <v>522400</v>
      </c>
      <c r="K11" s="327">
        <f>Forecasts!BO10</f>
        <v>0</v>
      </c>
      <c r="L11" s="327">
        <f>Forecasts!BP10</f>
        <v>0</v>
      </c>
      <c r="M11" s="327">
        <f>Forecasts!BQ10</f>
        <v>0</v>
      </c>
      <c r="N11" s="327">
        <f>Forecasts!BR10</f>
        <v>592800</v>
      </c>
      <c r="O11" s="317">
        <f>Forecasts!BS10</f>
        <v>592800</v>
      </c>
      <c r="P11" s="327">
        <f>Forecasts!BT10</f>
        <v>0</v>
      </c>
      <c r="Q11" s="327">
        <f>Forecasts!BU10</f>
        <v>0</v>
      </c>
      <c r="R11" s="327">
        <f>Forecasts!BV10</f>
        <v>0</v>
      </c>
      <c r="S11" s="327">
        <f>Forecasts!BW10</f>
        <v>709600</v>
      </c>
      <c r="T11" s="317">
        <f>Forecasts!BX10</f>
        <v>709600</v>
      </c>
      <c r="U11" s="327">
        <f>Forecasts!BY10</f>
        <v>0</v>
      </c>
      <c r="V11" s="327">
        <f>Forecasts!BZ10</f>
        <v>0</v>
      </c>
      <c r="W11" s="327">
        <f>Forecasts!CA10</f>
        <v>202581</v>
      </c>
      <c r="X11" s="327">
        <f>Forecasts!CB10</f>
        <v>576760.80000000005</v>
      </c>
      <c r="Y11" s="317">
        <f>Forecasts!CC10</f>
        <v>779341.8</v>
      </c>
      <c r="Z11" s="327">
        <f>Forecasts!CD10</f>
        <v>173740</v>
      </c>
      <c r="AA11" s="327">
        <f>Forecasts!CE10</f>
        <v>248207</v>
      </c>
      <c r="AB11" s="327">
        <f>Forecasts!CF10</f>
        <v>363319</v>
      </c>
      <c r="AC11" s="327">
        <f>Forecasts!CG10</f>
        <v>370037</v>
      </c>
      <c r="AD11" s="317">
        <f>Forecasts!CH10</f>
        <v>1155303</v>
      </c>
      <c r="AE11" s="327">
        <f>Forecasts!CI10</f>
        <v>526079</v>
      </c>
      <c r="AF11" s="327">
        <f>Forecasts!CJ10</f>
        <v>618279</v>
      </c>
      <c r="AG11" s="327">
        <f>Forecasts!CK10</f>
        <v>639577</v>
      </c>
      <c r="AH11" s="327">
        <f>Forecasts!CL10</f>
        <v>565420</v>
      </c>
      <c r="AI11" s="317">
        <f>Forecasts!CM10</f>
        <v>2349355</v>
      </c>
      <c r="AJ11" s="327">
        <f>Forecasts!CN10</f>
        <v>707012</v>
      </c>
      <c r="AK11" s="327">
        <f>Forecasts!CO10</f>
        <v>844800</v>
      </c>
      <c r="AL11" s="327">
        <f>Forecasts!CP10</f>
        <v>836700</v>
      </c>
      <c r="AM11" s="327">
        <f>Forecasts!CQ10</f>
        <v>719681.96428100043</v>
      </c>
      <c r="AN11" s="317">
        <f>Forecasts!CR10</f>
        <v>3108193.9642810002</v>
      </c>
      <c r="AO11" s="327">
        <f>Forecasts!CS10</f>
        <v>1061205.8846230498</v>
      </c>
      <c r="AP11" s="327">
        <f>Forecasts!CT10</f>
        <v>1132517</v>
      </c>
      <c r="AQ11" s="327">
        <f>Forecasts!CU10</f>
        <v>873639.20862794993</v>
      </c>
      <c r="AR11" s="327">
        <f>Forecasts!CV10</f>
        <v>850285.46400000004</v>
      </c>
      <c r="AS11" s="317">
        <f>Forecasts!CW10</f>
        <v>3917647.5572509998</v>
      </c>
      <c r="AT11" s="327">
        <f>Forecasts!CX10</f>
        <v>1327315.3189665</v>
      </c>
      <c r="AU11" s="327">
        <f>Forecasts!CY10</f>
        <v>1635318.6456909999</v>
      </c>
      <c r="AV11" s="327">
        <f>Forecasts!CZ10</f>
        <v>1359583.3140795005</v>
      </c>
      <c r="AW11" s="327">
        <f>Forecasts!DA10</f>
        <v>1177287</v>
      </c>
      <c r="AX11" s="317">
        <f>Forecasts!DB10</f>
        <v>5499504.2787370002</v>
      </c>
      <c r="AY11" s="327">
        <f>Forecasts!DC10</f>
        <v>1919242</v>
      </c>
      <c r="AZ11" s="327">
        <f>Forecasts!DD10</f>
        <v>2007235.8972825999</v>
      </c>
      <c r="BA11" s="327">
        <f>Forecasts!DE10</f>
        <v>1630208.9650000001</v>
      </c>
      <c r="BB11" s="327">
        <f>Forecasts!DF10</f>
        <v>1434724.9032049975</v>
      </c>
      <c r="BC11" s="317">
        <f>Forecasts!DG10</f>
        <v>6991411.7654875983</v>
      </c>
      <c r="BD11" s="327">
        <f>Forecasts!DH10</f>
        <v>1893602.8102420031</v>
      </c>
      <c r="BE11" s="327">
        <f>Forecasts!DI10</f>
        <v>1748768.1967600023</v>
      </c>
      <c r="BF11" s="327">
        <f>Forecasts!DJ10</f>
        <v>1901846.7067121526</v>
      </c>
      <c r="BG11" s="327">
        <f>Forecasts!DK10</f>
        <v>2060733.5154931888</v>
      </c>
      <c r="BH11" s="317">
        <f>Forecasts!DL10</f>
        <v>7604951.2292073471</v>
      </c>
      <c r="BI11" s="327">
        <f>Forecasts!DM10</f>
        <v>2033134.7193731412</v>
      </c>
      <c r="BJ11" s="327">
        <f>Forecasts!DN10</f>
        <v>2075225.8885061829</v>
      </c>
      <c r="BK11" s="327">
        <f>Forecasts!DO10</f>
        <v>2107507.5656169192</v>
      </c>
      <c r="BL11" s="327">
        <f>Forecasts!DP10</f>
        <v>2152331.5326436278</v>
      </c>
      <c r="BM11" s="317">
        <f>Forecasts!DQ10</f>
        <v>8368199.70613987</v>
      </c>
    </row>
    <row r="12" spans="2:65" hidden="1" outlineLevel="1">
      <c r="B12" s="313" t="str">
        <f>Forecasts!A11</f>
        <v>Avg Share (%)</v>
      </c>
      <c r="C12" s="319" t="e">
        <f>Forecasts!AY11</f>
        <v>#DIV/0!</v>
      </c>
      <c r="D12" s="319" t="e">
        <f>Forecasts!BD11</f>
        <v>#DIV/0!</v>
      </c>
      <c r="E12" s="319">
        <f>Forecasts!BI11</f>
        <v>0.8</v>
      </c>
      <c r="F12" s="320">
        <f>Forecasts!BJ11</f>
        <v>0.8</v>
      </c>
      <c r="G12" s="320">
        <f>Forecasts!BK11</f>
        <v>0.8</v>
      </c>
      <c r="H12" s="321">
        <f>Forecasts!BL11</f>
        <v>0.8</v>
      </c>
      <c r="I12" s="321">
        <f>Forecasts!BM11</f>
        <v>0.8</v>
      </c>
      <c r="J12" s="319">
        <f>Forecasts!BN11</f>
        <v>0.8</v>
      </c>
      <c r="K12" s="321">
        <f>Forecasts!BO11</f>
        <v>0.8</v>
      </c>
      <c r="L12" s="321">
        <f>Forecasts!BP11</f>
        <v>0.8</v>
      </c>
      <c r="M12" s="321">
        <f>Forecasts!BQ11</f>
        <v>0.8</v>
      </c>
      <c r="N12" s="321">
        <f>Forecasts!BR11</f>
        <v>0.8</v>
      </c>
      <c r="O12" s="319">
        <f>Forecasts!BS11</f>
        <v>0.8</v>
      </c>
      <c r="P12" s="321">
        <f>Forecasts!BT11</f>
        <v>0.8</v>
      </c>
      <c r="Q12" s="321">
        <f>Forecasts!BU11</f>
        <v>0.8</v>
      </c>
      <c r="R12" s="321">
        <f>Forecasts!BV11</f>
        <v>0.8</v>
      </c>
      <c r="S12" s="321">
        <f>Forecasts!BW11</f>
        <v>0.8</v>
      </c>
      <c r="T12" s="319">
        <f>Forecasts!BX11</f>
        <v>0.8</v>
      </c>
      <c r="U12" s="321">
        <f>Forecasts!BY11</f>
        <v>0.8</v>
      </c>
      <c r="V12" s="321">
        <f>Forecasts!BZ11</f>
        <v>0.8</v>
      </c>
      <c r="W12" s="321">
        <f>Forecasts!CA11</f>
        <v>0.8</v>
      </c>
      <c r="X12" s="321">
        <f>Forecasts!CB11</f>
        <v>0.8</v>
      </c>
      <c r="Y12" s="319">
        <f>Forecasts!CC11</f>
        <v>0.79362708757637479</v>
      </c>
      <c r="Z12" s="321">
        <f>Forecasts!CD11</f>
        <v>0.72731687304816683</v>
      </c>
      <c r="AA12" s="321">
        <f>Forecasts!CE11</f>
        <v>0.84978533425544878</v>
      </c>
      <c r="AB12" s="321">
        <f>Forecasts!CF11</f>
        <v>0.88539671399258191</v>
      </c>
      <c r="AC12" s="321">
        <f>Forecasts!CG11</f>
        <v>0.91456358670802385</v>
      </c>
      <c r="AD12" s="319">
        <f>Forecasts!CH11</f>
        <v>0.85837993745500263</v>
      </c>
      <c r="AE12" s="321">
        <f>Forecasts!CI11</f>
        <v>0.89109596814217451</v>
      </c>
      <c r="AF12" s="321">
        <f>Forecasts!CJ11</f>
        <v>0.9057997767288134</v>
      </c>
      <c r="AG12" s="321">
        <f>Forecasts!CK11</f>
        <v>0.93728631492252745</v>
      </c>
      <c r="AH12" s="321">
        <f>Forecasts!CL11</f>
        <v>0.9248469820042331</v>
      </c>
      <c r="AI12" s="319">
        <f>Forecasts!CM11</f>
        <v>0.91532550898278253</v>
      </c>
      <c r="AJ12" s="321">
        <f>Forecasts!CN11</f>
        <v>0.9384708096728549</v>
      </c>
      <c r="AK12" s="321">
        <f>Forecasts!CO11</f>
        <v>0.94129706903179444</v>
      </c>
      <c r="AL12" s="321">
        <f>Forecasts!CP11</f>
        <v>0.94453469220496411</v>
      </c>
      <c r="AM12" s="321">
        <f>Forecasts!CQ11</f>
        <v>0.95567419310947244</v>
      </c>
      <c r="AN12" s="319">
        <f>Forecasts!CR11</f>
        <v>0.94481273621842887</v>
      </c>
      <c r="AO12" s="321">
        <f>Forecasts!CS11</f>
        <v>0.98360717312422818</v>
      </c>
      <c r="AP12" s="321">
        <f>Forecasts!CT11</f>
        <v>0.94854582092998818</v>
      </c>
      <c r="AQ12" s="321">
        <f>Forecasts!CU11</f>
        <v>0.89821070906392808</v>
      </c>
      <c r="AR12" s="321">
        <f>Forecasts!CV11</f>
        <v>0.93988302181516736</v>
      </c>
      <c r="AS12" s="319">
        <f>Forecasts!CW11</f>
        <v>0.94397546062625926</v>
      </c>
      <c r="AT12" s="321">
        <f>Forecasts!CX11</f>
        <v>0.85515438149662082</v>
      </c>
      <c r="AU12" s="321">
        <f>Forecasts!CY11</f>
        <v>0.93487383125096746</v>
      </c>
      <c r="AV12" s="321">
        <f>Forecasts!CZ11</f>
        <v>0.94602665945960385</v>
      </c>
      <c r="AW12" s="321">
        <f>Forecasts!DA11</f>
        <v>0.82689282092055616</v>
      </c>
      <c r="AX12" s="319">
        <f>Forecasts!DB11</f>
        <v>0.8924471551440093</v>
      </c>
      <c r="AY12" s="321">
        <f>Forecasts!DC11</f>
        <v>0.91150324651557157</v>
      </c>
      <c r="AZ12" s="321">
        <f>Forecasts!DD11</f>
        <v>0.88762208373090035</v>
      </c>
      <c r="BA12" s="321">
        <f>Forecasts!DE11</f>
        <v>0.89226963682077332</v>
      </c>
      <c r="BB12" s="321">
        <f>Forecasts!DF11</f>
        <v>0.92186084618663888</v>
      </c>
      <c r="BC12" s="319">
        <f>Forecasts!DG11</f>
        <v>0.90208110145298848</v>
      </c>
      <c r="BD12" s="321">
        <f>Forecasts!DH11</f>
        <v>0.82165521846992895</v>
      </c>
      <c r="BE12" s="321">
        <f>Forecasts!DI11</f>
        <v>0.85493112157530515</v>
      </c>
      <c r="BF12" s="321">
        <f>Forecasts!DJ11</f>
        <v>0.9</v>
      </c>
      <c r="BG12" s="321">
        <f>Forecasts!DK11</f>
        <v>0.95</v>
      </c>
      <c r="BH12" s="319">
        <f>Forecasts!DL11</f>
        <v>0.88096909132272372</v>
      </c>
      <c r="BI12" s="321">
        <f>Forecasts!DM11</f>
        <v>0.89755321373717534</v>
      </c>
      <c r="BJ12" s="321">
        <f>Forecasts!DN11</f>
        <v>0.89700313781235907</v>
      </c>
      <c r="BK12" s="321">
        <f>Forecasts!DO11</f>
        <v>0.89699145285180515</v>
      </c>
      <c r="BL12" s="321">
        <f>Forecasts!DP11</f>
        <v>0.90358659852928302</v>
      </c>
      <c r="BM12" s="319">
        <f>Forecasts!DQ11</f>
        <v>0.89881837828686395</v>
      </c>
    </row>
    <row r="13" spans="2:65" hidden="1" outlineLevel="1">
      <c r="B13" s="313" t="str">
        <f>Forecasts!A12</f>
        <v># of Units Sold</v>
      </c>
      <c r="C13" s="317">
        <f>Forecasts!AY12</f>
        <v>0</v>
      </c>
      <c r="D13" s="317">
        <f>Forecasts!BD12</f>
        <v>0</v>
      </c>
      <c r="E13" s="317">
        <f>Forecasts!BI12</f>
        <v>3015</v>
      </c>
      <c r="F13" s="315">
        <f>Forecasts!BJ12</f>
        <v>0</v>
      </c>
      <c r="G13" s="315">
        <f>Forecasts!BK12</f>
        <v>0</v>
      </c>
      <c r="H13" s="322">
        <f>Forecasts!BL12</f>
        <v>0</v>
      </c>
      <c r="I13" s="322">
        <f>Forecasts!BM12</f>
        <v>3265</v>
      </c>
      <c r="J13" s="317">
        <f>Forecasts!BN12</f>
        <v>3265</v>
      </c>
      <c r="K13" s="322">
        <f>Forecasts!BO12</f>
        <v>0</v>
      </c>
      <c r="L13" s="322">
        <f>Forecasts!BP12</f>
        <v>0</v>
      </c>
      <c r="M13" s="322">
        <f>Forecasts!BQ12</f>
        <v>0</v>
      </c>
      <c r="N13" s="322">
        <f>Forecasts!BR12</f>
        <v>3705</v>
      </c>
      <c r="O13" s="317">
        <f>Forecasts!BS12</f>
        <v>3705</v>
      </c>
      <c r="P13" s="322">
        <f>Forecasts!BT12</f>
        <v>0</v>
      </c>
      <c r="Q13" s="322">
        <f>Forecasts!BU12</f>
        <v>0</v>
      </c>
      <c r="R13" s="322">
        <f>Forecasts!BV12</f>
        <v>0</v>
      </c>
      <c r="S13" s="322">
        <f>Forecasts!BW12</f>
        <v>4435</v>
      </c>
      <c r="T13" s="317">
        <f>Forecasts!BX12</f>
        <v>4435</v>
      </c>
      <c r="U13" s="322">
        <f>Forecasts!BY12</f>
        <v>0</v>
      </c>
      <c r="V13" s="322">
        <f>Forecasts!BZ12</f>
        <v>0</v>
      </c>
      <c r="W13" s="322">
        <f>Forecasts!CA12</f>
        <v>1611</v>
      </c>
      <c r="X13" s="322">
        <f>Forecasts!CB12</f>
        <v>1993.7550000000001</v>
      </c>
      <c r="Y13" s="317">
        <f>Forecasts!CC12</f>
        <v>3604.7550000000001</v>
      </c>
      <c r="Z13" s="322">
        <f>Forecasts!CD12</f>
        <v>1280</v>
      </c>
      <c r="AA13" s="322">
        <f>Forecasts!CE12</f>
        <v>1622</v>
      </c>
      <c r="AB13" s="322">
        <f>Forecasts!CF12</f>
        <v>2131</v>
      </c>
      <c r="AC13" s="322">
        <f>Forecasts!CG12</f>
        <v>2068</v>
      </c>
      <c r="AD13" s="317">
        <f>Forecasts!CH12</f>
        <v>7101</v>
      </c>
      <c r="AE13" s="322">
        <f>Forecasts!CI12</f>
        <v>2874</v>
      </c>
      <c r="AF13" s="322">
        <f>Forecasts!CJ12</f>
        <v>3253</v>
      </c>
      <c r="AG13" s="322">
        <f>Forecasts!CK12</f>
        <v>3080</v>
      </c>
      <c r="AH13" s="322">
        <f>Forecasts!CL12</f>
        <v>2667</v>
      </c>
      <c r="AI13" s="317">
        <f>Forecasts!CM12</f>
        <v>11874</v>
      </c>
      <c r="AJ13" s="322">
        <f>Forecasts!CN12</f>
        <v>3264</v>
      </c>
      <c r="AK13" s="322">
        <f>Forecasts!CO12</f>
        <v>3734</v>
      </c>
      <c r="AL13" s="322">
        <f>Forecasts!CP12</f>
        <v>3465</v>
      </c>
      <c r="AM13" s="322">
        <f>Forecasts!CQ12</f>
        <v>3073</v>
      </c>
      <c r="AN13" s="317">
        <f>Forecasts!CR12</f>
        <v>13536</v>
      </c>
      <c r="AO13" s="322">
        <f>Forecasts!CS12</f>
        <v>4014</v>
      </c>
      <c r="AP13" s="322">
        <f>Forecasts!CT12</f>
        <v>3734</v>
      </c>
      <c r="AQ13" s="322">
        <f>Forecasts!CU12</f>
        <v>4146</v>
      </c>
      <c r="AR13" s="322">
        <f>Forecasts!CV12</f>
        <v>3627</v>
      </c>
      <c r="AS13" s="317">
        <f>Forecasts!CW12</f>
        <v>15521</v>
      </c>
      <c r="AT13" s="322">
        <f>Forecasts!CX12</f>
        <v>5747</v>
      </c>
      <c r="AU13" s="322">
        <f>Forecasts!CY12</f>
        <v>6389</v>
      </c>
      <c r="AV13" s="322">
        <f>Forecasts!CZ12</f>
        <v>5191</v>
      </c>
      <c r="AW13" s="322">
        <f>Forecasts!DA12</f>
        <v>4819</v>
      </c>
      <c r="AX13" s="317">
        <f>Forecasts!DB12</f>
        <v>22146</v>
      </c>
      <c r="AY13" s="322">
        <f>Forecasts!DC12</f>
        <v>7173</v>
      </c>
      <c r="AZ13" s="322">
        <f>Forecasts!DD12</f>
        <v>8067</v>
      </c>
      <c r="BA13" s="322">
        <f>Forecasts!DE12</f>
        <v>6847</v>
      </c>
      <c r="BB13" s="322">
        <f>Forecasts!DF12</f>
        <v>5445</v>
      </c>
      <c r="BC13" s="317">
        <f>Forecasts!DG12</f>
        <v>27532</v>
      </c>
      <c r="BD13" s="322">
        <f>Forecasts!DH12</f>
        <v>7786</v>
      </c>
      <c r="BE13" s="322">
        <f>Forecasts!DI12</f>
        <v>6697</v>
      </c>
      <c r="BF13" s="322">
        <f>Forecasts!DJ12</f>
        <v>6418.1470972448715</v>
      </c>
      <c r="BG13" s="322">
        <f>Forecasts!DK12</f>
        <v>6525.4556037697575</v>
      </c>
      <c r="BH13" s="317">
        <f>Forecasts!DL12</f>
        <v>27426.602701014632</v>
      </c>
      <c r="BI13" s="322">
        <f>Forecasts!DM12</f>
        <v>6639.3608690906221</v>
      </c>
      <c r="BJ13" s="322">
        <f>Forecasts!DN12</f>
        <v>6719.8801564406413</v>
      </c>
      <c r="BK13" s="322">
        <f>Forecasts!DO12</f>
        <v>6762.9018701829064</v>
      </c>
      <c r="BL13" s="322">
        <f>Forecasts!DP12</f>
        <v>6794.3227008183167</v>
      </c>
      <c r="BM13" s="317">
        <f>Forecasts!DQ12</f>
        <v>26916.465596532486</v>
      </c>
    </row>
    <row r="14" spans="2:65" hidden="1" outlineLevel="1">
      <c r="B14" s="313" t="str">
        <f>Forecasts!A13</f>
        <v>Avg Selling Price, R$000/unit</v>
      </c>
      <c r="C14" s="317" t="e">
        <f>Forecasts!AY13</f>
        <v>#DIV/0!</v>
      </c>
      <c r="D14" s="317" t="e">
        <f>Forecasts!BD13</f>
        <v>#DIV/0!</v>
      </c>
      <c r="E14" s="317">
        <f>Forecasts!BI13</f>
        <v>200000</v>
      </c>
      <c r="F14" s="322">
        <f>Forecasts!BJ13</f>
        <v>200000</v>
      </c>
      <c r="G14" s="322">
        <f>Forecasts!BK13</f>
        <v>200000</v>
      </c>
      <c r="H14" s="328">
        <f>Forecasts!BL13</f>
        <v>200000</v>
      </c>
      <c r="I14" s="328">
        <f>Forecasts!BM13</f>
        <v>200000</v>
      </c>
      <c r="J14" s="317">
        <f>Forecasts!BN13</f>
        <v>200000</v>
      </c>
      <c r="K14" s="328">
        <f>Forecasts!BO13</f>
        <v>200000</v>
      </c>
      <c r="L14" s="328">
        <f>Forecasts!BP13</f>
        <v>200000</v>
      </c>
      <c r="M14" s="328">
        <f>Forecasts!BQ13</f>
        <v>200000</v>
      </c>
      <c r="N14" s="328">
        <f>Forecasts!BR13</f>
        <v>200000</v>
      </c>
      <c r="O14" s="317">
        <f>Forecasts!BS13</f>
        <v>200000</v>
      </c>
      <c r="P14" s="328">
        <f>Forecasts!BT13</f>
        <v>200000</v>
      </c>
      <c r="Q14" s="328">
        <f>Forecasts!BU13</f>
        <v>200000</v>
      </c>
      <c r="R14" s="328">
        <f>Forecasts!BV13</f>
        <v>200000</v>
      </c>
      <c r="S14" s="328">
        <f>Forecasts!BW13</f>
        <v>200000</v>
      </c>
      <c r="T14" s="317">
        <f>Forecasts!BX13</f>
        <v>200000</v>
      </c>
      <c r="U14" s="328">
        <f>Forecasts!BY13</f>
        <v>200000</v>
      </c>
      <c r="V14" s="328">
        <f>Forecasts!BZ13</f>
        <v>200000</v>
      </c>
      <c r="W14" s="328">
        <f>Forecasts!CA13</f>
        <v>162041.58907510861</v>
      </c>
      <c r="X14" s="328">
        <f>Forecasts!CB13</f>
        <v>200000</v>
      </c>
      <c r="Y14" s="317">
        <f>Forecasts!CC13</f>
        <v>272417.95905685681</v>
      </c>
      <c r="Z14" s="328">
        <f>Forecasts!CD13</f>
        <v>186623.4375</v>
      </c>
      <c r="AA14" s="328">
        <f>Forecasts!CE13</f>
        <v>180075.21578298396</v>
      </c>
      <c r="AB14" s="328">
        <f>Forecasts!CF13</f>
        <v>192560.30032848427</v>
      </c>
      <c r="AC14" s="328">
        <f>Forecasts!CG13</f>
        <v>195650.38684719536</v>
      </c>
      <c r="AD14" s="317">
        <f>Forecasts!CH13</f>
        <v>162695.81749049432</v>
      </c>
      <c r="AE14" s="328">
        <f>Forecasts!CI13</f>
        <v>205418.58037578288</v>
      </c>
      <c r="AF14" s="328">
        <f>Forecasts!CJ13</f>
        <v>209830.31048263141</v>
      </c>
      <c r="AG14" s="328">
        <f>Forecasts!CK13</f>
        <v>221549.02597402598</v>
      </c>
      <c r="AH14" s="328">
        <f>Forecasts!CL13</f>
        <v>229233.59580052493</v>
      </c>
      <c r="AI14" s="317">
        <f>Forecasts!CM13</f>
        <v>197857.08270170118</v>
      </c>
      <c r="AJ14" s="328">
        <f>Forecasts!CN13</f>
        <v>230810.66176470587</v>
      </c>
      <c r="AK14" s="328">
        <f>Forecasts!CO13</f>
        <v>240354.84734868773</v>
      </c>
      <c r="AL14" s="328">
        <f>Forecasts!CP13</f>
        <v>255651.65945165945</v>
      </c>
      <c r="AM14" s="328">
        <f>Forecasts!CQ13</f>
        <v>245057.61378457531</v>
      </c>
      <c r="AN14" s="317">
        <f>Forecasts!CR13</f>
        <v>229624.25859049943</v>
      </c>
      <c r="AO14" s="328">
        <f>Forecasts!CS13</f>
        <v>268782.25559790729</v>
      </c>
      <c r="AP14" s="328">
        <f>Forecasts!CT13</f>
        <v>319751.13979646494</v>
      </c>
      <c r="AQ14" s="328">
        <f>Forecasts!CU13</f>
        <v>234598.15394356012</v>
      </c>
      <c r="AR14" s="328">
        <f>Forecasts!CV13</f>
        <v>249426.96057347671</v>
      </c>
      <c r="AS14" s="317">
        <f>Forecasts!CW13</f>
        <v>252409.4811707364</v>
      </c>
      <c r="AT14" s="328">
        <f>Forecasts!CX13</f>
        <v>270077.48726117972</v>
      </c>
      <c r="AU14" s="328">
        <f>Forecasts!CY13</f>
        <v>273789.316213805</v>
      </c>
      <c r="AV14" s="328">
        <f>Forecasts!CZ13</f>
        <v>276854.39476401464</v>
      </c>
      <c r="AW14" s="328">
        <f>Forecasts!DA13</f>
        <v>295444.69807013904</v>
      </c>
      <c r="AX14" s="317">
        <f>Forecasts!DB13</f>
        <v>248329.46259988262</v>
      </c>
      <c r="AY14" s="328">
        <f>Forecasts!DC13</f>
        <v>293542.29702356062</v>
      </c>
      <c r="AZ14" s="328">
        <f>Forecasts!DD13</f>
        <v>280322.69484318834</v>
      </c>
      <c r="BA14" s="328">
        <f>Forecasts!DE13</f>
        <v>266837.48254710092</v>
      </c>
      <c r="BB14" s="328">
        <f>Forecasts!DF13</f>
        <v>285828.4029898991</v>
      </c>
      <c r="BC14" s="317">
        <f>Forecasts!DG13</f>
        <v>253937.66400870253</v>
      </c>
      <c r="BD14" s="328">
        <f>Forecasts!DH13</f>
        <v>295995.3389031596</v>
      </c>
      <c r="BE14" s="328">
        <f>Forecasts!DI13</f>
        <v>305436.42009705852</v>
      </c>
      <c r="BF14" s="328">
        <f>Forecasts!DJ13</f>
        <v>329248.14209463482</v>
      </c>
      <c r="BG14" s="328">
        <f>Forecasts!DK13</f>
        <v>332420.1873276424</v>
      </c>
      <c r="BH14" s="317">
        <f>Forecasts!DL13</f>
        <v>277283.74936229363</v>
      </c>
      <c r="BI14" s="328">
        <f>Forecasts!DM13</f>
        <v>341176.9449439625</v>
      </c>
      <c r="BJ14" s="328">
        <f>Forecasts!DN13</f>
        <v>344278.48764567578</v>
      </c>
      <c r="BK14" s="328">
        <f>Forecasts!DO13</f>
        <v>347414.34888791613</v>
      </c>
      <c r="BL14" s="328">
        <f>Forecasts!DP13</f>
        <v>350584.90840500861</v>
      </c>
      <c r="BM14" s="317">
        <f>Forecasts!DQ13</f>
        <v>310895.19075706223</v>
      </c>
    </row>
    <row r="15" spans="2:65" hidden="1" outlineLevel="1">
      <c r="B15" s="329" t="str">
        <f>Forecasts!A14</f>
        <v>Contracted Sales</v>
      </c>
      <c r="C15" s="330">
        <f>Forecasts!AY14</f>
        <v>0</v>
      </c>
      <c r="D15" s="330">
        <f>Forecasts!BD14</f>
        <v>0</v>
      </c>
      <c r="E15" s="330">
        <f>Forecasts!BI14</f>
        <v>603000</v>
      </c>
      <c r="F15" s="331">
        <f>Forecasts!BJ14</f>
        <v>0</v>
      </c>
      <c r="G15" s="331">
        <f>Forecasts!BK14</f>
        <v>0</v>
      </c>
      <c r="H15" s="331">
        <f>Forecasts!BL14</f>
        <v>0</v>
      </c>
      <c r="I15" s="331">
        <f>Forecasts!BM14</f>
        <v>653000</v>
      </c>
      <c r="J15" s="330">
        <f>Forecasts!BN14</f>
        <v>653000</v>
      </c>
      <c r="K15" s="331">
        <f>Forecasts!BO14</f>
        <v>0</v>
      </c>
      <c r="L15" s="331">
        <f>Forecasts!BP14</f>
        <v>0</v>
      </c>
      <c r="M15" s="331">
        <f>Forecasts!BQ14</f>
        <v>0</v>
      </c>
      <c r="N15" s="331">
        <f>Forecasts!BR14</f>
        <v>741000</v>
      </c>
      <c r="O15" s="330">
        <f>Forecasts!BS14</f>
        <v>741000</v>
      </c>
      <c r="P15" s="331">
        <f>Forecasts!BT14</f>
        <v>0</v>
      </c>
      <c r="Q15" s="331">
        <f>Forecasts!BU14</f>
        <v>0</v>
      </c>
      <c r="R15" s="331">
        <f>Forecasts!BV14</f>
        <v>0</v>
      </c>
      <c r="S15" s="331">
        <f>Forecasts!BW14</f>
        <v>887000</v>
      </c>
      <c r="T15" s="330">
        <f>Forecasts!BX14</f>
        <v>887000</v>
      </c>
      <c r="U15" s="331">
        <f>Forecasts!BY14</f>
        <v>0</v>
      </c>
      <c r="V15" s="331">
        <f>Forecasts!BZ14</f>
        <v>0</v>
      </c>
      <c r="W15" s="331">
        <f>Forecasts!CA14</f>
        <v>261049</v>
      </c>
      <c r="X15" s="331">
        <f>Forecasts!CB14</f>
        <v>720951</v>
      </c>
      <c r="Y15" s="330">
        <f>Forecasts!CC14</f>
        <v>982000</v>
      </c>
      <c r="Z15" s="331">
        <f>Forecasts!CD14</f>
        <v>238878</v>
      </c>
      <c r="AA15" s="331">
        <f>Forecasts!CE14</f>
        <v>292082</v>
      </c>
      <c r="AB15" s="331">
        <f>Forecasts!CF14</f>
        <v>410346</v>
      </c>
      <c r="AC15" s="331">
        <f>Forecasts!CG14</f>
        <v>404605</v>
      </c>
      <c r="AD15" s="330">
        <f>Forecasts!CH14</f>
        <v>1345911</v>
      </c>
      <c r="AE15" s="331">
        <f>Forecasts!CI14</f>
        <v>590373</v>
      </c>
      <c r="AF15" s="331">
        <f>Forecasts!CJ14</f>
        <v>682578</v>
      </c>
      <c r="AG15" s="331">
        <f>Forecasts!CK14</f>
        <v>682371</v>
      </c>
      <c r="AH15" s="331">
        <f>Forecasts!CL14</f>
        <v>611366</v>
      </c>
      <c r="AI15" s="330">
        <f>Forecasts!CM14</f>
        <v>2566688</v>
      </c>
      <c r="AJ15" s="331">
        <f>Forecasts!CN14</f>
        <v>753366</v>
      </c>
      <c r="AK15" s="331">
        <f>Forecasts!CO14</f>
        <v>897485</v>
      </c>
      <c r="AL15" s="331">
        <f>Forecasts!CP14</f>
        <v>885833</v>
      </c>
      <c r="AM15" s="331">
        <f>Forecasts!CQ14</f>
        <v>753062.04715999996</v>
      </c>
      <c r="AN15" s="330">
        <f>Forecasts!CR14</f>
        <v>3289746.0471600001</v>
      </c>
      <c r="AO15" s="331">
        <f>Forecasts!CS14</f>
        <v>1078891.9739699997</v>
      </c>
      <c r="AP15" s="331">
        <f>Forecasts!CT14</f>
        <v>1193950.7560000001</v>
      </c>
      <c r="AQ15" s="331">
        <f>Forecasts!CU14</f>
        <v>972643.94625000027</v>
      </c>
      <c r="AR15" s="331">
        <f>Forecasts!CV14</f>
        <v>904671.58600000001</v>
      </c>
      <c r="AS15" s="330">
        <f>Forecasts!CW14</f>
        <v>4150158.2622199999</v>
      </c>
      <c r="AT15" s="331">
        <f>Forecasts!CX14</f>
        <v>1552135.31929</v>
      </c>
      <c r="AU15" s="331">
        <f>Forecasts!CY14</f>
        <v>1749239.9412900002</v>
      </c>
      <c r="AV15" s="331">
        <f>Forecasts!CZ14</f>
        <v>1437151.16322</v>
      </c>
      <c r="AW15" s="331">
        <f>Forecasts!DA14</f>
        <v>1423748</v>
      </c>
      <c r="AX15" s="330">
        <f>Forecasts!DB14</f>
        <v>6162274.4238000009</v>
      </c>
      <c r="AY15" s="331">
        <f>Forecasts!DC14</f>
        <v>2105578.8965500002</v>
      </c>
      <c r="AZ15" s="331">
        <f>Forecasts!DD14</f>
        <v>2261363.1793000004</v>
      </c>
      <c r="BA15" s="331">
        <f>Forecasts!DE14</f>
        <v>1827036.243</v>
      </c>
      <c r="BB15" s="331">
        <f>Forecasts!DF14</f>
        <v>1556335.6542800006</v>
      </c>
      <c r="BC15" s="330">
        <f>Forecasts!DG14</f>
        <v>7750313.9731300008</v>
      </c>
      <c r="BD15" s="331">
        <f>Forecasts!DH14</f>
        <v>2304619.7087000008</v>
      </c>
      <c r="BE15" s="331">
        <f>Forecasts!DI14</f>
        <v>2045507.7053900007</v>
      </c>
      <c r="BF15" s="331">
        <f>Forecasts!DJ14</f>
        <v>2113163.0074579474</v>
      </c>
      <c r="BG15" s="331">
        <f>Forecasts!DK14</f>
        <v>2169193.1742033567</v>
      </c>
      <c r="BH15" s="330">
        <f>Forecasts!DL14</f>
        <v>8632483.595751306</v>
      </c>
      <c r="BI15" s="331">
        <f>Forecasts!DM14</f>
        <v>2265196.8576968303</v>
      </c>
      <c r="BJ15" s="331">
        <f>Forecasts!DN14</f>
        <v>2313510.1774195712</v>
      </c>
      <c r="BK15" s="331">
        <f>Forecasts!DO14</f>
        <v>2349529.1498224647</v>
      </c>
      <c r="BL15" s="331">
        <f>Forecasts!DP14</f>
        <v>2381987.0017404603</v>
      </c>
      <c r="BM15" s="330">
        <f>Forecasts!DQ14</f>
        <v>9310223.186679326</v>
      </c>
    </row>
    <row r="16" spans="2:65" hidden="1" outlineLevel="1">
      <c r="B16" s="313" t="str">
        <f>Forecasts!A15</f>
        <v>Gross Launches' Sales</v>
      </c>
      <c r="C16" s="317">
        <f>Forecasts!AY15</f>
        <v>0</v>
      </c>
      <c r="D16" s="317">
        <f>Forecasts!BD15</f>
        <v>0</v>
      </c>
      <c r="E16" s="317">
        <f>Forecasts!BI15</f>
        <v>409189.60000000003</v>
      </c>
      <c r="F16" s="315">
        <f>Forecasts!BJ15</f>
        <v>0</v>
      </c>
      <c r="G16" s="315">
        <f>Forecasts!BK15</f>
        <v>0</v>
      </c>
      <c r="H16" s="318">
        <f>Forecasts!BL15</f>
        <v>0</v>
      </c>
      <c r="I16" s="318">
        <f>Forecasts!BM15</f>
        <v>434387.20000000001</v>
      </c>
      <c r="J16" s="317">
        <f>Forecasts!BN15</f>
        <v>434387.20000000001</v>
      </c>
      <c r="K16" s="318">
        <f>Forecasts!BO15</f>
        <v>0</v>
      </c>
      <c r="L16" s="318">
        <f>Forecasts!BP15</f>
        <v>0</v>
      </c>
      <c r="M16" s="318">
        <f>Forecasts!BQ15</f>
        <v>0</v>
      </c>
      <c r="N16" s="318">
        <f>Forecasts!BR15</f>
        <v>609633.6</v>
      </c>
      <c r="O16" s="317">
        <f>Forecasts!BS15</f>
        <v>609633.6</v>
      </c>
      <c r="P16" s="318">
        <f>Forecasts!BT15</f>
        <v>0</v>
      </c>
      <c r="Q16" s="318">
        <f>Forecasts!BU15</f>
        <v>0</v>
      </c>
      <c r="R16" s="318">
        <f>Forecasts!BV15</f>
        <v>0</v>
      </c>
      <c r="S16" s="318">
        <f>Forecasts!BW15</f>
        <v>725223.20000000007</v>
      </c>
      <c r="T16" s="317">
        <f>Forecasts!BX15</f>
        <v>725223.20000000007</v>
      </c>
      <c r="U16" s="318">
        <f>Forecasts!BY15</f>
        <v>0</v>
      </c>
      <c r="V16" s="318">
        <f>Forecasts!BZ15</f>
        <v>0</v>
      </c>
      <c r="W16" s="318">
        <f>Forecasts!CA15</f>
        <v>115383.658</v>
      </c>
      <c r="X16" s="318">
        <f>Forecasts!CB15</f>
        <v>410523.54199999996</v>
      </c>
      <c r="Y16" s="317">
        <f>Forecasts!CC15</f>
        <v>525907.19999999995</v>
      </c>
      <c r="Z16" s="318">
        <f>Forecasts!CD15</f>
        <v>39056.553</v>
      </c>
      <c r="AA16" s="318">
        <f>Forecasts!CE15</f>
        <v>133481.47400000002</v>
      </c>
      <c r="AB16" s="318">
        <f>Forecasts!CF15</f>
        <v>210097.152</v>
      </c>
      <c r="AC16" s="318">
        <f>Forecasts!CG15</f>
        <v>247618.26</v>
      </c>
      <c r="AD16" s="317">
        <f>Forecasts!CH15</f>
        <v>630253.43900000001</v>
      </c>
      <c r="AE16" s="318">
        <f>Forecasts!CI15</f>
        <v>396730.65600000002</v>
      </c>
      <c r="AF16" s="318">
        <f>Forecasts!CJ15</f>
        <v>380878.52399999998</v>
      </c>
      <c r="AG16" s="318">
        <f>Forecasts!CK15</f>
        <v>401916.51899999997</v>
      </c>
      <c r="AH16" s="318">
        <f>Forecasts!CL15</f>
        <v>381492.38400000002</v>
      </c>
      <c r="AI16" s="317">
        <f>Forecasts!CM15</f>
        <v>1561018.0830000001</v>
      </c>
      <c r="AJ16" s="318">
        <f>Forecasts!CN15</f>
        <v>458799.89399999997</v>
      </c>
      <c r="AK16" s="318">
        <f>Forecasts!CO15</f>
        <v>410150.64500000002</v>
      </c>
      <c r="AL16" s="318">
        <f>Forecasts!CP15</f>
        <v>398624.85000000003</v>
      </c>
      <c r="AM16" s="318">
        <f>Forecasts!CQ15</f>
        <v>277879.89540203998</v>
      </c>
      <c r="AN16" s="317">
        <f>Forecasts!CR15</f>
        <v>1545455.2844020398</v>
      </c>
      <c r="AO16" s="318">
        <f>Forecasts!CS15</f>
        <v>790827.81692000979</v>
      </c>
      <c r="AP16" s="318">
        <f>Forecasts!CT15</f>
        <v>483550.05618000007</v>
      </c>
      <c r="AQ16" s="318">
        <f>Forecasts!CU15</f>
        <v>533981.52649125003</v>
      </c>
      <c r="AR16" s="318">
        <f>Forecasts!CV15</f>
        <v>523804.84829399997</v>
      </c>
      <c r="AS16" s="317">
        <f>Forecasts!CW15</f>
        <v>2332164.2478852598</v>
      </c>
      <c r="AT16" s="318">
        <f>Forecasts!CX15</f>
        <v>1052347.74647862</v>
      </c>
      <c r="AU16" s="318">
        <f>Forecasts!CY15</f>
        <v>1019806.88577207</v>
      </c>
      <c r="AV16" s="318">
        <f>Forecasts!CZ15</f>
        <v>720012.73277322005</v>
      </c>
      <c r="AW16" s="318">
        <f>Forecasts!DA15</f>
        <v>925436.20000000007</v>
      </c>
      <c r="AX16" s="317">
        <f>Forecasts!DB15</f>
        <v>3717603.5650239103</v>
      </c>
      <c r="AY16" s="318">
        <f>Forecasts!DC15</f>
        <v>1532861.4366884001</v>
      </c>
      <c r="AZ16" s="318">
        <f>Forecasts!DD15</f>
        <v>1243749.7486150004</v>
      </c>
      <c r="BA16" s="318">
        <f>Forecasts!DE15</f>
        <v>1026794.3685660001</v>
      </c>
      <c r="BB16" s="318">
        <f>Forecasts!DF15</f>
        <v>580513.19904644019</v>
      </c>
      <c r="BC16" s="317">
        <f>Forecasts!DG15</f>
        <v>4383918.7529158406</v>
      </c>
      <c r="BD16" s="318">
        <f>Forecasts!DH15</f>
        <v>1329765.5719199006</v>
      </c>
      <c r="BE16" s="318">
        <f>Forecasts!DI15</f>
        <v>1257987.2388148503</v>
      </c>
      <c r="BF16" s="318">
        <f>Forecasts!DJ15</f>
        <v>1140930.8486351322</v>
      </c>
      <c r="BG16" s="318">
        <f>Forecasts!DK15</f>
        <v>980521.95199014572</v>
      </c>
      <c r="BH16" s="317">
        <f>Forecasts!DL15</f>
        <v>4709205.6113600284</v>
      </c>
      <c r="BI16" s="318">
        <f>Forecasts!DM15</f>
        <v>1179089.3364761428</v>
      </c>
      <c r="BJ16" s="318">
        <f>Forecasts!DN15</f>
        <v>1192135.9487818987</v>
      </c>
      <c r="BK16" s="318">
        <f>Forecasts!DO15</f>
        <v>1205326.9217288641</v>
      </c>
      <c r="BL16" s="318">
        <f>Forecasts!DP15</f>
        <v>1218663.852666162</v>
      </c>
      <c r="BM16" s="317">
        <f>Forecasts!DQ15</f>
        <v>4795216.059653068</v>
      </c>
    </row>
    <row r="17" spans="2:65" hidden="1" outlineLevel="1">
      <c r="B17" s="313" t="str">
        <f>Forecasts!A16</f>
        <v xml:space="preserve">  -- Sales Speed</v>
      </c>
      <c r="C17" s="332" t="e">
        <f>Forecasts!AY16</f>
        <v>#DIV/0!</v>
      </c>
      <c r="D17" s="332" t="e">
        <f>Forecasts!BD16</f>
        <v>#DIV/0!</v>
      </c>
      <c r="E17" s="332">
        <f>Forecasts!BI16</f>
        <v>0.8</v>
      </c>
      <c r="F17" s="333" t="e">
        <f>Forecasts!BJ16</f>
        <v>#DIV/0!</v>
      </c>
      <c r="G17" s="333" t="e">
        <f>Forecasts!BK16</f>
        <v>#DIV/0!</v>
      </c>
      <c r="H17" s="334" t="e">
        <f>Forecasts!BL16</f>
        <v>#DIV/0!</v>
      </c>
      <c r="I17" s="334">
        <f>Forecasts!BM16</f>
        <v>1</v>
      </c>
      <c r="J17" s="332">
        <f>Forecasts!BN16</f>
        <v>0.8</v>
      </c>
      <c r="K17" s="334" t="e">
        <f>Forecasts!BO16</f>
        <v>#DIV/0!</v>
      </c>
      <c r="L17" s="334" t="e">
        <f>Forecasts!BP16</f>
        <v>#DIV/0!</v>
      </c>
      <c r="M17" s="334" t="e">
        <f>Forecasts!BQ16</f>
        <v>#DIV/0!</v>
      </c>
      <c r="N17" s="334">
        <f>Forecasts!BR16</f>
        <v>1</v>
      </c>
      <c r="O17" s="332">
        <f>Forecasts!BS16</f>
        <v>0.79999999999999993</v>
      </c>
      <c r="P17" s="334" t="e">
        <f>Forecasts!BT16</f>
        <v>#DIV/0!</v>
      </c>
      <c r="Q17" s="334" t="e">
        <f>Forecasts!BU16</f>
        <v>#DIV/0!</v>
      </c>
      <c r="R17" s="334" t="e">
        <f>Forecasts!BV16</f>
        <v>#DIV/0!</v>
      </c>
      <c r="S17" s="334">
        <f>Forecasts!BW16</f>
        <v>1</v>
      </c>
      <c r="T17" s="332">
        <f>Forecasts!BX16</f>
        <v>0.8</v>
      </c>
      <c r="U17" s="334" t="e">
        <f>Forecasts!BY16</f>
        <v>#DIV/0!</v>
      </c>
      <c r="V17" s="334" t="e">
        <f>Forecasts!BZ16</f>
        <v>#DIV/0!</v>
      </c>
      <c r="W17" s="334">
        <f>Forecasts!CA16</f>
        <v>0.33626021600638811</v>
      </c>
      <c r="X17" s="334">
        <f>Forecasts!CB16</f>
        <v>0.54642050802879283</v>
      </c>
      <c r="Y17" s="332">
        <f>Forecasts!CC16</f>
        <v>0.46132210526315787</v>
      </c>
      <c r="Z17" s="334">
        <f>Forecasts!CD16</f>
        <v>0.24783963880498516</v>
      </c>
      <c r="AA17" s="334">
        <f>Forecasts!CE16</f>
        <v>0.42847344058960996</v>
      </c>
      <c r="AB17" s="334">
        <f>Forecasts!CF16</f>
        <v>0.52933196946411021</v>
      </c>
      <c r="AC17" s="334">
        <f>Forecasts!CG16</f>
        <v>0.36695059276822761</v>
      </c>
      <c r="AD17" s="332">
        <f>Forecasts!CH16</f>
        <v>0.40903608778668066</v>
      </c>
      <c r="AE17" s="334">
        <f>Forecasts!CI16</f>
        <v>0.6718611605517405</v>
      </c>
      <c r="AF17" s="334">
        <f>Forecasts!CJ16</f>
        <v>0.55506358160798264</v>
      </c>
      <c r="AG17" s="334">
        <f>Forecasts!CK16</f>
        <v>0.55804377388145909</v>
      </c>
      <c r="AH17" s="334">
        <f>Forecasts!CL16</f>
        <v>0.48406534695426096</v>
      </c>
      <c r="AI17" s="332">
        <f>Forecasts!CM16</f>
        <v>0.56050737466198497</v>
      </c>
      <c r="AJ17" s="334">
        <f>Forecasts!CN16</f>
        <v>0.58733904371759582</v>
      </c>
      <c r="AK17" s="334">
        <f>Forecasts!CO16</f>
        <v>0.38828330578481102</v>
      </c>
      <c r="AL17" s="334">
        <f>Forecasts!CP16</f>
        <v>0.43369045831674186</v>
      </c>
      <c r="AM17" s="334">
        <f>Forecasts!CQ16</f>
        <v>0.49964101784829512</v>
      </c>
      <c r="AN17" s="332">
        <f>Forecasts!CR16</f>
        <v>0.46651407776272569</v>
      </c>
      <c r="AO17" s="334">
        <f>Forecasts!CS16</f>
        <v>0.55692847989057792</v>
      </c>
      <c r="AP17" s="334">
        <f>Forecasts!CT16</f>
        <v>0.39552087994562313</v>
      </c>
      <c r="AQ17" s="334">
        <f>Forecasts!CU16</f>
        <v>0.567029654611786</v>
      </c>
      <c r="AR17" s="334">
        <f>Forecasts!CV16</f>
        <v>0.61148818592470111</v>
      </c>
      <c r="AS17" s="332">
        <f>Forecasts!CW16</f>
        <v>0.52515933111794977</v>
      </c>
      <c r="AT17" s="334">
        <f>Forecasts!CX16</f>
        <v>0.55847079499214691</v>
      </c>
      <c r="AU17" s="334">
        <f>Forecasts!CY16</f>
        <v>0.58789102478203636</v>
      </c>
      <c r="AV17" s="334">
        <f>Forecasts!CZ16</f>
        <v>0.46134049900347091</v>
      </c>
      <c r="AW17" s="334">
        <f>Forecasts!DA16</f>
        <v>0.66110282840073531</v>
      </c>
      <c r="AX17" s="332">
        <f>Forecasts!DB16</f>
        <v>0.56502321666998578</v>
      </c>
      <c r="AY17" s="334">
        <f>Forecasts!DC16</f>
        <v>0.55069390351832892</v>
      </c>
      <c r="AZ17" s="334">
        <f>Forecasts!DD16</f>
        <v>0.55891690597688426</v>
      </c>
      <c r="BA17" s="334">
        <f>Forecasts!DE16</f>
        <v>0.51691800534573284</v>
      </c>
      <c r="BB17" s="334">
        <f>Forecasts!DF16</f>
        <v>0.4501798962464012</v>
      </c>
      <c r="BC17" s="332">
        <f>Forecasts!DG16</f>
        <v>0.52915930823446222</v>
      </c>
      <c r="BD17" s="334">
        <f>Forecasts!DH16</f>
        <v>0.50241295270420894</v>
      </c>
      <c r="BE17" s="334">
        <f>Forecasts!DI16</f>
        <v>0.55739874909243536</v>
      </c>
      <c r="BF17" s="334">
        <f>Forecasts!DJ16</f>
        <v>0.5</v>
      </c>
      <c r="BG17" s="334">
        <f>Forecasts!DK16</f>
        <v>0.5</v>
      </c>
      <c r="BH17" s="332">
        <f>Forecasts!DL16</f>
        <v>0.51486124025987834</v>
      </c>
      <c r="BI17" s="334">
        <f>Forecasts!DM16</f>
        <v>0.5</v>
      </c>
      <c r="BJ17" s="334">
        <f>Forecasts!DN16</f>
        <v>0.5</v>
      </c>
      <c r="BK17" s="334">
        <f>Forecasts!DO16</f>
        <v>0.5</v>
      </c>
      <c r="BL17" s="334">
        <f>Forecasts!DP16</f>
        <v>0.5</v>
      </c>
      <c r="BM17" s="332">
        <f>Forecasts!DQ16</f>
        <v>0.5</v>
      </c>
    </row>
    <row r="18" spans="2:65" hidden="1" outlineLevel="1">
      <c r="B18" s="313" t="str">
        <f>Forecasts!A17</f>
        <v>Gross Inventory Sales</v>
      </c>
      <c r="C18" s="317">
        <f>Forecasts!AY17</f>
        <v>0</v>
      </c>
      <c r="D18" s="317">
        <f>Forecasts!BD17</f>
        <v>0</v>
      </c>
      <c r="E18" s="317">
        <f>Forecasts!BI17</f>
        <v>193810.39999999997</v>
      </c>
      <c r="F18" s="315">
        <f>Forecasts!BJ17</f>
        <v>0</v>
      </c>
      <c r="G18" s="315">
        <f>Forecasts!BK17</f>
        <v>0</v>
      </c>
      <c r="H18" s="318">
        <f>Forecasts!BL17</f>
        <v>0</v>
      </c>
      <c r="I18" s="318">
        <f>Forecasts!BM17</f>
        <v>218612.8</v>
      </c>
      <c r="J18" s="317">
        <f>Forecasts!BN17</f>
        <v>218612.8</v>
      </c>
      <c r="K18" s="318">
        <f>Forecasts!BO17</f>
        <v>0</v>
      </c>
      <c r="L18" s="318">
        <f>Forecasts!BP17</f>
        <v>0</v>
      </c>
      <c r="M18" s="318">
        <f>Forecasts!BQ17</f>
        <v>0</v>
      </c>
      <c r="N18" s="318">
        <f>Forecasts!BR17</f>
        <v>131366.40000000002</v>
      </c>
      <c r="O18" s="317">
        <f>Forecasts!BS17</f>
        <v>131366.40000000002</v>
      </c>
      <c r="P18" s="318">
        <f>Forecasts!BT17</f>
        <v>0</v>
      </c>
      <c r="Q18" s="318">
        <f>Forecasts!BU17</f>
        <v>0</v>
      </c>
      <c r="R18" s="318">
        <f>Forecasts!BV17</f>
        <v>0</v>
      </c>
      <c r="S18" s="318">
        <f>Forecasts!BW17</f>
        <v>161776.79999999993</v>
      </c>
      <c r="T18" s="317">
        <f>Forecasts!BX17</f>
        <v>161776.79999999993</v>
      </c>
      <c r="U18" s="318">
        <f>Forecasts!BY17</f>
        <v>0</v>
      </c>
      <c r="V18" s="318">
        <f>Forecasts!BZ17</f>
        <v>0</v>
      </c>
      <c r="W18" s="318">
        <f>Forecasts!CA17</f>
        <v>186705.342</v>
      </c>
      <c r="X18" s="318">
        <f>Forecasts!CB17</f>
        <v>310427.45800000004</v>
      </c>
      <c r="Y18" s="317">
        <f>Forecasts!CC17</f>
        <v>497132.80000000005</v>
      </c>
      <c r="Z18" s="318">
        <f>Forecasts!CD17</f>
        <v>240273.44699999999</v>
      </c>
      <c r="AA18" s="318">
        <f>Forecasts!CE17</f>
        <v>200288.52599999998</v>
      </c>
      <c r="AB18" s="318">
        <f>Forecasts!CF17</f>
        <v>257335.848</v>
      </c>
      <c r="AC18" s="318">
        <f>Forecasts!CG17</f>
        <v>200986.74</v>
      </c>
      <c r="AD18" s="317">
        <f>Forecasts!CH17</f>
        <v>898884.56099999999</v>
      </c>
      <c r="AE18" s="318">
        <f>Forecasts!CI17</f>
        <v>236787.34399999998</v>
      </c>
      <c r="AF18" s="318">
        <f>Forecasts!CJ17</f>
        <v>355590.47600000002</v>
      </c>
      <c r="AG18" s="318">
        <f>Forecasts!CK17</f>
        <v>346785.48100000003</v>
      </c>
      <c r="AH18" s="318">
        <f>Forecasts!CL17</f>
        <v>290201.61599999998</v>
      </c>
      <c r="AI18" s="317">
        <f>Forecasts!CM17</f>
        <v>1229364.9170000001</v>
      </c>
      <c r="AJ18" s="318">
        <f>Forecasts!CN17</f>
        <v>353940.10600000003</v>
      </c>
      <c r="AK18" s="318">
        <f>Forecasts!CO17</f>
        <v>577269.35499999998</v>
      </c>
      <c r="AL18" s="318">
        <f>Forecasts!CP17</f>
        <v>568639.14999999991</v>
      </c>
      <c r="AM18" s="318">
        <f>Forecasts!CQ17</f>
        <v>557582.15175795997</v>
      </c>
      <c r="AN18" s="317">
        <f>Forecasts!CR17</f>
        <v>2057430.76275796</v>
      </c>
      <c r="AO18" s="318">
        <f>Forecasts!CS17</f>
        <v>373209.20131998986</v>
      </c>
      <c r="AP18" s="318">
        <f>Forecasts!CT17</f>
        <v>858718.69981999998</v>
      </c>
      <c r="AQ18" s="318">
        <f>Forecasts!CU17</f>
        <v>620341.41975875024</v>
      </c>
      <c r="AR18" s="318">
        <f>Forecasts!CV17</f>
        <v>501366.73770600004</v>
      </c>
      <c r="AS18" s="317">
        <f>Forecasts!CW17</f>
        <v>2353636.0586047401</v>
      </c>
      <c r="AT18" s="318">
        <f>Forecasts!CX17</f>
        <v>627187.57281138003</v>
      </c>
      <c r="AU18" s="318">
        <f>Forecasts!CY17</f>
        <v>906393.11422792997</v>
      </c>
      <c r="AV18" s="318">
        <f>Forecasts!CZ17</f>
        <v>870238.43044677994</v>
      </c>
      <c r="AW18" s="318">
        <f>Forecasts!DA17</f>
        <v>605611.79999999993</v>
      </c>
      <c r="AX18" s="317">
        <f>Forecasts!DB17</f>
        <v>3009430.9174860897</v>
      </c>
      <c r="AY18" s="318">
        <f>Forecasts!DC17</f>
        <v>692517.45986160007</v>
      </c>
      <c r="AZ18" s="318">
        <f>Forecasts!DD17</f>
        <v>1254213.430685</v>
      </c>
      <c r="BA18" s="318">
        <f>Forecasts!DE17</f>
        <v>1025041.8744339999</v>
      </c>
      <c r="BB18" s="318">
        <f>Forecasts!DF17</f>
        <v>1133522.4552335604</v>
      </c>
      <c r="BC18" s="317">
        <f>Forecasts!DG17</f>
        <v>4105295.2202141606</v>
      </c>
      <c r="BD18" s="318">
        <f>Forecasts!DH17</f>
        <v>1204154.1367801002</v>
      </c>
      <c r="BE18" s="318">
        <f>Forecasts!DI17</f>
        <v>958720.46657515038</v>
      </c>
      <c r="BF18" s="318">
        <f>Forecasts!DJ17</f>
        <v>1203304.4188228154</v>
      </c>
      <c r="BG18" s="318">
        <f>Forecasts!DK17</f>
        <v>1429631.8815912101</v>
      </c>
      <c r="BH18" s="317">
        <f>Forecasts!DL17</f>
        <v>4795810.9037692761</v>
      </c>
      <c r="BI18" s="318">
        <f>Forecasts!DM17</f>
        <v>1335964.7099908306</v>
      </c>
      <c r="BJ18" s="318">
        <f>Forecasts!DN17</f>
        <v>1377806.5268557859</v>
      </c>
      <c r="BK18" s="318">
        <f>Forecasts!DO17</f>
        <v>1409649.3009206874</v>
      </c>
      <c r="BL18" s="318">
        <f>Forecasts!DP17</f>
        <v>1437155.4130565564</v>
      </c>
      <c r="BM18" s="317">
        <f>Forecasts!DQ17</f>
        <v>5560575.9508238602</v>
      </c>
    </row>
    <row r="19" spans="2:65" hidden="1" outlineLevel="1">
      <c r="B19" s="313" t="str">
        <f>Forecasts!A18</f>
        <v xml:space="preserve">  -- Sales Speed</v>
      </c>
      <c r="C19" s="332" t="e">
        <f>Forecasts!AY18</f>
        <v>#DIV/0!</v>
      </c>
      <c r="D19" s="319" t="e">
        <f>Forecasts!BD18</f>
        <v>#DIV/0!</v>
      </c>
      <c r="E19" s="332" t="e">
        <f>Forecasts!BI18</f>
        <v>#DIV/0!</v>
      </c>
      <c r="F19" s="333">
        <f>Forecasts!BJ18</f>
        <v>0</v>
      </c>
      <c r="G19" s="333" t="e">
        <f>Forecasts!BK18</f>
        <v>#DIV/0!</v>
      </c>
      <c r="H19" s="334" t="e">
        <f>Forecasts!BL18</f>
        <v>#DIV/0!</v>
      </c>
      <c r="I19" s="334">
        <f>Forecasts!BM18</f>
        <v>0.45245243422128306</v>
      </c>
      <c r="J19" s="332">
        <f>Forecasts!BN18</f>
        <v>0.45245243422128306</v>
      </c>
      <c r="K19" s="334">
        <f>Forecasts!BO18</f>
        <v>0</v>
      </c>
      <c r="L19" s="334" t="e">
        <f>Forecasts!BP18</f>
        <v>#DIV/0!</v>
      </c>
      <c r="M19" s="334" t="e">
        <f>Forecasts!BQ18</f>
        <v>#DIV/0!</v>
      </c>
      <c r="N19" s="334">
        <f>Forecasts!BR18</f>
        <v>0.35204056201545203</v>
      </c>
      <c r="O19" s="332">
        <f>Forecasts!BS18</f>
        <v>0.35204056201545203</v>
      </c>
      <c r="P19" s="334">
        <f>Forecasts!BT18</f>
        <v>0</v>
      </c>
      <c r="Q19" s="334" t="e">
        <f>Forecasts!BU18</f>
        <v>#DIV/0!</v>
      </c>
      <c r="R19" s="334" t="e">
        <f>Forecasts!BV18</f>
        <v>#DIV/0!</v>
      </c>
      <c r="S19" s="334">
        <f>Forecasts!BW18</f>
        <v>0.41039373514392463</v>
      </c>
      <c r="T19" s="332">
        <f>Forecasts!BX18</f>
        <v>0.41039373514392458</v>
      </c>
      <c r="U19" s="334">
        <f>Forecasts!BY18</f>
        <v>0</v>
      </c>
      <c r="V19" s="334" t="e">
        <f>Forecasts!BZ18</f>
        <v>#DIV/0!</v>
      </c>
      <c r="W19" s="334" t="e">
        <f>Forecasts!CA18</f>
        <v>#DIV/0!</v>
      </c>
      <c r="X19" s="334">
        <f>Forecasts!CB18</f>
        <v>0.75031774015778496</v>
      </c>
      <c r="Y19" s="332">
        <f>Forecasts!CC18</f>
        <v>1.2015933173485962</v>
      </c>
      <c r="Z19" s="334">
        <f>Forecasts!CD18</f>
        <v>0.54106745287373914</v>
      </c>
      <c r="AA19" s="334">
        <f>Forecasts!CE18</f>
        <v>0.40166395466131349</v>
      </c>
      <c r="AB19" s="334">
        <f>Forecasts!CF18</f>
        <v>0.49669817581013448</v>
      </c>
      <c r="AC19" s="334">
        <f>Forecasts!CG18</f>
        <v>0.42492989251312929</v>
      </c>
      <c r="AD19" s="332">
        <f>Forecasts!CH18</f>
        <v>1.8593113996734927</v>
      </c>
      <c r="AE19" s="334">
        <f>Forecasts!CI18</f>
        <v>0.31651915123419655</v>
      </c>
      <c r="AF19" s="334">
        <f>Forecasts!CJ18</f>
        <v>0.46438647496934266</v>
      </c>
      <c r="AG19" s="334">
        <f>Forecasts!CK18</f>
        <v>0.45986487389653674</v>
      </c>
      <c r="AH19" s="334">
        <f>Forecasts!CL18</f>
        <v>0.36000428727735556</v>
      </c>
      <c r="AI19" s="332">
        <f>Forecasts!CM18</f>
        <v>1.5996795305703138</v>
      </c>
      <c r="AJ19" s="334">
        <f>Forecasts!CN18</f>
        <v>0.35410299337695345</v>
      </c>
      <c r="AK19" s="334">
        <f>Forecasts!CO18</f>
        <v>0.54079236892372573</v>
      </c>
      <c r="AL19" s="334">
        <f>Forecasts!CP18</f>
        <v>0.45187252354059698</v>
      </c>
      <c r="AM19" s="334">
        <f>Forecasts!CQ18</f>
        <v>0.42513227429231032</v>
      </c>
      <c r="AN19" s="332">
        <f>Forecasts!CR18</f>
        <v>1.7748150192886818</v>
      </c>
      <c r="AO19" s="334">
        <f>Forecasts!CS18</f>
        <v>0.34498909347383055</v>
      </c>
      <c r="AP19" s="334">
        <f>Forecasts!CT18</f>
        <v>0.61036264807880325</v>
      </c>
      <c r="AQ19" s="334">
        <f>Forecasts!CU18</f>
        <v>0.43191512142627325</v>
      </c>
      <c r="AR19" s="334">
        <f>Forecasts!CV18</f>
        <v>0.3490330172552033</v>
      </c>
      <c r="AS19" s="332">
        <f>Forecasts!CW18</f>
        <v>1.7559855504106636</v>
      </c>
      <c r="AT19" s="334">
        <f>Forecasts!CX18</f>
        <v>0.44050918273724066</v>
      </c>
      <c r="AU19" s="334">
        <f>Forecasts!CY18</f>
        <v>0.53642349453175153</v>
      </c>
      <c r="AV19" s="334">
        <f>Forecasts!CZ18</f>
        <v>0.50807543980111447</v>
      </c>
      <c r="AW19" s="334">
        <f>Forecasts!DA18</f>
        <v>0.32910512952510984</v>
      </c>
      <c r="AX19" s="332">
        <f>Forecasts!DB18</f>
        <v>1.8057128193993708</v>
      </c>
      <c r="AY19" s="334">
        <f>Forecasts!DC18</f>
        <v>0.37774469458630505</v>
      </c>
      <c r="AZ19" s="334">
        <f>Forecasts!DD18</f>
        <v>0.49553145330844189</v>
      </c>
      <c r="BA19" s="334">
        <f>Forecasts!DE18</f>
        <v>0.41039051186520326</v>
      </c>
      <c r="BB19" s="334">
        <f>Forecasts!DF18</f>
        <v>0.42323963425748812</v>
      </c>
      <c r="BC19" s="332">
        <f>Forecasts!DG18</f>
        <v>1.7212490572137105</v>
      </c>
      <c r="BD19" s="334">
        <f>Forecasts!DH18</f>
        <v>0.50041297320139055</v>
      </c>
      <c r="BE19" s="334">
        <f>Forecasts!DI18</f>
        <v>0.34176820043043665</v>
      </c>
      <c r="BF19" s="334">
        <f>Forecasts!DJ18</f>
        <v>0.4</v>
      </c>
      <c r="BG19" s="334">
        <f>Forecasts!DK18</f>
        <v>0.45</v>
      </c>
      <c r="BH19" s="332">
        <f>Forecasts!DL18</f>
        <v>1.6832251020942808</v>
      </c>
      <c r="BI19" s="334">
        <f>Forecasts!DM18</f>
        <v>0.45</v>
      </c>
      <c r="BJ19" s="334">
        <f>Forecasts!DN18</f>
        <v>0.45</v>
      </c>
      <c r="BK19" s="334">
        <f>Forecasts!DO18</f>
        <v>0.45</v>
      </c>
      <c r="BL19" s="334">
        <f>Forecasts!DP18</f>
        <v>0.45</v>
      </c>
      <c r="BM19" s="332">
        <f>Forecasts!DQ18</f>
        <v>1.8</v>
      </c>
    </row>
    <row r="20" spans="2:65" hidden="1" outlineLevel="1">
      <c r="B20" s="313" t="str">
        <f>Forecasts!A19</f>
        <v>Sales Cancelations</v>
      </c>
      <c r="C20" s="317">
        <f>Forecasts!AY19</f>
        <v>0</v>
      </c>
      <c r="D20" s="317">
        <f>Forecasts!BD19</f>
        <v>0</v>
      </c>
      <c r="E20" s="317">
        <f>Forecasts!BI19</f>
        <v>0</v>
      </c>
      <c r="F20" s="318">
        <f>Forecasts!BJ19</f>
        <v>0</v>
      </c>
      <c r="G20" s="318">
        <f>Forecasts!BK19</f>
        <v>0</v>
      </c>
      <c r="H20" s="318">
        <f>Forecasts!BL19</f>
        <v>0</v>
      </c>
      <c r="I20" s="318">
        <f>Forecasts!BM19</f>
        <v>0</v>
      </c>
      <c r="J20" s="317">
        <f>Forecasts!BN19</f>
        <v>0</v>
      </c>
      <c r="K20" s="318">
        <f>Forecasts!BO19</f>
        <v>0</v>
      </c>
      <c r="L20" s="318">
        <f>Forecasts!BP19</f>
        <v>0</v>
      </c>
      <c r="M20" s="318">
        <f>Forecasts!BQ19</f>
        <v>0</v>
      </c>
      <c r="N20" s="318">
        <f>Forecasts!BR19</f>
        <v>0</v>
      </c>
      <c r="O20" s="317">
        <f>Forecasts!BS19</f>
        <v>0</v>
      </c>
      <c r="P20" s="318">
        <f>Forecasts!BT19</f>
        <v>0</v>
      </c>
      <c r="Q20" s="318">
        <f>Forecasts!BU19</f>
        <v>0</v>
      </c>
      <c r="R20" s="318">
        <f>Forecasts!BV19</f>
        <v>0</v>
      </c>
      <c r="S20" s="318">
        <f>Forecasts!BW19</f>
        <v>0</v>
      </c>
      <c r="T20" s="317">
        <f>Forecasts!BX19</f>
        <v>0</v>
      </c>
      <c r="U20" s="318">
        <f>Forecasts!BY19</f>
        <v>0</v>
      </c>
      <c r="V20" s="318">
        <f>Forecasts!BZ19</f>
        <v>0</v>
      </c>
      <c r="W20" s="318">
        <f>Forecasts!CA19</f>
        <v>41040</v>
      </c>
      <c r="X20" s="318">
        <f>Forecasts!CB19</f>
        <v>0</v>
      </c>
      <c r="Y20" s="317">
        <f>Forecasts!CC19</f>
        <v>41040</v>
      </c>
      <c r="Z20" s="318">
        <f>Forecasts!CD19</f>
        <v>40452</v>
      </c>
      <c r="AA20" s="318">
        <f>Forecasts!CE19</f>
        <v>41688</v>
      </c>
      <c r="AB20" s="318">
        <f>Forecasts!CF19</f>
        <v>57087</v>
      </c>
      <c r="AC20" s="318">
        <f>Forecasts!CG19</f>
        <v>44000</v>
      </c>
      <c r="AD20" s="317">
        <f>Forecasts!CH19</f>
        <v>183227</v>
      </c>
      <c r="AE20" s="318">
        <f>Forecasts!CI19</f>
        <v>43145</v>
      </c>
      <c r="AF20" s="318">
        <f>Forecasts!CJ19</f>
        <v>53891</v>
      </c>
      <c r="AG20" s="318">
        <f>Forecasts!CK19</f>
        <v>66331</v>
      </c>
      <c r="AH20" s="318">
        <f>Forecasts!CL19</f>
        <v>60328</v>
      </c>
      <c r="AI20" s="317">
        <f>Forecasts!CM19</f>
        <v>223695</v>
      </c>
      <c r="AJ20" s="318">
        <f>Forecasts!CN19</f>
        <v>59374</v>
      </c>
      <c r="AK20" s="318">
        <f>Forecasts!CO19</f>
        <v>89935</v>
      </c>
      <c r="AL20" s="318">
        <f>Forecasts!CP19</f>
        <v>81431</v>
      </c>
      <c r="AM20" s="318">
        <f>Forecasts!CQ19</f>
        <v>82400</v>
      </c>
      <c r="AN20" s="317">
        <f>Forecasts!CR19</f>
        <v>313140</v>
      </c>
      <c r="AO20" s="318">
        <f>Forecasts!CS19</f>
        <v>85145.044269999984</v>
      </c>
      <c r="AP20" s="318">
        <f>Forecasts!CT19</f>
        <v>148318</v>
      </c>
      <c r="AQ20" s="318">
        <f>Forecasts!CU19</f>
        <v>181679</v>
      </c>
      <c r="AR20" s="318">
        <f>Forecasts!CV19</f>
        <v>120500</v>
      </c>
      <c r="AS20" s="317">
        <f>Forecasts!CW19</f>
        <v>535642.04426999995</v>
      </c>
      <c r="AT20" s="318">
        <f>Forecasts!CX19</f>
        <v>127400</v>
      </c>
      <c r="AU20" s="318">
        <f>Forecasts!CY19</f>
        <v>176960.05870999978</v>
      </c>
      <c r="AV20" s="318">
        <f>Forecasts!CZ19</f>
        <v>153100</v>
      </c>
      <c r="AW20" s="318">
        <f>Forecasts!DA19</f>
        <v>107300</v>
      </c>
      <c r="AX20" s="317">
        <f>Forecasts!DB19</f>
        <v>564760.05870999978</v>
      </c>
      <c r="AY20" s="318">
        <f>Forecasts!DC19</f>
        <v>119800</v>
      </c>
      <c r="AZ20" s="318">
        <f>Forecasts!DD19</f>
        <v>236600</v>
      </c>
      <c r="BA20" s="318">
        <f>Forecasts!DE19</f>
        <v>224800</v>
      </c>
      <c r="BB20" s="318">
        <f>Forecasts!DF19</f>
        <v>157700</v>
      </c>
      <c r="BC20" s="317">
        <f>Forecasts!DG19</f>
        <v>738900</v>
      </c>
      <c r="BD20" s="318">
        <f>Forecasts!DH19</f>
        <v>229300</v>
      </c>
      <c r="BE20" s="318">
        <f>Forecasts!DI19</f>
        <v>171200</v>
      </c>
      <c r="BF20" s="318">
        <f>Forecasts!DJ19</f>
        <v>231072.26</v>
      </c>
      <c r="BG20" s="318">
        <f>Forecasts!DK19</f>
        <v>240960.65937799923</v>
      </c>
      <c r="BH20" s="317">
        <f>Forecasts!DL19</f>
        <v>872532.91937799926</v>
      </c>
      <c r="BI20" s="318">
        <f>Forecasts!DM19</f>
        <v>249857.18877014308</v>
      </c>
      <c r="BJ20" s="318">
        <f>Forecasts!DN19</f>
        <v>256432.29821811325</v>
      </c>
      <c r="BK20" s="318">
        <f>Forecasts!DO19</f>
        <v>265447.07282708696</v>
      </c>
      <c r="BL20" s="318">
        <f>Forecasts!DP19</f>
        <v>273832.26398225775</v>
      </c>
      <c r="BM20" s="317">
        <f>Forecasts!DQ19</f>
        <v>1045568.823797601</v>
      </c>
    </row>
    <row r="21" spans="2:65" hidden="1" outlineLevel="1">
      <c r="B21" s="313" t="str">
        <f>Forecasts!A20</f>
        <v xml:space="preserve">  -- Cancelation Rate</v>
      </c>
      <c r="C21" s="319">
        <f>Forecasts!AY20</f>
        <v>0</v>
      </c>
      <c r="D21" s="319">
        <f>Forecasts!BD20</f>
        <v>0</v>
      </c>
      <c r="E21" s="319">
        <f>Forecasts!BI20</f>
        <v>0</v>
      </c>
      <c r="F21" s="333">
        <f>Forecasts!BJ20</f>
        <v>0</v>
      </c>
      <c r="G21" s="333" t="e">
        <f>Forecasts!BK20</f>
        <v>#DIV/0!</v>
      </c>
      <c r="H21" s="334" t="e">
        <f>Forecasts!BL20</f>
        <v>#DIV/0!</v>
      </c>
      <c r="I21" s="334" t="e">
        <f>Forecasts!BM20</f>
        <v>#DIV/0!</v>
      </c>
      <c r="J21" s="319">
        <f>Forecasts!BN20</f>
        <v>0</v>
      </c>
      <c r="K21" s="334">
        <f>Forecasts!BO20</f>
        <v>0</v>
      </c>
      <c r="L21" s="334" t="e">
        <f>Forecasts!BP20</f>
        <v>#DIV/0!</v>
      </c>
      <c r="M21" s="334" t="e">
        <f>Forecasts!BQ20</f>
        <v>#DIV/0!</v>
      </c>
      <c r="N21" s="334" t="e">
        <f>Forecasts!BR20</f>
        <v>#DIV/0!</v>
      </c>
      <c r="O21" s="319">
        <f>Forecasts!BS20</f>
        <v>0</v>
      </c>
      <c r="P21" s="334">
        <f>Forecasts!BT20</f>
        <v>0</v>
      </c>
      <c r="Q21" s="334" t="e">
        <f>Forecasts!BU20</f>
        <v>#DIV/0!</v>
      </c>
      <c r="R21" s="334" t="e">
        <f>Forecasts!BV20</f>
        <v>#DIV/0!</v>
      </c>
      <c r="S21" s="334" t="e">
        <f>Forecasts!BW20</f>
        <v>#DIV/0!</v>
      </c>
      <c r="T21" s="319">
        <f>Forecasts!BX20</f>
        <v>0</v>
      </c>
      <c r="U21" s="334">
        <f>Forecasts!BY20</f>
        <v>0</v>
      </c>
      <c r="V21" s="334" t="e">
        <f>Forecasts!BZ20</f>
        <v>#DIV/0!</v>
      </c>
      <c r="W21" s="334" t="e">
        <f>Forecasts!CA20</f>
        <v>#DIV/0!</v>
      </c>
      <c r="X21" s="334" t="e">
        <f>Forecasts!CB20</f>
        <v>#DIV/0!</v>
      </c>
      <c r="Y21" s="319">
        <f>Forecasts!CC20</f>
        <v>3.2933461407905477E-2</v>
      </c>
      <c r="Z21" s="334">
        <f>Forecasts!CD20</f>
        <v>3.0420664273241516E-2</v>
      </c>
      <c r="AA21" s="334">
        <f>Forecasts!CE20</f>
        <v>3.3420261715089224E-2</v>
      </c>
      <c r="AB21" s="334">
        <f>Forecasts!CF20</f>
        <v>4.2753983541584911E-2</v>
      </c>
      <c r="AC21" s="334">
        <f>Forecasts!CG20</f>
        <v>2.825707775577151E-2</v>
      </c>
      <c r="AD21" s="319">
        <f>Forecasts!CH20</f>
        <v>0.1377901476513701</v>
      </c>
      <c r="AE21" s="334">
        <f>Forecasts!CI20</f>
        <v>2.7343789610310594E-2</v>
      </c>
      <c r="AF21" s="334">
        <f>Forecasts!CJ20</f>
        <v>2.8205673061020262E-2</v>
      </c>
      <c r="AG21" s="334">
        <f>Forecasts!CK20</f>
        <v>2.9859796571104453E-2</v>
      </c>
      <c r="AH21" s="334">
        <f>Forecasts!CL20</f>
        <v>2.3813292544530518E-2</v>
      </c>
      <c r="AI21" s="319">
        <f>Forecasts!CM20</f>
        <v>0.14177005485869576</v>
      </c>
      <c r="AJ21" s="334">
        <f>Forecasts!CN20</f>
        <v>2.0923423034513042E-2</v>
      </c>
      <c r="AK21" s="334">
        <f>Forecasts!CO20</f>
        <v>2.6015707487814402E-2</v>
      </c>
      <c r="AL21" s="334">
        <f>Forecasts!CP20</f>
        <v>2.2485868841866336E-2</v>
      </c>
      <c r="AM21" s="334">
        <f>Forecasts!CQ20</f>
        <v>2.2139194273041823E-2</v>
      </c>
      <c r="AN21" s="319">
        <f>Forecasts!CR20</f>
        <v>0.11035067014227462</v>
      </c>
      <c r="AO21" s="334">
        <f>Forecasts!CS20</f>
        <v>2.3432302647385099E-2</v>
      </c>
      <c r="AP21" s="334">
        <f>Forecasts!CT20</f>
        <v>3.740615863179178E-2</v>
      </c>
      <c r="AQ21" s="334">
        <f>Forecasts!CU20</f>
        <v>4.1943813726701119E-2</v>
      </c>
      <c r="AR21" s="334">
        <f>Forecasts!CV20</f>
        <v>2.6662099814051213E-2</v>
      </c>
      <c r="AS21" s="319">
        <f>Forecasts!CW20</f>
        <v>0.1474111218052537</v>
      </c>
      <c r="AT21" s="334">
        <f>Forecasts!CX20</f>
        <v>2.7739565111552681E-2</v>
      </c>
      <c r="AU21" s="334">
        <f>Forecasts!CY20</f>
        <v>3.2537712496235216E-2</v>
      </c>
      <c r="AV21" s="334">
        <f>Forecasts!CZ20</f>
        <v>2.462530451899269E-2</v>
      </c>
      <c r="AW21" s="334">
        <f>Forecasts!DA20</f>
        <v>1.611625815031317E-2</v>
      </c>
      <c r="AX21" s="319">
        <f>Forecasts!DB20</f>
        <v>0.12296859043163542</v>
      </c>
      <c r="AY21" s="334">
        <f>Forecasts!DC20</f>
        <v>1.7108092584770026E-2</v>
      </c>
      <c r="AZ21" s="334">
        <f>Forecasts!DD20</f>
        <v>2.8413062034625028E-2</v>
      </c>
      <c r="BA21" s="334">
        <f>Forecasts!DE20</f>
        <v>2.3869888719385779E-2</v>
      </c>
      <c r="BB21" s="334">
        <f>Forecasts!DF20</f>
        <v>1.5929445787611095E-2</v>
      </c>
      <c r="BC21" s="319">
        <f>Forecasts!DG20</f>
        <v>0.1055189449990532</v>
      </c>
      <c r="BD21" s="334">
        <f>Forecasts!DH20</f>
        <v>2.3021584467327924E-2</v>
      </c>
      <c r="BE21" s="334">
        <f>Forecasts!DI20</f>
        <v>1.5533585935571912E-2</v>
      </c>
      <c r="BF21" s="334">
        <f>Forecasts!DJ20</f>
        <v>0.02</v>
      </c>
      <c r="BG21" s="334">
        <f>Forecasts!DK20</f>
        <v>0.02</v>
      </c>
      <c r="BH21" s="319">
        <f>Forecasts!DL20</f>
        <v>8.7601789376296715E-2</v>
      </c>
      <c r="BI21" s="334">
        <f>Forecasts!DM20</f>
        <v>0.02</v>
      </c>
      <c r="BJ21" s="334">
        <f>Forecasts!DN20</f>
        <v>0.02</v>
      </c>
      <c r="BK21" s="334">
        <f>Forecasts!DO20</f>
        <v>0.02</v>
      </c>
      <c r="BL21" s="334">
        <f>Forecasts!DP20</f>
        <v>0.02</v>
      </c>
      <c r="BM21" s="319">
        <f>Forecasts!DQ20</f>
        <v>8.3693315284954675E-2</v>
      </c>
    </row>
    <row r="22" spans="2:65" hidden="1" outlineLevel="1">
      <c r="B22" s="323" t="str">
        <f>Forecasts!A21</f>
        <v>Net Inventory Sales</v>
      </c>
      <c r="C22" s="335">
        <f>Forecasts!AY21</f>
        <v>0</v>
      </c>
      <c r="D22" s="335">
        <f>Forecasts!BD21</f>
        <v>0</v>
      </c>
      <c r="E22" s="335">
        <f>Forecasts!BI21</f>
        <v>193810.39999999997</v>
      </c>
      <c r="F22" s="336">
        <f>Forecasts!BJ21</f>
        <v>0</v>
      </c>
      <c r="G22" s="336">
        <f>Forecasts!BK21</f>
        <v>0</v>
      </c>
      <c r="H22" s="336">
        <f>Forecasts!BL21</f>
        <v>0</v>
      </c>
      <c r="I22" s="336">
        <f>Forecasts!BM21</f>
        <v>218612.8</v>
      </c>
      <c r="J22" s="335">
        <f>Forecasts!BN21</f>
        <v>218612.8</v>
      </c>
      <c r="K22" s="336">
        <f>Forecasts!BO21</f>
        <v>0</v>
      </c>
      <c r="L22" s="336">
        <f>Forecasts!BP21</f>
        <v>0</v>
      </c>
      <c r="M22" s="336">
        <f>Forecasts!BQ21</f>
        <v>0</v>
      </c>
      <c r="N22" s="336">
        <f>Forecasts!BR21</f>
        <v>131366.40000000002</v>
      </c>
      <c r="O22" s="335">
        <f>Forecasts!BS21</f>
        <v>131366.40000000002</v>
      </c>
      <c r="P22" s="336">
        <f>Forecasts!BT21</f>
        <v>0</v>
      </c>
      <c r="Q22" s="336">
        <f>Forecasts!BU21</f>
        <v>0</v>
      </c>
      <c r="R22" s="336">
        <f>Forecasts!BV21</f>
        <v>0</v>
      </c>
      <c r="S22" s="336">
        <f>Forecasts!BW21</f>
        <v>161776.79999999993</v>
      </c>
      <c r="T22" s="335">
        <f>Forecasts!BX21</f>
        <v>161776.79999999993</v>
      </c>
      <c r="U22" s="336">
        <f>Forecasts!BY21</f>
        <v>0</v>
      </c>
      <c r="V22" s="336">
        <f>Forecasts!BZ21</f>
        <v>0</v>
      </c>
      <c r="W22" s="336">
        <f>Forecasts!CA21</f>
        <v>145665.342</v>
      </c>
      <c r="X22" s="336">
        <f>Forecasts!CB21</f>
        <v>310427.45800000004</v>
      </c>
      <c r="Y22" s="335">
        <f>Forecasts!CC21</f>
        <v>456092.80000000005</v>
      </c>
      <c r="Z22" s="336">
        <f>Forecasts!CD21</f>
        <v>199821.44699999999</v>
      </c>
      <c r="AA22" s="336">
        <f>Forecasts!CE21</f>
        <v>158600.52599999998</v>
      </c>
      <c r="AB22" s="336">
        <f>Forecasts!CF21</f>
        <v>200248.848</v>
      </c>
      <c r="AC22" s="336">
        <f>Forecasts!CG21</f>
        <v>156986.74</v>
      </c>
      <c r="AD22" s="335">
        <f>Forecasts!CH21</f>
        <v>715657.56099999999</v>
      </c>
      <c r="AE22" s="336">
        <f>Forecasts!CI21</f>
        <v>193642.34399999998</v>
      </c>
      <c r="AF22" s="336">
        <f>Forecasts!CJ21</f>
        <v>301699.47600000002</v>
      </c>
      <c r="AG22" s="336">
        <f>Forecasts!CK21</f>
        <v>280454.48100000003</v>
      </c>
      <c r="AH22" s="336">
        <f>Forecasts!CL21</f>
        <v>229873.61599999998</v>
      </c>
      <c r="AI22" s="335">
        <f>Forecasts!CM21</f>
        <v>1005669.9169999999</v>
      </c>
      <c r="AJ22" s="336">
        <f>Forecasts!CN21</f>
        <v>294566.10600000003</v>
      </c>
      <c r="AK22" s="336">
        <f>Forecasts!CO21</f>
        <v>487334.35499999998</v>
      </c>
      <c r="AL22" s="336">
        <f>Forecasts!CP21</f>
        <v>487208.14999999991</v>
      </c>
      <c r="AM22" s="336">
        <f>Forecasts!CQ21</f>
        <v>475182.15175795997</v>
      </c>
      <c r="AN22" s="335">
        <f>Forecasts!CR21</f>
        <v>1744290.76275796</v>
      </c>
      <c r="AO22" s="336">
        <f>Forecasts!CS21</f>
        <v>288064.15704998991</v>
      </c>
      <c r="AP22" s="336">
        <f>Forecasts!CT21</f>
        <v>710400.69981999998</v>
      </c>
      <c r="AQ22" s="336">
        <f>Forecasts!CU21</f>
        <v>438662.41975875024</v>
      </c>
      <c r="AR22" s="336">
        <f>Forecasts!CV21</f>
        <v>380866.73770600004</v>
      </c>
      <c r="AS22" s="335">
        <f>Forecasts!CW21</f>
        <v>1817994.0143347401</v>
      </c>
      <c r="AT22" s="336">
        <f>Forecasts!CX21</f>
        <v>499787.57281138003</v>
      </c>
      <c r="AU22" s="336">
        <f>Forecasts!CY21</f>
        <v>729433.05551793019</v>
      </c>
      <c r="AV22" s="336">
        <f>Forecasts!CZ21</f>
        <v>717138.43044677994</v>
      </c>
      <c r="AW22" s="336">
        <f>Forecasts!DA21</f>
        <v>498311.79999999993</v>
      </c>
      <c r="AX22" s="335">
        <f>Forecasts!DB21</f>
        <v>2444670.8587760897</v>
      </c>
      <c r="AY22" s="336">
        <f>Forecasts!DC21</f>
        <v>572717.45986160007</v>
      </c>
      <c r="AZ22" s="336">
        <f>Forecasts!DD21</f>
        <v>1017613.430685</v>
      </c>
      <c r="BA22" s="336">
        <f>Forecasts!DE21</f>
        <v>800241.87443399988</v>
      </c>
      <c r="BB22" s="336">
        <f>Forecasts!DF21</f>
        <v>975822.45523356041</v>
      </c>
      <c r="BC22" s="335">
        <f>Forecasts!DG21</f>
        <v>3366395.2202141606</v>
      </c>
      <c r="BD22" s="336">
        <f>Forecasts!DH21</f>
        <v>974854.13678010018</v>
      </c>
      <c r="BE22" s="336">
        <f>Forecasts!DI21</f>
        <v>787520.46657515038</v>
      </c>
      <c r="BF22" s="336">
        <f>Forecasts!DJ21</f>
        <v>972232.1588228154</v>
      </c>
      <c r="BG22" s="336">
        <f>Forecasts!DK21</f>
        <v>1188671.222213211</v>
      </c>
      <c r="BH22" s="335">
        <f>Forecasts!DL21</f>
        <v>3923277.9843912772</v>
      </c>
      <c r="BI22" s="336">
        <f>Forecasts!DM21</f>
        <v>1086107.5212206875</v>
      </c>
      <c r="BJ22" s="336">
        <f>Forecasts!DN21</f>
        <v>1121374.2286376725</v>
      </c>
      <c r="BK22" s="336">
        <f>Forecasts!DO21</f>
        <v>1144202.2280936004</v>
      </c>
      <c r="BL22" s="336">
        <f>Forecasts!DP21</f>
        <v>1163323.1490742986</v>
      </c>
      <c r="BM22" s="335">
        <f>Forecasts!DQ21</f>
        <v>4515007.127026259</v>
      </c>
    </row>
    <row r="23" spans="2:65" hidden="1" outlineLevel="1">
      <c r="B23" s="337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338"/>
      <c r="AB23" s="338"/>
      <c r="AC23" s="338"/>
      <c r="AD23" s="338"/>
      <c r="AE23" s="338"/>
      <c r="AF23" s="338"/>
      <c r="AG23" s="338"/>
      <c r="AH23" s="338"/>
      <c r="AI23" s="338"/>
      <c r="AJ23" s="338"/>
      <c r="AK23" s="338"/>
      <c r="AL23" s="338"/>
      <c r="AM23" s="338"/>
      <c r="AN23" s="338"/>
      <c r="AO23" s="338"/>
      <c r="AP23" s="338"/>
      <c r="AQ23" s="338"/>
      <c r="AR23" s="338"/>
      <c r="AS23" s="338"/>
      <c r="AT23" s="338"/>
      <c r="AU23" s="338"/>
      <c r="AV23" s="338"/>
      <c r="AW23" s="338"/>
      <c r="AX23" s="338"/>
      <c r="AY23" s="338"/>
      <c r="AZ23" s="338"/>
      <c r="BA23" s="338"/>
      <c r="BB23" s="338"/>
      <c r="BC23" s="338"/>
      <c r="BD23" s="338"/>
      <c r="BE23" s="338"/>
      <c r="BF23" s="338"/>
      <c r="BG23" s="338"/>
      <c r="BH23" s="338"/>
      <c r="BI23" s="338"/>
      <c r="BJ23" s="338"/>
      <c r="BK23" s="338"/>
      <c r="BL23" s="338"/>
      <c r="BM23" s="338"/>
    </row>
    <row r="24" spans="2:65" ht="13.5" hidden="1" outlineLevel="1" thickBot="1">
      <c r="B24" s="310" t="str">
        <f>Forecasts!A23</f>
        <v>Sales speed</v>
      </c>
      <c r="C24" s="311" t="str">
        <f>Forecasts!AY23</f>
        <v>2013</v>
      </c>
      <c r="D24" s="311" t="str">
        <f>Forecasts!BD23</f>
        <v>2014</v>
      </c>
      <c r="E24" s="311" t="str">
        <f>Forecasts!BI23</f>
        <v>2015</v>
      </c>
      <c r="F24" s="312" t="str">
        <f>Forecasts!BJ23</f>
        <v>1Q16</v>
      </c>
      <c r="G24" s="312" t="str">
        <f>Forecasts!BK23</f>
        <v>2Q16</v>
      </c>
      <c r="H24" s="312" t="str">
        <f>Forecasts!BL23</f>
        <v>3Q16</v>
      </c>
      <c r="I24" s="312" t="str">
        <f>Forecasts!BM23</f>
        <v>4Q16</v>
      </c>
      <c r="J24" s="311" t="str">
        <f>Forecasts!BN23</f>
        <v>2016</v>
      </c>
      <c r="K24" s="312" t="str">
        <f>Forecasts!BO23</f>
        <v>1Q17</v>
      </c>
      <c r="L24" s="312" t="str">
        <f>Forecasts!BP23</f>
        <v>2Q17</v>
      </c>
      <c r="M24" s="312" t="str">
        <f>Forecasts!BQ23</f>
        <v>3Q17</v>
      </c>
      <c r="N24" s="312" t="str">
        <f>Forecasts!BR23</f>
        <v>4Q17</v>
      </c>
      <c r="O24" s="311" t="str">
        <f>Forecasts!BS23</f>
        <v>2017</v>
      </c>
      <c r="P24" s="312" t="str">
        <f>Forecasts!BT23</f>
        <v>1Q18</v>
      </c>
      <c r="Q24" s="312" t="str">
        <f>Forecasts!BU23</f>
        <v>2Q18</v>
      </c>
      <c r="R24" s="312" t="str">
        <f>Forecasts!BV23</f>
        <v>3Q18</v>
      </c>
      <c r="S24" s="312" t="str">
        <f>Forecasts!BW23</f>
        <v>4Q18</v>
      </c>
      <c r="T24" s="311" t="str">
        <f>Forecasts!BX23</f>
        <v>2018</v>
      </c>
      <c r="U24" s="312" t="str">
        <f>Forecasts!BY23</f>
        <v>1Q19</v>
      </c>
      <c r="V24" s="312" t="str">
        <f>Forecasts!BZ23</f>
        <v>2Q19</v>
      </c>
      <c r="W24" s="312" t="str">
        <f>Forecasts!CA23</f>
        <v>3Q19</v>
      </c>
      <c r="X24" s="312" t="str">
        <f>Forecasts!CB23</f>
        <v>4Q19</v>
      </c>
      <c r="Y24" s="311" t="str">
        <f>Forecasts!CC23</f>
        <v>2019</v>
      </c>
      <c r="Z24" s="312" t="str">
        <f>Forecasts!CD23</f>
        <v>1Q20</v>
      </c>
      <c r="AA24" s="312" t="str">
        <f>Forecasts!CE23</f>
        <v>2Q20</v>
      </c>
      <c r="AB24" s="312" t="str">
        <f>Forecasts!CF23</f>
        <v>3Q20</v>
      </c>
      <c r="AC24" s="312" t="str">
        <f>Forecasts!CG23</f>
        <v>4Q20</v>
      </c>
      <c r="AD24" s="311" t="str">
        <f>Forecasts!CH23</f>
        <v>2020</v>
      </c>
      <c r="AE24" s="312" t="str">
        <f>Forecasts!CI23</f>
        <v>1Q21</v>
      </c>
      <c r="AF24" s="312" t="str">
        <f>Forecasts!CJ23</f>
        <v>2Q21</v>
      </c>
      <c r="AG24" s="312" t="str">
        <f>Forecasts!CK23</f>
        <v>3Q21</v>
      </c>
      <c r="AH24" s="312" t="str">
        <f>Forecasts!CL23</f>
        <v>4Q21</v>
      </c>
      <c r="AI24" s="311" t="str">
        <f>Forecasts!CM23</f>
        <v>2021</v>
      </c>
      <c r="AJ24" s="312" t="str">
        <f>Forecasts!CN23</f>
        <v>1Q22</v>
      </c>
      <c r="AK24" s="312" t="str">
        <f>Forecasts!CO23</f>
        <v>2Q22</v>
      </c>
      <c r="AL24" s="312" t="str">
        <f>Forecasts!CP23</f>
        <v>3Q22</v>
      </c>
      <c r="AM24" s="312" t="str">
        <f>Forecasts!CQ23</f>
        <v>4Q22</v>
      </c>
      <c r="AN24" s="311" t="str">
        <f>Forecasts!CR23</f>
        <v>2022</v>
      </c>
      <c r="AO24" s="312" t="str">
        <f>Forecasts!CS23</f>
        <v>1Q23</v>
      </c>
      <c r="AP24" s="312" t="str">
        <f>Forecasts!CT23</f>
        <v>2Q23</v>
      </c>
      <c r="AQ24" s="312" t="str">
        <f>Forecasts!CU23</f>
        <v>3Q23</v>
      </c>
      <c r="AR24" s="312" t="str">
        <f>Forecasts!CV23</f>
        <v>4Q23</v>
      </c>
      <c r="AS24" s="311" t="str">
        <f>Forecasts!CW23</f>
        <v>2023</v>
      </c>
      <c r="AT24" s="312" t="str">
        <f>Forecasts!CX23</f>
        <v>1Q24</v>
      </c>
      <c r="AU24" s="312" t="str">
        <f>Forecasts!CY23</f>
        <v>2Q24</v>
      </c>
      <c r="AV24" s="312" t="str">
        <f>Forecasts!CZ23</f>
        <v>3Q24</v>
      </c>
      <c r="AW24" s="312" t="str">
        <f>Forecasts!DA23</f>
        <v>4Q24</v>
      </c>
      <c r="AX24" s="311" t="str">
        <f>Forecasts!DB23</f>
        <v>2024</v>
      </c>
      <c r="AY24" s="312" t="str">
        <f>Forecasts!DC23</f>
        <v>1Q25</v>
      </c>
      <c r="AZ24" s="312" t="str">
        <f>Forecasts!DD23</f>
        <v>2Q25</v>
      </c>
      <c r="BA24" s="312" t="str">
        <f>Forecasts!DE23</f>
        <v>3Q25</v>
      </c>
      <c r="BB24" s="312" t="str">
        <f>Forecasts!DF23</f>
        <v>4Q25</v>
      </c>
      <c r="BC24" s="311" t="str">
        <f>Forecasts!DG23</f>
        <v>2025</v>
      </c>
      <c r="BD24" s="312" t="str">
        <f>Forecasts!DH23</f>
        <v>1Q26</v>
      </c>
      <c r="BE24" s="312" t="str">
        <f>Forecasts!DI23</f>
        <v>2Q26</v>
      </c>
      <c r="BF24" s="312" t="str">
        <f>Forecasts!DJ23</f>
        <v>3Q26E</v>
      </c>
      <c r="BG24" s="312" t="str">
        <f>Forecasts!DK23</f>
        <v>4Q26E</v>
      </c>
      <c r="BH24" s="311" t="str">
        <f>Forecasts!DL23</f>
        <v>2026E</v>
      </c>
      <c r="BI24" s="312" t="str">
        <f>Forecasts!DM23</f>
        <v>1Q27E</v>
      </c>
      <c r="BJ24" s="312" t="str">
        <f>Forecasts!DN23</f>
        <v>2Q27E</v>
      </c>
      <c r="BK24" s="312" t="str">
        <f>Forecasts!DO23</f>
        <v>3Q27E</v>
      </c>
      <c r="BL24" s="312" t="str">
        <f>Forecasts!DP23</f>
        <v>4Q27E</v>
      </c>
      <c r="BM24" s="311" t="str">
        <f>Forecasts!DQ23</f>
        <v>2027E</v>
      </c>
    </row>
    <row r="25" spans="2:65" hidden="1" outlineLevel="1">
      <c r="B25" s="313" t="str">
        <f>Forecasts!A24</f>
        <v>VGV Inventory</v>
      </c>
      <c r="C25" s="314">
        <f>Forecasts!AY24</f>
        <v>0</v>
      </c>
      <c r="D25" s="314">
        <f>Forecasts!BD24</f>
        <v>0</v>
      </c>
      <c r="E25" s="314">
        <f>Forecasts!BI24</f>
        <v>483173</v>
      </c>
      <c r="F25" s="328">
        <f>Forecasts!BJ24</f>
        <v>0</v>
      </c>
      <c r="G25" s="328">
        <f>Forecasts!BK24</f>
        <v>0</v>
      </c>
      <c r="H25" s="327">
        <f>Forecasts!BL24</f>
        <v>0</v>
      </c>
      <c r="I25" s="327">
        <f>Forecasts!BM24</f>
        <v>373157</v>
      </c>
      <c r="J25" s="314">
        <f>Forecasts!BN24</f>
        <v>373157</v>
      </c>
      <c r="K25" s="327">
        <f>Forecasts!BO24</f>
        <v>0</v>
      </c>
      <c r="L25" s="327">
        <f>Forecasts!BP24</f>
        <v>0</v>
      </c>
      <c r="M25" s="327">
        <f>Forecasts!BQ24</f>
        <v>0</v>
      </c>
      <c r="N25" s="327">
        <f>Forecasts!BR24</f>
        <v>394199</v>
      </c>
      <c r="O25" s="314">
        <f>Forecasts!BS24</f>
        <v>394199</v>
      </c>
      <c r="P25" s="327">
        <f>Forecasts!BT24</f>
        <v>0</v>
      </c>
      <c r="Q25" s="327">
        <f>Forecasts!BU24</f>
        <v>0</v>
      </c>
      <c r="R25" s="327">
        <f>Forecasts!BV24</f>
        <v>0</v>
      </c>
      <c r="S25" s="327">
        <f>Forecasts!BW24</f>
        <v>413728</v>
      </c>
      <c r="T25" s="314">
        <f>Forecasts!BX24</f>
        <v>413728</v>
      </c>
      <c r="U25" s="327">
        <f>Forecasts!BY24</f>
        <v>0</v>
      </c>
      <c r="V25" s="327">
        <f>Forecasts!BZ24</f>
        <v>0</v>
      </c>
      <c r="W25" s="327">
        <f>Forecasts!CA24</f>
        <v>0</v>
      </c>
      <c r="X25" s="327">
        <f>Forecasts!CB24</f>
        <v>444073</v>
      </c>
      <c r="Y25" s="314">
        <f>Forecasts!CC24</f>
        <v>444073</v>
      </c>
      <c r="Z25" s="327">
        <f>Forecasts!CD24</f>
        <v>498647</v>
      </c>
      <c r="AA25" s="327">
        <f>Forecasts!CE24</f>
        <v>518093</v>
      </c>
      <c r="AB25" s="327">
        <f>Forecasts!CF24</f>
        <v>472988</v>
      </c>
      <c r="AC25" s="327">
        <f>Forecasts!CG24</f>
        <v>748098</v>
      </c>
      <c r="AD25" s="314">
        <f>Forecasts!CH24</f>
        <v>748098</v>
      </c>
      <c r="AE25" s="327">
        <f>Forecasts!CI24</f>
        <v>765721</v>
      </c>
      <c r="AF25" s="327">
        <f>Forecasts!CJ24</f>
        <v>754103</v>
      </c>
      <c r="AG25" s="327">
        <f>Forecasts!CK24</f>
        <v>806106</v>
      </c>
      <c r="AH25" s="327">
        <f>Forecasts!CL24</f>
        <v>999540</v>
      </c>
      <c r="AI25" s="314">
        <f>Forecasts!CM24</f>
        <v>999540</v>
      </c>
      <c r="AJ25" s="327">
        <f>Forecasts!CN24</f>
        <v>1067451</v>
      </c>
      <c r="AK25" s="327">
        <f>Forecasts!CO24</f>
        <v>1258406.1220286</v>
      </c>
      <c r="AL25" s="327">
        <f>Forecasts!CP24</f>
        <v>1311549.8057307701</v>
      </c>
      <c r="AM25" s="327">
        <f>Forecasts!CQ24</f>
        <v>1081800</v>
      </c>
      <c r="AN25" s="314">
        <f>Forecasts!CR24</f>
        <v>1081800</v>
      </c>
      <c r="AO25" s="327">
        <f>Forecasts!CS24</f>
        <v>1406899.1648209963</v>
      </c>
      <c r="AP25" s="327">
        <f>Forecasts!CT24</f>
        <v>1436257.702</v>
      </c>
      <c r="AQ25" s="327">
        <f>Forecasts!CU24</f>
        <v>1436445.0149981501</v>
      </c>
      <c r="AR25" s="327">
        <f>Forecasts!CV24</f>
        <v>1423778.6574939373</v>
      </c>
      <c r="AS25" s="314">
        <f>Forecasts!CW24</f>
        <v>1423778.6574939373</v>
      </c>
      <c r="AT25" s="327">
        <f>Forecasts!CX24</f>
        <v>1689696.8970740701</v>
      </c>
      <c r="AU25" s="327">
        <f>Forecasts!CY24</f>
        <v>1712813.4176047435</v>
      </c>
      <c r="AV25" s="327">
        <f>Forecasts!CZ24</f>
        <v>1840177.3344398551</v>
      </c>
      <c r="AW25" s="327">
        <f>Forecasts!DA24</f>
        <v>1833295</v>
      </c>
      <c r="AX25" s="314">
        <f>Forecasts!DB24</f>
        <v>1833295</v>
      </c>
      <c r="AY25" s="327">
        <f>Forecasts!DC24</f>
        <v>2531047.0653500967</v>
      </c>
      <c r="AZ25" s="327">
        <f>Forecasts!DD24</f>
        <v>2497723.131500381</v>
      </c>
      <c r="BA25" s="327">
        <f>Forecasts!DE24</f>
        <v>2678204.8832032457</v>
      </c>
      <c r="BB25" s="327">
        <f>Forecasts!DF24</f>
        <v>2406320.7815667279</v>
      </c>
      <c r="BC25" s="314">
        <f>Forecasts!DG24</f>
        <v>2406320.7815667279</v>
      </c>
      <c r="BD25" s="327">
        <f>Forecasts!DH24</f>
        <v>2805177.501498674</v>
      </c>
      <c r="BE25" s="327">
        <f>Forecasts!DI24</f>
        <v>3008261.0470570386</v>
      </c>
      <c r="BF25" s="327">
        <f>Forecasts!DJ24</f>
        <v>3176959.7368693557</v>
      </c>
      <c r="BG25" s="327">
        <f>Forecasts!DK24</f>
        <v>2968810.4666462904</v>
      </c>
      <c r="BH25" s="314">
        <f>Forecasts!DL24</f>
        <v>2968810.4666462904</v>
      </c>
      <c r="BI25" s="327">
        <f>Forecasts!DM24</f>
        <v>3061792.2819017461</v>
      </c>
      <c r="BJ25" s="327">
        <f>Forecasts!DN24</f>
        <v>3132554.0020459723</v>
      </c>
      <c r="BK25" s="327">
        <f>Forecasts!DO24</f>
        <v>3193678.6956812362</v>
      </c>
      <c r="BL25" s="327">
        <f>Forecasts!DP24</f>
        <v>3249019.3992731003</v>
      </c>
      <c r="BM25" s="314">
        <f>Forecasts!DQ24</f>
        <v>3249019.3992731003</v>
      </c>
    </row>
    <row r="26" spans="2:65" hidden="1" outlineLevel="1">
      <c r="B26" s="339" t="str">
        <f>Forecasts!A25</f>
        <v xml:space="preserve">  Not started</v>
      </c>
      <c r="C26" s="340">
        <f>Forecasts!AY25</f>
        <v>0</v>
      </c>
      <c r="D26" s="340">
        <f>Forecasts!BD25</f>
        <v>0</v>
      </c>
      <c r="E26" s="340">
        <f>Forecasts!BI25</f>
        <v>202295.43346476826</v>
      </c>
      <c r="F26" s="341">
        <f>Forecasts!BJ25</f>
        <v>0</v>
      </c>
      <c r="G26" s="341">
        <f>Forecasts!BK25</f>
        <v>0</v>
      </c>
      <c r="H26" s="341">
        <f>Forecasts!BL25</f>
        <v>0</v>
      </c>
      <c r="I26" s="341">
        <f>Forecasts!BM25</f>
        <v>156233.80666016627</v>
      </c>
      <c r="J26" s="340">
        <f>Forecasts!BN25</f>
        <v>156233.80666016627</v>
      </c>
      <c r="K26" s="341">
        <f>Forecasts!BO25</f>
        <v>0</v>
      </c>
      <c r="L26" s="341">
        <f>Forecasts!BP25</f>
        <v>0</v>
      </c>
      <c r="M26" s="341">
        <f>Forecasts!BQ25</f>
        <v>0</v>
      </c>
      <c r="N26" s="341">
        <f>Forecasts!BR25</f>
        <v>165043.69568742078</v>
      </c>
      <c r="O26" s="340">
        <f>Forecasts!BS25</f>
        <v>165043.69568742078</v>
      </c>
      <c r="P26" s="341">
        <f>Forecasts!BT25</f>
        <v>0</v>
      </c>
      <c r="Q26" s="341">
        <f>Forecasts!BU25</f>
        <v>0</v>
      </c>
      <c r="R26" s="341">
        <f>Forecasts!BV25</f>
        <v>0</v>
      </c>
      <c r="S26" s="341">
        <f>Forecasts!BW25</f>
        <v>173220.12011538644</v>
      </c>
      <c r="T26" s="340">
        <f>Forecasts!BX25</f>
        <v>173220.12011538644</v>
      </c>
      <c r="U26" s="341">
        <f>Forecasts!BY25</f>
        <v>0</v>
      </c>
      <c r="V26" s="341">
        <f>Forecasts!BZ25</f>
        <v>0</v>
      </c>
      <c r="W26" s="341">
        <f>Forecasts!CA25</f>
        <v>0</v>
      </c>
      <c r="X26" s="341">
        <f>Forecasts!CB25</f>
        <v>185925</v>
      </c>
      <c r="Y26" s="340">
        <f>Forecasts!CC25</f>
        <v>185925</v>
      </c>
      <c r="Z26" s="341">
        <f>Forecasts!CD25</f>
        <v>303399.1821101617</v>
      </c>
      <c r="AA26" s="341">
        <f>Forecasts!CE25</f>
        <v>315231</v>
      </c>
      <c r="AB26" s="341">
        <f>Forecasts!CF25</f>
        <v>198455</v>
      </c>
      <c r="AC26" s="341">
        <f>Forecasts!CG25</f>
        <v>337400</v>
      </c>
      <c r="AD26" s="340">
        <f>Forecasts!CH25</f>
        <v>337400</v>
      </c>
      <c r="AE26" s="341">
        <f>Forecasts!CI25</f>
        <v>295247.5</v>
      </c>
      <c r="AF26" s="341">
        <f>Forecasts!CJ25</f>
        <v>343094.5</v>
      </c>
      <c r="AG26" s="341">
        <f>Forecasts!CK25</f>
        <v>360112</v>
      </c>
      <c r="AH26" s="341">
        <f>Forecasts!CL25</f>
        <v>394050.5</v>
      </c>
      <c r="AI26" s="340">
        <f>Forecasts!CM25</f>
        <v>394050.5</v>
      </c>
      <c r="AJ26" s="341">
        <f>Forecasts!CN25</f>
        <v>390575</v>
      </c>
      <c r="AK26" s="341">
        <f>Forecasts!CO25</f>
        <v>528159</v>
      </c>
      <c r="AL26" s="341">
        <f>Forecasts!CP25</f>
        <v>459573</v>
      </c>
      <c r="AM26" s="341">
        <f>Forecasts!CQ25</f>
        <v>278079.54658999998</v>
      </c>
      <c r="AN26" s="340">
        <f>Forecasts!CR25</f>
        <v>278079.54658999998</v>
      </c>
      <c r="AO26" s="341">
        <f>Forecasts!CS25</f>
        <v>709990.46149999998</v>
      </c>
      <c r="AP26" s="341">
        <f>Forecasts!CT25</f>
        <v>611282.59050000005</v>
      </c>
      <c r="AQ26" s="341">
        <f>Forecasts!CU25</f>
        <v>470858.554</v>
      </c>
      <c r="AR26" s="341">
        <f>Forecasts!CV25</f>
        <v>428303.32650000002</v>
      </c>
      <c r="AS26" s="340">
        <f>Forecasts!CW25</f>
        <v>428303.32650000002</v>
      </c>
      <c r="AT26" s="341">
        <f>Forecasts!CX25</f>
        <v>942169.005</v>
      </c>
      <c r="AU26" s="341">
        <f>Forecasts!CY25</f>
        <v>867343.47250000003</v>
      </c>
      <c r="AV26" s="341">
        <f>Forecasts!CZ25</f>
        <v>780348.5</v>
      </c>
      <c r="AW26" s="341">
        <f>Forecasts!DA25</f>
        <v>699918.5</v>
      </c>
      <c r="AX26" s="340">
        <f>Forecasts!DB25</f>
        <v>699918.5</v>
      </c>
      <c r="AY26" s="341">
        <f>Forecasts!DC25</f>
        <v>1391754.5</v>
      </c>
      <c r="AZ26" s="341">
        <f>Forecasts!DD25</f>
        <v>1112642.8055</v>
      </c>
      <c r="BA26" s="341">
        <f>Forecasts!DE25</f>
        <v>993188.821</v>
      </c>
      <c r="BB26" s="341">
        <f>Forecasts!DF25</f>
        <v>644756.91150000005</v>
      </c>
      <c r="BC26" s="340">
        <f>Forecasts!DG25</f>
        <v>644756.91150000005</v>
      </c>
      <c r="BD26" s="341">
        <f>Forecasts!DH25</f>
        <v>1323379.06971</v>
      </c>
      <c r="BE26" s="341">
        <f>Forecasts!DI25</f>
        <v>1128444.6196400002</v>
      </c>
      <c r="BF26" s="341">
        <f>Forecasts!DJ25</f>
        <v>1820494.8662181587</v>
      </c>
      <c r="BG26" s="341">
        <f>Forecasts!DK25</f>
        <v>1632998.6818422277</v>
      </c>
      <c r="BH26" s="340">
        <f>Forecasts!DL25</f>
        <v>1632998.6818422277</v>
      </c>
      <c r="BI26" s="341">
        <f>Forecasts!DM25</f>
        <v>1807115.9845674294</v>
      </c>
      <c r="BJ26" s="341">
        <f>Forecasts!DN25</f>
        <v>1902198.8731287355</v>
      </c>
      <c r="BK26" s="341">
        <f>Forecasts!DO25</f>
        <v>1923246.6855873964</v>
      </c>
      <c r="BL26" s="341">
        <f>Forecasts!DP25</f>
        <v>1944527.3918909398</v>
      </c>
      <c r="BM26" s="340">
        <f>Forecasts!DQ25</f>
        <v>1944527.3918909398</v>
      </c>
    </row>
    <row r="27" spans="2:65" hidden="1" outlineLevel="1">
      <c r="B27" s="339" t="str">
        <f>Forecasts!A26</f>
        <v xml:space="preserve">  Under Construction</v>
      </c>
      <c r="C27" s="340">
        <f>Forecasts!AY26</f>
        <v>0</v>
      </c>
      <c r="D27" s="340">
        <f>Forecasts!BD26</f>
        <v>0</v>
      </c>
      <c r="E27" s="340">
        <f>Forecasts!BI26</f>
        <v>280730.67997603992</v>
      </c>
      <c r="F27" s="342">
        <f>Forecasts!BJ26</f>
        <v>0</v>
      </c>
      <c r="G27" s="342">
        <f>Forecasts!BK26</f>
        <v>0</v>
      </c>
      <c r="H27" s="342">
        <f>Forecasts!BL26</f>
        <v>0</v>
      </c>
      <c r="I27" s="342">
        <f>Forecasts!BM26</f>
        <v>216809.75209256131</v>
      </c>
      <c r="J27" s="340">
        <f>Forecasts!BN26</f>
        <v>216809.75209256131</v>
      </c>
      <c r="K27" s="342">
        <f>Forecasts!BO26</f>
        <v>0</v>
      </c>
      <c r="L27" s="342">
        <f>Forecasts!BP26</f>
        <v>0</v>
      </c>
      <c r="M27" s="342">
        <f>Forecasts!BQ26</f>
        <v>0</v>
      </c>
      <c r="N27" s="342">
        <f>Forecasts!BR26</f>
        <v>229035.46621163635</v>
      </c>
      <c r="O27" s="340">
        <f>Forecasts!BS26</f>
        <v>229035.46621163635</v>
      </c>
      <c r="P27" s="342">
        <f>Forecasts!BT26</f>
        <v>0</v>
      </c>
      <c r="Q27" s="342">
        <f>Forecasts!BU26</f>
        <v>0</v>
      </c>
      <c r="R27" s="342">
        <f>Forecasts!BV26</f>
        <v>0</v>
      </c>
      <c r="S27" s="342">
        <f>Forecasts!BW26</f>
        <v>240382.10488816028</v>
      </c>
      <c r="T27" s="340">
        <f>Forecasts!BX26</f>
        <v>240382.10488816028</v>
      </c>
      <c r="U27" s="342">
        <f>Forecasts!BY26</f>
        <v>0</v>
      </c>
      <c r="V27" s="342">
        <f>Forecasts!BZ26</f>
        <v>0</v>
      </c>
      <c r="W27" s="342">
        <f>Forecasts!CA26</f>
        <v>0</v>
      </c>
      <c r="X27" s="342">
        <f>Forecasts!CB26</f>
        <v>258013</v>
      </c>
      <c r="Y27" s="340">
        <f>Forecasts!CC26</f>
        <v>258013</v>
      </c>
      <c r="Z27" s="342">
        <f>Forecasts!CD26</f>
        <v>178835.84427892289</v>
      </c>
      <c r="AA27" s="342">
        <f>Forecasts!CE26</f>
        <v>185810</v>
      </c>
      <c r="AB27" s="342">
        <f>Forecasts!CF26</f>
        <v>258001</v>
      </c>
      <c r="AC27" s="342">
        <f>Forecasts!CG26</f>
        <v>394373</v>
      </c>
      <c r="AD27" s="340">
        <f>Forecasts!CH26</f>
        <v>394373</v>
      </c>
      <c r="AE27" s="342">
        <f>Forecasts!CI26</f>
        <v>453396.5</v>
      </c>
      <c r="AF27" s="342">
        <f>Forecasts!CJ26</f>
        <v>387682.5</v>
      </c>
      <c r="AG27" s="342">
        <f>Forecasts!CK26</f>
        <v>424970</v>
      </c>
      <c r="AH27" s="342">
        <f>Forecasts!CL26</f>
        <v>584614.5</v>
      </c>
      <c r="AI27" s="340">
        <f>Forecasts!CM26</f>
        <v>584614.5</v>
      </c>
      <c r="AJ27" s="342">
        <f>Forecasts!CN26</f>
        <v>655749</v>
      </c>
      <c r="AK27" s="342">
        <f>Forecasts!CO26</f>
        <v>704564.55040231091</v>
      </c>
      <c r="AL27" s="342">
        <f>Forecasts!CP26</f>
        <v>825905.62748565676</v>
      </c>
      <c r="AM27" s="342">
        <f>Forecasts!CQ26</f>
        <v>778188.7554881731</v>
      </c>
      <c r="AN27" s="340">
        <f>Forecasts!CR26</f>
        <v>778188.7554881731</v>
      </c>
      <c r="AO27" s="342">
        <f>Forecasts!CS26</f>
        <v>669879.12066287594</v>
      </c>
      <c r="AP27" s="342">
        <f>Forecasts!CT26</f>
        <v>800475.5405</v>
      </c>
      <c r="AQ27" s="342">
        <f>Forecasts!CU26</f>
        <v>939989.43971342826</v>
      </c>
      <c r="AR27" s="342">
        <f>Forecasts!CV26</f>
        <v>968716.48862054036</v>
      </c>
      <c r="AS27" s="340">
        <f>Forecasts!CW26</f>
        <v>968716.48862054036</v>
      </c>
      <c r="AT27" s="342">
        <f>Forecasts!CX26</f>
        <v>721690.98496686108</v>
      </c>
      <c r="AU27" s="342">
        <f>Forecasts!CY26</f>
        <v>820257.35640278889</v>
      </c>
      <c r="AV27" s="342">
        <f>Forecasts!CZ26</f>
        <v>1036621.5484095825</v>
      </c>
      <c r="AW27" s="342">
        <f>Forecasts!DA26</f>
        <v>1108237.67</v>
      </c>
      <c r="AX27" s="340">
        <f>Forecasts!DB26</f>
        <v>1108237.67</v>
      </c>
      <c r="AY27" s="342">
        <f>Forecasts!DC26</f>
        <v>1113636.8239674161</v>
      </c>
      <c r="AZ27" s="342">
        <f>Forecasts!DD26</f>
        <v>1351665.9541085265</v>
      </c>
      <c r="BA27" s="342">
        <f>Forecasts!DE26</f>
        <v>1632200.4354905954</v>
      </c>
      <c r="BB27" s="342">
        <f>Forecasts!DF26</f>
        <v>1699784.6529817709</v>
      </c>
      <c r="BC27" s="340">
        <f>Forecasts!DG26</f>
        <v>1699784.6529817709</v>
      </c>
      <c r="BD27" s="342">
        <f>Forecasts!DH26</f>
        <v>1415631.234098509</v>
      </c>
      <c r="BE27" s="342">
        <f>Forecasts!DI26</f>
        <v>1816761.9680967215</v>
      </c>
      <c r="BF27" s="342">
        <f>Forecasts!DJ26</f>
        <v>1202114.3984579009</v>
      </c>
      <c r="BG27" s="342">
        <f>Forecasts!DK26</f>
        <v>1088653.2880681227</v>
      </c>
      <c r="BH27" s="340">
        <f>Forecasts!DL26</f>
        <v>1088653.2880681227</v>
      </c>
      <c r="BI27" s="342">
        <f>Forecasts!DM26</f>
        <v>913595.59736448852</v>
      </c>
      <c r="BJ27" s="342">
        <f>Forecasts!DN26</f>
        <v>801641.60001851921</v>
      </c>
      <c r="BK27" s="342">
        <f>Forecasts!DO26</f>
        <v>760907.99546801543</v>
      </c>
      <c r="BL27" s="342">
        <f>Forecasts!DP26</f>
        <v>717817.70385009504</v>
      </c>
      <c r="BM27" s="340">
        <f>Forecasts!DQ26</f>
        <v>717817.70385009504</v>
      </c>
    </row>
    <row r="28" spans="2:65" hidden="1" outlineLevel="1">
      <c r="B28" s="339" t="str">
        <f>Forecasts!A27</f>
        <v xml:space="preserve">  Completed</v>
      </c>
      <c r="C28" s="340">
        <f>Forecasts!AY27</f>
        <v>0</v>
      </c>
      <c r="D28" s="340">
        <f>Forecasts!BD27</f>
        <v>0</v>
      </c>
      <c r="E28" s="340">
        <f>Forecasts!BI27</f>
        <v>146.88655919184458</v>
      </c>
      <c r="F28" s="341">
        <f>Forecasts!BJ27</f>
        <v>0</v>
      </c>
      <c r="G28" s="343">
        <f>Forecasts!BK27</f>
        <v>0</v>
      </c>
      <c r="H28" s="341">
        <f>Forecasts!BL27</f>
        <v>0</v>
      </c>
      <c r="I28" s="341">
        <f>Forecasts!BM27</f>
        <v>113.44124727240791</v>
      </c>
      <c r="J28" s="340">
        <f>Forecasts!BN27</f>
        <v>113.44124727240791</v>
      </c>
      <c r="K28" s="341">
        <f>Forecasts!BO27</f>
        <v>0</v>
      </c>
      <c r="L28" s="341">
        <f>Forecasts!BP27</f>
        <v>0</v>
      </c>
      <c r="M28" s="341">
        <f>Forecasts!BQ27</f>
        <v>0</v>
      </c>
      <c r="N28" s="341">
        <f>Forecasts!BR27</f>
        <v>119.83810094286299</v>
      </c>
      <c r="O28" s="340">
        <f>Forecasts!BS27</f>
        <v>119.83810094286299</v>
      </c>
      <c r="P28" s="341">
        <f>Forecasts!BT27</f>
        <v>0</v>
      </c>
      <c r="Q28" s="341">
        <f>Forecasts!BU27</f>
        <v>0</v>
      </c>
      <c r="R28" s="341">
        <f>Forecasts!BV27</f>
        <v>0</v>
      </c>
      <c r="S28" s="341">
        <f>Forecasts!BW27</f>
        <v>125.77499645328582</v>
      </c>
      <c r="T28" s="340">
        <f>Forecasts!BX27</f>
        <v>125.77499645328582</v>
      </c>
      <c r="U28" s="341">
        <f>Forecasts!BY27</f>
        <v>0</v>
      </c>
      <c r="V28" s="341">
        <f>Forecasts!BZ27</f>
        <v>0</v>
      </c>
      <c r="W28" s="341">
        <f>Forecasts!CA27</f>
        <v>0</v>
      </c>
      <c r="X28" s="341">
        <f>Forecasts!CB27</f>
        <v>135</v>
      </c>
      <c r="Y28" s="340">
        <f>Forecasts!CC27</f>
        <v>135</v>
      </c>
      <c r="Z28" s="341">
        <f>Forecasts!CD27</f>
        <v>16411.973610915415</v>
      </c>
      <c r="AA28" s="341">
        <f>Forecasts!CE27</f>
        <v>17052</v>
      </c>
      <c r="AB28" s="341">
        <f>Forecasts!CF27</f>
        <v>16532</v>
      </c>
      <c r="AC28" s="341">
        <f>Forecasts!CG27</f>
        <v>16325</v>
      </c>
      <c r="AD28" s="340">
        <f>Forecasts!CH27</f>
        <v>16325</v>
      </c>
      <c r="AE28" s="341">
        <f>Forecasts!CI27</f>
        <v>17077</v>
      </c>
      <c r="AF28" s="341">
        <f>Forecasts!CJ27</f>
        <v>23326</v>
      </c>
      <c r="AG28" s="341">
        <f>Forecasts!CK27</f>
        <v>21024</v>
      </c>
      <c r="AH28" s="341">
        <f>Forecasts!CL27</f>
        <v>20875</v>
      </c>
      <c r="AI28" s="340">
        <f>Forecasts!CM27</f>
        <v>20875</v>
      </c>
      <c r="AJ28" s="341">
        <f>Forecasts!CN27</f>
        <v>21127</v>
      </c>
      <c r="AK28" s="341">
        <f>Forecasts!CO27</f>
        <v>25682.571626288998</v>
      </c>
      <c r="AL28" s="341">
        <f>Forecasts!CP27</f>
        <v>26071.1782451133</v>
      </c>
      <c r="AM28" s="341">
        <f>Forecasts!CQ27</f>
        <v>25531.69792182701</v>
      </c>
      <c r="AN28" s="340">
        <f>Forecasts!CR27</f>
        <v>25531.69792182701</v>
      </c>
      <c r="AO28" s="341">
        <f>Forecasts!CS27</f>
        <v>27029.582658120438</v>
      </c>
      <c r="AP28" s="341">
        <f>Forecasts!CT27</f>
        <v>24499.571</v>
      </c>
      <c r="AQ28" s="341">
        <f>Forecasts!CU27</f>
        <v>25597.021284721799</v>
      </c>
      <c r="AR28" s="341">
        <f>Forecasts!CV27</f>
        <v>26758.842373396939</v>
      </c>
      <c r="AS28" s="340">
        <f>Forecasts!CW27</f>
        <v>26758.842373396939</v>
      </c>
      <c r="AT28" s="341">
        <f>Forecasts!CX27</f>
        <v>25836.907107209001</v>
      </c>
      <c r="AU28" s="341">
        <f>Forecasts!CY27</f>
        <v>25212.588701954566</v>
      </c>
      <c r="AV28" s="341">
        <f>Forecasts!CZ27</f>
        <v>23207.286030272626</v>
      </c>
      <c r="AW28" s="341">
        <f>Forecasts!DA27</f>
        <v>25138.83</v>
      </c>
      <c r="AX28" s="340">
        <f>Forecasts!DB27</f>
        <v>25138.83</v>
      </c>
      <c r="AY28" s="341">
        <f>Forecasts!DC27</f>
        <v>25655.741382680517</v>
      </c>
      <c r="AZ28" s="341">
        <f>Forecasts!DD27</f>
        <v>33414.371891854622</v>
      </c>
      <c r="BA28" s="341">
        <f>Forecasts!DE27</f>
        <v>52815.626712650199</v>
      </c>
      <c r="BB28" s="341">
        <f>Forecasts!DF27</f>
        <v>61779.217084957018</v>
      </c>
      <c r="BC28" s="340">
        <f>Forecasts!DG27</f>
        <v>61779.217084957018</v>
      </c>
      <c r="BD28" s="341">
        <f>Forecasts!DH27</f>
        <v>66167.197690165078</v>
      </c>
      <c r="BE28" s="341">
        <f>Forecasts!DI27</f>
        <v>63054.459320317001</v>
      </c>
      <c r="BF28" s="341">
        <f>Forecasts!DJ27</f>
        <v>154350.47219329607</v>
      </c>
      <c r="BG28" s="341">
        <f>Forecasts!DK27</f>
        <v>247158.49673593993</v>
      </c>
      <c r="BH28" s="340">
        <f>Forecasts!DL27</f>
        <v>247158.49673593993</v>
      </c>
      <c r="BI28" s="341">
        <f>Forecasts!DM27</f>
        <v>341080.69996982819</v>
      </c>
      <c r="BJ28" s="341">
        <f>Forecasts!DN27</f>
        <v>428713.52889871754</v>
      </c>
      <c r="BK28" s="341">
        <f>Forecasts!DO27</f>
        <v>509524.01462582441</v>
      </c>
      <c r="BL28" s="341">
        <f>Forecasts!DP27</f>
        <v>586674.30353206547</v>
      </c>
      <c r="BM28" s="340">
        <f>Forecasts!DQ27</f>
        <v>586674.30353206547</v>
      </c>
    </row>
    <row r="29" spans="2:65" hidden="1" outlineLevel="1">
      <c r="B29" s="313" t="str">
        <f>Forecasts!A28</f>
        <v>Supply (launches+BoP inventory)</v>
      </c>
      <c r="C29" s="314">
        <f>Forecasts!AY28</f>
        <v>0</v>
      </c>
      <c r="D29" s="314">
        <f>Forecasts!BD28</f>
        <v>0</v>
      </c>
      <c r="E29" s="314">
        <f>Forecasts!BI28</f>
        <v>409189.60000000003</v>
      </c>
      <c r="F29" s="327">
        <f>Forecasts!BJ28</f>
        <v>483173</v>
      </c>
      <c r="G29" s="327">
        <f>Forecasts!BK28</f>
        <v>0</v>
      </c>
      <c r="H29" s="327">
        <f>Forecasts!BL28</f>
        <v>0</v>
      </c>
      <c r="I29" s="327">
        <f>Forecasts!BM28</f>
        <v>917560.2</v>
      </c>
      <c r="J29" s="314">
        <f>Forecasts!BN28</f>
        <v>917560.2</v>
      </c>
      <c r="K29" s="327">
        <f>Forecasts!BO28</f>
        <v>373157</v>
      </c>
      <c r="L29" s="327">
        <f>Forecasts!BP28</f>
        <v>0</v>
      </c>
      <c r="M29" s="327">
        <f>Forecasts!BQ28</f>
        <v>0</v>
      </c>
      <c r="N29" s="327">
        <f>Forecasts!BR28</f>
        <v>982790.6</v>
      </c>
      <c r="O29" s="314">
        <f>Forecasts!BS28</f>
        <v>982790.6</v>
      </c>
      <c r="P29" s="327">
        <f>Forecasts!BT28</f>
        <v>394199</v>
      </c>
      <c r="Q29" s="327">
        <f>Forecasts!BU28</f>
        <v>0</v>
      </c>
      <c r="R29" s="327">
        <f>Forecasts!BV28</f>
        <v>0</v>
      </c>
      <c r="S29" s="327">
        <f>Forecasts!BW28</f>
        <v>1119422.2000000002</v>
      </c>
      <c r="T29" s="314">
        <f>Forecasts!BX28</f>
        <v>1119422.2000000002</v>
      </c>
      <c r="U29" s="327">
        <f>Forecasts!BY28</f>
        <v>413728</v>
      </c>
      <c r="V29" s="327">
        <f>Forecasts!BZ28</f>
        <v>0</v>
      </c>
      <c r="W29" s="327">
        <f>Forecasts!CA28</f>
        <v>343138</v>
      </c>
      <c r="X29" s="327">
        <f>Forecasts!CB28</f>
        <v>1014764.8</v>
      </c>
      <c r="Y29" s="314">
        <f>Forecasts!CC28</f>
        <v>1553728</v>
      </c>
      <c r="Z29" s="327">
        <f>Forecasts!CD28</f>
        <v>601661</v>
      </c>
      <c r="AA29" s="327">
        <f>Forecasts!CE28</f>
        <v>810175</v>
      </c>
      <c r="AB29" s="327">
        <f>Forecasts!CF28</f>
        <v>915003</v>
      </c>
      <c r="AC29" s="327">
        <f>Forecasts!CG28</f>
        <v>1147788</v>
      </c>
      <c r="AD29" s="314">
        <f>Forecasts!CH28</f>
        <v>1984899</v>
      </c>
      <c r="AE29" s="327">
        <f>Forecasts!CI28</f>
        <v>1338593</v>
      </c>
      <c r="AF29" s="327">
        <f>Forecasts!CJ28</f>
        <v>1451910</v>
      </c>
      <c r="AG29" s="327">
        <f>Forecasts!CK28</f>
        <v>1474327</v>
      </c>
      <c r="AH29" s="327">
        <f>Forecasts!CL28</f>
        <v>1594207</v>
      </c>
      <c r="AI29" s="314">
        <f>Forecasts!CM28</f>
        <v>3533107</v>
      </c>
      <c r="AJ29" s="327">
        <f>Forecasts!CN28</f>
        <v>1780690</v>
      </c>
      <c r="AK29" s="327">
        <f>Forecasts!CO28</f>
        <v>2123769</v>
      </c>
      <c r="AL29" s="327">
        <f>Forecasts!CP28</f>
        <v>2177552.1220286</v>
      </c>
      <c r="AM29" s="327">
        <f>Forecasts!CQ28</f>
        <v>1867708.8989107702</v>
      </c>
      <c r="AN29" s="314">
        <f>Forecasts!CR28</f>
        <v>4312313.0931799999</v>
      </c>
      <c r="AO29" s="327">
        <f>Forecasts!CS28</f>
        <v>2501780.923</v>
      </c>
      <c r="AP29" s="327">
        <f>Forecasts!CT28</f>
        <v>2629464.3458209964</v>
      </c>
      <c r="AQ29" s="327">
        <f>Forecasts!CU28</f>
        <v>2377974.81</v>
      </c>
      <c r="AR29" s="327">
        <f>Forecasts!CV28</f>
        <v>2293051.66799815</v>
      </c>
      <c r="AS29" s="314">
        <f>Forecasts!CW28</f>
        <v>5522669.8650000002</v>
      </c>
      <c r="AT29" s="327">
        <f>Forecasts!CX28</f>
        <v>3308116.6674939375</v>
      </c>
      <c r="AU29" s="327">
        <f>Forecasts!CY28</f>
        <v>3424383.8420740701</v>
      </c>
      <c r="AV29" s="327">
        <f>Forecasts!CZ28</f>
        <v>3273510.4176047435</v>
      </c>
      <c r="AW29" s="327">
        <f>Forecasts!DA28</f>
        <v>3240014.3344398551</v>
      </c>
      <c r="AX29" s="314">
        <f>Forecasts!DB28</f>
        <v>8003337.6124939378</v>
      </c>
      <c r="AY29" s="327">
        <f>Forecasts!DC28</f>
        <v>4616804</v>
      </c>
      <c r="AZ29" s="327">
        <f>Forecasts!DD28</f>
        <v>4756332.6763500962</v>
      </c>
      <c r="BA29" s="327">
        <f>Forecasts!DE28</f>
        <v>4484100.773500381</v>
      </c>
      <c r="BB29" s="327">
        <f>Forecasts!DF28</f>
        <v>3967718.7062032456</v>
      </c>
      <c r="BC29" s="314">
        <f>Forecasts!DG28</f>
        <v>10117981.075999999</v>
      </c>
      <c r="BD29" s="327">
        <f>Forecasts!DH28</f>
        <v>5053078.9209867278</v>
      </c>
      <c r="BE29" s="327">
        <f>Forecasts!DI28</f>
        <v>5062066.7407786744</v>
      </c>
      <c r="BF29" s="327">
        <f>Forecasts!DJ28</f>
        <v>5290122.744327303</v>
      </c>
      <c r="BG29" s="327">
        <f>Forecasts!DK28</f>
        <v>5138003.6408496471</v>
      </c>
      <c r="BH29" s="314">
        <f>Forecasts!DL28</f>
        <v>11552873.761517283</v>
      </c>
      <c r="BI29" s="327">
        <f>Forecasts!DM28</f>
        <v>5326989.1395985764</v>
      </c>
      <c r="BJ29" s="327">
        <f>Forecasts!DN28</f>
        <v>5446064.1794655435</v>
      </c>
      <c r="BK29" s="327">
        <f>Forecasts!DO28</f>
        <v>5543207.8455037009</v>
      </c>
      <c r="BL29" s="327">
        <f>Forecasts!DP28</f>
        <v>5631006.4010135606</v>
      </c>
      <c r="BM29" s="314">
        <f>Forecasts!DQ28</f>
        <v>12559242.585952427</v>
      </c>
    </row>
    <row r="30" spans="2:65" hidden="1" outlineLevel="1">
      <c r="B30" s="323" t="str">
        <f>Forecasts!A30</f>
        <v>VSO rate (net)</v>
      </c>
      <c r="C30" s="344" t="e">
        <f>Forecasts!AY30</f>
        <v>#DIV/0!</v>
      </c>
      <c r="D30" s="344" t="e">
        <f>Forecasts!BD30</f>
        <v>#DIV/0!</v>
      </c>
      <c r="E30" s="344">
        <f>Forecasts!BI30</f>
        <v>1.1789155931626805</v>
      </c>
      <c r="F30" s="345">
        <f>Forecasts!BJ30</f>
        <v>0</v>
      </c>
      <c r="G30" s="345" t="e">
        <f>Forecasts!BK30</f>
        <v>#DIV/0!</v>
      </c>
      <c r="H30" s="345" t="e">
        <f>Forecasts!BL30</f>
        <v>#DIV/0!</v>
      </c>
      <c r="I30" s="345">
        <f>Forecasts!BM30</f>
        <v>0.56933594111863184</v>
      </c>
      <c r="J30" s="344">
        <f>Forecasts!BN30</f>
        <v>0.56933594111863184</v>
      </c>
      <c r="K30" s="345">
        <f>Forecasts!BO30</f>
        <v>0</v>
      </c>
      <c r="L30" s="345" t="e">
        <f>Forecasts!BP30</f>
        <v>#DIV/0!</v>
      </c>
      <c r="M30" s="345" t="e">
        <f>Forecasts!BQ30</f>
        <v>#DIV/0!</v>
      </c>
      <c r="N30" s="345">
        <f>Forecasts!BR30</f>
        <v>0.6031803722990432</v>
      </c>
      <c r="O30" s="344">
        <f>Forecasts!BS30</f>
        <v>0.6031803722990432</v>
      </c>
      <c r="P30" s="345">
        <f>Forecasts!BT30</f>
        <v>0</v>
      </c>
      <c r="Q30" s="345" t="e">
        <f>Forecasts!BU30</f>
        <v>#DIV/0!</v>
      </c>
      <c r="R30" s="345" t="e">
        <f>Forecasts!BV30</f>
        <v>#DIV/0!</v>
      </c>
      <c r="S30" s="345">
        <f>Forecasts!BW30</f>
        <v>0.63389845225510077</v>
      </c>
      <c r="T30" s="344">
        <f>Forecasts!BX30</f>
        <v>0.63389845225510077</v>
      </c>
      <c r="U30" s="345">
        <f>Forecasts!BY30</f>
        <v>0</v>
      </c>
      <c r="V30" s="345" t="e">
        <f>Forecasts!BZ30</f>
        <v>#DIV/0!</v>
      </c>
      <c r="W30" s="345">
        <f>Forecasts!CA30</f>
        <v>0.59037763232285556</v>
      </c>
      <c r="X30" s="345">
        <f>Forecasts!CB30</f>
        <v>0.56836894618339151</v>
      </c>
      <c r="Y30" s="344">
        <f>Forecasts!CC30</f>
        <v>0.63202825719817113</v>
      </c>
      <c r="Z30" s="345">
        <f>Forecasts!CD30</f>
        <v>0.39703088616347076</v>
      </c>
      <c r="AA30" s="345">
        <f>Forecasts!CE30</f>
        <v>0.36051717221587931</v>
      </c>
      <c r="AB30" s="345">
        <f>Forecasts!CF30</f>
        <v>0.44846410339638232</v>
      </c>
      <c r="AC30" s="345">
        <f>Forecasts!CG30</f>
        <v>0.35250847717522749</v>
      </c>
      <c r="AD30" s="344">
        <f>Forecasts!CH30</f>
        <v>0.67807530761011015</v>
      </c>
      <c r="AE30" s="345">
        <f>Forecasts!CI30</f>
        <v>0.44103995762715031</v>
      </c>
      <c r="AF30" s="345">
        <f>Forecasts!CJ30</f>
        <v>0.47012418125090399</v>
      </c>
      <c r="AG30" s="345">
        <f>Forecasts!CK30</f>
        <v>0.46283558532130253</v>
      </c>
      <c r="AH30" s="345">
        <f>Forecasts!CL30</f>
        <v>0.38349223156089518</v>
      </c>
      <c r="AI30" s="344">
        <f>Forecasts!CM30</f>
        <v>0.72646766712697919</v>
      </c>
      <c r="AJ30" s="345">
        <f>Forecasts!CN30</f>
        <v>0.42307532473367065</v>
      </c>
      <c r="AK30" s="345">
        <f>Forecasts!CO30</f>
        <v>0.42259068665189103</v>
      </c>
      <c r="AL30" s="345">
        <f>Forecasts!CP30</f>
        <v>0.40680220282156143</v>
      </c>
      <c r="AM30" s="345">
        <f>Forecasts!CQ30</f>
        <v>0.40320097398431765</v>
      </c>
      <c r="AN30" s="344">
        <f>Forecasts!CR30</f>
        <v>0.7628727265566112</v>
      </c>
      <c r="AO30" s="345">
        <f>Forecasts!CS30</f>
        <v>0.4312495806692182</v>
      </c>
      <c r="AP30" s="345">
        <f>Forecasts!CT30</f>
        <v>0.45406615149490204</v>
      </c>
      <c r="AQ30" s="345">
        <f>Forecasts!CU30</f>
        <v>0.40902197204099072</v>
      </c>
      <c r="AR30" s="345">
        <f>Forecasts!CV30</f>
        <v>0.3945273447718623</v>
      </c>
      <c r="AS30" s="344">
        <f>Forecasts!CW30</f>
        <v>0.75147679721391414</v>
      </c>
      <c r="AT30" s="345">
        <f>Forecasts!CX30</f>
        <v>0.4691900181579205</v>
      </c>
      <c r="AU30" s="345">
        <f>Forecasts!CY30</f>
        <v>0.51081888653887764</v>
      </c>
      <c r="AV30" s="345">
        <f>Forecasts!CZ30</f>
        <v>0.43902446605670992</v>
      </c>
      <c r="AW30" s="345">
        <f>Forecasts!DA30</f>
        <v>0.43942645094690375</v>
      </c>
      <c r="AX30" s="344">
        <f>Forecasts!DB30</f>
        <v>0.76996307317838619</v>
      </c>
      <c r="AY30" s="345">
        <f>Forecasts!DC30</f>
        <v>0.45606850465170284</v>
      </c>
      <c r="AZ30" s="345">
        <f>Forecasts!DD30</f>
        <v>0.47544260109141906</v>
      </c>
      <c r="BA30" s="345">
        <f>Forecasts!DE30</f>
        <v>0.40744763226491409</v>
      </c>
      <c r="BB30" s="345">
        <f>Forecasts!DF30</f>
        <v>0.3922494938582165</v>
      </c>
      <c r="BC30" s="344">
        <f>Forecasts!DG30</f>
        <v>0.76599411630783343</v>
      </c>
      <c r="BD30" s="345">
        <f>Forecasts!DH30</f>
        <v>0.45608227077719415</v>
      </c>
      <c r="BE30" s="345">
        <f>Forecasts!DI30</f>
        <v>0.40408548724020771</v>
      </c>
      <c r="BF30" s="345">
        <f>Forecasts!DJ30</f>
        <v>0.39945443793793467</v>
      </c>
      <c r="BG30" s="345">
        <f>Forecasts!DK30</f>
        <v>0.42218599398357914</v>
      </c>
      <c r="BH30" s="344">
        <f>Forecasts!DL30</f>
        <v>0.74721526210267963</v>
      </c>
      <c r="BI30" s="345">
        <f>Forecasts!DM30</f>
        <v>0.42523023763242135</v>
      </c>
      <c r="BJ30" s="345">
        <f>Forecasts!DN30</f>
        <v>0.42480406054388631</v>
      </c>
      <c r="BK30" s="345">
        <f>Forecasts!DO30</f>
        <v>0.42385730705159358</v>
      </c>
      <c r="BL30" s="345">
        <f>Forecasts!DP30</f>
        <v>0.42301266098928803</v>
      </c>
      <c r="BM30" s="344">
        <f>Forecasts!DQ30</f>
        <v>0.74130451123643837</v>
      </c>
    </row>
    <row r="31" spans="2:65" hidden="1" outlineLevel="1">
      <c r="B31" s="337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38"/>
      <c r="AY31" s="338"/>
      <c r="AZ31" s="338"/>
      <c r="BA31" s="338"/>
      <c r="BB31" s="338"/>
      <c r="BC31" s="338"/>
      <c r="BD31" s="338"/>
      <c r="BE31" s="338"/>
      <c r="BF31" s="338"/>
      <c r="BG31" s="338"/>
      <c r="BH31" s="338"/>
      <c r="BI31" s="338"/>
      <c r="BJ31" s="338"/>
      <c r="BK31" s="338"/>
      <c r="BL31" s="338"/>
      <c r="BM31" s="338"/>
    </row>
    <row r="32" spans="2:65" ht="13.5" collapsed="1" thickBot="1">
      <c r="B32" s="310" t="s">
        <v>315</v>
      </c>
      <c r="C32" s="346" t="str">
        <f>'Income Statement'!AY3</f>
        <v>2013</v>
      </c>
      <c r="D32" s="346" t="str">
        <f>'Income Statement'!BD3</f>
        <v>2014</v>
      </c>
      <c r="E32" s="346" t="str">
        <f>'Income Statement'!BI3</f>
        <v>2015</v>
      </c>
      <c r="F32" s="347" t="str">
        <f>'Income Statement'!BJ3</f>
        <v>1Q16</v>
      </c>
      <c r="G32" s="348" t="str">
        <f>'Income Statement'!BK3</f>
        <v>2Q16</v>
      </c>
      <c r="H32" s="348" t="str">
        <f>'Income Statement'!BL3</f>
        <v>3Q16</v>
      </c>
      <c r="I32" s="349" t="str">
        <f>'Income Statement'!BM3</f>
        <v>4Q16</v>
      </c>
      <c r="J32" s="346" t="str">
        <f>'Income Statement'!BN3</f>
        <v>2016</v>
      </c>
      <c r="K32" s="347" t="str">
        <f>'Income Statement'!BO3</f>
        <v>1Q17</v>
      </c>
      <c r="L32" s="348" t="str">
        <f>'Income Statement'!BP3</f>
        <v>2Q17</v>
      </c>
      <c r="M32" s="348" t="str">
        <f>'Income Statement'!BQ3</f>
        <v>3Q17</v>
      </c>
      <c r="N32" s="349" t="str">
        <f>'Income Statement'!BR3</f>
        <v>4Q17</v>
      </c>
      <c r="O32" s="346" t="str">
        <f>'Income Statement'!BS3</f>
        <v>2017</v>
      </c>
      <c r="P32" s="347" t="str">
        <f>'Income Statement'!BT3</f>
        <v>1Q18</v>
      </c>
      <c r="Q32" s="348" t="str">
        <f>'Income Statement'!BU3</f>
        <v>2Q18</v>
      </c>
      <c r="R32" s="348" t="str">
        <f>'Income Statement'!BV3</f>
        <v>3Q18</v>
      </c>
      <c r="S32" s="349" t="str">
        <f>'Income Statement'!BW3</f>
        <v>4Q18</v>
      </c>
      <c r="T32" s="346" t="str">
        <f>'Income Statement'!BX3</f>
        <v>2018</v>
      </c>
      <c r="U32" s="347" t="str">
        <f>'Income Statement'!BY3</f>
        <v>1Q19</v>
      </c>
      <c r="V32" s="348" t="str">
        <f>'Income Statement'!BZ3</f>
        <v>2Q19</v>
      </c>
      <c r="W32" s="348" t="str">
        <f>'Income Statement'!CA3</f>
        <v>3Q19</v>
      </c>
      <c r="X32" s="349" t="str">
        <f>'Income Statement'!CB3</f>
        <v>4Q19</v>
      </c>
      <c r="Y32" s="346" t="str">
        <f>'Income Statement'!CC3</f>
        <v>2019</v>
      </c>
      <c r="Z32" s="347" t="str">
        <f>'Income Statement'!CD3</f>
        <v>1Q20</v>
      </c>
      <c r="AA32" s="348" t="str">
        <f>'Income Statement'!CE3</f>
        <v>2Q20</v>
      </c>
      <c r="AB32" s="348" t="str">
        <f>'Income Statement'!CF3</f>
        <v>3Q20</v>
      </c>
      <c r="AC32" s="349" t="str">
        <f>'Income Statement'!CG3</f>
        <v>4Q20</v>
      </c>
      <c r="AD32" s="346" t="str">
        <f>'Income Statement'!CH3</f>
        <v>2020</v>
      </c>
      <c r="AE32" s="347" t="str">
        <f>'Income Statement'!CI3</f>
        <v>1Q21</v>
      </c>
      <c r="AF32" s="348" t="str">
        <f>'Income Statement'!CJ3</f>
        <v>2Q21</v>
      </c>
      <c r="AG32" s="348" t="str">
        <f>'Income Statement'!CK3</f>
        <v>3Q21</v>
      </c>
      <c r="AH32" s="349" t="str">
        <f>'Income Statement'!CL3</f>
        <v>4Q21</v>
      </c>
      <c r="AI32" s="346" t="str">
        <f>'Income Statement'!CM3</f>
        <v>2021</v>
      </c>
      <c r="AJ32" s="347" t="str">
        <f>'Income Statement'!CN3</f>
        <v>1Q22</v>
      </c>
      <c r="AK32" s="348" t="str">
        <f>'Income Statement'!CO3</f>
        <v>2Q22</v>
      </c>
      <c r="AL32" s="348" t="str">
        <f>'Income Statement'!CP3</f>
        <v>3Q22</v>
      </c>
      <c r="AM32" s="349" t="str">
        <f>'Income Statement'!CQ3</f>
        <v>4Q22</v>
      </c>
      <c r="AN32" s="346" t="str">
        <f>'Income Statement'!CR3</f>
        <v>2022</v>
      </c>
      <c r="AO32" s="347" t="str">
        <f>'Income Statement'!CS3</f>
        <v>1Q23</v>
      </c>
      <c r="AP32" s="348" t="str">
        <f>'Income Statement'!CT3</f>
        <v>2Q23</v>
      </c>
      <c r="AQ32" s="348" t="str">
        <f>'Income Statement'!CU3</f>
        <v>3Q23</v>
      </c>
      <c r="AR32" s="349" t="str">
        <f>'Income Statement'!CV3</f>
        <v>4Q23</v>
      </c>
      <c r="AS32" s="346" t="str">
        <f>'Income Statement'!CW3</f>
        <v>2023</v>
      </c>
      <c r="AT32" s="347" t="str">
        <f>'Income Statement'!CX3</f>
        <v>1Q24</v>
      </c>
      <c r="AU32" s="348" t="str">
        <f>'Income Statement'!CY3</f>
        <v>2Q24</v>
      </c>
      <c r="AV32" s="348" t="str">
        <f>'Income Statement'!CZ3</f>
        <v>3Q24</v>
      </c>
      <c r="AW32" s="349" t="str">
        <f>'Income Statement'!DA3</f>
        <v>4Q24</v>
      </c>
      <c r="AX32" s="346" t="str">
        <f>'Income Statement'!DB3</f>
        <v>2024</v>
      </c>
      <c r="AY32" s="347" t="str">
        <f>'Income Statement'!DC3</f>
        <v>1Q25</v>
      </c>
      <c r="AZ32" s="348" t="str">
        <f>'Income Statement'!DD3</f>
        <v>2Q25</v>
      </c>
      <c r="BA32" s="348" t="str">
        <f>'Income Statement'!DE3</f>
        <v>3Q25</v>
      </c>
      <c r="BB32" s="349" t="str">
        <f>'Income Statement'!DF3</f>
        <v>4Q25</v>
      </c>
      <c r="BC32" s="346" t="str">
        <f>'Income Statement'!DG3</f>
        <v>2025</v>
      </c>
      <c r="BD32" s="347" t="str">
        <f>'Income Statement'!DH3</f>
        <v>1Q26</v>
      </c>
      <c r="BE32" s="348" t="str">
        <f>'Income Statement'!DI3</f>
        <v>2Q26</v>
      </c>
      <c r="BF32" s="348" t="str">
        <f>'Income Statement'!DJ3</f>
        <v>3Q26E</v>
      </c>
      <c r="BG32" s="349" t="str">
        <f>'Income Statement'!DK3</f>
        <v>4Q26E</v>
      </c>
      <c r="BH32" s="346" t="str">
        <f>'Income Statement'!DL3</f>
        <v>2026E</v>
      </c>
      <c r="BI32" s="347" t="str">
        <f>'Income Statement'!DM3</f>
        <v>1Q27E</v>
      </c>
      <c r="BJ32" s="348" t="str">
        <f>'Income Statement'!DN3</f>
        <v>2Q27E</v>
      </c>
      <c r="BK32" s="348" t="str">
        <f>'Income Statement'!DO3</f>
        <v>3Q27E</v>
      </c>
      <c r="BL32" s="349" t="str">
        <f>'Income Statement'!DP3</f>
        <v>4Q27E</v>
      </c>
      <c r="BM32" s="346" t="str">
        <f>'Income Statement'!DQ3</f>
        <v>2027E</v>
      </c>
    </row>
    <row r="33" spans="2:65">
      <c r="B33" s="350" t="str">
        <f>'Income Statement'!A4</f>
        <v>Gross Revenues</v>
      </c>
      <c r="C33" s="351">
        <f>'Income Statement'!AY4</f>
        <v>753085.35334967321</v>
      </c>
      <c r="D33" s="351">
        <f>'Income Statement'!BD4</f>
        <v>912966</v>
      </c>
      <c r="E33" s="351">
        <f>'Income Statement'!BI4</f>
        <v>871724</v>
      </c>
      <c r="F33" s="352">
        <f>'Income Statement'!BJ4</f>
        <v>0</v>
      </c>
      <c r="G33" s="353">
        <f>'Income Statement'!BK4</f>
        <v>0</v>
      </c>
      <c r="H33" s="353">
        <f>'Income Statement'!BL4</f>
        <v>0</v>
      </c>
      <c r="I33" s="354">
        <f>'Income Statement'!BM4</f>
        <v>821810</v>
      </c>
      <c r="J33" s="351">
        <f>'Income Statement'!BN4</f>
        <v>821810</v>
      </c>
      <c r="K33" s="352">
        <f>'Income Statement'!BO4</f>
        <v>0</v>
      </c>
      <c r="L33" s="353">
        <f>'Income Statement'!BP4</f>
        <v>0</v>
      </c>
      <c r="M33" s="353">
        <f>'Income Statement'!BQ4</f>
        <v>0</v>
      </c>
      <c r="N33" s="354">
        <f>'Income Statement'!BR4</f>
        <v>831922</v>
      </c>
      <c r="O33" s="351">
        <f>'Income Statement'!BS4</f>
        <v>831922</v>
      </c>
      <c r="P33" s="352">
        <f>'Income Statement'!BT4</f>
        <v>0</v>
      </c>
      <c r="Q33" s="353">
        <f>'Income Statement'!BU4</f>
        <v>0</v>
      </c>
      <c r="R33" s="353">
        <f>'Income Statement'!BV4</f>
        <v>0</v>
      </c>
      <c r="S33" s="354">
        <f>'Income Statement'!BW4</f>
        <v>942945</v>
      </c>
      <c r="T33" s="351">
        <f>'Income Statement'!BX4</f>
        <v>942945</v>
      </c>
      <c r="U33" s="352">
        <f>'Income Statement'!BY4</f>
        <v>193287</v>
      </c>
      <c r="V33" s="353">
        <f>'Income Statement'!BZ4</f>
        <v>273610</v>
      </c>
      <c r="W33" s="353">
        <f>'Income Statement'!CA4</f>
        <v>268175</v>
      </c>
      <c r="X33" s="354">
        <f>'Income Statement'!CB4</f>
        <v>308715</v>
      </c>
      <c r="Y33" s="351">
        <f>'Income Statement'!CC4</f>
        <v>1043787</v>
      </c>
      <c r="Z33" s="352">
        <f>'Income Statement'!CD4</f>
        <v>233098</v>
      </c>
      <c r="AA33" s="353">
        <f>'Income Statement'!CE4</f>
        <v>252454</v>
      </c>
      <c r="AB33" s="353">
        <f>'Income Statement'!CF4</f>
        <v>334505</v>
      </c>
      <c r="AC33" s="354">
        <f>'Income Statement'!CG4</f>
        <v>353014</v>
      </c>
      <c r="AD33" s="351">
        <f>'Income Statement'!CH4</f>
        <v>1173071</v>
      </c>
      <c r="AE33" s="352">
        <f>'Income Statement'!CI4</f>
        <v>346976</v>
      </c>
      <c r="AF33" s="353">
        <f>'Income Statement'!CJ4</f>
        <v>462074</v>
      </c>
      <c r="AG33" s="353">
        <f>'Income Statement'!CK4</f>
        <v>466696</v>
      </c>
      <c r="AH33" s="354">
        <f>'Income Statement'!CL4</f>
        <v>502424</v>
      </c>
      <c r="AI33" s="351">
        <f>'Income Statement'!CM4</f>
        <v>1778170</v>
      </c>
      <c r="AJ33" s="352">
        <f>'Income Statement'!CN4</f>
        <v>458170</v>
      </c>
      <c r="AK33" s="353">
        <f>'Income Statement'!CO4</f>
        <v>616407</v>
      </c>
      <c r="AL33" s="353">
        <f>'Income Statement'!CP4</f>
        <v>640437</v>
      </c>
      <c r="AM33" s="354">
        <f>'Income Statement'!CQ4</f>
        <v>593421</v>
      </c>
      <c r="AN33" s="351">
        <f>'Income Statement'!CR4</f>
        <v>2308435</v>
      </c>
      <c r="AO33" s="352">
        <f>'Income Statement'!CS4</f>
        <v>607423</v>
      </c>
      <c r="AP33" s="353">
        <f>'Income Statement'!CT4</f>
        <v>743352</v>
      </c>
      <c r="AQ33" s="353">
        <f>'Income Statement'!CU4</f>
        <v>768155</v>
      </c>
      <c r="AR33" s="354">
        <f>'Income Statement'!CV4</f>
        <v>829075</v>
      </c>
      <c r="AS33" s="351">
        <f>'Income Statement'!CW4</f>
        <v>2948005</v>
      </c>
      <c r="AT33" s="352">
        <f>'Income Statement'!CX4</f>
        <v>854925</v>
      </c>
      <c r="AU33" s="353">
        <f>'Income Statement'!CY4</f>
        <v>1017876</v>
      </c>
      <c r="AV33" s="353">
        <f>'Income Statement'!CZ4</f>
        <v>1078346</v>
      </c>
      <c r="AW33" s="354">
        <f>'Income Statement'!DA4</f>
        <v>1056476</v>
      </c>
      <c r="AX33" s="351">
        <f>'Income Statement'!DB4</f>
        <v>4007623</v>
      </c>
      <c r="AY33" s="352">
        <f>'Income Statement'!DC4</f>
        <v>1244407</v>
      </c>
      <c r="AZ33" s="353">
        <f>'Income Statement'!DD4</f>
        <v>1375487</v>
      </c>
      <c r="BA33" s="353">
        <f>'Income Statement'!DE4</f>
        <v>1449421</v>
      </c>
      <c r="BB33" s="354">
        <f>'Income Statement'!DF4</f>
        <v>1453820</v>
      </c>
      <c r="BC33" s="351">
        <f>'Income Statement'!DG4</f>
        <v>5523135</v>
      </c>
      <c r="BD33" s="352">
        <f>'Income Statement'!DH4</f>
        <v>1644474</v>
      </c>
      <c r="BE33" s="353">
        <f>'Income Statement'!DI4</f>
        <v>1725754</v>
      </c>
      <c r="BF33" s="353">
        <f>'Income Statement'!DJ4</f>
        <v>1717525.6030135662</v>
      </c>
      <c r="BG33" s="354">
        <f>'Income Statement'!DK4</f>
        <v>1859826.6369124902</v>
      </c>
      <c r="BH33" s="351">
        <f>'Income Statement'!DL4</f>
        <v>6947580.239926056</v>
      </c>
      <c r="BI33" s="352">
        <f>'Income Statement'!DM4</f>
        <v>1899921.7516107098</v>
      </c>
      <c r="BJ33" s="353">
        <f>'Income Statement'!DN4</f>
        <v>1962486.0492376171</v>
      </c>
      <c r="BK33" s="353">
        <f>'Income Statement'!DO4</f>
        <v>2015562.5111155142</v>
      </c>
      <c r="BL33" s="354">
        <f>'Income Statement'!DP4</f>
        <v>2064555.2576107371</v>
      </c>
      <c r="BM33" s="351">
        <f>'Income Statement'!DQ4</f>
        <v>7942525.5695745787</v>
      </c>
    </row>
    <row r="34" spans="2:65" hidden="1">
      <c r="B34" s="313" t="str">
        <f>'Income Statement'!A5</f>
        <v xml:space="preserve">  Development Sales</v>
      </c>
      <c r="C34" s="355">
        <f>'Income Statement'!AY5</f>
        <v>753085.35334967321</v>
      </c>
      <c r="D34" s="355">
        <f>'Income Statement'!BD5</f>
        <v>469124</v>
      </c>
      <c r="E34" s="355">
        <f>'Income Statement'!BI5</f>
        <v>452833</v>
      </c>
      <c r="F34" s="356">
        <f>'Income Statement'!BJ5</f>
        <v>0</v>
      </c>
      <c r="G34" s="357">
        <f>'Income Statement'!BK5</f>
        <v>0</v>
      </c>
      <c r="H34" s="358">
        <f>'Income Statement'!BL5</f>
        <v>0</v>
      </c>
      <c r="I34" s="359">
        <f>'Income Statement'!BM5</f>
        <v>556908</v>
      </c>
      <c r="J34" s="355">
        <f>'Income Statement'!BN5</f>
        <v>556908</v>
      </c>
      <c r="K34" s="360">
        <f>'Income Statement'!BO5</f>
        <v>0</v>
      </c>
      <c r="L34" s="361">
        <f>'Income Statement'!BP5</f>
        <v>0</v>
      </c>
      <c r="M34" s="358">
        <f>'Income Statement'!BQ5</f>
        <v>0</v>
      </c>
      <c r="N34" s="359">
        <f>'Income Statement'!BR5</f>
        <v>729363</v>
      </c>
      <c r="O34" s="355">
        <f>'Income Statement'!BS5</f>
        <v>729363</v>
      </c>
      <c r="P34" s="360">
        <f>'Income Statement'!BT5</f>
        <v>0</v>
      </c>
      <c r="Q34" s="361">
        <f>'Income Statement'!BU5</f>
        <v>0</v>
      </c>
      <c r="R34" s="358">
        <f>'Income Statement'!BV5</f>
        <v>0</v>
      </c>
      <c r="S34" s="359">
        <f>'Income Statement'!BW5</f>
        <v>920094</v>
      </c>
      <c r="T34" s="355">
        <f>'Income Statement'!BX5</f>
        <v>920094</v>
      </c>
      <c r="U34" s="360">
        <f>'Income Statement'!BY5</f>
        <v>191656</v>
      </c>
      <c r="V34" s="361">
        <f>'Income Statement'!BZ5</f>
        <v>245086</v>
      </c>
      <c r="W34" s="358">
        <f>'Income Statement'!CA5</f>
        <v>266934</v>
      </c>
      <c r="X34" s="359">
        <f>'Income Statement'!CB5</f>
        <v>327006</v>
      </c>
      <c r="Y34" s="355">
        <f>'Income Statement'!CC5</f>
        <v>1030682</v>
      </c>
      <c r="Z34" s="360">
        <f>'Income Statement'!CD5</f>
        <v>232257</v>
      </c>
      <c r="AA34" s="361">
        <f>'Income Statement'!CE5</f>
        <v>251775</v>
      </c>
      <c r="AB34" s="358">
        <f>'Income Statement'!CF5</f>
        <v>333406</v>
      </c>
      <c r="AC34" s="359">
        <f>'Income Statement'!CG5</f>
        <v>345365</v>
      </c>
      <c r="AD34" s="355">
        <f>'Income Statement'!CH5</f>
        <v>1162803</v>
      </c>
      <c r="AE34" s="360">
        <f>'Income Statement'!CI5</f>
        <v>345862</v>
      </c>
      <c r="AF34" s="361">
        <f>'Income Statement'!CJ5</f>
        <v>460710</v>
      </c>
      <c r="AG34" s="358">
        <f>'Income Statement'!CK5</f>
        <v>465624</v>
      </c>
      <c r="AH34" s="359">
        <f>'Income Statement'!CL5</f>
        <v>501724</v>
      </c>
      <c r="AI34" s="355">
        <f>'Income Statement'!CM5</f>
        <v>1773920</v>
      </c>
      <c r="AJ34" s="360">
        <f>'Income Statement'!CN5</f>
        <v>457105</v>
      </c>
      <c r="AK34" s="361">
        <f>'Income Statement'!CO5</f>
        <v>614651</v>
      </c>
      <c r="AL34" s="358">
        <f>'Income Statement'!CP5</f>
        <v>639061</v>
      </c>
      <c r="AM34" s="359">
        <f>'Income Statement'!CQ5</f>
        <v>592245</v>
      </c>
      <c r="AN34" s="355">
        <f>'Income Statement'!CR5</f>
        <v>2303062</v>
      </c>
      <c r="AO34" s="360">
        <f>'Income Statement'!CS5</f>
        <v>605847</v>
      </c>
      <c r="AP34" s="361">
        <f>'Income Statement'!CT5</f>
        <v>742179</v>
      </c>
      <c r="AQ34" s="358">
        <f>'Income Statement'!CU5</f>
        <v>766518</v>
      </c>
      <c r="AR34" s="359">
        <f>'Income Statement'!CV5</f>
        <v>828108</v>
      </c>
      <c r="AS34" s="355">
        <f>'Income Statement'!CW5</f>
        <v>2942652</v>
      </c>
      <c r="AT34" s="360">
        <f>'Income Statement'!CX5</f>
        <v>853164</v>
      </c>
      <c r="AU34" s="361">
        <f>'Income Statement'!CY5</f>
        <v>1016939</v>
      </c>
      <c r="AV34" s="358">
        <f>'Income Statement'!CZ5</f>
        <v>1078346</v>
      </c>
      <c r="AW34" s="359">
        <f>'Income Statement'!DA5</f>
        <v>1056460</v>
      </c>
      <c r="AX34" s="355">
        <f>'Income Statement'!DB5</f>
        <v>4004909</v>
      </c>
      <c r="AY34" s="360">
        <f>'Income Statement'!DC5</f>
        <v>1237993</v>
      </c>
      <c r="AZ34" s="361">
        <f>'Income Statement'!DD5</f>
        <v>1375106</v>
      </c>
      <c r="BA34" s="358">
        <f>'Income Statement'!DE5</f>
        <v>1447097</v>
      </c>
      <c r="BB34" s="359">
        <f>'Income Statement'!DF5</f>
        <v>1452104</v>
      </c>
      <c r="BC34" s="355">
        <f>'Income Statement'!DG5</f>
        <v>5512300</v>
      </c>
      <c r="BD34" s="360">
        <f>'Income Statement'!DH5</f>
        <v>1643035</v>
      </c>
      <c r="BE34" s="361">
        <f>'Income Statement'!DI5</f>
        <v>1725199</v>
      </c>
      <c r="BF34" s="358">
        <f>'Income Statement'!DJ5</f>
        <v>1714097.408197172</v>
      </c>
      <c r="BG34" s="359">
        <f>'Income Statement'!DK5</f>
        <v>1856114.4080962976</v>
      </c>
      <c r="BH34" s="355">
        <f>'Income Statement'!DL5</f>
        <v>6938445.8162934696</v>
      </c>
      <c r="BI34" s="360">
        <f>'Income Statement'!DM5</f>
        <v>1896129.4926254589</v>
      </c>
      <c r="BJ34" s="361">
        <f>'Income Statement'!DN5</f>
        <v>1958568.9114147874</v>
      </c>
      <c r="BK34" s="358">
        <f>'Income Statement'!DO5</f>
        <v>2011539.4322510122</v>
      </c>
      <c r="BL34" s="359">
        <f>'Income Statement'!DP5</f>
        <v>2060434.3888330709</v>
      </c>
      <c r="BM34" s="355">
        <f>'Income Statement'!DQ5</f>
        <v>7926672.2251243293</v>
      </c>
    </row>
    <row r="35" spans="2:65" hidden="1">
      <c r="B35" s="313" t="str">
        <f>'Income Statement'!A6</f>
        <v xml:space="preserve">  INCC</v>
      </c>
      <c r="C35" s="355">
        <f>'Income Statement'!AY6</f>
        <v>0</v>
      </c>
      <c r="D35" s="355">
        <f>'Income Statement'!BD6</f>
        <v>0</v>
      </c>
      <c r="E35" s="355">
        <f>'Income Statement'!BI6</f>
        <v>0</v>
      </c>
      <c r="F35" s="356">
        <f>'Income Statement'!BJ6</f>
        <v>0</v>
      </c>
      <c r="G35" s="357">
        <f>'Income Statement'!BK6</f>
        <v>0</v>
      </c>
      <c r="H35" s="358">
        <f>'Income Statement'!BL6</f>
        <v>0</v>
      </c>
      <c r="I35" s="359">
        <f>'Income Statement'!BM6</f>
        <v>0</v>
      </c>
      <c r="J35" s="355">
        <f>'Income Statement'!BN6</f>
        <v>0</v>
      </c>
      <c r="K35" s="360">
        <f>'Income Statement'!BO6</f>
        <v>0</v>
      </c>
      <c r="L35" s="361">
        <f>'Income Statement'!BP6</f>
        <v>0</v>
      </c>
      <c r="M35" s="358">
        <f>'Income Statement'!BQ6</f>
        <v>0</v>
      </c>
      <c r="N35" s="359">
        <f>'Income Statement'!BR6</f>
        <v>0</v>
      </c>
      <c r="O35" s="355">
        <f>'Income Statement'!BS6</f>
        <v>0</v>
      </c>
      <c r="P35" s="360">
        <f>'Income Statement'!BT6</f>
        <v>0</v>
      </c>
      <c r="Q35" s="361">
        <f>'Income Statement'!BU6</f>
        <v>0</v>
      </c>
      <c r="R35" s="358">
        <f>'Income Statement'!BV6</f>
        <v>0</v>
      </c>
      <c r="S35" s="359">
        <f>'Income Statement'!BW6</f>
        <v>0</v>
      </c>
      <c r="T35" s="355">
        <f>'Income Statement'!BX6</f>
        <v>0</v>
      </c>
      <c r="U35" s="360">
        <f>'Income Statement'!BY6</f>
        <v>0</v>
      </c>
      <c r="V35" s="361">
        <f>'Income Statement'!BZ6</f>
        <v>0</v>
      </c>
      <c r="W35" s="358">
        <f>'Income Statement'!CA6</f>
        <v>0</v>
      </c>
      <c r="X35" s="359">
        <f>'Income Statement'!CB6</f>
        <v>0</v>
      </c>
      <c r="Y35" s="355">
        <f>'Income Statement'!CC6</f>
        <v>0</v>
      </c>
      <c r="Z35" s="360">
        <f>'Income Statement'!CD6</f>
        <v>0</v>
      </c>
      <c r="AA35" s="361">
        <f>'Income Statement'!CE6</f>
        <v>0</v>
      </c>
      <c r="AB35" s="358">
        <f>'Income Statement'!CF6</f>
        <v>0</v>
      </c>
      <c r="AC35" s="359">
        <f>'Income Statement'!CG6</f>
        <v>0</v>
      </c>
      <c r="AD35" s="355">
        <f>'Income Statement'!CH6</f>
        <v>0</v>
      </c>
      <c r="AE35" s="360">
        <f>'Income Statement'!CI6</f>
        <v>0</v>
      </c>
      <c r="AF35" s="361">
        <f>'Income Statement'!CJ6</f>
        <v>0</v>
      </c>
      <c r="AG35" s="358">
        <f>'Income Statement'!CK6</f>
        <v>0</v>
      </c>
      <c r="AH35" s="359">
        <f>'Income Statement'!CL6</f>
        <v>0</v>
      </c>
      <c r="AI35" s="355">
        <f>'Income Statement'!CM6</f>
        <v>0</v>
      </c>
      <c r="AJ35" s="360">
        <f>'Income Statement'!CN6</f>
        <v>0</v>
      </c>
      <c r="AK35" s="361">
        <f>'Income Statement'!CO6</f>
        <v>0</v>
      </c>
      <c r="AL35" s="358">
        <f>'Income Statement'!CP6</f>
        <v>0</v>
      </c>
      <c r="AM35" s="359">
        <f>'Income Statement'!CQ6</f>
        <v>0</v>
      </c>
      <c r="AN35" s="355">
        <f>'Income Statement'!CR6</f>
        <v>0</v>
      </c>
      <c r="AO35" s="360">
        <f>'Income Statement'!CS6</f>
        <v>0</v>
      </c>
      <c r="AP35" s="361">
        <f>'Income Statement'!CT6</f>
        <v>0</v>
      </c>
      <c r="AQ35" s="358">
        <f>'Income Statement'!CU6</f>
        <v>0</v>
      </c>
      <c r="AR35" s="359">
        <f>'Income Statement'!CV6</f>
        <v>0</v>
      </c>
      <c r="AS35" s="355">
        <f>'Income Statement'!CW6</f>
        <v>0</v>
      </c>
      <c r="AT35" s="360">
        <f>'Income Statement'!CX6</f>
        <v>0</v>
      </c>
      <c r="AU35" s="361">
        <f>'Income Statement'!CY6</f>
        <v>0</v>
      </c>
      <c r="AV35" s="358">
        <f>'Income Statement'!CZ6</f>
        <v>0</v>
      </c>
      <c r="AW35" s="359">
        <f>'Income Statement'!DA6</f>
        <v>0</v>
      </c>
      <c r="AX35" s="355">
        <f>'Income Statement'!DB6</f>
        <v>0</v>
      </c>
      <c r="AY35" s="360">
        <f>'Income Statement'!DC6</f>
        <v>0</v>
      </c>
      <c r="AZ35" s="361">
        <f>'Income Statement'!DD6</f>
        <v>0</v>
      </c>
      <c r="BA35" s="358">
        <f>'Income Statement'!DE6</f>
        <v>0</v>
      </c>
      <c r="BB35" s="359">
        <f>'Income Statement'!DF6</f>
        <v>0</v>
      </c>
      <c r="BC35" s="355">
        <f>'Income Statement'!DG6</f>
        <v>0</v>
      </c>
      <c r="BD35" s="360">
        <f>'Income Statement'!DH6</f>
        <v>0</v>
      </c>
      <c r="BE35" s="361">
        <f>'Income Statement'!DI6</f>
        <v>0</v>
      </c>
      <c r="BF35" s="358">
        <f>'Income Statement'!DJ6</f>
        <v>0</v>
      </c>
      <c r="BG35" s="359">
        <f>'Income Statement'!DK6</f>
        <v>0</v>
      </c>
      <c r="BH35" s="355">
        <f>'Income Statement'!DL6</f>
        <v>0</v>
      </c>
      <c r="BI35" s="360">
        <f>'Income Statement'!DM6</f>
        <v>0</v>
      </c>
      <c r="BJ35" s="361">
        <f>'Income Statement'!DN6</f>
        <v>0</v>
      </c>
      <c r="BK35" s="358">
        <f>'Income Statement'!DO6</f>
        <v>0</v>
      </c>
      <c r="BL35" s="359">
        <f>'Income Statement'!DP6</f>
        <v>0</v>
      </c>
      <c r="BM35" s="355">
        <f>'Income Statement'!DQ6</f>
        <v>0</v>
      </c>
    </row>
    <row r="36" spans="2:65" hidden="1">
      <c r="B36" s="313" t="str">
        <f>'Income Statement'!A7</f>
        <v xml:space="preserve">  Services</v>
      </c>
      <c r="C36" s="355">
        <f>'Income Statement'!AY7</f>
        <v>0</v>
      </c>
      <c r="D36" s="355">
        <f>'Income Statement'!BD7</f>
        <v>443842</v>
      </c>
      <c r="E36" s="355">
        <f>'Income Statement'!BI7</f>
        <v>418891</v>
      </c>
      <c r="F36" s="356">
        <f>'Income Statement'!BJ7</f>
        <v>0</v>
      </c>
      <c r="G36" s="357">
        <f>'Income Statement'!BK7</f>
        <v>0</v>
      </c>
      <c r="H36" s="358">
        <f>'Income Statement'!BL7</f>
        <v>0</v>
      </c>
      <c r="I36" s="359">
        <f>'Income Statement'!BM7</f>
        <v>264902</v>
      </c>
      <c r="J36" s="355">
        <f>'Income Statement'!BN7</f>
        <v>264902</v>
      </c>
      <c r="K36" s="360">
        <f>'Income Statement'!BO7</f>
        <v>0</v>
      </c>
      <c r="L36" s="361">
        <f>'Income Statement'!BP7</f>
        <v>0</v>
      </c>
      <c r="M36" s="358">
        <f>'Income Statement'!BQ7</f>
        <v>0</v>
      </c>
      <c r="N36" s="359">
        <f>'Income Statement'!BR7</f>
        <v>102559</v>
      </c>
      <c r="O36" s="355">
        <f>'Income Statement'!BS7</f>
        <v>102559</v>
      </c>
      <c r="P36" s="360">
        <f>'Income Statement'!BT7</f>
        <v>0</v>
      </c>
      <c r="Q36" s="361">
        <f>'Income Statement'!BU7</f>
        <v>0</v>
      </c>
      <c r="R36" s="358">
        <f>'Income Statement'!BV7</f>
        <v>0</v>
      </c>
      <c r="S36" s="359">
        <f>'Income Statement'!BW7</f>
        <v>22851</v>
      </c>
      <c r="T36" s="355">
        <f>'Income Statement'!BX7</f>
        <v>22851</v>
      </c>
      <c r="U36" s="360">
        <f>'Income Statement'!BY7</f>
        <v>1631</v>
      </c>
      <c r="V36" s="361">
        <f>'Income Statement'!BZ7</f>
        <v>28524</v>
      </c>
      <c r="W36" s="358">
        <f>'Income Statement'!CA7</f>
        <v>1241</v>
      </c>
      <c r="X36" s="359">
        <f>'Income Statement'!CB7</f>
        <v>-18291</v>
      </c>
      <c r="Y36" s="355">
        <f>'Income Statement'!CC7</f>
        <v>13105</v>
      </c>
      <c r="Z36" s="360">
        <f>'Income Statement'!CD7</f>
        <v>841</v>
      </c>
      <c r="AA36" s="361">
        <f>'Income Statement'!CE7</f>
        <v>679</v>
      </c>
      <c r="AB36" s="358">
        <f>'Income Statement'!CF7</f>
        <v>1099</v>
      </c>
      <c r="AC36" s="359">
        <f>'Income Statement'!CG7</f>
        <v>7649</v>
      </c>
      <c r="AD36" s="355">
        <f>'Income Statement'!CH7</f>
        <v>10268</v>
      </c>
      <c r="AE36" s="360">
        <f>'Income Statement'!CI7</f>
        <v>1114</v>
      </c>
      <c r="AF36" s="361">
        <f>'Income Statement'!CJ7</f>
        <v>1364</v>
      </c>
      <c r="AG36" s="358">
        <f>'Income Statement'!CK7</f>
        <v>1072</v>
      </c>
      <c r="AH36" s="359">
        <f>'Income Statement'!CL7</f>
        <v>700</v>
      </c>
      <c r="AI36" s="355">
        <f>'Income Statement'!CM7</f>
        <v>4250</v>
      </c>
      <c r="AJ36" s="360">
        <f>'Income Statement'!CN7</f>
        <v>1065</v>
      </c>
      <c r="AK36" s="361">
        <f>'Income Statement'!CO7</f>
        <v>1756</v>
      </c>
      <c r="AL36" s="358">
        <f>'Income Statement'!CP7</f>
        <v>1376</v>
      </c>
      <c r="AM36" s="359">
        <f>'Income Statement'!CQ7</f>
        <v>1176</v>
      </c>
      <c r="AN36" s="355">
        <f>'Income Statement'!CR7</f>
        <v>5373</v>
      </c>
      <c r="AO36" s="360">
        <f>'Income Statement'!CS7</f>
        <v>1576</v>
      </c>
      <c r="AP36" s="361">
        <f>'Income Statement'!CT7</f>
        <v>1173</v>
      </c>
      <c r="AQ36" s="358">
        <f>'Income Statement'!CU7</f>
        <v>1637</v>
      </c>
      <c r="AR36" s="359">
        <f>'Income Statement'!CV7</f>
        <v>967</v>
      </c>
      <c r="AS36" s="355">
        <f>'Income Statement'!CW7</f>
        <v>5353</v>
      </c>
      <c r="AT36" s="360">
        <f>'Income Statement'!CX7</f>
        <v>1761</v>
      </c>
      <c r="AU36" s="361">
        <f>'Income Statement'!CY7</f>
        <v>937</v>
      </c>
      <c r="AV36" s="358">
        <f>'Income Statement'!CZ7</f>
        <v>0</v>
      </c>
      <c r="AW36" s="359">
        <f>'Income Statement'!DA7</f>
        <v>16</v>
      </c>
      <c r="AX36" s="355">
        <f>'Income Statement'!DB7</f>
        <v>2714</v>
      </c>
      <c r="AY36" s="360">
        <f>'Income Statement'!DC7</f>
        <v>6414</v>
      </c>
      <c r="AZ36" s="361">
        <f>'Income Statement'!DD7</f>
        <v>381</v>
      </c>
      <c r="BA36" s="358">
        <f>'Income Statement'!DE7</f>
        <v>2324</v>
      </c>
      <c r="BB36" s="359">
        <f>'Income Statement'!DF7</f>
        <v>1716</v>
      </c>
      <c r="BC36" s="355">
        <f>'Income Statement'!DG7</f>
        <v>10835</v>
      </c>
      <c r="BD36" s="360">
        <f>'Income Statement'!DH7</f>
        <v>1439</v>
      </c>
      <c r="BE36" s="361">
        <f>'Income Statement'!DI7</f>
        <v>555</v>
      </c>
      <c r="BF36" s="358">
        <f>'Income Statement'!DJ7</f>
        <v>3428.1948163943439</v>
      </c>
      <c r="BG36" s="359">
        <f>'Income Statement'!DK7</f>
        <v>3712.2288161925953</v>
      </c>
      <c r="BH36" s="355">
        <f>'Income Statement'!DL7</f>
        <v>9134.4236325869388</v>
      </c>
      <c r="BI36" s="360">
        <f>'Income Statement'!DM7</f>
        <v>3792.2589852509177</v>
      </c>
      <c r="BJ36" s="361">
        <f>'Income Statement'!DN7</f>
        <v>3917.1378228295748</v>
      </c>
      <c r="BK36" s="358">
        <f>'Income Statement'!DO7</f>
        <v>4023.0788645020243</v>
      </c>
      <c r="BL36" s="359">
        <f>'Income Statement'!DP7</f>
        <v>4120.8687776661418</v>
      </c>
      <c r="BM36" s="355">
        <f>'Income Statement'!DQ7</f>
        <v>15853.34445024866</v>
      </c>
    </row>
    <row r="37" spans="2:65">
      <c r="B37" s="350" t="str">
        <f>'Income Statement'!A8</f>
        <v>Deductions</v>
      </c>
      <c r="C37" s="351">
        <f>'Income Statement'!AY8</f>
        <v>-15664.175349673202</v>
      </c>
      <c r="D37" s="351">
        <f>'Income Statement'!BD8</f>
        <v>-13595</v>
      </c>
      <c r="E37" s="351">
        <f>'Income Statement'!BI8</f>
        <v>-11309</v>
      </c>
      <c r="F37" s="352">
        <f>'Income Statement'!BJ8</f>
        <v>0</v>
      </c>
      <c r="G37" s="353">
        <f>'Income Statement'!BK8</f>
        <v>0</v>
      </c>
      <c r="H37" s="353">
        <f>'Income Statement'!BL8</f>
        <v>0</v>
      </c>
      <c r="I37" s="354">
        <f>'Income Statement'!BM8</f>
        <v>-13047</v>
      </c>
      <c r="J37" s="351">
        <f>'Income Statement'!BN8</f>
        <v>-13047</v>
      </c>
      <c r="K37" s="352">
        <f>'Income Statement'!BO8</f>
        <v>0</v>
      </c>
      <c r="L37" s="353">
        <f>'Income Statement'!BP8</f>
        <v>0</v>
      </c>
      <c r="M37" s="353">
        <f>'Income Statement'!BQ8</f>
        <v>0</v>
      </c>
      <c r="N37" s="354">
        <f>'Income Statement'!BR8</f>
        <v>-17537</v>
      </c>
      <c r="O37" s="351">
        <f>'Income Statement'!BS8</f>
        <v>-17537</v>
      </c>
      <c r="P37" s="352">
        <f>'Income Statement'!BT8</f>
        <v>0</v>
      </c>
      <c r="Q37" s="353">
        <f>'Income Statement'!BU8</f>
        <v>0</v>
      </c>
      <c r="R37" s="353">
        <f>'Income Statement'!BV8</f>
        <v>0</v>
      </c>
      <c r="S37" s="354">
        <f>'Income Statement'!BW8</f>
        <v>-22692</v>
      </c>
      <c r="T37" s="351">
        <f>'Income Statement'!BX8</f>
        <v>-22692</v>
      </c>
      <c r="U37" s="352">
        <f>'Income Statement'!BY8</f>
        <v>-4917</v>
      </c>
      <c r="V37" s="353">
        <f>'Income Statement'!BZ8</f>
        <v>-5877</v>
      </c>
      <c r="W37" s="353">
        <f>'Income Statement'!CA8</f>
        <v>-6651</v>
      </c>
      <c r="X37" s="354">
        <f>'Income Statement'!CB8</f>
        <v>-7065</v>
      </c>
      <c r="Y37" s="351">
        <f>'Income Statement'!CC8</f>
        <v>-24510</v>
      </c>
      <c r="Z37" s="352">
        <f>'Income Statement'!CD8</f>
        <v>-5777</v>
      </c>
      <c r="AA37" s="353">
        <f>'Income Statement'!CE8</f>
        <v>-6250</v>
      </c>
      <c r="AB37" s="353">
        <f>'Income Statement'!CF8</f>
        <v>-8608</v>
      </c>
      <c r="AC37" s="354">
        <f>'Income Statement'!CG8</f>
        <v>-7754</v>
      </c>
      <c r="AD37" s="351">
        <f>'Income Statement'!CH8</f>
        <v>-28389</v>
      </c>
      <c r="AE37" s="352">
        <f>'Income Statement'!CI8</f>
        <v>-7690</v>
      </c>
      <c r="AF37" s="353">
        <f>'Income Statement'!CJ8</f>
        <v>-10737</v>
      </c>
      <c r="AG37" s="353">
        <f>'Income Statement'!CK8</f>
        <v>-10247</v>
      </c>
      <c r="AH37" s="354">
        <f>'Income Statement'!CL8</f>
        <v>-11201</v>
      </c>
      <c r="AI37" s="351">
        <f>'Income Statement'!CM8</f>
        <v>-39875</v>
      </c>
      <c r="AJ37" s="352">
        <f>'Income Statement'!CN8</f>
        <v>-10796</v>
      </c>
      <c r="AK37" s="353">
        <f>'Income Statement'!CO8</f>
        <v>-13624</v>
      </c>
      <c r="AL37" s="353">
        <f>'Income Statement'!CP8</f>
        <v>-13778</v>
      </c>
      <c r="AM37" s="354">
        <f>'Income Statement'!CQ8</f>
        <v>-12943</v>
      </c>
      <c r="AN37" s="351">
        <f>'Income Statement'!CR8</f>
        <v>-51141</v>
      </c>
      <c r="AO37" s="352">
        <f>'Income Statement'!CS8</f>
        <v>-12467</v>
      </c>
      <c r="AP37" s="353">
        <f>'Income Statement'!CT8</f>
        <v>-15606</v>
      </c>
      <c r="AQ37" s="353">
        <f>'Income Statement'!CU8</f>
        <v>-16281</v>
      </c>
      <c r="AR37" s="354">
        <f>'Income Statement'!CV8</f>
        <v>-17479</v>
      </c>
      <c r="AS37" s="351">
        <f>'Income Statement'!CW8</f>
        <v>-61833</v>
      </c>
      <c r="AT37" s="352">
        <f>'Income Statement'!CX8</f>
        <v>-17543</v>
      </c>
      <c r="AU37" s="353">
        <f>'Income Statement'!CY8</f>
        <v>-19791</v>
      </c>
      <c r="AV37" s="353">
        <f>'Income Statement'!CZ8</f>
        <v>-22474</v>
      </c>
      <c r="AW37" s="354">
        <f>'Income Statement'!DA8</f>
        <v>-21505</v>
      </c>
      <c r="AX37" s="351">
        <f>'Income Statement'!DB8</f>
        <v>-81313</v>
      </c>
      <c r="AY37" s="352">
        <f>'Income Statement'!DC8</f>
        <v>-28223</v>
      </c>
      <c r="AZ37" s="353">
        <f>'Income Statement'!DD8</f>
        <v>-28888</v>
      </c>
      <c r="BA37" s="353">
        <f>'Income Statement'!DE8</f>
        <v>-32495</v>
      </c>
      <c r="BB37" s="354">
        <f>'Income Statement'!DF8</f>
        <v>-34105</v>
      </c>
      <c r="BC37" s="351">
        <f>'Income Statement'!DG8</f>
        <v>-123711</v>
      </c>
      <c r="BD37" s="352">
        <f>'Income Statement'!DH8</f>
        <v>-31903</v>
      </c>
      <c r="BE37" s="353">
        <f>'Income Statement'!DI8</f>
        <v>-35160</v>
      </c>
      <c r="BF37" s="353">
        <f>'Income Statement'!DJ8</f>
        <v>-35724.532542682173</v>
      </c>
      <c r="BG37" s="354">
        <f>'Income Statement'!DK8</f>
        <v>-38684.394047779795</v>
      </c>
      <c r="BH37" s="351">
        <f>'Income Statement'!DL8</f>
        <v>-141471.92659046195</v>
      </c>
      <c r="BI37" s="352">
        <f>'Income Statement'!DM8</f>
        <v>-39518.372433502765</v>
      </c>
      <c r="BJ37" s="353">
        <f>'Income Statement'!DN8</f>
        <v>-40819.709824142432</v>
      </c>
      <c r="BK37" s="353">
        <f>'Income Statement'!DO8</f>
        <v>-41923.700231202696</v>
      </c>
      <c r="BL37" s="354">
        <f>'Income Statement'!DP8</f>
        <v>-42942.749358303328</v>
      </c>
      <c r="BM37" s="351">
        <f>'Income Statement'!DQ8</f>
        <v>-165204.53184715123</v>
      </c>
    </row>
    <row r="38" spans="2:65" hidden="1">
      <c r="B38" s="313" t="str">
        <f>'Income Statement'!A9</f>
        <v xml:space="preserve">  Taxes and other deductions</v>
      </c>
      <c r="C38" s="355">
        <f>'Income Statement'!AY9</f>
        <v>-15664.175349673202</v>
      </c>
      <c r="D38" s="355">
        <f>'Income Statement'!BD9</f>
        <v>-13595</v>
      </c>
      <c r="E38" s="355">
        <f>'Income Statement'!BI9</f>
        <v>-11309</v>
      </c>
      <c r="F38" s="362">
        <f>'Income Statement'!BJ9</f>
        <v>0</v>
      </c>
      <c r="G38" s="358">
        <f>'Income Statement'!BK9</f>
        <v>0</v>
      </c>
      <c r="H38" s="358">
        <f>'Income Statement'!BL9</f>
        <v>0</v>
      </c>
      <c r="I38" s="359">
        <f>'Income Statement'!BM9</f>
        <v>-13047</v>
      </c>
      <c r="J38" s="355">
        <f>'Income Statement'!BN9</f>
        <v>-13047</v>
      </c>
      <c r="K38" s="362">
        <f>'Income Statement'!BO9</f>
        <v>0</v>
      </c>
      <c r="L38" s="358">
        <f>'Income Statement'!BP9</f>
        <v>0</v>
      </c>
      <c r="M38" s="358">
        <f>'Income Statement'!BQ9</f>
        <v>0</v>
      </c>
      <c r="N38" s="359">
        <f>'Income Statement'!BR9</f>
        <v>-17537</v>
      </c>
      <c r="O38" s="355">
        <f>'Income Statement'!BS9</f>
        <v>-17537</v>
      </c>
      <c r="P38" s="362">
        <f>'Income Statement'!BT9</f>
        <v>0</v>
      </c>
      <c r="Q38" s="358">
        <f>'Income Statement'!BU9</f>
        <v>0</v>
      </c>
      <c r="R38" s="358">
        <f>'Income Statement'!BV9</f>
        <v>0</v>
      </c>
      <c r="S38" s="359">
        <f>'Income Statement'!BW9</f>
        <v>-22692</v>
      </c>
      <c r="T38" s="355">
        <f>'Income Statement'!BX9</f>
        <v>-22692</v>
      </c>
      <c r="U38" s="362">
        <f>'Income Statement'!BY9</f>
        <v>-4917</v>
      </c>
      <c r="V38" s="358">
        <f>'Income Statement'!BZ9</f>
        <v>-5877</v>
      </c>
      <c r="W38" s="358">
        <f>'Income Statement'!CA9</f>
        <v>-6651</v>
      </c>
      <c r="X38" s="359">
        <f>'Income Statement'!CB9</f>
        <v>-7065</v>
      </c>
      <c r="Y38" s="355">
        <f>'Income Statement'!CC9</f>
        <v>-24510</v>
      </c>
      <c r="Z38" s="362">
        <f>'Income Statement'!CD9</f>
        <v>-5777</v>
      </c>
      <c r="AA38" s="358">
        <f>'Income Statement'!CE9</f>
        <v>-6250</v>
      </c>
      <c r="AB38" s="358">
        <f>'Income Statement'!CF9</f>
        <v>-8608</v>
      </c>
      <c r="AC38" s="359">
        <f>'Income Statement'!CG9</f>
        <v>-7754</v>
      </c>
      <c r="AD38" s="355">
        <f>'Income Statement'!CH9</f>
        <v>-28389</v>
      </c>
      <c r="AE38" s="362">
        <f>'Income Statement'!CI9</f>
        <v>-7690</v>
      </c>
      <c r="AF38" s="358">
        <f>'Income Statement'!CJ9</f>
        <v>-10737</v>
      </c>
      <c r="AG38" s="358">
        <f>'Income Statement'!CK9</f>
        <v>-10247</v>
      </c>
      <c r="AH38" s="359">
        <f>'Income Statement'!CL9</f>
        <v>-11201</v>
      </c>
      <c r="AI38" s="355">
        <f>'Income Statement'!CM9</f>
        <v>-39875</v>
      </c>
      <c r="AJ38" s="362">
        <f>'Income Statement'!CN9</f>
        <v>-10796</v>
      </c>
      <c r="AK38" s="358">
        <f>'Income Statement'!CO9</f>
        <v>-13624</v>
      </c>
      <c r="AL38" s="358">
        <f>'Income Statement'!CP9</f>
        <v>-13778</v>
      </c>
      <c r="AM38" s="359">
        <f>'Income Statement'!CQ9</f>
        <v>-12943</v>
      </c>
      <c r="AN38" s="355">
        <f>'Income Statement'!CR9</f>
        <v>-51141</v>
      </c>
      <c r="AO38" s="362">
        <f>'Income Statement'!CS9</f>
        <v>-12467</v>
      </c>
      <c r="AP38" s="358">
        <f>'Income Statement'!CT9</f>
        <v>-15606</v>
      </c>
      <c r="AQ38" s="358">
        <f>'Income Statement'!CU9</f>
        <v>-16281</v>
      </c>
      <c r="AR38" s="359">
        <f>'Income Statement'!CV9</f>
        <v>-17479</v>
      </c>
      <c r="AS38" s="355">
        <f>'Income Statement'!CW9</f>
        <v>-61833</v>
      </c>
      <c r="AT38" s="362">
        <f>'Income Statement'!CX9</f>
        <v>-17543</v>
      </c>
      <c r="AU38" s="358">
        <f>'Income Statement'!CY9</f>
        <v>-19791</v>
      </c>
      <c r="AV38" s="358">
        <f>'Income Statement'!CZ9</f>
        <v>-22474</v>
      </c>
      <c r="AW38" s="359">
        <f>'Income Statement'!DA9</f>
        <v>-21505</v>
      </c>
      <c r="AX38" s="355">
        <f>'Income Statement'!DB9</f>
        <v>-81313</v>
      </c>
      <c r="AY38" s="362">
        <f>'Income Statement'!DC9</f>
        <v>-28223</v>
      </c>
      <c r="AZ38" s="358">
        <f>'Income Statement'!DD9</f>
        <v>-28888</v>
      </c>
      <c r="BA38" s="358">
        <f>'Income Statement'!DE9</f>
        <v>-32495</v>
      </c>
      <c r="BB38" s="359">
        <f>'Income Statement'!DF9</f>
        <v>-34105</v>
      </c>
      <c r="BC38" s="355">
        <f>'Income Statement'!DG9</f>
        <v>-123711</v>
      </c>
      <c r="BD38" s="362">
        <f>'Income Statement'!DH9</f>
        <v>-31903</v>
      </c>
      <c r="BE38" s="358">
        <f>'Income Statement'!DI9</f>
        <v>-35160</v>
      </c>
      <c r="BF38" s="358">
        <f>'Income Statement'!DJ9</f>
        <v>-35724.532542682173</v>
      </c>
      <c r="BG38" s="359">
        <f>'Income Statement'!DK9</f>
        <v>-38684.394047779795</v>
      </c>
      <c r="BH38" s="355">
        <f>'Income Statement'!DL9</f>
        <v>-141471.92659046195</v>
      </c>
      <c r="BI38" s="362">
        <f>'Income Statement'!DM9</f>
        <v>-39518.372433502765</v>
      </c>
      <c r="BJ38" s="358">
        <f>'Income Statement'!DN9</f>
        <v>-40819.709824142432</v>
      </c>
      <c r="BK38" s="358">
        <f>'Income Statement'!DO9</f>
        <v>-41923.700231202696</v>
      </c>
      <c r="BL38" s="359">
        <f>'Income Statement'!DP9</f>
        <v>-42942.749358303328</v>
      </c>
      <c r="BM38" s="355">
        <f>'Income Statement'!DQ9</f>
        <v>-165204.53184715123</v>
      </c>
    </row>
    <row r="39" spans="2:65" hidden="1">
      <c r="B39" s="363" t="str">
        <f>'Income Statement'!A10</f>
        <v xml:space="preserve">  % of Gross revenues</v>
      </c>
      <c r="C39" s="364">
        <f>'Income Statement'!AY10</f>
        <v>2.0799999999999999E-2</v>
      </c>
      <c r="D39" s="364">
        <f>'Income Statement'!BD10</f>
        <v>1.489102551464129E-2</v>
      </c>
      <c r="E39" s="364">
        <f>'Income Statement'!BI10</f>
        <v>1.2973142875497291E-2</v>
      </c>
      <c r="F39" s="365" t="e">
        <f>'Income Statement'!BJ10</f>
        <v>#DIV/0!</v>
      </c>
      <c r="G39" s="366" t="e">
        <f>'Income Statement'!BK10</f>
        <v>#DIV/0!</v>
      </c>
      <c r="H39" s="366" t="e">
        <f>'Income Statement'!BL10</f>
        <v>#DIV/0!</v>
      </c>
      <c r="I39" s="367">
        <f>'Income Statement'!BM10</f>
        <v>1.5875932393132234E-2</v>
      </c>
      <c r="J39" s="364">
        <f>'Income Statement'!BN10</f>
        <v>1.5875932393132234E-2</v>
      </c>
      <c r="K39" s="365" t="e">
        <f>'Income Statement'!BO10</f>
        <v>#DIV/0!</v>
      </c>
      <c r="L39" s="366" t="e">
        <f>'Income Statement'!BP10</f>
        <v>#DIV/0!</v>
      </c>
      <c r="M39" s="366" t="e">
        <f>'Income Statement'!BQ10</f>
        <v>#DIV/0!</v>
      </c>
      <c r="N39" s="367">
        <f>'Income Statement'!BR10</f>
        <v>2.1080101259493077E-2</v>
      </c>
      <c r="O39" s="364">
        <f>'Income Statement'!BS10</f>
        <v>2.1080101259493077E-2</v>
      </c>
      <c r="P39" s="365" t="e">
        <f>'Income Statement'!BT10</f>
        <v>#DIV/0!</v>
      </c>
      <c r="Q39" s="366" t="e">
        <f>'Income Statement'!BU10</f>
        <v>#DIV/0!</v>
      </c>
      <c r="R39" s="366" t="e">
        <f>'Income Statement'!BV10</f>
        <v>#DIV/0!</v>
      </c>
      <c r="S39" s="367">
        <f>'Income Statement'!BW10</f>
        <v>2.40650303039944E-2</v>
      </c>
      <c r="T39" s="364">
        <f>'Income Statement'!BX10</f>
        <v>2.40650303039944E-2</v>
      </c>
      <c r="U39" s="365">
        <f>'Income Statement'!BY10</f>
        <v>2.5438855173912367E-2</v>
      </c>
      <c r="V39" s="366">
        <f>'Income Statement'!BZ10</f>
        <v>2.1479478089251124E-2</v>
      </c>
      <c r="W39" s="366">
        <f>'Income Statement'!CA10</f>
        <v>2.4800969516174141E-2</v>
      </c>
      <c r="X39" s="367">
        <f>'Income Statement'!CB10</f>
        <v>2.2885185365142606E-2</v>
      </c>
      <c r="Y39" s="364">
        <f>'Income Statement'!CC10</f>
        <v>2.3481802321738056E-2</v>
      </c>
      <c r="Z39" s="365">
        <f>'Income Statement'!CD10</f>
        <v>2.4783567426575948E-2</v>
      </c>
      <c r="AA39" s="366">
        <f>'Income Statement'!CE10</f>
        <v>2.4756985431009213E-2</v>
      </c>
      <c r="AB39" s="366">
        <f>'Income Statement'!CF10</f>
        <v>2.573354658375809E-2</v>
      </c>
      <c r="AC39" s="367">
        <f>'Income Statement'!CG10</f>
        <v>2.1965134527242546E-2</v>
      </c>
      <c r="AD39" s="364">
        <f>'Income Statement'!CH10</f>
        <v>2.4200581209492009E-2</v>
      </c>
      <c r="AE39" s="365">
        <f>'Income Statement'!CI10</f>
        <v>2.2162916167112422E-2</v>
      </c>
      <c r="AF39" s="366">
        <f>'Income Statement'!CJ10</f>
        <v>2.323653787055753E-2</v>
      </c>
      <c r="AG39" s="366">
        <f>'Income Statement'!CK10</f>
        <v>2.1956477021444366E-2</v>
      </c>
      <c r="AH39" s="367">
        <f>'Income Statement'!CL10</f>
        <v>2.2293919080298711E-2</v>
      </c>
      <c r="AI39" s="364">
        <f>'Income Statement'!CM10</f>
        <v>2.2424740041728293E-2</v>
      </c>
      <c r="AJ39" s="365">
        <f>'Income Statement'!CN10</f>
        <v>2.3563306196389987E-2</v>
      </c>
      <c r="AK39" s="366">
        <f>'Income Statement'!CO10</f>
        <v>2.2102279824855981E-2</v>
      </c>
      <c r="AL39" s="366">
        <f>'Income Statement'!CP10</f>
        <v>2.1513435357420011E-2</v>
      </c>
      <c r="AM39" s="367">
        <f>'Income Statement'!CQ10</f>
        <v>2.1810822333554088E-2</v>
      </c>
      <c r="AN39" s="364">
        <f>'Income Statement'!CR10</f>
        <v>2.2153970113951659E-2</v>
      </c>
      <c r="AO39" s="365">
        <f>'Income Statement'!CS10</f>
        <v>2.0524412147712549E-2</v>
      </c>
      <c r="AP39" s="366">
        <f>'Income Statement'!CT10</f>
        <v>2.0994091628192296E-2</v>
      </c>
      <c r="AQ39" s="366">
        <f>'Income Statement'!CU10</f>
        <v>2.1194941125163541E-2</v>
      </c>
      <c r="AR39" s="367">
        <f>'Income Statement'!CV10</f>
        <v>2.1082531737176974E-2</v>
      </c>
      <c r="AS39" s="364">
        <f>'Income Statement'!CW10</f>
        <v>2.0974523448908669E-2</v>
      </c>
      <c r="AT39" s="365">
        <f>'Income Statement'!CX10</f>
        <v>2.0519928648711876E-2</v>
      </c>
      <c r="AU39" s="366">
        <f>'Income Statement'!CY10</f>
        <v>1.9443429258573737E-2</v>
      </c>
      <c r="AV39" s="366">
        <f>'Income Statement'!CZ10</f>
        <v>2.0841177136095464E-2</v>
      </c>
      <c r="AW39" s="367">
        <f>'Income Statement'!DA10</f>
        <v>2.0355407978979171E-2</v>
      </c>
      <c r="AX39" s="364">
        <f>'Income Statement'!DB10</f>
        <v>2.0289583126955803E-2</v>
      </c>
      <c r="AY39" s="365">
        <f>'Income Statement'!DC10</f>
        <v>2.2679878849926109E-2</v>
      </c>
      <c r="AZ39" s="366">
        <f>'Income Statement'!DD10</f>
        <v>2.1002016013237493E-2</v>
      </c>
      <c r="BA39" s="366">
        <f>'Income Statement'!DE10</f>
        <v>2.2419297084835945E-2</v>
      </c>
      <c r="BB39" s="367">
        <f>'Income Statement'!DF10</f>
        <v>2.3458887620200576E-2</v>
      </c>
      <c r="BC39" s="364">
        <f>'Income Statement'!DG10</f>
        <v>2.2398692047179727E-2</v>
      </c>
      <c r="BD39" s="365">
        <f>'Income Statement'!DH10</f>
        <v>1.9400124295063347E-2</v>
      </c>
      <c r="BE39" s="366">
        <f>'Income Statement'!DI10</f>
        <v>2.0373703320403721E-2</v>
      </c>
      <c r="BF39" s="366">
        <f>'Income Statement'!DJ10</f>
        <v>2.0799999999999999E-2</v>
      </c>
      <c r="BG39" s="367">
        <f>'Income Statement'!DK10</f>
        <v>2.0799999999999999E-2</v>
      </c>
      <c r="BH39" s="364">
        <f>'Income Statement'!DL10</f>
        <v>2.0362762530968286E-2</v>
      </c>
      <c r="BI39" s="365">
        <f>'Income Statement'!DM10</f>
        <v>2.0799999999999999E-2</v>
      </c>
      <c r="BJ39" s="366">
        <f>'Income Statement'!DN10</f>
        <v>2.0799999999999999E-2</v>
      </c>
      <c r="BK39" s="366">
        <f>'Income Statement'!DO10</f>
        <v>2.0799999999999999E-2</v>
      </c>
      <c r="BL39" s="367">
        <f>'Income Statement'!DP10</f>
        <v>2.0799999999999999E-2</v>
      </c>
      <c r="BM39" s="364">
        <f>'Income Statement'!DQ10</f>
        <v>2.0799999999999999E-2</v>
      </c>
    </row>
    <row r="40" spans="2:65">
      <c r="B40" s="350" t="str">
        <f>'Income Statement'!A11</f>
        <v>Net Revenues</v>
      </c>
      <c r="C40" s="351">
        <f>'Income Statement'!AY11</f>
        <v>737421.17799999996</v>
      </c>
      <c r="D40" s="351">
        <f>'Income Statement'!BD11</f>
        <v>899371</v>
      </c>
      <c r="E40" s="351">
        <f>'Income Statement'!BI11</f>
        <v>860415</v>
      </c>
      <c r="F40" s="352">
        <f>'Income Statement'!BJ11</f>
        <v>0</v>
      </c>
      <c r="G40" s="353">
        <f>'Income Statement'!BK11</f>
        <v>0</v>
      </c>
      <c r="H40" s="353">
        <f>'Income Statement'!BL11</f>
        <v>0</v>
      </c>
      <c r="I40" s="354">
        <f>'Income Statement'!BM11</f>
        <v>808763</v>
      </c>
      <c r="J40" s="351">
        <f>'Income Statement'!BN11</f>
        <v>808763</v>
      </c>
      <c r="K40" s="352">
        <f>'Income Statement'!BO11</f>
        <v>0</v>
      </c>
      <c r="L40" s="353">
        <f>'Income Statement'!BP11</f>
        <v>0</v>
      </c>
      <c r="M40" s="353">
        <f>'Income Statement'!BQ11</f>
        <v>0</v>
      </c>
      <c r="N40" s="354">
        <f>'Income Statement'!BR11</f>
        <v>814385</v>
      </c>
      <c r="O40" s="351">
        <f>'Income Statement'!BS11</f>
        <v>814385</v>
      </c>
      <c r="P40" s="352">
        <f>'Income Statement'!BT11</f>
        <v>0</v>
      </c>
      <c r="Q40" s="353">
        <f>'Income Statement'!BU11</f>
        <v>0</v>
      </c>
      <c r="R40" s="353">
        <f>'Income Statement'!BV11</f>
        <v>0</v>
      </c>
      <c r="S40" s="354">
        <f>'Income Statement'!BW11</f>
        <v>920253</v>
      </c>
      <c r="T40" s="351">
        <f>'Income Statement'!BX11</f>
        <v>920253</v>
      </c>
      <c r="U40" s="352">
        <f>'Income Statement'!BY11</f>
        <v>188370</v>
      </c>
      <c r="V40" s="353">
        <f>'Income Statement'!BZ11</f>
        <v>267733</v>
      </c>
      <c r="W40" s="353">
        <f>'Income Statement'!CA11</f>
        <v>261524</v>
      </c>
      <c r="X40" s="354">
        <f>'Income Statement'!CB11</f>
        <v>301650</v>
      </c>
      <c r="Y40" s="351">
        <f>'Income Statement'!CC11</f>
        <v>1019277</v>
      </c>
      <c r="Z40" s="352">
        <f>'Income Statement'!CD11</f>
        <v>227321</v>
      </c>
      <c r="AA40" s="353">
        <f>'Income Statement'!CE11</f>
        <v>246204</v>
      </c>
      <c r="AB40" s="353">
        <f>'Income Statement'!CF11</f>
        <v>325897</v>
      </c>
      <c r="AC40" s="354">
        <f>'Income Statement'!CG11</f>
        <v>345260</v>
      </c>
      <c r="AD40" s="351">
        <f>'Income Statement'!CH11</f>
        <v>1144682</v>
      </c>
      <c r="AE40" s="352">
        <f>'Income Statement'!CI11</f>
        <v>339286</v>
      </c>
      <c r="AF40" s="353">
        <f>'Income Statement'!CJ11</f>
        <v>451337</v>
      </c>
      <c r="AG40" s="353">
        <f>'Income Statement'!CK11</f>
        <v>456449</v>
      </c>
      <c r="AH40" s="354">
        <f>'Income Statement'!CL11</f>
        <v>491223</v>
      </c>
      <c r="AI40" s="351">
        <f>'Income Statement'!CM11</f>
        <v>1738295</v>
      </c>
      <c r="AJ40" s="352">
        <f>'Income Statement'!CN11</f>
        <v>447374</v>
      </c>
      <c r="AK40" s="353">
        <f>'Income Statement'!CO11</f>
        <v>602783</v>
      </c>
      <c r="AL40" s="353">
        <f>'Income Statement'!CP11</f>
        <v>626659</v>
      </c>
      <c r="AM40" s="354">
        <f>'Income Statement'!CQ11</f>
        <v>580478</v>
      </c>
      <c r="AN40" s="351">
        <f>'Income Statement'!CR11</f>
        <v>2257294</v>
      </c>
      <c r="AO40" s="352">
        <f>'Income Statement'!CS11</f>
        <v>594956</v>
      </c>
      <c r="AP40" s="353">
        <f>'Income Statement'!CT11</f>
        <v>727746</v>
      </c>
      <c r="AQ40" s="353">
        <f>'Income Statement'!CU11</f>
        <v>751874</v>
      </c>
      <c r="AR40" s="354">
        <f>'Income Statement'!CV11</f>
        <v>811596</v>
      </c>
      <c r="AS40" s="351">
        <f>'Income Statement'!CW11</f>
        <v>2886172</v>
      </c>
      <c r="AT40" s="352">
        <f>'Income Statement'!CX11</f>
        <v>837382</v>
      </c>
      <c r="AU40" s="353">
        <f>'Income Statement'!CY11</f>
        <v>998085</v>
      </c>
      <c r="AV40" s="353">
        <f>'Income Statement'!CZ11</f>
        <v>1055872</v>
      </c>
      <c r="AW40" s="354">
        <f>'Income Statement'!DA11</f>
        <v>1034971</v>
      </c>
      <c r="AX40" s="351">
        <f>'Income Statement'!DB11</f>
        <v>3926310</v>
      </c>
      <c r="AY40" s="352">
        <f>'Income Statement'!DC11</f>
        <v>1216184</v>
      </c>
      <c r="AZ40" s="353">
        <f>'Income Statement'!DD11</f>
        <v>1346599</v>
      </c>
      <c r="BA40" s="353">
        <f>'Income Statement'!DE11</f>
        <v>1416926</v>
      </c>
      <c r="BB40" s="354">
        <f>'Income Statement'!DF11</f>
        <v>1419715</v>
      </c>
      <c r="BC40" s="351">
        <f>'Income Statement'!DG11</f>
        <v>5399424</v>
      </c>
      <c r="BD40" s="352">
        <f>'Income Statement'!DH11</f>
        <v>1612571</v>
      </c>
      <c r="BE40" s="353">
        <f>'Income Statement'!DI11</f>
        <v>1690594</v>
      </c>
      <c r="BF40" s="353">
        <f>'Income Statement'!DJ11</f>
        <v>1681801.070470884</v>
      </c>
      <c r="BG40" s="354">
        <f>'Income Statement'!DK11</f>
        <v>1821142.2428647105</v>
      </c>
      <c r="BH40" s="351">
        <f>'Income Statement'!DL11</f>
        <v>6806108.3133355947</v>
      </c>
      <c r="BI40" s="352">
        <f>'Income Statement'!DM11</f>
        <v>1860403.3791772071</v>
      </c>
      <c r="BJ40" s="353">
        <f>'Income Statement'!DN11</f>
        <v>1921666.3394134745</v>
      </c>
      <c r="BK40" s="353">
        <f>'Income Statement'!DO11</f>
        <v>1973638.8108843116</v>
      </c>
      <c r="BL40" s="354">
        <f>'Income Statement'!DP11</f>
        <v>2021612.5082524337</v>
      </c>
      <c r="BM40" s="351">
        <f>'Income Statement'!DQ11</f>
        <v>7777321.0377274267</v>
      </c>
    </row>
    <row r="41" spans="2:65">
      <c r="B41" s="350" t="str">
        <f>'Income Statement'!A12</f>
        <v>Operating Costs</v>
      </c>
      <c r="C41" s="351">
        <f>'Income Statement'!AY12</f>
        <v>-482259.995</v>
      </c>
      <c r="D41" s="351">
        <f>'Income Statement'!BD12</f>
        <v>-641536</v>
      </c>
      <c r="E41" s="351">
        <f>'Income Statement'!BI12</f>
        <v>-612678</v>
      </c>
      <c r="F41" s="352">
        <f>'Income Statement'!BJ12</f>
        <v>0</v>
      </c>
      <c r="G41" s="353">
        <f>'Income Statement'!BK12</f>
        <v>0</v>
      </c>
      <c r="H41" s="353">
        <f>'Income Statement'!BL12</f>
        <v>0</v>
      </c>
      <c r="I41" s="354">
        <f>'Income Statement'!BM12</f>
        <v>-604986</v>
      </c>
      <c r="J41" s="351">
        <f>'Income Statement'!BN12</f>
        <v>-604986</v>
      </c>
      <c r="K41" s="352">
        <f>'Income Statement'!BO12</f>
        <v>0</v>
      </c>
      <c r="L41" s="353">
        <f>'Income Statement'!BP12</f>
        <v>0</v>
      </c>
      <c r="M41" s="353">
        <f>'Income Statement'!BQ12</f>
        <v>0</v>
      </c>
      <c r="N41" s="354">
        <f>'Income Statement'!BR12</f>
        <v>-570540</v>
      </c>
      <c r="O41" s="351">
        <f>'Income Statement'!BS12</f>
        <v>-570540</v>
      </c>
      <c r="P41" s="352">
        <f>'Income Statement'!BT12</f>
        <v>0</v>
      </c>
      <c r="Q41" s="353">
        <f>'Income Statement'!BU12</f>
        <v>0</v>
      </c>
      <c r="R41" s="353">
        <f>'Income Statement'!BV12</f>
        <v>0</v>
      </c>
      <c r="S41" s="354">
        <f>'Income Statement'!BW12</f>
        <v>-605526</v>
      </c>
      <c r="T41" s="351">
        <f>'Income Statement'!BX12</f>
        <v>-605526</v>
      </c>
      <c r="U41" s="352">
        <f>'Income Statement'!BY12</f>
        <v>-133039</v>
      </c>
      <c r="V41" s="353">
        <f>'Income Statement'!BZ12</f>
        <v>-166982</v>
      </c>
      <c r="W41" s="353">
        <f>'Income Statement'!CA12</f>
        <v>-180689</v>
      </c>
      <c r="X41" s="354">
        <f>'Income Statement'!CB12</f>
        <v>-182682</v>
      </c>
      <c r="Y41" s="351">
        <f>'Income Statement'!CC12</f>
        <v>-663392</v>
      </c>
      <c r="Z41" s="352">
        <f>'Income Statement'!CD12</f>
        <v>-149181</v>
      </c>
      <c r="AA41" s="353">
        <f>'Income Statement'!CE12</f>
        <v>-159137</v>
      </c>
      <c r="AB41" s="353">
        <f>'Income Statement'!CF12</f>
        <v>-202541</v>
      </c>
      <c r="AC41" s="354">
        <f>'Income Statement'!CG12</f>
        <v>-205433</v>
      </c>
      <c r="AD41" s="351">
        <f>'Income Statement'!CH12</f>
        <v>-716292</v>
      </c>
      <c r="AE41" s="352">
        <f>'Income Statement'!CI12</f>
        <v>-218944</v>
      </c>
      <c r="AF41" s="353">
        <f>'Income Statement'!CJ12</f>
        <v>-288421</v>
      </c>
      <c r="AG41" s="353">
        <f>'Income Statement'!CK12</f>
        <v>-281478</v>
      </c>
      <c r="AH41" s="354">
        <f>'Income Statement'!CL12</f>
        <v>-304781</v>
      </c>
      <c r="AI41" s="351">
        <f>'Income Statement'!CM12</f>
        <v>-1093624</v>
      </c>
      <c r="AJ41" s="352">
        <f>'Income Statement'!CN12</f>
        <v>-281465</v>
      </c>
      <c r="AK41" s="353">
        <f>'Income Statement'!CO12</f>
        <v>-387286</v>
      </c>
      <c r="AL41" s="353">
        <f>'Income Statement'!CP12</f>
        <v>-392916</v>
      </c>
      <c r="AM41" s="354">
        <f>'Income Statement'!CQ12</f>
        <v>-358735</v>
      </c>
      <c r="AN41" s="351">
        <f>'Income Statement'!CR12</f>
        <v>-1420402</v>
      </c>
      <c r="AO41" s="352">
        <f>'Income Statement'!CS12</f>
        <v>-371794</v>
      </c>
      <c r="AP41" s="353">
        <f>'Income Statement'!CT12</f>
        <v>-453192</v>
      </c>
      <c r="AQ41" s="353">
        <f>'Income Statement'!CU12</f>
        <v>-467971</v>
      </c>
      <c r="AR41" s="354">
        <f>'Income Statement'!CV12</f>
        <v>-497862</v>
      </c>
      <c r="AS41" s="351">
        <f>'Income Statement'!CW12</f>
        <v>-1790819</v>
      </c>
      <c r="AT41" s="352">
        <f>'Income Statement'!CX12</f>
        <v>-520773</v>
      </c>
      <c r="AU41" s="353">
        <f>'Income Statement'!CY12</f>
        <v>-615554</v>
      </c>
      <c r="AV41" s="353">
        <f>'Income Statement'!CZ12</f>
        <v>-646426</v>
      </c>
      <c r="AW41" s="354">
        <f>'Income Statement'!DA12</f>
        <v>-630617</v>
      </c>
      <c r="AX41" s="351">
        <f>'Income Statement'!DB12</f>
        <v>-2413370</v>
      </c>
      <c r="AY41" s="352">
        <f>'Income Statement'!DC12</f>
        <v>-741296</v>
      </c>
      <c r="AZ41" s="353">
        <f>'Income Statement'!DD12</f>
        <v>-813823</v>
      </c>
      <c r="BA41" s="353">
        <f>'Income Statement'!DE12</f>
        <v>-850699</v>
      </c>
      <c r="BB41" s="354">
        <f>'Income Statement'!DF12</f>
        <v>-847019</v>
      </c>
      <c r="BC41" s="351">
        <f>'Income Statement'!DG12</f>
        <v>-3252837</v>
      </c>
      <c r="BD41" s="352">
        <f>'Income Statement'!DH12</f>
        <v>-982915</v>
      </c>
      <c r="BE41" s="353">
        <f>'Income Statement'!DI12</f>
        <v>-1022232</v>
      </c>
      <c r="BF41" s="353">
        <f>'Income Statement'!DJ12</f>
        <v>-1005791.0636225679</v>
      </c>
      <c r="BG41" s="354">
        <f>'Income Statement'!DK12</f>
        <v>-1085146.0935122222</v>
      </c>
      <c r="BH41" s="351">
        <f>'Income Statement'!DL12</f>
        <v>-4096084.15713479</v>
      </c>
      <c r="BI41" s="352">
        <f>'Income Statement'!DM12</f>
        <v>-1119854.1897877282</v>
      </c>
      <c r="BJ41" s="353">
        <f>'Income Statement'!DN12</f>
        <v>-1165086.6498946073</v>
      </c>
      <c r="BK41" s="353">
        <f>'Income Statement'!DO12</f>
        <v>-1207492.2358505486</v>
      </c>
      <c r="BL41" s="354">
        <f>'Income Statement'!DP12</f>
        <v>-1241866.0793001801</v>
      </c>
      <c r="BM41" s="351">
        <f>'Income Statement'!DQ12</f>
        <v>-4734299.1548330644</v>
      </c>
    </row>
    <row r="42" spans="2:65" hidden="1">
      <c r="B42" s="313" t="str">
        <f>'Income Statement'!A13</f>
        <v xml:space="preserve">  Development Sales</v>
      </c>
      <c r="C42" s="355">
        <f>'Income Statement'!AY13</f>
        <v>-286918.33100000001</v>
      </c>
      <c r="D42" s="355">
        <f>'Income Statement'!BD13</f>
        <v>-280396</v>
      </c>
      <c r="E42" s="355">
        <f>'Income Statement'!BI13</f>
        <v>-269379</v>
      </c>
      <c r="F42" s="362">
        <f>'Income Statement'!BJ13</f>
        <v>0</v>
      </c>
      <c r="G42" s="358">
        <f>'Income Statement'!BK13</f>
        <v>0</v>
      </c>
      <c r="H42" s="358">
        <f>'Income Statement'!BL13</f>
        <v>0</v>
      </c>
      <c r="I42" s="359">
        <f>'Income Statement'!BM13</f>
        <v>-347154</v>
      </c>
      <c r="J42" s="355">
        <f>'Income Statement'!BN13</f>
        <v>-347154</v>
      </c>
      <c r="K42" s="362">
        <f>'Income Statement'!BO13</f>
        <v>0</v>
      </c>
      <c r="L42" s="358">
        <f>'Income Statement'!BP13</f>
        <v>0</v>
      </c>
      <c r="M42" s="358">
        <f>'Income Statement'!BQ13</f>
        <v>0</v>
      </c>
      <c r="N42" s="359">
        <f>'Income Statement'!BR13</f>
        <v>-444173</v>
      </c>
      <c r="O42" s="355">
        <f>'Income Statement'!BS13</f>
        <v>-444173</v>
      </c>
      <c r="P42" s="362">
        <f>'Income Statement'!BT13</f>
        <v>0</v>
      </c>
      <c r="Q42" s="358">
        <f>'Income Statement'!BU13</f>
        <v>0</v>
      </c>
      <c r="R42" s="358">
        <f>'Income Statement'!BV13</f>
        <v>0</v>
      </c>
      <c r="S42" s="359">
        <f>'Income Statement'!BW13</f>
        <v>-542783</v>
      </c>
      <c r="T42" s="355">
        <f>'Income Statement'!BX13</f>
        <v>-542783</v>
      </c>
      <c r="U42" s="362">
        <f>'Income Statement'!BY13</f>
        <v>-122991</v>
      </c>
      <c r="V42" s="358">
        <f>'Income Statement'!BZ13</f>
        <v>-156928</v>
      </c>
      <c r="W42" s="358">
        <f>'Income Statement'!CA13</f>
        <v>-171768</v>
      </c>
      <c r="X42" s="359">
        <f>'Income Statement'!CB13</f>
        <v>-176867</v>
      </c>
      <c r="Y42" s="355">
        <f>'Income Statement'!CC13</f>
        <v>-628554</v>
      </c>
      <c r="Z42" s="362">
        <f>'Income Statement'!CD13</f>
        <v>-138123</v>
      </c>
      <c r="AA42" s="358">
        <f>'Income Statement'!CE13</f>
        <v>-148184</v>
      </c>
      <c r="AB42" s="358">
        <f>'Income Statement'!CF13</f>
        <v>-196526</v>
      </c>
      <c r="AC42" s="359">
        <f>'Income Statement'!CG13</f>
        <v>-195949</v>
      </c>
      <c r="AD42" s="355">
        <f>'Income Statement'!CH13</f>
        <v>-678782</v>
      </c>
      <c r="AE42" s="362">
        <f>'Income Statement'!CI13</f>
        <v>-212274</v>
      </c>
      <c r="AF42" s="358">
        <f>'Income Statement'!CJ13</f>
        <v>-280640</v>
      </c>
      <c r="AG42" s="358">
        <f>'Income Statement'!CK13</f>
        <v>-271663</v>
      </c>
      <c r="AH42" s="359">
        <f>'Income Statement'!CL13</f>
        <v>-316781</v>
      </c>
      <c r="AI42" s="355">
        <f>'Income Statement'!CM13</f>
        <v>-1081358</v>
      </c>
      <c r="AJ42" s="362">
        <f>'Income Statement'!CN13</f>
        <v>-278989</v>
      </c>
      <c r="AK42" s="358">
        <f>'Income Statement'!CO13</f>
        <v>-385971</v>
      </c>
      <c r="AL42" s="358">
        <f>'Income Statement'!CP13</f>
        <v>-383036</v>
      </c>
      <c r="AM42" s="359">
        <f>'Income Statement'!CQ13</f>
        <v>-364471</v>
      </c>
      <c r="AN42" s="355">
        <f>'Income Statement'!CR13</f>
        <v>-1412467</v>
      </c>
      <c r="AO42" s="362">
        <f>'Income Statement'!CS13</f>
        <v>-369973</v>
      </c>
      <c r="AP42" s="358">
        <f>'Income Statement'!CT13</f>
        <v>-451438</v>
      </c>
      <c r="AQ42" s="358">
        <f>'Income Statement'!CU13</f>
        <v>-466344</v>
      </c>
      <c r="AR42" s="359">
        <f>'Income Statement'!CV13</f>
        <v>-495745</v>
      </c>
      <c r="AS42" s="355">
        <f>'Income Statement'!CW13</f>
        <v>-1783500</v>
      </c>
      <c r="AT42" s="362">
        <f>'Income Statement'!CX13</f>
        <v>-518203</v>
      </c>
      <c r="AU42" s="358">
        <f>'Income Statement'!CY13</f>
        <v>-612674</v>
      </c>
      <c r="AV42" s="358">
        <f>'Income Statement'!CZ13</f>
        <v>-642752</v>
      </c>
      <c r="AW42" s="359">
        <f>'Income Statement'!DA13</f>
        <v>-628758</v>
      </c>
      <c r="AX42" s="355">
        <f>'Income Statement'!DB13</f>
        <v>-2402387</v>
      </c>
      <c r="AY42" s="362">
        <f>'Income Statement'!DC13</f>
        <v>-738979</v>
      </c>
      <c r="AZ42" s="358">
        <f>'Income Statement'!DD13</f>
        <v>-809365</v>
      </c>
      <c r="BA42" s="358">
        <f>'Income Statement'!DE13</f>
        <v>-846448</v>
      </c>
      <c r="BB42" s="359">
        <f>'Income Statement'!DF13</f>
        <v>-841641</v>
      </c>
      <c r="BC42" s="355">
        <f>'Income Statement'!DG13</f>
        <v>-3236433</v>
      </c>
      <c r="BD42" s="362">
        <f>'Income Statement'!DH13</f>
        <v>-977874</v>
      </c>
      <c r="BE42" s="358">
        <f>'Income Statement'!DI13</f>
        <v>-1015994</v>
      </c>
      <c r="BF42" s="358">
        <f>'Income Statement'!DJ13</f>
        <v>-1005988.5519592891</v>
      </c>
      <c r="BG42" s="359">
        <f>'Income Statement'!DK13</f>
        <v>-1083785.9456176518</v>
      </c>
      <c r="BH42" s="355">
        <f>'Income Statement'!DL13</f>
        <v>-4083642.4975769408</v>
      </c>
      <c r="BI42" s="362">
        <f>'Income Statement'!DM13</f>
        <v>-1118698.9214750158</v>
      </c>
      <c r="BJ42" s="358">
        <f>'Income Statement'!DN13</f>
        <v>-1158696.5301546257</v>
      </c>
      <c r="BK42" s="358">
        <f>'Income Statement'!DO13</f>
        <v>-1197756.066735032</v>
      </c>
      <c r="BL42" s="359">
        <f>'Income Statement'!DP13</f>
        <v>-1229834.5169566309</v>
      </c>
      <c r="BM42" s="355">
        <f>'Income Statement'!DQ13</f>
        <v>-4704986.0353213046</v>
      </c>
    </row>
    <row r="43" spans="2:65" hidden="1">
      <c r="B43" s="313" t="str">
        <f>'Income Statement'!A14</f>
        <v xml:space="preserve">  Capitalized Interest</v>
      </c>
      <c r="C43" s="355">
        <f>'Income Statement'!AY14</f>
        <v>0</v>
      </c>
      <c r="D43" s="355">
        <f>'Income Statement'!BD14</f>
        <v>-9751</v>
      </c>
      <c r="E43" s="355">
        <f>'Income Statement'!BI14</f>
        <v>-14187</v>
      </c>
      <c r="F43" s="362">
        <f>'Income Statement'!BJ14</f>
        <v>0</v>
      </c>
      <c r="G43" s="358">
        <f>'Income Statement'!BK14</f>
        <v>0</v>
      </c>
      <c r="H43" s="358">
        <f>'Income Statement'!BL14</f>
        <v>0</v>
      </c>
      <c r="I43" s="359">
        <f>'Income Statement'!BM14</f>
        <v>-15680</v>
      </c>
      <c r="J43" s="355">
        <f>'Income Statement'!BN14</f>
        <v>-15680</v>
      </c>
      <c r="K43" s="362">
        <f>'Income Statement'!BO14</f>
        <v>0</v>
      </c>
      <c r="L43" s="358">
        <f>'Income Statement'!BP14</f>
        <v>0</v>
      </c>
      <c r="M43" s="358">
        <f>'Income Statement'!BQ14</f>
        <v>0</v>
      </c>
      <c r="N43" s="359">
        <f>'Income Statement'!BR14</f>
        <v>-17736</v>
      </c>
      <c r="O43" s="355">
        <f>'Income Statement'!BS14</f>
        <v>-17736</v>
      </c>
      <c r="P43" s="362">
        <f>'Income Statement'!BT14</f>
        <v>0</v>
      </c>
      <c r="Q43" s="358">
        <f>'Income Statement'!BU14</f>
        <v>0</v>
      </c>
      <c r="R43" s="358">
        <f>'Income Statement'!BV14</f>
        <v>0</v>
      </c>
      <c r="S43" s="359">
        <f>'Income Statement'!BW14</f>
        <v>-13420</v>
      </c>
      <c r="T43" s="355">
        <f>'Income Statement'!BX14</f>
        <v>-13420</v>
      </c>
      <c r="U43" s="362">
        <f>'Income Statement'!BY14</f>
        <v>-1784</v>
      </c>
      <c r="V43" s="358">
        <f>'Income Statement'!BZ14</f>
        <v>-1529</v>
      </c>
      <c r="W43" s="358">
        <f>'Income Statement'!CA14</f>
        <v>-1146</v>
      </c>
      <c r="X43" s="359">
        <f>'Income Statement'!CB14</f>
        <v>-1867</v>
      </c>
      <c r="Y43" s="355">
        <f>'Income Statement'!CC14</f>
        <v>-6326</v>
      </c>
      <c r="Z43" s="362">
        <f>'Income Statement'!CD14</f>
        <v>-1365</v>
      </c>
      <c r="AA43" s="358">
        <f>'Income Statement'!CE14</f>
        <v>-1686</v>
      </c>
      <c r="AB43" s="358">
        <f>'Income Statement'!CF14</f>
        <v>-409</v>
      </c>
      <c r="AC43" s="359">
        <f>'Income Statement'!CG14</f>
        <v>-755</v>
      </c>
      <c r="AD43" s="355">
        <f>'Income Statement'!CH14</f>
        <v>-4215</v>
      </c>
      <c r="AE43" s="362">
        <f>'Income Statement'!CI14</f>
        <v>-122</v>
      </c>
      <c r="AF43" s="358">
        <f>'Income Statement'!CJ14</f>
        <v>-142</v>
      </c>
      <c r="AG43" s="358">
        <f>'Income Statement'!CK14</f>
        <v>-339</v>
      </c>
      <c r="AH43" s="359">
        <f>'Income Statement'!CL14</f>
        <v>-731</v>
      </c>
      <c r="AI43" s="355">
        <f>'Income Statement'!CM14</f>
        <v>-1334</v>
      </c>
      <c r="AJ43" s="362">
        <f>'Income Statement'!CN14</f>
        <v>-607</v>
      </c>
      <c r="AK43" s="358">
        <f>'Income Statement'!CO14</f>
        <v>-564</v>
      </c>
      <c r="AL43" s="358">
        <f>'Income Statement'!CP14</f>
        <v>-1100</v>
      </c>
      <c r="AM43" s="359">
        <f>'Income Statement'!CQ14</f>
        <v>-1013</v>
      </c>
      <c r="AN43" s="355">
        <f>'Income Statement'!CR14</f>
        <v>-3284</v>
      </c>
      <c r="AO43" s="362">
        <f>'Income Statement'!CS14</f>
        <v>-1299</v>
      </c>
      <c r="AP43" s="358">
        <f>'Income Statement'!CT14</f>
        <v>-1415</v>
      </c>
      <c r="AQ43" s="358">
        <f>'Income Statement'!CU14</f>
        <v>-1489</v>
      </c>
      <c r="AR43" s="359">
        <f>'Income Statement'!CV14</f>
        <v>-1761</v>
      </c>
      <c r="AS43" s="355">
        <f>'Income Statement'!CW14</f>
        <v>-5964</v>
      </c>
      <c r="AT43" s="362">
        <f>'Income Statement'!CX14</f>
        <v>-1856</v>
      </c>
      <c r="AU43" s="358">
        <f>'Income Statement'!CY14</f>
        <v>-2127</v>
      </c>
      <c r="AV43" s="358">
        <f>'Income Statement'!CZ14</f>
        <v>-2041</v>
      </c>
      <c r="AW43" s="359">
        <f>'Income Statement'!DA14</f>
        <v>-2337</v>
      </c>
      <c r="AX43" s="355">
        <f>'Income Statement'!DB14</f>
        <v>-8361</v>
      </c>
      <c r="AY43" s="362">
        <f>'Income Statement'!DC14</f>
        <v>-1711</v>
      </c>
      <c r="AZ43" s="358">
        <f>'Income Statement'!DD14</f>
        <v>-3457</v>
      </c>
      <c r="BA43" s="358">
        <f>'Income Statement'!DE14</f>
        <v>-3061</v>
      </c>
      <c r="BB43" s="359">
        <f>'Income Statement'!DF14</f>
        <v>-4327</v>
      </c>
      <c r="BC43" s="355">
        <f>'Income Statement'!DG14</f>
        <v>-12556</v>
      </c>
      <c r="BD43" s="362">
        <f>'Income Statement'!DH14</f>
        <v>-4243</v>
      </c>
      <c r="BE43" s="358">
        <f>'Income Statement'!DI14</f>
        <v>-5275</v>
      </c>
      <c r="BF43" s="358">
        <f>'Income Statement'!DJ14</f>
        <v>883.1273000000001</v>
      </c>
      <c r="BG43" s="359">
        <f>'Income Statement'!DK14</f>
        <v>-617.70213133201196</v>
      </c>
      <c r="BH43" s="355">
        <f>'Income Statement'!DL14</f>
        <v>-9252.5748313320109</v>
      </c>
      <c r="BI43" s="362">
        <f>'Income Statement'!DM14</f>
        <v>-17.590617137331719</v>
      </c>
      <c r="BJ43" s="358">
        <f>'Income Statement'!DN14</f>
        <v>-5214.978393132782</v>
      </c>
      <c r="BK43" s="358">
        <f>'Income Statement'!DO14</f>
        <v>-8529.2454561657833</v>
      </c>
      <c r="BL43" s="359">
        <f>'Income Statement'!DP14</f>
        <v>-10795.301710249463</v>
      </c>
      <c r="BM43" s="355">
        <f>'Income Statement'!DQ14</f>
        <v>-24557.116176685362</v>
      </c>
    </row>
    <row r="44" spans="2:65" hidden="1">
      <c r="B44" s="313" t="str">
        <f>'Income Statement'!A15</f>
        <v xml:space="preserve">  Services</v>
      </c>
      <c r="C44" s="355">
        <f>'Income Statement'!AY15</f>
        <v>-195341.66399999999</v>
      </c>
      <c r="D44" s="355">
        <f>'Income Statement'!BD15</f>
        <v>-351389</v>
      </c>
      <c r="E44" s="355">
        <f>'Income Statement'!BI15</f>
        <v>-329112</v>
      </c>
      <c r="F44" s="362">
        <f>'Income Statement'!BJ15</f>
        <v>0</v>
      </c>
      <c r="G44" s="358">
        <f>'Income Statement'!BK15</f>
        <v>0</v>
      </c>
      <c r="H44" s="358">
        <f>'Income Statement'!BL15</f>
        <v>0</v>
      </c>
      <c r="I44" s="359">
        <f>'Income Statement'!BM15</f>
        <v>-242152</v>
      </c>
      <c r="J44" s="355">
        <f>'Income Statement'!BN15</f>
        <v>-242152</v>
      </c>
      <c r="K44" s="362">
        <f>'Income Statement'!BO15</f>
        <v>0</v>
      </c>
      <c r="L44" s="358">
        <f>'Income Statement'!BP15</f>
        <v>0</v>
      </c>
      <c r="M44" s="358">
        <f>'Income Statement'!BQ15</f>
        <v>0</v>
      </c>
      <c r="N44" s="359">
        <f>'Income Statement'!BR15</f>
        <v>-108631</v>
      </c>
      <c r="O44" s="355">
        <f>'Income Statement'!BS15</f>
        <v>-108631</v>
      </c>
      <c r="P44" s="362">
        <f>'Income Statement'!BT15</f>
        <v>0</v>
      </c>
      <c r="Q44" s="358">
        <f>'Income Statement'!BU15</f>
        <v>0</v>
      </c>
      <c r="R44" s="358">
        <f>'Income Statement'!BV15</f>
        <v>0</v>
      </c>
      <c r="S44" s="359">
        <f>'Income Statement'!BW15</f>
        <v>-49323</v>
      </c>
      <c r="T44" s="355">
        <f>'Income Statement'!BX15</f>
        <v>-49323</v>
      </c>
      <c r="U44" s="362">
        <f>'Income Statement'!BY15</f>
        <v>-8264</v>
      </c>
      <c r="V44" s="358">
        <f>'Income Statement'!BZ15</f>
        <v>-8525</v>
      </c>
      <c r="W44" s="358">
        <f>'Income Statement'!CA15</f>
        <v>-7775</v>
      </c>
      <c r="X44" s="359">
        <f>'Income Statement'!CB15</f>
        <v>-3948</v>
      </c>
      <c r="Y44" s="355">
        <f>'Income Statement'!CC15</f>
        <v>-28512</v>
      </c>
      <c r="Z44" s="362">
        <f>'Income Statement'!CD15</f>
        <v>-9693</v>
      </c>
      <c r="AA44" s="358">
        <f>'Income Statement'!CE15</f>
        <v>-9267</v>
      </c>
      <c r="AB44" s="358">
        <f>'Income Statement'!CF15</f>
        <v>-5606</v>
      </c>
      <c r="AC44" s="359">
        <f>'Income Statement'!CG15</f>
        <v>-8729</v>
      </c>
      <c r="AD44" s="355">
        <f>'Income Statement'!CH15</f>
        <v>-33295</v>
      </c>
      <c r="AE44" s="362">
        <f>'Income Statement'!CI15</f>
        <v>-6548</v>
      </c>
      <c r="AF44" s="358">
        <f>'Income Statement'!CJ15</f>
        <v>-7639</v>
      </c>
      <c r="AG44" s="358">
        <f>'Income Statement'!CK15</f>
        <v>-9476</v>
      </c>
      <c r="AH44" s="359">
        <f>'Income Statement'!CL15</f>
        <v>12731</v>
      </c>
      <c r="AI44" s="355">
        <f>'Income Statement'!CM15</f>
        <v>-10932</v>
      </c>
      <c r="AJ44" s="362">
        <f>'Income Statement'!CN15</f>
        <v>-1869</v>
      </c>
      <c r="AK44" s="358">
        <f>'Income Statement'!CO15</f>
        <v>-751</v>
      </c>
      <c r="AL44" s="358">
        <f>'Income Statement'!CP15</f>
        <v>-8780</v>
      </c>
      <c r="AM44" s="359">
        <f>'Income Statement'!CQ15</f>
        <v>6749</v>
      </c>
      <c r="AN44" s="355">
        <f>'Income Statement'!CR15</f>
        <v>-4651</v>
      </c>
      <c r="AO44" s="362">
        <f>'Income Statement'!CS15</f>
        <v>-522</v>
      </c>
      <c r="AP44" s="358">
        <f>'Income Statement'!CT15</f>
        <v>-339</v>
      </c>
      <c r="AQ44" s="358">
        <f>'Income Statement'!CU15</f>
        <v>-138</v>
      </c>
      <c r="AR44" s="359">
        <f>'Income Statement'!CV15</f>
        <v>-356</v>
      </c>
      <c r="AS44" s="355">
        <f>'Income Statement'!CW15</f>
        <v>-1355</v>
      </c>
      <c r="AT44" s="362">
        <f>'Income Statement'!CX15</f>
        <v>-714</v>
      </c>
      <c r="AU44" s="358">
        <f>'Income Statement'!CY15</f>
        <v>-753</v>
      </c>
      <c r="AV44" s="358">
        <f>'Income Statement'!CZ15</f>
        <v>-1633</v>
      </c>
      <c r="AW44" s="359">
        <f>'Income Statement'!DA15</f>
        <v>478</v>
      </c>
      <c r="AX44" s="355">
        <f>'Income Statement'!DB15</f>
        <v>-2622</v>
      </c>
      <c r="AY44" s="362">
        <f>'Income Statement'!DC15</f>
        <v>-606</v>
      </c>
      <c r="AZ44" s="358">
        <f>'Income Statement'!DD15</f>
        <v>-1001</v>
      </c>
      <c r="BA44" s="358">
        <f>'Income Statement'!DE15</f>
        <v>-1190</v>
      </c>
      <c r="BB44" s="359">
        <f>'Income Statement'!DF15</f>
        <v>-1051</v>
      </c>
      <c r="BC44" s="355">
        <f>'Income Statement'!DG15</f>
        <v>-3848</v>
      </c>
      <c r="BD44" s="362">
        <f>'Income Statement'!DH15</f>
        <v>-798</v>
      </c>
      <c r="BE44" s="358">
        <f>'Income Statement'!DI15</f>
        <v>-963</v>
      </c>
      <c r="BF44" s="358">
        <f>'Income Statement'!DJ15</f>
        <v>-685.63896327886857</v>
      </c>
      <c r="BG44" s="359">
        <f>'Income Statement'!DK15</f>
        <v>-742.44576323851891</v>
      </c>
      <c r="BH44" s="355">
        <f>'Income Statement'!DL15</f>
        <v>-3189.0847265173875</v>
      </c>
      <c r="BI44" s="362">
        <f>'Income Statement'!DM15</f>
        <v>-1137.6776955752755</v>
      </c>
      <c r="BJ44" s="358">
        <f>'Income Statement'!DN15</f>
        <v>-1175.1413468488727</v>
      </c>
      <c r="BK44" s="358">
        <f>'Income Statement'!DO15</f>
        <v>-1206.9236593506075</v>
      </c>
      <c r="BL44" s="359">
        <f>'Income Statement'!DP15</f>
        <v>-1236.2606332998428</v>
      </c>
      <c r="BM44" s="355">
        <f>'Income Statement'!DQ15</f>
        <v>-4756.0033350745989</v>
      </c>
    </row>
    <row r="45" spans="2:65">
      <c r="B45" s="350" t="str">
        <f>'Income Statement'!A16</f>
        <v>Gross Profit</v>
      </c>
      <c r="C45" s="351">
        <f>'Income Statement'!AY16</f>
        <v>255161.18299999996</v>
      </c>
      <c r="D45" s="351">
        <f>'Income Statement'!BD16</f>
        <v>257835</v>
      </c>
      <c r="E45" s="351">
        <f>'Income Statement'!BI16</f>
        <v>247737</v>
      </c>
      <c r="F45" s="352">
        <f>'Income Statement'!BJ16</f>
        <v>0</v>
      </c>
      <c r="G45" s="353">
        <f>'Income Statement'!BK16</f>
        <v>0</v>
      </c>
      <c r="H45" s="353">
        <f>'Income Statement'!BL16</f>
        <v>0</v>
      </c>
      <c r="I45" s="354">
        <f>'Income Statement'!BM16</f>
        <v>203777</v>
      </c>
      <c r="J45" s="351">
        <f>'Income Statement'!BN16</f>
        <v>203777</v>
      </c>
      <c r="K45" s="352">
        <f>'Income Statement'!BO16</f>
        <v>0</v>
      </c>
      <c r="L45" s="353">
        <f>'Income Statement'!BP16</f>
        <v>0</v>
      </c>
      <c r="M45" s="353">
        <f>'Income Statement'!BQ16</f>
        <v>0</v>
      </c>
      <c r="N45" s="354">
        <f>'Income Statement'!BR16</f>
        <v>243845</v>
      </c>
      <c r="O45" s="351">
        <f>'Income Statement'!BS16</f>
        <v>243845</v>
      </c>
      <c r="P45" s="352">
        <f>'Income Statement'!BT16</f>
        <v>0</v>
      </c>
      <c r="Q45" s="353">
        <f>'Income Statement'!BU16</f>
        <v>0</v>
      </c>
      <c r="R45" s="353">
        <f>'Income Statement'!BV16</f>
        <v>0</v>
      </c>
      <c r="S45" s="354">
        <f>'Income Statement'!BW16</f>
        <v>314727</v>
      </c>
      <c r="T45" s="351">
        <f>'Income Statement'!BX16</f>
        <v>314727</v>
      </c>
      <c r="U45" s="352">
        <f>'Income Statement'!BY16</f>
        <v>55331</v>
      </c>
      <c r="V45" s="353">
        <f>'Income Statement'!BZ16</f>
        <v>100751</v>
      </c>
      <c r="W45" s="353">
        <f>'Income Statement'!CA16</f>
        <v>80835</v>
      </c>
      <c r="X45" s="354">
        <f>'Income Statement'!CB16</f>
        <v>118968</v>
      </c>
      <c r="Y45" s="351">
        <f>'Income Statement'!CC16</f>
        <v>355885</v>
      </c>
      <c r="Z45" s="352">
        <f>'Income Statement'!CD16</f>
        <v>78140</v>
      </c>
      <c r="AA45" s="353">
        <f>'Income Statement'!CE16</f>
        <v>87067</v>
      </c>
      <c r="AB45" s="353">
        <f>'Income Statement'!CF16</f>
        <v>123356</v>
      </c>
      <c r="AC45" s="354">
        <f>'Income Statement'!CG16</f>
        <v>139827</v>
      </c>
      <c r="AD45" s="351">
        <f>'Income Statement'!CH16</f>
        <v>428390</v>
      </c>
      <c r="AE45" s="352">
        <f>'Income Statement'!CI16</f>
        <v>120342</v>
      </c>
      <c r="AF45" s="353">
        <f>'Income Statement'!CJ16</f>
        <v>162916</v>
      </c>
      <c r="AG45" s="353">
        <f>'Income Statement'!CK16</f>
        <v>174971</v>
      </c>
      <c r="AH45" s="354">
        <f>'Income Statement'!CL16</f>
        <v>186442</v>
      </c>
      <c r="AI45" s="351">
        <f>'Income Statement'!CM16</f>
        <v>644671</v>
      </c>
      <c r="AJ45" s="352">
        <f>'Income Statement'!CN16</f>
        <v>165909</v>
      </c>
      <c r="AK45" s="353">
        <f>'Income Statement'!CO16</f>
        <v>215497</v>
      </c>
      <c r="AL45" s="353">
        <f>'Income Statement'!CP16</f>
        <v>233743</v>
      </c>
      <c r="AM45" s="354">
        <f>'Income Statement'!CQ16</f>
        <v>221743</v>
      </c>
      <c r="AN45" s="351">
        <f>'Income Statement'!CR16</f>
        <v>836892</v>
      </c>
      <c r="AO45" s="352">
        <f>'Income Statement'!CS16</f>
        <v>223162</v>
      </c>
      <c r="AP45" s="353">
        <f>'Income Statement'!CT16</f>
        <v>274554</v>
      </c>
      <c r="AQ45" s="353">
        <f>'Income Statement'!CU16</f>
        <v>283903</v>
      </c>
      <c r="AR45" s="354">
        <f>'Income Statement'!CV16</f>
        <v>313734</v>
      </c>
      <c r="AS45" s="351">
        <f>'Income Statement'!CW16</f>
        <v>1095353</v>
      </c>
      <c r="AT45" s="352">
        <f>'Income Statement'!CX16</f>
        <v>316609</v>
      </c>
      <c r="AU45" s="353">
        <f>'Income Statement'!CY16</f>
        <v>382531</v>
      </c>
      <c r="AV45" s="353">
        <f>'Income Statement'!CZ16</f>
        <v>409446</v>
      </c>
      <c r="AW45" s="354">
        <f>'Income Statement'!DA16</f>
        <v>404354</v>
      </c>
      <c r="AX45" s="351">
        <f>'Income Statement'!DB16</f>
        <v>1512940</v>
      </c>
      <c r="AY45" s="352">
        <f>'Income Statement'!DC16</f>
        <v>474888</v>
      </c>
      <c r="AZ45" s="353">
        <f>'Income Statement'!DD16</f>
        <v>532776</v>
      </c>
      <c r="BA45" s="353">
        <f>'Income Statement'!DE16</f>
        <v>566227</v>
      </c>
      <c r="BB45" s="354">
        <f>'Income Statement'!DF16</f>
        <v>572696</v>
      </c>
      <c r="BC45" s="351">
        <f>'Income Statement'!DG16</f>
        <v>2146587</v>
      </c>
      <c r="BD45" s="352">
        <f>'Income Statement'!DH16</f>
        <v>629656</v>
      </c>
      <c r="BE45" s="353">
        <f>'Income Statement'!DI16</f>
        <v>668362</v>
      </c>
      <c r="BF45" s="353">
        <f>'Income Statement'!DJ16</f>
        <v>676010.00684831606</v>
      </c>
      <c r="BG45" s="354">
        <f>'Income Statement'!DK16</f>
        <v>735996.14935248834</v>
      </c>
      <c r="BH45" s="351">
        <f>'Income Statement'!DL16</f>
        <v>2710024.1562008047</v>
      </c>
      <c r="BI45" s="352">
        <f>'Income Statement'!DM16</f>
        <v>740549.18938947888</v>
      </c>
      <c r="BJ45" s="353">
        <f>'Income Statement'!DN16</f>
        <v>756579.68951886729</v>
      </c>
      <c r="BK45" s="353">
        <f>'Income Statement'!DO16</f>
        <v>766146.57503376296</v>
      </c>
      <c r="BL45" s="354">
        <f>'Income Statement'!DP16</f>
        <v>779746.42895225366</v>
      </c>
      <c r="BM45" s="351">
        <f>'Income Statement'!DQ16</f>
        <v>3043021.8828943623</v>
      </c>
    </row>
    <row r="46" spans="2:65">
      <c r="B46" s="350" t="str">
        <f>'Income Statement'!A17</f>
        <v>Operating (Expenses) Income</v>
      </c>
      <c r="C46" s="351">
        <f>'Income Statement'!AY17</f>
        <v>-69870.619000000006</v>
      </c>
      <c r="D46" s="351">
        <f>'Income Statement'!BD17</f>
        <v>-73241</v>
      </c>
      <c r="E46" s="351">
        <f>'Income Statement'!BI17</f>
        <v>-75968</v>
      </c>
      <c r="F46" s="352">
        <f>'Income Statement'!BJ17</f>
        <v>0</v>
      </c>
      <c r="G46" s="353">
        <f>'Income Statement'!BK17</f>
        <v>0</v>
      </c>
      <c r="H46" s="353">
        <f>'Income Statement'!BL17</f>
        <v>0</v>
      </c>
      <c r="I46" s="354">
        <f>'Income Statement'!BM17</f>
        <v>-80668</v>
      </c>
      <c r="J46" s="351">
        <f>'Income Statement'!BN17</f>
        <v>-80668</v>
      </c>
      <c r="K46" s="352">
        <f>'Income Statement'!BO17</f>
        <v>0</v>
      </c>
      <c r="L46" s="353">
        <f>'Income Statement'!BP17</f>
        <v>0</v>
      </c>
      <c r="M46" s="353">
        <f>'Income Statement'!BQ17</f>
        <v>0</v>
      </c>
      <c r="N46" s="354">
        <f>'Income Statement'!BR17</f>
        <v>-101249</v>
      </c>
      <c r="O46" s="351">
        <f>'Income Statement'!BS17</f>
        <v>-101249</v>
      </c>
      <c r="P46" s="352">
        <f>'Income Statement'!BT17</f>
        <v>0</v>
      </c>
      <c r="Q46" s="353">
        <f>'Income Statement'!BU17</f>
        <v>0</v>
      </c>
      <c r="R46" s="353">
        <f>'Income Statement'!BV17</f>
        <v>0</v>
      </c>
      <c r="S46" s="354">
        <f>'Income Statement'!BW17</f>
        <v>-120266</v>
      </c>
      <c r="T46" s="351">
        <f>'Income Statement'!BX17</f>
        <v>-120266</v>
      </c>
      <c r="U46" s="352">
        <f>'Income Statement'!BY17</f>
        <v>-27074</v>
      </c>
      <c r="V46" s="353">
        <f>'Income Statement'!BZ17</f>
        <v>-21483</v>
      </c>
      <c r="W46" s="353">
        <f>'Income Statement'!CA17</f>
        <v>-35652</v>
      </c>
      <c r="X46" s="354">
        <f>'Income Statement'!CB17</f>
        <v>-45581</v>
      </c>
      <c r="Y46" s="351">
        <f>'Income Statement'!CC17</f>
        <v>-129790</v>
      </c>
      <c r="Z46" s="352">
        <f>'Income Statement'!CD17</f>
        <v>-54985</v>
      </c>
      <c r="AA46" s="353">
        <f>'Income Statement'!CE17</f>
        <v>-41183</v>
      </c>
      <c r="AB46" s="353">
        <f>'Income Statement'!CF17</f>
        <v>-57238</v>
      </c>
      <c r="AC46" s="354">
        <f>'Income Statement'!CG17</f>
        <v>-58772</v>
      </c>
      <c r="AD46" s="351">
        <f>'Income Statement'!CH17</f>
        <v>-212178</v>
      </c>
      <c r="AE46" s="352">
        <f>'Income Statement'!CI17</f>
        <v>-61395</v>
      </c>
      <c r="AF46" s="353">
        <f>'Income Statement'!CJ17</f>
        <v>-77551</v>
      </c>
      <c r="AG46" s="353">
        <f>'Income Statement'!CK17</f>
        <v>-89995</v>
      </c>
      <c r="AH46" s="354">
        <f>'Income Statement'!CL17</f>
        <v>-64089</v>
      </c>
      <c r="AI46" s="351">
        <f>'Income Statement'!CM17</f>
        <v>-293030</v>
      </c>
      <c r="AJ46" s="352">
        <f>'Income Statement'!CN17</f>
        <v>-90921</v>
      </c>
      <c r="AK46" s="353">
        <f>'Income Statement'!CO17</f>
        <v>-108110</v>
      </c>
      <c r="AL46" s="353">
        <f>'Income Statement'!CP17</f>
        <v>-123338</v>
      </c>
      <c r="AM46" s="354">
        <f>'Income Statement'!CQ17</f>
        <v>-109519</v>
      </c>
      <c r="AN46" s="351">
        <f>'Income Statement'!CR17</f>
        <v>-431888</v>
      </c>
      <c r="AO46" s="352">
        <f>'Income Statement'!CS17</f>
        <v>-113770</v>
      </c>
      <c r="AP46" s="353">
        <f>'Income Statement'!CT17</f>
        <v>-132289</v>
      </c>
      <c r="AQ46" s="353">
        <f>'Income Statement'!CU17</f>
        <v>-151884</v>
      </c>
      <c r="AR46" s="354">
        <f>'Income Statement'!CV17</f>
        <v>-129381</v>
      </c>
      <c r="AS46" s="351">
        <f>'Income Statement'!CW17</f>
        <v>-527324</v>
      </c>
      <c r="AT46" s="352">
        <f>'Income Statement'!CX17</f>
        <v>-142353</v>
      </c>
      <c r="AU46" s="353">
        <f>'Income Statement'!CY17</f>
        <v>-186341</v>
      </c>
      <c r="AV46" s="353">
        <f>'Income Statement'!CZ17</f>
        <v>-205856</v>
      </c>
      <c r="AW46" s="354">
        <f>'Income Statement'!DA17</f>
        <v>-189794</v>
      </c>
      <c r="AX46" s="351">
        <f>'Income Statement'!DB17</f>
        <v>-724344</v>
      </c>
      <c r="AY46" s="352">
        <f>'Income Statement'!DC17</f>
        <v>-210221</v>
      </c>
      <c r="AZ46" s="353">
        <f>'Income Statement'!DD17</f>
        <v>-234180</v>
      </c>
      <c r="BA46" s="353">
        <f>'Income Statement'!DE17</f>
        <v>-246254</v>
      </c>
      <c r="BB46" s="354">
        <f>'Income Statement'!DF17</f>
        <v>-235686</v>
      </c>
      <c r="BC46" s="351">
        <f>'Income Statement'!DG17</f>
        <v>-926341</v>
      </c>
      <c r="BD46" s="352">
        <f>'Income Statement'!DH17</f>
        <v>-237220</v>
      </c>
      <c r="BE46" s="353">
        <f>'Income Statement'!DI17</f>
        <v>-312057</v>
      </c>
      <c r="BF46" s="353">
        <f ca="1">'Income Statement'!DJ17</f>
        <v>-291971.16245871258</v>
      </c>
      <c r="BG46" s="354">
        <f ca="1">'Income Statement'!DK17</f>
        <v>-291279.91656436934</v>
      </c>
      <c r="BH46" s="351">
        <f ca="1">'Income Statement'!DL17</f>
        <v>-1132528.0790230818</v>
      </c>
      <c r="BI46" s="352">
        <f ca="1">'Income Statement'!DM17</f>
        <v>-296128.75571761269</v>
      </c>
      <c r="BJ46" s="353">
        <f ca="1">'Income Statement'!DN17</f>
        <v>-297883.50378960447</v>
      </c>
      <c r="BK46" s="353">
        <f ca="1">'Income Statement'!DO17</f>
        <v>-301478.01792403421</v>
      </c>
      <c r="BL46" s="354">
        <f ca="1">'Income Statement'!DP17</f>
        <v>-300878.5341275906</v>
      </c>
      <c r="BM46" s="351">
        <f ca="1">'Income Statement'!DQ17</f>
        <v>-1196368.8115588422</v>
      </c>
    </row>
    <row r="47" spans="2:65" hidden="1">
      <c r="B47" s="313" t="str">
        <f>'Income Statement'!A18</f>
        <v>Selling Expenses</v>
      </c>
      <c r="C47" s="355">
        <f>'Income Statement'!AY18</f>
        <v>-20516.138999999999</v>
      </c>
      <c r="D47" s="355">
        <f>'Income Statement'!BD18</f>
        <v>-19009</v>
      </c>
      <c r="E47" s="355">
        <f>'Income Statement'!BI18</f>
        <v>-18855</v>
      </c>
      <c r="F47" s="362">
        <f>'Income Statement'!BJ18</f>
        <v>0</v>
      </c>
      <c r="G47" s="358">
        <f>'Income Statement'!BK18</f>
        <v>0</v>
      </c>
      <c r="H47" s="358">
        <f>'Income Statement'!BL18</f>
        <v>0</v>
      </c>
      <c r="I47" s="359">
        <f>'Income Statement'!BM18</f>
        <v>-26206</v>
      </c>
      <c r="J47" s="355">
        <f>'Income Statement'!BN18</f>
        <v>-26206</v>
      </c>
      <c r="K47" s="362">
        <f>'Income Statement'!BO18</f>
        <v>0</v>
      </c>
      <c r="L47" s="358">
        <f>'Income Statement'!BP18</f>
        <v>0</v>
      </c>
      <c r="M47" s="358">
        <f>'Income Statement'!BQ18</f>
        <v>0</v>
      </c>
      <c r="N47" s="359">
        <f>'Income Statement'!BR18</f>
        <v>-43270</v>
      </c>
      <c r="O47" s="355">
        <f>'Income Statement'!BS18</f>
        <v>-43270</v>
      </c>
      <c r="P47" s="362">
        <f>'Income Statement'!BT18</f>
        <v>0</v>
      </c>
      <c r="Q47" s="358">
        <f>'Income Statement'!BU18</f>
        <v>0</v>
      </c>
      <c r="R47" s="358">
        <f>'Income Statement'!BV18</f>
        <v>0</v>
      </c>
      <c r="S47" s="359">
        <f>'Income Statement'!BW18</f>
        <v>-45831</v>
      </c>
      <c r="T47" s="355">
        <f>'Income Statement'!BX18</f>
        <v>-45831</v>
      </c>
      <c r="U47" s="362">
        <f>'Income Statement'!BY18</f>
        <v>-14144</v>
      </c>
      <c r="V47" s="358">
        <f>'Income Statement'!BZ18</f>
        <v>-20312</v>
      </c>
      <c r="W47" s="358">
        <f>'Income Statement'!CA18</f>
        <v>-26575</v>
      </c>
      <c r="X47" s="359">
        <f>'Income Statement'!CB18</f>
        <v>-39637</v>
      </c>
      <c r="Y47" s="355">
        <f>'Income Statement'!CC18</f>
        <v>-100668</v>
      </c>
      <c r="Z47" s="362">
        <f>'Income Statement'!CD18</f>
        <v>-22046</v>
      </c>
      <c r="AA47" s="358">
        <f>'Income Statement'!CE18</f>
        <v>-26343</v>
      </c>
      <c r="AB47" s="358">
        <f>'Income Statement'!CF18</f>
        <v>-27428</v>
      </c>
      <c r="AC47" s="359">
        <f>'Income Statement'!CG18</f>
        <v>-26987</v>
      </c>
      <c r="AD47" s="355">
        <f>'Income Statement'!CH18</f>
        <v>-102804</v>
      </c>
      <c r="AE47" s="362">
        <f>'Income Statement'!CI18</f>
        <v>-30360</v>
      </c>
      <c r="AF47" s="358">
        <f>'Income Statement'!CJ18</f>
        <v>-38953</v>
      </c>
      <c r="AG47" s="358">
        <f>'Income Statement'!CK18</f>
        <v>-47954</v>
      </c>
      <c r="AH47" s="359">
        <f>'Income Statement'!CL18</f>
        <v>-46959</v>
      </c>
      <c r="AI47" s="355">
        <f>'Income Statement'!CM18</f>
        <v>-164226</v>
      </c>
      <c r="AJ47" s="362">
        <f>'Income Statement'!CN18</f>
        <v>-44417</v>
      </c>
      <c r="AK47" s="358">
        <f>'Income Statement'!CO18</f>
        <v>-53835</v>
      </c>
      <c r="AL47" s="358">
        <f>'Income Statement'!CP18</f>
        <v>-59384</v>
      </c>
      <c r="AM47" s="359">
        <f>'Income Statement'!CQ18</f>
        <v>-54552</v>
      </c>
      <c r="AN47" s="355">
        <f>'Income Statement'!CR18</f>
        <v>-212188</v>
      </c>
      <c r="AO47" s="362">
        <f>'Income Statement'!CS18</f>
        <v>-62031</v>
      </c>
      <c r="AP47" s="358">
        <f>'Income Statement'!CT18</f>
        <v>-66728</v>
      </c>
      <c r="AQ47" s="358">
        <f>'Income Statement'!CU18</f>
        <v>-80995</v>
      </c>
      <c r="AR47" s="359">
        <f>'Income Statement'!CV18</f>
        <v>-75476</v>
      </c>
      <c r="AS47" s="355">
        <f>'Income Statement'!CW18</f>
        <v>-285230</v>
      </c>
      <c r="AT47" s="362">
        <f>'Income Statement'!CX18</f>
        <v>-76092</v>
      </c>
      <c r="AU47" s="358">
        <f>'Income Statement'!CY18</f>
        <v>-97945</v>
      </c>
      <c r="AV47" s="358">
        <f>'Income Statement'!CZ18</f>
        <v>-113852</v>
      </c>
      <c r="AW47" s="359">
        <f>'Income Statement'!DA18</f>
        <v>-103983</v>
      </c>
      <c r="AX47" s="355">
        <f>'Income Statement'!DB18</f>
        <v>-391872</v>
      </c>
      <c r="AY47" s="362">
        <f>'Income Statement'!DC18</f>
        <v>-106236</v>
      </c>
      <c r="AZ47" s="358">
        <f>'Income Statement'!DD18</f>
        <v>-124747</v>
      </c>
      <c r="BA47" s="358">
        <f>'Income Statement'!DE18</f>
        <v>-134823</v>
      </c>
      <c r="BB47" s="359">
        <f>'Income Statement'!DF18</f>
        <v>-129085</v>
      </c>
      <c r="BC47" s="355">
        <f>'Income Statement'!DG18</f>
        <v>-494891</v>
      </c>
      <c r="BD47" s="362">
        <f>'Income Statement'!DH18</f>
        <v>-119070</v>
      </c>
      <c r="BE47" s="358">
        <f>'Income Statement'!DI18</f>
        <v>-166790</v>
      </c>
      <c r="BF47" s="358">
        <f>'Income Statement'!DJ18</f>
        <v>-152375.2923847666</v>
      </c>
      <c r="BG47" s="359">
        <f>'Income Statement'!DK18</f>
        <v>-156659.99918278813</v>
      </c>
      <c r="BH47" s="355">
        <f>'Income Statement'!DL18</f>
        <v>-594895.2915675547</v>
      </c>
      <c r="BI47" s="362">
        <f>'Income Statement'!DM18</f>
        <v>-163478.5130203533</v>
      </c>
      <c r="BJ47" s="358">
        <f>'Income Statement'!DN18</f>
        <v>-167046.26091644951</v>
      </c>
      <c r="BK47" s="358">
        <f>'Income Statement'!DO18</f>
        <v>-169973.45447222085</v>
      </c>
      <c r="BL47" s="359">
        <f>'Income Statement'!DP18</f>
        <v>-172628.25227197667</v>
      </c>
      <c r="BM47" s="355">
        <f>'Income Statement'!DQ18</f>
        <v>-673126.48068100028</v>
      </c>
    </row>
    <row r="48" spans="2:65" hidden="1">
      <c r="B48" s="368" t="str">
        <f>'Income Statement'!A19</f>
        <v xml:space="preserve">  % of revenues</v>
      </c>
      <c r="C48" s="369">
        <f>'Income Statement'!AY19</f>
        <v>2.7821467042271467E-2</v>
      </c>
      <c r="D48" s="369">
        <f>'Income Statement'!BD19</f>
        <v>2.1135882744718254E-2</v>
      </c>
      <c r="E48" s="369">
        <f>'Income Statement'!BI19</f>
        <v>2.1913843900908284E-2</v>
      </c>
      <c r="F48" s="370" t="e">
        <f>'Income Statement'!BJ19</f>
        <v>#DIV/0!</v>
      </c>
      <c r="G48" s="371" t="e">
        <f>'Income Statement'!BK19</f>
        <v>#DIV/0!</v>
      </c>
      <c r="H48" s="371" t="e">
        <f>'Income Statement'!BL19</f>
        <v>#DIV/0!</v>
      </c>
      <c r="I48" s="372">
        <f>'Income Statement'!BM19</f>
        <v>3.2402570345082551E-2</v>
      </c>
      <c r="J48" s="369">
        <f>'Income Statement'!BN19</f>
        <v>3.2402570345082551E-2</v>
      </c>
      <c r="K48" s="370" t="e">
        <f>'Income Statement'!BO19</f>
        <v>#DIV/0!</v>
      </c>
      <c r="L48" s="371" t="e">
        <f>'Income Statement'!BP19</f>
        <v>#DIV/0!</v>
      </c>
      <c r="M48" s="371" t="e">
        <f>'Income Statement'!BQ19</f>
        <v>#DIV/0!</v>
      </c>
      <c r="N48" s="372">
        <f>'Income Statement'!BR19</f>
        <v>5.3132118101389389E-2</v>
      </c>
      <c r="O48" s="369">
        <f>'Income Statement'!BS19</f>
        <v>5.3132118101389389E-2</v>
      </c>
      <c r="P48" s="370" t="e">
        <f>'Income Statement'!BT19</f>
        <v>#DIV/0!</v>
      </c>
      <c r="Q48" s="371" t="e">
        <f>'Income Statement'!BU19</f>
        <v>#DIV/0!</v>
      </c>
      <c r="R48" s="371" t="e">
        <f>'Income Statement'!BV19</f>
        <v>#DIV/0!</v>
      </c>
      <c r="S48" s="372">
        <f>'Income Statement'!BW19</f>
        <v>4.9802608630452709E-2</v>
      </c>
      <c r="T48" s="369">
        <f>'Income Statement'!BX19</f>
        <v>4.9802608630452709E-2</v>
      </c>
      <c r="U48" s="370">
        <f>'Income Statement'!BY19</f>
        <v>7.508626639061422E-2</v>
      </c>
      <c r="V48" s="371">
        <f>'Income Statement'!BZ19</f>
        <v>7.5866628320005375E-2</v>
      </c>
      <c r="W48" s="371">
        <f>'Income Statement'!CA19</f>
        <v>0.10161591287988865</v>
      </c>
      <c r="X48" s="372">
        <f>'Income Statement'!CB19</f>
        <v>0.13140062986905354</v>
      </c>
      <c r="Y48" s="369">
        <f>'Income Statement'!CC19</f>
        <v>9.8764123981999005E-2</v>
      </c>
      <c r="Z48" s="370">
        <f>'Income Statement'!CD19</f>
        <v>9.6981801065453704E-2</v>
      </c>
      <c r="AA48" s="371">
        <f>'Income Statement'!CE19</f>
        <v>0.10699663693522445</v>
      </c>
      <c r="AB48" s="371">
        <f>'Income Statement'!CF19</f>
        <v>8.4161560247562883E-2</v>
      </c>
      <c r="AC48" s="372">
        <f>'Income Statement'!CG19</f>
        <v>7.8164281990384055E-2</v>
      </c>
      <c r="AD48" s="369">
        <f>'Income Statement'!CH19</f>
        <v>8.9810095729643685E-2</v>
      </c>
      <c r="AE48" s="370">
        <f>'Income Statement'!CI19</f>
        <v>8.9482029909869545E-2</v>
      </c>
      <c r="AF48" s="371">
        <f>'Income Statement'!CJ19</f>
        <v>8.6305798106514647E-2</v>
      </c>
      <c r="AG48" s="371">
        <f>'Income Statement'!CK19</f>
        <v>0.10505883461241015</v>
      </c>
      <c r="AH48" s="372">
        <f>'Income Statement'!CL19</f>
        <v>9.5596093831111326E-2</v>
      </c>
      <c r="AI48" s="369">
        <f>'Income Statement'!CM19</f>
        <v>9.4475333588372512E-2</v>
      </c>
      <c r="AJ48" s="370">
        <f>'Income Statement'!CN19</f>
        <v>9.9283820695883082E-2</v>
      </c>
      <c r="AK48" s="371">
        <f>'Income Statement'!CO19</f>
        <v>8.9310746985233488E-2</v>
      </c>
      <c r="AL48" s="371">
        <f>'Income Statement'!CP19</f>
        <v>9.4762861460539138E-2</v>
      </c>
      <c r="AM48" s="372">
        <f>'Income Statement'!CQ19</f>
        <v>9.397772180857844E-2</v>
      </c>
      <c r="AN48" s="369">
        <f>'Income Statement'!CR19</f>
        <v>9.4001047271644725E-2</v>
      </c>
      <c r="AO48" s="370">
        <f>'Income Statement'!CS19</f>
        <v>0.10426149160610196</v>
      </c>
      <c r="AP48" s="371">
        <f>'Income Statement'!CT19</f>
        <v>9.1691331865788345E-2</v>
      </c>
      <c r="AQ48" s="371">
        <f>'Income Statement'!CU19</f>
        <v>0.10772416654918245</v>
      </c>
      <c r="AR48" s="372">
        <f>'Income Statement'!CV19</f>
        <v>9.2997008363767189E-2</v>
      </c>
      <c r="AS48" s="369">
        <f>'Income Statement'!CW19</f>
        <v>9.8826403970380144E-2</v>
      </c>
      <c r="AT48" s="370">
        <f>'Income Statement'!CX19</f>
        <v>9.08689224272793E-2</v>
      </c>
      <c r="AU48" s="371">
        <f>'Income Statement'!CY19</f>
        <v>9.8132924550514242E-2</v>
      </c>
      <c r="AV48" s="371">
        <f>'Income Statement'!CZ19</f>
        <v>0.10782746393502243</v>
      </c>
      <c r="AW48" s="372">
        <f>'Income Statement'!DA19</f>
        <v>0.10046948175359503</v>
      </c>
      <c r="AX48" s="369">
        <f>'Income Statement'!DB19</f>
        <v>9.9806688722999456E-2</v>
      </c>
      <c r="AY48" s="370">
        <f>'Income Statement'!DC19</f>
        <v>8.7351913855140337E-2</v>
      </c>
      <c r="AZ48" s="371">
        <f>'Income Statement'!DD19</f>
        <v>9.2638565749714658E-2</v>
      </c>
      <c r="BA48" s="371">
        <f>'Income Statement'!DE19</f>
        <v>9.5151758101693379E-2</v>
      </c>
      <c r="BB48" s="372">
        <f>'Income Statement'!DF19</f>
        <v>9.0923178243520711E-2</v>
      </c>
      <c r="BC48" s="369">
        <f>'Income Statement'!DG19</f>
        <v>9.1656258149017372E-2</v>
      </c>
      <c r="BD48" s="370">
        <f>'Income Statement'!DH19</f>
        <v>7.3838609276738826E-2</v>
      </c>
      <c r="BE48" s="371">
        <f>'Income Statement'!DI19</f>
        <v>9.8657631578013411E-2</v>
      </c>
      <c r="BF48" s="371">
        <f>'Income Statement'!DJ19</f>
        <v>9.0602447019553486E-2</v>
      </c>
      <c r="BG48" s="372">
        <f>'Income Statement'!DK19</f>
        <v>8.6022934120926944E-2</v>
      </c>
      <c r="BH48" s="369">
        <f>'Income Statement'!DL19</f>
        <v>8.7406086441783853E-2</v>
      </c>
      <c r="BI48" s="370">
        <f>'Income Statement'!DM19</f>
        <v>8.7872616686309329E-2</v>
      </c>
      <c r="BJ48" s="371">
        <f>'Income Statement'!DN19</f>
        <v>8.692781753539737E-2</v>
      </c>
      <c r="BK48" s="371">
        <f>'Income Statement'!DO19</f>
        <v>8.6121864616181876E-2</v>
      </c>
      <c r="BL48" s="372">
        <f>'Income Statement'!DP19</f>
        <v>8.5391365341918934E-2</v>
      </c>
      <c r="BM48" s="369">
        <f>'Income Statement'!DQ19</f>
        <v>8.6549915763499366E-2</v>
      </c>
    </row>
    <row r="49" spans="2:65" hidden="1">
      <c r="B49" s="368" t="str">
        <f>'Income Statement'!A20</f>
        <v xml:space="preserve">  % of sales</v>
      </c>
      <c r="C49" s="369" t="e">
        <f>'Income Statement'!AY20</f>
        <v>#DIV/0!</v>
      </c>
      <c r="D49" s="369" t="e">
        <f>'Income Statement'!BD20</f>
        <v>#DIV/0!</v>
      </c>
      <c r="E49" s="369">
        <f>'Income Statement'!BI20</f>
        <v>3.126865671641791E-2</v>
      </c>
      <c r="F49" s="370" t="e">
        <f>'Income Statement'!BJ20</f>
        <v>#DIV/0!</v>
      </c>
      <c r="G49" s="371" t="e">
        <f>'Income Statement'!BK20</f>
        <v>#DIV/0!</v>
      </c>
      <c r="H49" s="371" t="e">
        <f>'Income Statement'!BL20</f>
        <v>#DIV/0!</v>
      </c>
      <c r="I49" s="372">
        <f>'Income Statement'!BM20</f>
        <v>4.0131699846860644E-2</v>
      </c>
      <c r="J49" s="369">
        <f>'Income Statement'!BN20</f>
        <v>4.0131699846860644E-2</v>
      </c>
      <c r="K49" s="370" t="e">
        <f>'Income Statement'!BO20</f>
        <v>#DIV/0!</v>
      </c>
      <c r="L49" s="371" t="e">
        <f>'Income Statement'!BP20</f>
        <v>#DIV/0!</v>
      </c>
      <c r="M49" s="371" t="e">
        <f>'Income Statement'!BQ20</f>
        <v>#DIV/0!</v>
      </c>
      <c r="N49" s="372">
        <f>'Income Statement'!BR20</f>
        <v>5.8394062078272607E-2</v>
      </c>
      <c r="O49" s="369">
        <f>'Income Statement'!BS20</f>
        <v>5.8394062078272607E-2</v>
      </c>
      <c r="P49" s="370" t="e">
        <f>'Income Statement'!BT20</f>
        <v>#DIV/0!</v>
      </c>
      <c r="Q49" s="371" t="e">
        <f>'Income Statement'!BU20</f>
        <v>#DIV/0!</v>
      </c>
      <c r="R49" s="371" t="e">
        <f>'Income Statement'!BV20</f>
        <v>#DIV/0!</v>
      </c>
      <c r="S49" s="372">
        <f>'Income Statement'!BW20</f>
        <v>5.1669673055242393E-2</v>
      </c>
      <c r="T49" s="369">
        <f>'Income Statement'!BX20</f>
        <v>5.1669673055242393E-2</v>
      </c>
      <c r="U49" s="370" t="e">
        <f>'Income Statement'!BY20</f>
        <v>#DIV/0!</v>
      </c>
      <c r="V49" s="371" t="e">
        <f>'Income Statement'!BZ20</f>
        <v>#DIV/0!</v>
      </c>
      <c r="W49" s="371">
        <f>'Income Statement'!CA20</f>
        <v>8.797076358291761E-2</v>
      </c>
      <c r="X49" s="372">
        <f>'Income Statement'!CB20</f>
        <v>5.4978771095400378E-2</v>
      </c>
      <c r="Y49" s="369">
        <f>'Income Statement'!CC20</f>
        <v>9.8400844541757904E-2</v>
      </c>
      <c r="Z49" s="370">
        <f>'Income Statement'!CD20</f>
        <v>7.8924569505602699E-2</v>
      </c>
      <c r="AA49" s="371">
        <f>'Income Statement'!CE20</f>
        <v>7.892560745423495E-2</v>
      </c>
      <c r="AB49" s="371">
        <f>'Income Statement'!CF20</f>
        <v>5.8677928173663393E-2</v>
      </c>
      <c r="AC49" s="372">
        <f>'Income Statement'!CG20</f>
        <v>6.0157599670088387E-2</v>
      </c>
      <c r="AD49" s="369">
        <f>'Income Statement'!CH20</f>
        <v>6.7230034176117531E-2</v>
      </c>
      <c r="AE49" s="370">
        <f>'Income Statement'!CI20</f>
        <v>4.7922868805621938E-2</v>
      </c>
      <c r="AF49" s="371">
        <f>'Income Statement'!CJ20</f>
        <v>5.2891567737406463E-2</v>
      </c>
      <c r="AG49" s="371">
        <f>'Income Statement'!CK20</f>
        <v>6.4049515027340645E-2</v>
      </c>
      <c r="AH49" s="372">
        <f>'Income Statement'!CL20</f>
        <v>6.9911298895032559E-2</v>
      </c>
      <c r="AI49" s="369">
        <f>'Income Statement'!CM20</f>
        <v>5.8854286311233975E-2</v>
      </c>
      <c r="AJ49" s="370">
        <f>'Income Statement'!CN20</f>
        <v>5.4650933877992962E-2</v>
      </c>
      <c r="AK49" s="371">
        <f>'Income Statement'!CO20</f>
        <v>5.4520872577018896E-2</v>
      </c>
      <c r="AL49" s="371">
        <f>'Income Statement'!CP20</f>
        <v>6.1393787011612133E-2</v>
      </c>
      <c r="AM49" s="372">
        <f>'Income Statement'!CQ20</f>
        <v>6.5295605210840546E-2</v>
      </c>
      <c r="AN49" s="369">
        <f>'Income Statement'!CR20</f>
        <v>5.8893897065453595E-2</v>
      </c>
      <c r="AO49" s="370">
        <f>'Income Statement'!CS20</f>
        <v>5.328954236677938E-2</v>
      </c>
      <c r="AP49" s="371">
        <f>'Income Statement'!CT20</f>
        <v>4.9712846031558823E-2</v>
      </c>
      <c r="AQ49" s="371">
        <f>'Income Statement'!CU20</f>
        <v>7.0166672388455073E-2</v>
      </c>
      <c r="AR49" s="372">
        <f>'Income Statement'!CV20</f>
        <v>7.3622797423103764E-2</v>
      </c>
      <c r="AS49" s="369">
        <f>'Income Statement'!CW20</f>
        <v>6.0871138619575035E-2</v>
      </c>
      <c r="AT49" s="370">
        <f>'Income Statement'!CX20</f>
        <v>4.5305388416700176E-2</v>
      </c>
      <c r="AU49" s="371">
        <f>'Income Statement'!CY20</f>
        <v>5.084882151386149E-2</v>
      </c>
      <c r="AV49" s="371">
        <f>'Income Statement'!CZ20</f>
        <v>7.1593722195095411E-2</v>
      </c>
      <c r="AW49" s="372">
        <f>'Income Statement'!DA20</f>
        <v>6.7916224703601716E-2</v>
      </c>
      <c r="AX49" s="369">
        <f>'Income Statement'!DB20</f>
        <v>5.8253306270222086E-2</v>
      </c>
      <c r="AY49" s="370">
        <f>'Income Statement'!DC20</f>
        <v>4.7738387456040601E-2</v>
      </c>
      <c r="AZ49" s="371">
        <f>'Income Statement'!DD20</f>
        <v>4.9939487112439195E-2</v>
      </c>
      <c r="BA49" s="371">
        <f>'Income Statement'!DE20</f>
        <v>6.5708460146349013E-2</v>
      </c>
      <c r="BB49" s="372">
        <f>'Income Statement'!DF20</f>
        <v>7.5310568760731861E-2</v>
      </c>
      <c r="BC49" s="369">
        <f>'Income Statement'!DG20</f>
        <v>5.8296445532698957E-2</v>
      </c>
      <c r="BD49" s="370">
        <f>'Income Statement'!DH20</f>
        <v>4.6990439196310421E-2</v>
      </c>
      <c r="BE49" s="371">
        <f>'Income Statement'!DI20</f>
        <v>7.5242216010006371E-2</v>
      </c>
      <c r="BF49" s="371">
        <f>'Income Statement'!DJ20</f>
        <v>6.5000000000000002E-2</v>
      </c>
      <c r="BG49" s="372">
        <f>'Income Statement'!DK20</f>
        <v>6.5000000000000002E-2</v>
      </c>
      <c r="BH49" s="369">
        <f>'Income Statement'!DL20</f>
        <v>6.2587507409445228E-2</v>
      </c>
      <c r="BI49" s="370">
        <f>'Income Statement'!DM20</f>
        <v>6.5000000000000002E-2</v>
      </c>
      <c r="BJ49" s="371">
        <f>'Income Statement'!DN20</f>
        <v>6.5000000000000002E-2</v>
      </c>
      <c r="BK49" s="371">
        <f>'Income Statement'!DO20</f>
        <v>6.5000000000000002E-2</v>
      </c>
      <c r="BL49" s="372">
        <f>'Income Statement'!DP20</f>
        <v>6.5000000000000002E-2</v>
      </c>
      <c r="BM49" s="369">
        <f>'Income Statement'!DQ20</f>
        <v>6.4999999999999988E-2</v>
      </c>
    </row>
    <row r="50" spans="2:65" hidden="1">
      <c r="B50" s="313" t="str">
        <f>'Income Statement'!A21</f>
        <v>G&amp;A Expenses</v>
      </c>
      <c r="C50" s="355">
        <f>'Income Statement'!AY21</f>
        <v>-51886.296000000002</v>
      </c>
      <c r="D50" s="355">
        <f>'Income Statement'!BD21</f>
        <v>-54590</v>
      </c>
      <c r="E50" s="355">
        <f>'Income Statement'!BI21</f>
        <v>-62109</v>
      </c>
      <c r="F50" s="362">
        <f>'Income Statement'!BJ21</f>
        <v>0</v>
      </c>
      <c r="G50" s="358">
        <f>'Income Statement'!BK21</f>
        <v>0</v>
      </c>
      <c r="H50" s="358">
        <f>'Income Statement'!BL21</f>
        <v>0</v>
      </c>
      <c r="I50" s="359">
        <f>'Income Statement'!BM21</f>
        <v>-56880</v>
      </c>
      <c r="J50" s="355">
        <f>'Income Statement'!BN21</f>
        <v>-56880</v>
      </c>
      <c r="K50" s="362">
        <f>'Income Statement'!BO21</f>
        <v>0</v>
      </c>
      <c r="L50" s="358">
        <f>'Income Statement'!BP21</f>
        <v>0</v>
      </c>
      <c r="M50" s="358">
        <f>'Income Statement'!BQ21</f>
        <v>0</v>
      </c>
      <c r="N50" s="359">
        <f>'Income Statement'!BR21</f>
        <v>-95874</v>
      </c>
      <c r="O50" s="355">
        <f>'Income Statement'!BS21</f>
        <v>-95874</v>
      </c>
      <c r="P50" s="362">
        <f>'Income Statement'!BT21</f>
        <v>0</v>
      </c>
      <c r="Q50" s="358">
        <f>'Income Statement'!BU21</f>
        <v>0</v>
      </c>
      <c r="R50" s="358">
        <f>'Income Statement'!BV21</f>
        <v>0</v>
      </c>
      <c r="S50" s="359">
        <f>'Income Statement'!BW21</f>
        <v>-82117</v>
      </c>
      <c r="T50" s="355">
        <f>'Income Statement'!BX21</f>
        <v>-82117</v>
      </c>
      <c r="U50" s="362">
        <f>'Income Statement'!BY21</f>
        <v>-24386</v>
      </c>
      <c r="V50" s="358">
        <f>'Income Statement'!BZ21</f>
        <v>-26994</v>
      </c>
      <c r="W50" s="358">
        <f>'Income Statement'!CA21</f>
        <v>-24444</v>
      </c>
      <c r="X50" s="359">
        <f>'Income Statement'!CB21</f>
        <v>-19864</v>
      </c>
      <c r="Y50" s="355">
        <f>'Income Statement'!CC21</f>
        <v>-95688</v>
      </c>
      <c r="Z50" s="362">
        <f>'Income Statement'!CD21</f>
        <v>-25451</v>
      </c>
      <c r="AA50" s="358">
        <f>'Income Statement'!CE21</f>
        <v>-14201</v>
      </c>
      <c r="AB50" s="358">
        <f>'Income Statement'!CF21</f>
        <v>-25266</v>
      </c>
      <c r="AC50" s="359">
        <f>'Income Statement'!CG21</f>
        <v>-30415</v>
      </c>
      <c r="AD50" s="355">
        <f>'Income Statement'!CH21</f>
        <v>-95333</v>
      </c>
      <c r="AE50" s="362">
        <f>'Income Statement'!CI21</f>
        <v>-20280</v>
      </c>
      <c r="AF50" s="358">
        <f>'Income Statement'!CJ21</f>
        <v>-23688</v>
      </c>
      <c r="AG50" s="358">
        <f>'Income Statement'!CK21</f>
        <v>-30752</v>
      </c>
      <c r="AH50" s="359">
        <f>'Income Statement'!CL21</f>
        <v>-26306</v>
      </c>
      <c r="AI50" s="355">
        <f>'Income Statement'!CM21</f>
        <v>-101026</v>
      </c>
      <c r="AJ50" s="362">
        <f>'Income Statement'!CN21</f>
        <v>-22356</v>
      </c>
      <c r="AK50" s="358">
        <f>'Income Statement'!CO21</f>
        <v>-33684</v>
      </c>
      <c r="AL50" s="358">
        <f>'Income Statement'!CP21</f>
        <v>-48993</v>
      </c>
      <c r="AM50" s="359">
        <f>'Income Statement'!CQ21</f>
        <v>-29683</v>
      </c>
      <c r="AN50" s="355">
        <f>'Income Statement'!CR21</f>
        <v>-134716</v>
      </c>
      <c r="AO50" s="362">
        <f>'Income Statement'!CS21</f>
        <v>-32599</v>
      </c>
      <c r="AP50" s="358">
        <f>'Income Statement'!CT21</f>
        <v>-41367</v>
      </c>
      <c r="AQ50" s="358">
        <f>'Income Statement'!CU21</f>
        <v>-53549</v>
      </c>
      <c r="AR50" s="359">
        <f>'Income Statement'!CV21</f>
        <v>-35293</v>
      </c>
      <c r="AS50" s="355">
        <f>'Income Statement'!CW21</f>
        <v>-162808</v>
      </c>
      <c r="AT50" s="362">
        <f>'Income Statement'!CX21</f>
        <v>-40769</v>
      </c>
      <c r="AU50" s="358">
        <f>'Income Statement'!CY21</f>
        <v>-61475</v>
      </c>
      <c r="AV50" s="358">
        <f>'Income Statement'!CZ21</f>
        <v>-67309</v>
      </c>
      <c r="AW50" s="359">
        <f>'Income Statement'!DA21</f>
        <v>-52203</v>
      </c>
      <c r="AX50" s="355">
        <f>'Income Statement'!DB21</f>
        <v>-221756</v>
      </c>
      <c r="AY50" s="362">
        <f>'Income Statement'!DC21</f>
        <v>-50151</v>
      </c>
      <c r="AZ50" s="358">
        <f>'Income Statement'!DD21</f>
        <v>-64176</v>
      </c>
      <c r="BA50" s="358">
        <f>'Income Statement'!DE21</f>
        <v>-65788</v>
      </c>
      <c r="BB50" s="359">
        <f>'Income Statement'!DF21</f>
        <v>-58359</v>
      </c>
      <c r="BC50" s="355">
        <f>'Income Statement'!DG21</f>
        <v>-238474</v>
      </c>
      <c r="BD50" s="362">
        <f>'Income Statement'!DH21</f>
        <v>-64720</v>
      </c>
      <c r="BE50" s="358">
        <f>'Income Statement'!DI21</f>
        <v>-78166</v>
      </c>
      <c r="BF50" s="358">
        <f>'Income Statement'!DJ21</f>
        <v>-79030.90604735646</v>
      </c>
      <c r="BG50" s="359">
        <f>'Income Statement'!DK21</f>
        <v>-67956</v>
      </c>
      <c r="BH50" s="355">
        <f>'Income Statement'!DL21</f>
        <v>-289872.90604735643</v>
      </c>
      <c r="BI50" s="362">
        <f>'Income Statement'!DM21</f>
        <v>-76933.591087166904</v>
      </c>
      <c r="BJ50" s="358">
        <f>'Income Statement'!DN21</f>
        <v>-77784.860541611793</v>
      </c>
      <c r="BK50" s="358">
        <f>'Income Statement'!DO21</f>
        <v>-78645.549284482331</v>
      </c>
      <c r="BL50" s="359">
        <f>'Income Statement'!DP21</f>
        <v>-79515.761540115462</v>
      </c>
      <c r="BM50" s="355">
        <f>'Income Statement'!DQ21</f>
        <v>-312879.76245337649</v>
      </c>
    </row>
    <row r="51" spans="2:65" hidden="1">
      <c r="B51" s="368" t="str">
        <f>'Income Statement'!A22</f>
        <v xml:space="preserve">  % of revenues</v>
      </c>
      <c r="C51" s="369">
        <f>'Income Statement'!AY22</f>
        <v>7.0361819741499215E-2</v>
      </c>
      <c r="D51" s="369">
        <f>'Income Statement'!BD22</f>
        <v>6.0697976697047157E-2</v>
      </c>
      <c r="E51" s="369">
        <f>'Income Statement'!BI22</f>
        <v>7.2184934014400029E-2</v>
      </c>
      <c r="F51" s="370" t="e">
        <f>'Income Statement'!BJ22</f>
        <v>#DIV/0!</v>
      </c>
      <c r="G51" s="371" t="e">
        <f>'Income Statement'!BK22</f>
        <v>#DIV/0!</v>
      </c>
      <c r="H51" s="371" t="e">
        <f>'Income Statement'!BL22</f>
        <v>#DIV/0!</v>
      </c>
      <c r="I51" s="372">
        <f>'Income Statement'!BM22</f>
        <v>7.0329626849892982E-2</v>
      </c>
      <c r="J51" s="369">
        <f>'Income Statement'!BN22</f>
        <v>7.0329626849892982E-2</v>
      </c>
      <c r="K51" s="370" t="e">
        <f>'Income Statement'!BO22</f>
        <v>#DIV/0!</v>
      </c>
      <c r="L51" s="371" t="e">
        <f>'Income Statement'!BP22</f>
        <v>#DIV/0!</v>
      </c>
      <c r="M51" s="371" t="e">
        <f>'Income Statement'!BQ22</f>
        <v>#DIV/0!</v>
      </c>
      <c r="N51" s="372">
        <f>'Income Statement'!BR22</f>
        <v>0.11772564573266944</v>
      </c>
      <c r="O51" s="369">
        <f>'Income Statement'!BS22</f>
        <v>0.11772564573266944</v>
      </c>
      <c r="P51" s="370" t="e">
        <f>'Income Statement'!BT22</f>
        <v>#DIV/0!</v>
      </c>
      <c r="Q51" s="371" t="e">
        <f>'Income Statement'!BU22</f>
        <v>#DIV/0!</v>
      </c>
      <c r="R51" s="371" t="e">
        <f>'Income Statement'!BV22</f>
        <v>#DIV/0!</v>
      </c>
      <c r="S51" s="372">
        <f>'Income Statement'!BW22</f>
        <v>8.9233069601511755E-2</v>
      </c>
      <c r="T51" s="369">
        <f>'Income Statement'!BX22</f>
        <v>8.9233069601511755E-2</v>
      </c>
      <c r="U51" s="370">
        <f>'Income Statement'!BY22</f>
        <v>0.12945798163189468</v>
      </c>
      <c r="V51" s="371">
        <f>'Income Statement'!BZ22</f>
        <v>0.10082432871554869</v>
      </c>
      <c r="W51" s="371">
        <f>'Income Statement'!CA22</f>
        <v>9.3467521145286864E-2</v>
      </c>
      <c r="X51" s="372">
        <f>'Income Statement'!CB22</f>
        <v>6.5851151997347923E-2</v>
      </c>
      <c r="Y51" s="369">
        <f>'Income Statement'!CC22</f>
        <v>9.3878307859394453E-2</v>
      </c>
      <c r="Z51" s="370">
        <f>'Income Statement'!CD22</f>
        <v>0.11196061956440452</v>
      </c>
      <c r="AA51" s="371">
        <f>'Income Statement'!CE22</f>
        <v>5.7679810238663871E-2</v>
      </c>
      <c r="AB51" s="371">
        <f>'Income Statement'!CF22</f>
        <v>7.7527562389343871E-2</v>
      </c>
      <c r="AC51" s="372">
        <f>'Income Statement'!CG22</f>
        <v>8.8093031338701264E-2</v>
      </c>
      <c r="AD51" s="369">
        <f>'Income Statement'!CH22</f>
        <v>8.3283392243435297E-2</v>
      </c>
      <c r="AE51" s="370">
        <f>'Income Statement'!CI22</f>
        <v>5.9772581244142108E-2</v>
      </c>
      <c r="AF51" s="371">
        <f>'Income Statement'!CJ22</f>
        <v>5.2484064014250993E-2</v>
      </c>
      <c r="AG51" s="371">
        <f>'Income Statement'!CK22</f>
        <v>6.7372258456037809E-2</v>
      </c>
      <c r="AH51" s="372">
        <f>'Income Statement'!CL22</f>
        <v>5.3552052733687142E-2</v>
      </c>
      <c r="AI51" s="369">
        <f>'Income Statement'!CM22</f>
        <v>5.8117868371018726E-2</v>
      </c>
      <c r="AJ51" s="370">
        <f>'Income Statement'!CN22</f>
        <v>4.9971612118719463E-2</v>
      </c>
      <c r="AK51" s="371">
        <f>'Income Statement'!CO22</f>
        <v>5.5880806193937121E-2</v>
      </c>
      <c r="AL51" s="371">
        <f>'Income Statement'!CP22</f>
        <v>7.8181275621988996E-2</v>
      </c>
      <c r="AM51" s="372">
        <f>'Income Statement'!CQ22</f>
        <v>5.1135443548248165E-2</v>
      </c>
      <c r="AN51" s="369">
        <f>'Income Statement'!CR22</f>
        <v>5.9680307483207767E-2</v>
      </c>
      <c r="AO51" s="370">
        <f>'Income Statement'!CS22</f>
        <v>5.4792287160731215E-2</v>
      </c>
      <c r="AP51" s="371">
        <f>'Income Statement'!CT22</f>
        <v>5.6842634655497937E-2</v>
      </c>
      <c r="AQ51" s="371">
        <f>'Income Statement'!CU22</f>
        <v>7.1220709852980679E-2</v>
      </c>
      <c r="AR51" s="372">
        <f>'Income Statement'!CV22</f>
        <v>4.3485921566887957E-2</v>
      </c>
      <c r="AS51" s="369">
        <f>'Income Statement'!CW22</f>
        <v>5.6409666506362061E-2</v>
      </c>
      <c r="AT51" s="370">
        <f>'Income Statement'!CX22</f>
        <v>4.8686262661485437E-2</v>
      </c>
      <c r="AU51" s="371">
        <f>'Income Statement'!CY22</f>
        <v>6.1592950500207896E-2</v>
      </c>
      <c r="AV51" s="371">
        <f>'Income Statement'!CZ22</f>
        <v>6.3747310280033942E-2</v>
      </c>
      <c r="AW51" s="372">
        <f>'Income Statement'!DA22</f>
        <v>5.0439094428732789E-2</v>
      </c>
      <c r="AX51" s="369">
        <f>'Income Statement'!DB22</f>
        <v>5.6479493468422001E-2</v>
      </c>
      <c r="AY51" s="370">
        <f>'Income Statement'!DC22</f>
        <v>4.1236358971997657E-2</v>
      </c>
      <c r="AZ51" s="371">
        <f>'Income Statement'!DD22</f>
        <v>4.7657840233061216E-2</v>
      </c>
      <c r="BA51" s="371">
        <f>'Income Statement'!DE22</f>
        <v>4.6430088797862416E-2</v>
      </c>
      <c r="BB51" s="372">
        <f>'Income Statement'!DF22</f>
        <v>4.1106137499427702E-2</v>
      </c>
      <c r="BC51" s="369">
        <f>'Income Statement'!DG22</f>
        <v>4.4166562951900051E-2</v>
      </c>
      <c r="BD51" s="370">
        <f>'Income Statement'!DH22</f>
        <v>4.013466693869603E-2</v>
      </c>
      <c r="BE51" s="371">
        <f>'Income Statement'!DI22</f>
        <v>4.623582007270817E-2</v>
      </c>
      <c r="BF51" s="371">
        <f>'Income Statement'!DJ22</f>
        <v>4.6991827651310013E-2</v>
      </c>
      <c r="BG51" s="372">
        <f>'Income Statement'!DK22</f>
        <v>3.7315042395097711E-2</v>
      </c>
      <c r="BH51" s="369">
        <f>'Income Statement'!DL22</f>
        <v>4.2590110633325066E-2</v>
      </c>
      <c r="BI51" s="370">
        <f>'Income Statement'!DM22</f>
        <v>4.135317746046667E-2</v>
      </c>
      <c r="BJ51" s="371">
        <f>'Income Statement'!DN22</f>
        <v>4.0477818103091229E-2</v>
      </c>
      <c r="BK51" s="371">
        <f>'Income Statement'!DO22</f>
        <v>3.9847994907054089E-2</v>
      </c>
      <c r="BL51" s="372">
        <f>'Income Statement'!DP22</f>
        <v>3.9332840104383905E-2</v>
      </c>
      <c r="BM51" s="369">
        <f>'Income Statement'!DQ22</f>
        <v>4.022976047093995E-2</v>
      </c>
    </row>
    <row r="52" spans="2:65" hidden="1" outlineLevel="1">
      <c r="B52" s="313" t="str">
        <f>'Income Statement'!A23</f>
        <v>Net Financial Result</v>
      </c>
      <c r="C52" s="355">
        <f>'Income Statement'!AY23</f>
        <v>2482.2469999999994</v>
      </c>
      <c r="D52" s="355">
        <f>'Income Statement'!BD23</f>
        <v>6338</v>
      </c>
      <c r="E52" s="355">
        <f>'Income Statement'!BI23</f>
        <v>9721</v>
      </c>
      <c r="F52" s="362">
        <f>'Income Statement'!BJ23</f>
        <v>0</v>
      </c>
      <c r="G52" s="358">
        <f>'Income Statement'!BK23</f>
        <v>0</v>
      </c>
      <c r="H52" s="358">
        <f>'Income Statement'!BL23</f>
        <v>0</v>
      </c>
      <c r="I52" s="359">
        <f>'Income Statement'!BM23</f>
        <v>10613</v>
      </c>
      <c r="J52" s="355">
        <f>'Income Statement'!BN23</f>
        <v>10613</v>
      </c>
      <c r="K52" s="362">
        <f>'Income Statement'!BO23</f>
        <v>0</v>
      </c>
      <c r="L52" s="358">
        <f>'Income Statement'!BP23</f>
        <v>0</v>
      </c>
      <c r="M52" s="358">
        <f>'Income Statement'!BQ23</f>
        <v>0</v>
      </c>
      <c r="N52" s="359">
        <f>'Income Statement'!BR23</f>
        <v>15057</v>
      </c>
      <c r="O52" s="355">
        <f>'Income Statement'!BS23</f>
        <v>15057</v>
      </c>
      <c r="P52" s="362">
        <f>'Income Statement'!BT23</f>
        <v>0</v>
      </c>
      <c r="Q52" s="358">
        <f>'Income Statement'!BU23</f>
        <v>0</v>
      </c>
      <c r="R52" s="358">
        <f>'Income Statement'!BV23</f>
        <v>0</v>
      </c>
      <c r="S52" s="359">
        <f>'Income Statement'!BW23</f>
        <v>2463</v>
      </c>
      <c r="T52" s="355">
        <f>'Income Statement'!BX23</f>
        <v>2463</v>
      </c>
      <c r="U52" s="362">
        <f>'Income Statement'!BY23</f>
        <v>-453</v>
      </c>
      <c r="V52" s="358">
        <f>'Income Statement'!BZ23</f>
        <v>262</v>
      </c>
      <c r="W52" s="358">
        <f>'Income Statement'!CA23</f>
        <v>-4443</v>
      </c>
      <c r="X52" s="359">
        <f>'Income Statement'!CB23</f>
        <v>-6780</v>
      </c>
      <c r="Y52" s="355">
        <f>'Income Statement'!CC23</f>
        <v>-11414</v>
      </c>
      <c r="Z52" s="362">
        <f>'Income Statement'!CD23</f>
        <v>-2175</v>
      </c>
      <c r="AA52" s="358">
        <f>'Income Statement'!CE23</f>
        <v>-2892</v>
      </c>
      <c r="AB52" s="358">
        <f>'Income Statement'!CF23</f>
        <v>-1211</v>
      </c>
      <c r="AC52" s="359">
        <f>'Income Statement'!CG23</f>
        <v>-2532</v>
      </c>
      <c r="AD52" s="355">
        <f>'Income Statement'!CH23</f>
        <v>-8810</v>
      </c>
      <c r="AE52" s="362">
        <f>'Income Statement'!CI23</f>
        <v>-5034</v>
      </c>
      <c r="AF52" s="358">
        <f>'Income Statement'!CJ23</f>
        <v>-5376</v>
      </c>
      <c r="AG52" s="358">
        <f>'Income Statement'!CK23</f>
        <v>-1071</v>
      </c>
      <c r="AH52" s="359">
        <f>'Income Statement'!CL23</f>
        <v>-13246</v>
      </c>
      <c r="AI52" s="355">
        <f>'Income Statement'!CM23</f>
        <v>-24727</v>
      </c>
      <c r="AJ52" s="362">
        <f>'Income Statement'!CN23</f>
        <v>-4085</v>
      </c>
      <c r="AK52" s="358">
        <f>'Income Statement'!CO23</f>
        <v>-4609</v>
      </c>
      <c r="AL52" s="358">
        <f>'Income Statement'!CP23</f>
        <v>-4065</v>
      </c>
      <c r="AM52" s="359">
        <f>'Income Statement'!CQ23</f>
        <v>-11678</v>
      </c>
      <c r="AN52" s="355">
        <f>'Income Statement'!CR23</f>
        <v>-24437</v>
      </c>
      <c r="AO52" s="362">
        <f>'Income Statement'!CS23</f>
        <v>-5444</v>
      </c>
      <c r="AP52" s="358">
        <f>'Income Statement'!CT23</f>
        <v>-5601</v>
      </c>
      <c r="AQ52" s="358">
        <f>'Income Statement'!CU23</f>
        <v>-3546</v>
      </c>
      <c r="AR52" s="359">
        <f>'Income Statement'!CV23</f>
        <v>680</v>
      </c>
      <c r="AS52" s="355">
        <f>'Income Statement'!CW23</f>
        <v>-13911</v>
      </c>
      <c r="AT52" s="362">
        <f>'Income Statement'!CX23</f>
        <v>-4917</v>
      </c>
      <c r="AU52" s="358">
        <f>'Income Statement'!CY23</f>
        <v>-5749</v>
      </c>
      <c r="AV52" s="358">
        <f>'Income Statement'!CZ23</f>
        <v>-7613</v>
      </c>
      <c r="AW52" s="359">
        <f>'Income Statement'!DA23</f>
        <v>-12805</v>
      </c>
      <c r="AX52" s="355">
        <f>'Income Statement'!DB23</f>
        <v>-31084</v>
      </c>
      <c r="AY52" s="362">
        <f>'Income Statement'!DC23</f>
        <v>-14580</v>
      </c>
      <c r="AZ52" s="358">
        <f>'Income Statement'!DD23</f>
        <v>-15628</v>
      </c>
      <c r="BA52" s="358">
        <f>'Income Statement'!DE23</f>
        <v>-8694</v>
      </c>
      <c r="BB52" s="359">
        <f>'Income Statement'!DF23</f>
        <v>-8912</v>
      </c>
      <c r="BC52" s="355">
        <f>'Income Statement'!DG23</f>
        <v>-47814</v>
      </c>
      <c r="BD52" s="362">
        <f>'Income Statement'!DH23</f>
        <v>-10709</v>
      </c>
      <c r="BE52" s="358">
        <f>'Income Statement'!DI23</f>
        <v>-22120</v>
      </c>
      <c r="BF52" s="358">
        <f ca="1">'Income Statement'!DJ23</f>
        <v>-13696.498509553603</v>
      </c>
      <c r="BG52" s="359">
        <f ca="1">'Income Statement'!DK23</f>
        <v>-15906.934022300069</v>
      </c>
      <c r="BH52" s="355">
        <f ca="1">'Income Statement'!DL23</f>
        <v>-62432.432531853672</v>
      </c>
      <c r="BI52" s="362">
        <f ca="1">'Income Statement'!DM23</f>
        <v>-8616.9056002933285</v>
      </c>
      <c r="BJ52" s="358">
        <f ca="1">'Income Statement'!DN23</f>
        <v>-4409.3654966848917</v>
      </c>
      <c r="BK52" s="358">
        <f ca="1">'Income Statement'!DO23</f>
        <v>-2909.84271378626</v>
      </c>
      <c r="BL52" s="359">
        <f ca="1">'Income Statement'!DP23</f>
        <v>2418.5151942207449</v>
      </c>
      <c r="BM52" s="355">
        <f ca="1">'Income Statement'!DQ23</f>
        <v>-13517.598616543735</v>
      </c>
    </row>
    <row r="53" spans="2:65" hidden="1" outlineLevel="1">
      <c r="B53" s="313" t="str">
        <f>'Income Statement'!A24</f>
        <v xml:space="preserve">  Financial Income</v>
      </c>
      <c r="C53" s="355">
        <f>'Income Statement'!AY24</f>
        <v>11239.450999999999</v>
      </c>
      <c r="D53" s="355">
        <f>'Income Statement'!BD24</f>
        <v>7965</v>
      </c>
      <c r="E53" s="355">
        <f>'Income Statement'!BI24</f>
        <v>14892</v>
      </c>
      <c r="F53" s="373">
        <f>'Income Statement'!BJ24</f>
        <v>0</v>
      </c>
      <c r="G53" s="374">
        <f>'Income Statement'!BK24</f>
        <v>0</v>
      </c>
      <c r="H53" s="358">
        <f>'Income Statement'!BL24</f>
        <v>0</v>
      </c>
      <c r="I53" s="359">
        <f>'Income Statement'!BM24</f>
        <v>14875</v>
      </c>
      <c r="J53" s="355">
        <f>'Income Statement'!BN24</f>
        <v>14875</v>
      </c>
      <c r="K53" s="362">
        <f>'Income Statement'!BO24</f>
        <v>0</v>
      </c>
      <c r="L53" s="358">
        <f>'Income Statement'!BP24</f>
        <v>0</v>
      </c>
      <c r="M53" s="358">
        <f>'Income Statement'!BQ24</f>
        <v>0</v>
      </c>
      <c r="N53" s="359">
        <f>'Income Statement'!BR24</f>
        <v>20337</v>
      </c>
      <c r="O53" s="355">
        <f>'Income Statement'!BS24</f>
        <v>20337</v>
      </c>
      <c r="P53" s="362">
        <f>'Income Statement'!BT24</f>
        <v>0</v>
      </c>
      <c r="Q53" s="358">
        <f>'Income Statement'!BU24</f>
        <v>0</v>
      </c>
      <c r="R53" s="358">
        <f>'Income Statement'!BV24</f>
        <v>0</v>
      </c>
      <c r="S53" s="359">
        <f>'Income Statement'!BW24</f>
        <v>11132</v>
      </c>
      <c r="T53" s="355">
        <f>'Income Statement'!BX24</f>
        <v>11132</v>
      </c>
      <c r="U53" s="362">
        <f>'Income Statement'!BY24</f>
        <v>3012</v>
      </c>
      <c r="V53" s="358">
        <f>'Income Statement'!BZ24</f>
        <v>5477</v>
      </c>
      <c r="W53" s="358">
        <f>'Income Statement'!CA24</f>
        <v>3325</v>
      </c>
      <c r="X53" s="359">
        <f>'Income Statement'!CB24</f>
        <v>3461</v>
      </c>
      <c r="Y53" s="355">
        <f>'Income Statement'!CC24</f>
        <v>15275</v>
      </c>
      <c r="Z53" s="362">
        <f>'Income Statement'!CD24</f>
        <v>2784</v>
      </c>
      <c r="AA53" s="358">
        <f>'Income Statement'!CE24</f>
        <v>2827</v>
      </c>
      <c r="AB53" s="358">
        <f>'Income Statement'!CF24</f>
        <v>5428</v>
      </c>
      <c r="AC53" s="359">
        <f>'Income Statement'!CG24</f>
        <v>3634</v>
      </c>
      <c r="AD53" s="355">
        <f>'Income Statement'!CH24</f>
        <v>14673</v>
      </c>
      <c r="AE53" s="362">
        <f>'Income Statement'!CI24</f>
        <v>2222</v>
      </c>
      <c r="AF53" s="358">
        <f>'Income Statement'!CJ24</f>
        <v>3924</v>
      </c>
      <c r="AG53" s="358">
        <f>'Income Statement'!CK24</f>
        <v>10356</v>
      </c>
      <c r="AH53" s="359">
        <f>'Income Statement'!CL24</f>
        <v>8485</v>
      </c>
      <c r="AI53" s="355">
        <f>'Income Statement'!CM24</f>
        <v>24987</v>
      </c>
      <c r="AJ53" s="362">
        <f>'Income Statement'!CN24</f>
        <v>12977</v>
      </c>
      <c r="AK53" s="358">
        <f>'Income Statement'!CO24</f>
        <v>17605</v>
      </c>
      <c r="AL53" s="358">
        <f>'Income Statement'!CP24</f>
        <v>18795</v>
      </c>
      <c r="AM53" s="359">
        <f>'Income Statement'!CQ24</f>
        <v>14654</v>
      </c>
      <c r="AN53" s="355">
        <f>'Income Statement'!CR24</f>
        <v>64031</v>
      </c>
      <c r="AO53" s="362">
        <f>'Income Statement'!CS24</f>
        <v>20228</v>
      </c>
      <c r="AP53" s="358">
        <f>'Income Statement'!CT24</f>
        <v>20425</v>
      </c>
      <c r="AQ53" s="358">
        <f>'Income Statement'!CU24</f>
        <v>19668</v>
      </c>
      <c r="AR53" s="359">
        <f>'Income Statement'!CV24</f>
        <v>25895</v>
      </c>
      <c r="AS53" s="355">
        <f>'Income Statement'!CW24</f>
        <v>86216</v>
      </c>
      <c r="AT53" s="362">
        <f>'Income Statement'!CX24</f>
        <v>19889</v>
      </c>
      <c r="AU53" s="358">
        <f>'Income Statement'!CY24</f>
        <v>25350</v>
      </c>
      <c r="AV53" s="358">
        <f>'Income Statement'!CZ24</f>
        <v>32060</v>
      </c>
      <c r="AW53" s="359">
        <f>'Income Statement'!DA24</f>
        <v>28782</v>
      </c>
      <c r="AX53" s="355">
        <f>'Income Statement'!DB24</f>
        <v>106081</v>
      </c>
      <c r="AY53" s="362">
        <f>'Income Statement'!DC24</f>
        <v>36752</v>
      </c>
      <c r="AZ53" s="358">
        <f>'Income Statement'!DD24</f>
        <v>35218</v>
      </c>
      <c r="BA53" s="358">
        <f>'Income Statement'!DE24</f>
        <v>47368</v>
      </c>
      <c r="BB53" s="359">
        <f>'Income Statement'!DF24</f>
        <v>50684</v>
      </c>
      <c r="BC53" s="355">
        <f>'Income Statement'!DG24</f>
        <v>170022</v>
      </c>
      <c r="BD53" s="362">
        <f>'Income Statement'!DH24</f>
        <v>49093</v>
      </c>
      <c r="BE53" s="358">
        <f>'Income Statement'!DI24</f>
        <v>48168</v>
      </c>
      <c r="BF53" s="358">
        <f ca="1">'Income Statement'!DJ24</f>
        <v>48582.506484320904</v>
      </c>
      <c r="BG53" s="359">
        <f ca="1">'Income Statement'!DK24</f>
        <v>46159.244534593723</v>
      </c>
      <c r="BH53" s="355">
        <f ca="1">'Income Statement'!DL24</f>
        <v>192002.75101891463</v>
      </c>
      <c r="BI53" s="362">
        <f ca="1">'Income Statement'!DM24</f>
        <v>52914.229655319956</v>
      </c>
      <c r="BJ53" s="358">
        <f ca="1">'Income Statement'!DN24</f>
        <v>57914.002678158235</v>
      </c>
      <c r="BK53" s="358">
        <f ca="1">'Income Statement'!DO24</f>
        <v>61174.242965716257</v>
      </c>
      <c r="BL53" s="359">
        <f ca="1">'Income Statement'!DP24</f>
        <v>68056.793522022388</v>
      </c>
      <c r="BM53" s="355">
        <f ca="1">'Income Statement'!DQ24</f>
        <v>240059.26882121683</v>
      </c>
    </row>
    <row r="54" spans="2:65" hidden="1" outlineLevel="1">
      <c r="B54" s="368" t="str">
        <f>'Income Statement'!A25</f>
        <v xml:space="preserve">  Avg rate (%)</v>
      </c>
      <c r="C54" s="369">
        <f>'Income Statement'!AY25</f>
        <v>0.13090134168782463</v>
      </c>
      <c r="D54" s="369">
        <f>'Income Statement'!BD25</f>
        <v>5.6036696473170632E-2</v>
      </c>
      <c r="E54" s="369">
        <f>'Income Statement'!BI25</f>
        <v>9.7638373480547075E-2</v>
      </c>
      <c r="F54" s="375">
        <f>'Income Statement'!BJ25</f>
        <v>0</v>
      </c>
      <c r="G54" s="376" t="e">
        <f>'Income Statement'!BK25</f>
        <v>#DIV/0!</v>
      </c>
      <c r="H54" s="371" t="e">
        <f>'Income Statement'!BL25</f>
        <v>#DIV/0!</v>
      </c>
      <c r="I54" s="372">
        <f>'Income Statement'!BM25</f>
        <v>0.42180976331527376</v>
      </c>
      <c r="J54" s="369">
        <f>'Income Statement'!BN25</f>
        <v>9.1969160190182947E-2</v>
      </c>
      <c r="K54" s="370">
        <f>'Income Statement'!BO25</f>
        <v>0</v>
      </c>
      <c r="L54" s="371" t="e">
        <f>'Income Statement'!BP25</f>
        <v>#DIV/0!</v>
      </c>
      <c r="M54" s="371" t="e">
        <f>'Income Statement'!BQ25</f>
        <v>#DIV/0!</v>
      </c>
      <c r="N54" s="372">
        <f>'Income Statement'!BR25</f>
        <v>0.47718907099100716</v>
      </c>
      <c r="O54" s="369">
        <f>'Income Statement'!BS25</f>
        <v>0.10245030376915559</v>
      </c>
      <c r="P54" s="370">
        <f>'Income Statement'!BT25</f>
        <v>0</v>
      </c>
      <c r="Q54" s="371" t="e">
        <f>'Income Statement'!BU25</f>
        <v>#DIV/0!</v>
      </c>
      <c r="R54" s="371" t="e">
        <f>'Income Statement'!BV25</f>
        <v>#DIV/0!</v>
      </c>
      <c r="S54" s="372">
        <f>'Income Statement'!BW25</f>
        <v>0.18958846091178372</v>
      </c>
      <c r="T54" s="369">
        <f>'Income Statement'!BX25</f>
        <v>4.4357489809173534E-2</v>
      </c>
      <c r="U54" s="370">
        <f>'Income Statement'!BY25</f>
        <v>4.8878663854786009E-2</v>
      </c>
      <c r="V54" s="371" t="e">
        <f>'Income Statement'!BZ25</f>
        <v>#DIV/0!</v>
      </c>
      <c r="W54" s="371" t="e">
        <f>'Income Statement'!CA25</f>
        <v>#DIV/0!</v>
      </c>
      <c r="X54" s="372">
        <f>'Income Statement'!CB25</f>
        <v>4.477377276534944E-2</v>
      </c>
      <c r="Y54" s="369">
        <f>'Income Statement'!CC25</f>
        <v>4.8593415472906985E-2</v>
      </c>
      <c r="Z54" s="370">
        <f>'Income Statement'!CD25</f>
        <v>3.5263980258667837E-2</v>
      </c>
      <c r="AA54" s="371">
        <f>'Income Statement'!CE25</f>
        <v>3.0440933936463077E-2</v>
      </c>
      <c r="AB54" s="371">
        <f>'Income Statement'!CF25</f>
        <v>4.2591193359569512E-2</v>
      </c>
      <c r="AC54" s="372">
        <f>'Income Statement'!CG25</f>
        <v>2.8227757914988771E-2</v>
      </c>
      <c r="AD54" s="369">
        <f>'Income Statement'!CH25</f>
        <v>3.4052142270328475E-2</v>
      </c>
      <c r="AE54" s="370">
        <f>'Income Statement'!CI25</f>
        <v>2.0648053786519904E-2</v>
      </c>
      <c r="AF54" s="371">
        <f>'Income Statement'!CJ25</f>
        <v>3.4235551658339025E-2</v>
      </c>
      <c r="AG54" s="371">
        <f>'Income Statement'!CK25</f>
        <v>8.1514973560824489E-2</v>
      </c>
      <c r="AH54" s="372">
        <f>'Income Statement'!CL25</f>
        <v>6.0376962481582197E-2</v>
      </c>
      <c r="AI54" s="369">
        <f>'Income Statement'!CM25</f>
        <v>4.2031196645174747E-2</v>
      </c>
      <c r="AJ54" s="370">
        <f>'Income Statement'!CN25</f>
        <v>8.9587699810299348E-2</v>
      </c>
      <c r="AK54" s="371">
        <f>'Income Statement'!CO25</f>
        <v>0.11441832113182948</v>
      </c>
      <c r="AL54" s="371">
        <f>'Income Statement'!CP25</f>
        <v>0.11934999114511347</v>
      </c>
      <c r="AM54" s="372">
        <f>'Income Statement'!CQ25</f>
        <v>8.4881952634209723E-2</v>
      </c>
      <c r="AN54" s="369">
        <f>'Income Statement'!CR25</f>
        <v>8.1110832427611967E-2</v>
      </c>
      <c r="AO54" s="370">
        <f>'Income Statement'!CS25</f>
        <v>0.11084642303034209</v>
      </c>
      <c r="AP54" s="371">
        <f>'Income Statement'!CT25</f>
        <v>0.10855315679607447</v>
      </c>
      <c r="AQ54" s="371">
        <f>'Income Statement'!CU25</f>
        <v>8.340765050527077E-2</v>
      </c>
      <c r="AR54" s="372">
        <f>'Income Statement'!CV25</f>
        <v>0.10228936800896626</v>
      </c>
      <c r="AS54" s="369">
        <f>'Income Statement'!CW25</f>
        <v>8.6887729033155323E-2</v>
      </c>
      <c r="AT54" s="370">
        <f>'Income Statement'!CX25</f>
        <v>8.1795259208009563E-2</v>
      </c>
      <c r="AU54" s="371">
        <f>'Income Statement'!CY25</f>
        <v>8.1286602386706708E-2</v>
      </c>
      <c r="AV54" s="371">
        <f>'Income Statement'!CZ25</f>
        <v>8.8785523356460949E-2</v>
      </c>
      <c r="AW54" s="372">
        <f>'Income Statement'!DA25</f>
        <v>8.3530561338900799E-2</v>
      </c>
      <c r="AX54" s="369">
        <f>'Income Statement'!DB25</f>
        <v>7.4903476539220859E-2</v>
      </c>
      <c r="AY54" s="370">
        <f>'Income Statement'!DC25</f>
        <v>0.10308974282569361</v>
      </c>
      <c r="AZ54" s="371">
        <f>'Income Statement'!DD25</f>
        <v>9.4830702048730009E-2</v>
      </c>
      <c r="BA54" s="371">
        <f>'Income Statement'!DE25</f>
        <v>0.11971740493285576</v>
      </c>
      <c r="BB54" s="372">
        <f>'Income Statement'!DF25</f>
        <v>0.1187103790382007</v>
      </c>
      <c r="BC54" s="369">
        <f>'Income Statement'!DG25</f>
        <v>9.4934662693327565E-2</v>
      </c>
      <c r="BD54" s="370">
        <f>'Income Statement'!DH25</f>
        <v>0.11536644720820188</v>
      </c>
      <c r="BE54" s="371">
        <f>'Income Statement'!DI25</f>
        <v>0.11857159514744464</v>
      </c>
      <c r="BF54" s="371">
        <f>'Income Statement'!DJ25</f>
        <v>0.11687500000000001</v>
      </c>
      <c r="BG54" s="372">
        <f>'Income Statement'!DK25</f>
        <v>0.10600000000000001</v>
      </c>
      <c r="BH54" s="369">
        <f ca="1">'Income Statement'!DL25</f>
        <v>0.10714505181843945</v>
      </c>
      <c r="BI54" s="370">
        <f>'Income Statement'!DM25</f>
        <v>0.1105</v>
      </c>
      <c r="BJ54" s="371">
        <f>'Income Statement'!DN25</f>
        <v>0.1105</v>
      </c>
      <c r="BK54" s="371">
        <f>'Income Statement'!DO25</f>
        <v>0.1105</v>
      </c>
      <c r="BL54" s="372">
        <f>'Income Statement'!DP25</f>
        <v>0.1105</v>
      </c>
      <c r="BM54" s="369">
        <f ca="1">'Income Statement'!DQ25</f>
        <v>9.0511632714995252E-2</v>
      </c>
    </row>
    <row r="55" spans="2:65" hidden="1" outlineLevel="1">
      <c r="B55" s="313" t="str">
        <f>'Income Statement'!A26</f>
        <v xml:space="preserve">  Financial Expenses</v>
      </c>
      <c r="C55" s="355">
        <f>'Income Statement'!AY26</f>
        <v>-8757.2039999999997</v>
      </c>
      <c r="D55" s="355">
        <f>'Income Statement'!BD26</f>
        <v>-1627</v>
      </c>
      <c r="E55" s="355">
        <f>'Income Statement'!BI26</f>
        <v>-5171</v>
      </c>
      <c r="F55" s="373">
        <f>'Income Statement'!BJ26</f>
        <v>0</v>
      </c>
      <c r="G55" s="374">
        <f>'Income Statement'!BK26</f>
        <v>0</v>
      </c>
      <c r="H55" s="358">
        <f>'Income Statement'!BL26</f>
        <v>0</v>
      </c>
      <c r="I55" s="359">
        <f>'Income Statement'!BM26</f>
        <v>-4262</v>
      </c>
      <c r="J55" s="355">
        <f>'Income Statement'!BN26</f>
        <v>-4262</v>
      </c>
      <c r="K55" s="362">
        <f>'Income Statement'!BO26</f>
        <v>0</v>
      </c>
      <c r="L55" s="358">
        <f>'Income Statement'!BP26</f>
        <v>0</v>
      </c>
      <c r="M55" s="358">
        <f>'Income Statement'!BQ26</f>
        <v>0</v>
      </c>
      <c r="N55" s="359">
        <f>'Income Statement'!BR26</f>
        <v>-5280</v>
      </c>
      <c r="O55" s="355">
        <f>'Income Statement'!BS26</f>
        <v>-5280</v>
      </c>
      <c r="P55" s="362">
        <f>'Income Statement'!BT26</f>
        <v>0</v>
      </c>
      <c r="Q55" s="358">
        <f>'Income Statement'!BU26</f>
        <v>0</v>
      </c>
      <c r="R55" s="358">
        <f>'Income Statement'!BV26</f>
        <v>0</v>
      </c>
      <c r="S55" s="359">
        <f>'Income Statement'!BW26</f>
        <v>-8669</v>
      </c>
      <c r="T55" s="355">
        <f>'Income Statement'!BX26</f>
        <v>-8669</v>
      </c>
      <c r="U55" s="362">
        <f>'Income Statement'!BY26</f>
        <v>-3465</v>
      </c>
      <c r="V55" s="358">
        <f>'Income Statement'!BZ26</f>
        <v>-5215</v>
      </c>
      <c r="W55" s="358">
        <f>'Income Statement'!CA26</f>
        <v>-7768</v>
      </c>
      <c r="X55" s="359">
        <f>'Income Statement'!CB26</f>
        <v>-10241</v>
      </c>
      <c r="Y55" s="355">
        <f>'Income Statement'!CC26</f>
        <v>-26689</v>
      </c>
      <c r="Z55" s="362">
        <f>'Income Statement'!CD26</f>
        <v>-4959</v>
      </c>
      <c r="AA55" s="358">
        <f>'Income Statement'!CE26</f>
        <v>-5719</v>
      </c>
      <c r="AB55" s="358">
        <f>'Income Statement'!CF26</f>
        <v>-6639</v>
      </c>
      <c r="AC55" s="359">
        <f>'Income Statement'!CG26</f>
        <v>-6166</v>
      </c>
      <c r="AD55" s="355">
        <f>'Income Statement'!CH26</f>
        <v>-23483</v>
      </c>
      <c r="AE55" s="362">
        <f>'Income Statement'!CI26</f>
        <v>-7256</v>
      </c>
      <c r="AF55" s="358">
        <f>'Income Statement'!CJ26</f>
        <v>-9300</v>
      </c>
      <c r="AG55" s="358">
        <f>'Income Statement'!CK26</f>
        <v>-11427</v>
      </c>
      <c r="AH55" s="359">
        <f>'Income Statement'!CL26</f>
        <v>-21731</v>
      </c>
      <c r="AI55" s="355">
        <f>'Income Statement'!CM26</f>
        <v>-49714</v>
      </c>
      <c r="AJ55" s="362">
        <f>'Income Statement'!CN26</f>
        <v>-17062</v>
      </c>
      <c r="AK55" s="358">
        <f>'Income Statement'!CO26</f>
        <v>-22214</v>
      </c>
      <c r="AL55" s="358">
        <f>'Income Statement'!CP26</f>
        <v>-22860</v>
      </c>
      <c r="AM55" s="359">
        <f>'Income Statement'!CQ26</f>
        <v>-26332</v>
      </c>
      <c r="AN55" s="355">
        <f>'Income Statement'!CR26</f>
        <v>-88468</v>
      </c>
      <c r="AO55" s="362">
        <f>'Income Statement'!CS26</f>
        <v>-25672</v>
      </c>
      <c r="AP55" s="358">
        <f>'Income Statement'!CT26</f>
        <v>-26026</v>
      </c>
      <c r="AQ55" s="358">
        <f>'Income Statement'!CU26</f>
        <v>-23214</v>
      </c>
      <c r="AR55" s="359">
        <f>'Income Statement'!CV26</f>
        <v>-25215</v>
      </c>
      <c r="AS55" s="355">
        <f>'Income Statement'!CW26</f>
        <v>-100127</v>
      </c>
      <c r="AT55" s="362">
        <f>'Income Statement'!CX26</f>
        <v>-24806</v>
      </c>
      <c r="AU55" s="358">
        <f>'Income Statement'!CY26</f>
        <v>-31099</v>
      </c>
      <c r="AV55" s="358">
        <f>'Income Statement'!CZ26</f>
        <v>-39673</v>
      </c>
      <c r="AW55" s="359">
        <f>'Income Statement'!DA26</f>
        <v>-41587</v>
      </c>
      <c r="AX55" s="355">
        <f>'Income Statement'!DB26</f>
        <v>-137165</v>
      </c>
      <c r="AY55" s="362">
        <f>'Income Statement'!DC26</f>
        <v>-51332</v>
      </c>
      <c r="AZ55" s="358">
        <f>'Income Statement'!DD26</f>
        <v>-50846</v>
      </c>
      <c r="BA55" s="358">
        <f>'Income Statement'!DE26</f>
        <v>-56062</v>
      </c>
      <c r="BB55" s="359">
        <f>'Income Statement'!DF26</f>
        <v>-59596</v>
      </c>
      <c r="BC55" s="355">
        <f>'Income Statement'!DG26</f>
        <v>-217836</v>
      </c>
      <c r="BD55" s="362">
        <f>'Income Statement'!DH26</f>
        <v>-59802</v>
      </c>
      <c r="BE55" s="358">
        <f>'Income Statement'!DI26</f>
        <v>-70288</v>
      </c>
      <c r="BF55" s="358">
        <f>'Income Statement'!DJ26</f>
        <v>-62279.004993874507</v>
      </c>
      <c r="BG55" s="359">
        <f>'Income Statement'!DK26</f>
        <v>-62066.178556893792</v>
      </c>
      <c r="BH55" s="355">
        <f>'Income Statement'!DL26</f>
        <v>-254435.1835507683</v>
      </c>
      <c r="BI55" s="362">
        <f>'Income Statement'!DM26</f>
        <v>-61531.135255613284</v>
      </c>
      <c r="BJ55" s="358">
        <f>'Income Statement'!DN26</f>
        <v>-62323.368174843126</v>
      </c>
      <c r="BK55" s="358">
        <f>'Income Statement'!DO26</f>
        <v>-64084.085679502517</v>
      </c>
      <c r="BL55" s="359">
        <f>'Income Statement'!DP26</f>
        <v>-65638.278327801643</v>
      </c>
      <c r="BM55" s="355">
        <f>'Income Statement'!DQ26</f>
        <v>-253576.86743776058</v>
      </c>
    </row>
    <row r="56" spans="2:65" hidden="1" collapsed="1">
      <c r="B56" s="368" t="str">
        <f>'Income Statement'!A27</f>
        <v xml:space="preserve">  Avg rate (%)</v>
      </c>
      <c r="C56" s="369">
        <f>'Income Statement'!AY27</f>
        <v>0.32981024206988108</v>
      </c>
      <c r="D56" s="369">
        <f>'Income Statement'!BD27</f>
        <v>4.29208325639064E-2</v>
      </c>
      <c r="E56" s="369">
        <f>'Income Statement'!BI27</f>
        <v>0.11133179393606657</v>
      </c>
      <c r="F56" s="370">
        <f>'Income Statement'!BJ27</f>
        <v>0</v>
      </c>
      <c r="G56" s="371" t="e">
        <f>'Income Statement'!BK27</f>
        <v>#DIV/0!</v>
      </c>
      <c r="H56" s="371" t="e">
        <f>'Income Statement'!BL27</f>
        <v>#DIV/0!</v>
      </c>
      <c r="I56" s="372">
        <f>'Income Statement'!BM27</f>
        <v>0.16759439254984509</v>
      </c>
      <c r="J56" s="369">
        <f>'Income Statement'!BN27</f>
        <v>7.8992850424201982E-2</v>
      </c>
      <c r="K56" s="370">
        <f>'Income Statement'!BO27</f>
        <v>0</v>
      </c>
      <c r="L56" s="371" t="e">
        <f>'Income Statement'!BP27</f>
        <v>#DIV/0!</v>
      </c>
      <c r="M56" s="371" t="e">
        <f>'Income Statement'!BQ27</f>
        <v>#DIV/0!</v>
      </c>
      <c r="N56" s="372">
        <f>'Income Statement'!BR27</f>
        <v>0.20494918807048168</v>
      </c>
      <c r="O56" s="369">
        <f>'Income Statement'!BS27</f>
        <v>9.542527956624873E-2</v>
      </c>
      <c r="P56" s="370">
        <f>'Income Statement'!BT27</f>
        <v>0</v>
      </c>
      <c r="Q56" s="371" t="e">
        <f>'Income Statement'!BU27</f>
        <v>#DIV/0!</v>
      </c>
      <c r="R56" s="371" t="e">
        <f>'Income Statement'!BV27</f>
        <v>#DIV/0!</v>
      </c>
      <c r="S56" s="372">
        <f>'Income Statement'!BW27</f>
        <v>0.25807627616868056</v>
      </c>
      <c r="T56" s="369">
        <f>'Income Statement'!BX27</f>
        <v>0.1181501306684021</v>
      </c>
      <c r="U56" s="370">
        <f>'Income Statement'!BY27</f>
        <v>9.7847450362699373E-2</v>
      </c>
      <c r="V56" s="371" t="e">
        <f>'Income Statement'!BZ27</f>
        <v>#DIV/0!</v>
      </c>
      <c r="W56" s="371" t="e">
        <f>'Income Statement'!CA27</f>
        <v>#DIV/0!</v>
      </c>
      <c r="X56" s="372">
        <f>'Income Statement'!CB27</f>
        <v>0.28240291333897916</v>
      </c>
      <c r="Y56" s="369">
        <f>'Income Statement'!CC27</f>
        <v>0.33440357345345084</v>
      </c>
      <c r="Z56" s="370">
        <f>'Income Statement'!CD27</f>
        <v>6.3219088577317839E-2</v>
      </c>
      <c r="AA56" s="371">
        <f>'Income Statement'!CE27</f>
        <v>6.9023308109388726E-2</v>
      </c>
      <c r="AB56" s="371">
        <f>'Income Statement'!CF27</f>
        <v>8.1578566115000362E-2</v>
      </c>
      <c r="AC56" s="372">
        <f>'Income Statement'!CG27</f>
        <v>8.5063737204374767E-2</v>
      </c>
      <c r="AD56" s="369">
        <f>'Income Statement'!CH27</f>
        <v>7.350813283301183E-2</v>
      </c>
      <c r="AE56" s="370">
        <f>'Income Statement'!CI27</f>
        <v>0.10661840189701133</v>
      </c>
      <c r="AF56" s="371">
        <f>'Income Statement'!CJ27</f>
        <v>0.14159628985321437</v>
      </c>
      <c r="AG56" s="371">
        <f>'Income Statement'!CK27</f>
        <v>0.14540451460684989</v>
      </c>
      <c r="AH56" s="372">
        <f>'Income Statement'!CL27</f>
        <v>0.24147356035937451</v>
      </c>
      <c r="AI56" s="369">
        <f>'Income Statement'!CM27</f>
        <v>0.14898124923207859</v>
      </c>
      <c r="AJ56" s="370">
        <f>'Income Statement'!CN27</f>
        <v>0.18628551358573731</v>
      </c>
      <c r="AK56" s="371">
        <f>'Income Statement'!CO27</f>
        <v>0.24470533056429611</v>
      </c>
      <c r="AL56" s="371">
        <f>'Income Statement'!CP27</f>
        <v>0.23167318812437609</v>
      </c>
      <c r="AM56" s="372">
        <f>'Income Statement'!CQ27</f>
        <v>0.24449122637994414</v>
      </c>
      <c r="AN56" s="369">
        <f>'Income Statement'!CR27</f>
        <v>0.20492424615324034</v>
      </c>
      <c r="AO56" s="370">
        <f>'Income Statement'!CS27</f>
        <v>0.2328933676333409</v>
      </c>
      <c r="AP56" s="371">
        <f>'Income Statement'!CT27</f>
        <v>0.23148872313184343</v>
      </c>
      <c r="AQ56" s="371">
        <f>'Income Statement'!CU27</f>
        <v>0.17227632490174538</v>
      </c>
      <c r="AR56" s="372">
        <f>'Income Statement'!CV27</f>
        <v>0.17009858356812435</v>
      </c>
      <c r="AS56" s="369">
        <f>'Income Statement'!CW27</f>
        <v>0.17934304886048913</v>
      </c>
      <c r="AT56" s="370">
        <f>'Income Statement'!CX27</f>
        <v>0.17357408542874109</v>
      </c>
      <c r="AU56" s="371">
        <f>'Income Statement'!CY27</f>
        <v>0.15626146009226871</v>
      </c>
      <c r="AV56" s="371">
        <f>'Income Statement'!CZ27</f>
        <v>0.15348996851285657</v>
      </c>
      <c r="AW56" s="372">
        <f>'Income Statement'!DA27</f>
        <v>0.16903535528742331</v>
      </c>
      <c r="AX56" s="369">
        <f>'Income Statement'!DB27</f>
        <v>0.14547392507294776</v>
      </c>
      <c r="AY56" s="370">
        <f>'Income Statement'!DC27</f>
        <v>0.19362598899163452</v>
      </c>
      <c r="AZ56" s="371">
        <f>'Income Statement'!DD27</f>
        <v>0.16682538654041079</v>
      </c>
      <c r="BA56" s="371">
        <f>'Income Statement'!DE27</f>
        <v>0.18203655090658777</v>
      </c>
      <c r="BB56" s="372">
        <f>'Income Statement'!DF27</f>
        <v>0.18160531767052213</v>
      </c>
      <c r="BC56" s="369">
        <f>'Income Statement'!DG27</f>
        <v>0.16184565685624047</v>
      </c>
      <c r="BD56" s="370">
        <f>'Income Statement'!DH27</f>
        <v>0.18039188431472786</v>
      </c>
      <c r="BE56" s="371">
        <f>'Income Statement'!DI27</f>
        <v>0.22567627158092196</v>
      </c>
      <c r="BF56" s="371">
        <f>'Income Statement'!DJ27</f>
        <v>0.19468255704964554</v>
      </c>
      <c r="BG56" s="372">
        <f>'Income Statement'!DK27</f>
        <v>0.18770879840557453</v>
      </c>
      <c r="BH56" s="369">
        <f>'Income Statement'!DL27</f>
        <v>0.1844297471723807</v>
      </c>
      <c r="BI56" s="370">
        <f>'Income Statement'!DM27</f>
        <v>0.18421919148412269</v>
      </c>
      <c r="BJ56" s="371">
        <f>'Income Statement'!DN27</f>
        <v>0.18421919148412269</v>
      </c>
      <c r="BK56" s="371">
        <f>'Income Statement'!DO27</f>
        <v>0.18421919148412269</v>
      </c>
      <c r="BL56" s="372">
        <f>'Income Statement'!DP27</f>
        <v>0.18421919148412269</v>
      </c>
      <c r="BM56" s="369">
        <f>'Income Statement'!DQ27</f>
        <v>0.17112472756418109</v>
      </c>
    </row>
    <row r="57" spans="2:65" hidden="1">
      <c r="B57" s="313" t="str">
        <f>'Income Statement'!A28</f>
        <v xml:space="preserve">  Monetary Variation (when applicable)</v>
      </c>
      <c r="C57" s="355">
        <f>'Income Statement'!AY28</f>
        <v>0</v>
      </c>
      <c r="D57" s="355">
        <f>'Income Statement'!BD28</f>
        <v>0</v>
      </c>
      <c r="E57" s="355">
        <f>'Income Statement'!BI28</f>
        <v>0</v>
      </c>
      <c r="F57" s="362">
        <f>'Income Statement'!BJ28</f>
        <v>0</v>
      </c>
      <c r="G57" s="358">
        <f>'Income Statement'!BK28</f>
        <v>0</v>
      </c>
      <c r="H57" s="358">
        <f>'Income Statement'!BL28</f>
        <v>0</v>
      </c>
      <c r="I57" s="359">
        <f>'Income Statement'!BM28</f>
        <v>0</v>
      </c>
      <c r="J57" s="355">
        <f>'Income Statement'!BN28</f>
        <v>0</v>
      </c>
      <c r="K57" s="362">
        <f>'Income Statement'!BO28</f>
        <v>0</v>
      </c>
      <c r="L57" s="358">
        <f>'Income Statement'!BP28</f>
        <v>0</v>
      </c>
      <c r="M57" s="358">
        <f>'Income Statement'!BQ28</f>
        <v>0</v>
      </c>
      <c r="N57" s="359">
        <f>'Income Statement'!BR28</f>
        <v>0</v>
      </c>
      <c r="O57" s="355">
        <f>'Income Statement'!BS28</f>
        <v>0</v>
      </c>
      <c r="P57" s="362">
        <f>'Income Statement'!BT28</f>
        <v>0</v>
      </c>
      <c r="Q57" s="358">
        <f>'Income Statement'!BU28</f>
        <v>0</v>
      </c>
      <c r="R57" s="358">
        <f>'Income Statement'!BV28</f>
        <v>0</v>
      </c>
      <c r="S57" s="359">
        <f>'Income Statement'!BW28</f>
        <v>0</v>
      </c>
      <c r="T57" s="355">
        <f>'Income Statement'!BX28</f>
        <v>0</v>
      </c>
      <c r="U57" s="362">
        <f>'Income Statement'!BY28</f>
        <v>0</v>
      </c>
      <c r="V57" s="358">
        <f>'Income Statement'!BZ28</f>
        <v>0</v>
      </c>
      <c r="W57" s="358">
        <f>'Income Statement'!CA28</f>
        <v>0</v>
      </c>
      <c r="X57" s="359">
        <f>'Income Statement'!CB28</f>
        <v>0</v>
      </c>
      <c r="Y57" s="355">
        <f>'Income Statement'!CC28</f>
        <v>0</v>
      </c>
      <c r="Z57" s="362">
        <f>'Income Statement'!CD28</f>
        <v>0</v>
      </c>
      <c r="AA57" s="358">
        <f>'Income Statement'!CE28</f>
        <v>0</v>
      </c>
      <c r="AB57" s="358">
        <f>'Income Statement'!CF28</f>
        <v>0</v>
      </c>
      <c r="AC57" s="359">
        <f>'Income Statement'!CG28</f>
        <v>0</v>
      </c>
      <c r="AD57" s="355">
        <f>'Income Statement'!CH28</f>
        <v>0</v>
      </c>
      <c r="AE57" s="362">
        <f>'Income Statement'!CI28</f>
        <v>0</v>
      </c>
      <c r="AF57" s="358">
        <f>'Income Statement'!CJ28</f>
        <v>0</v>
      </c>
      <c r="AG57" s="358">
        <f>'Income Statement'!CK28</f>
        <v>0</v>
      </c>
      <c r="AH57" s="359">
        <f>'Income Statement'!CL28</f>
        <v>0</v>
      </c>
      <c r="AI57" s="355">
        <f>'Income Statement'!CM28</f>
        <v>0</v>
      </c>
      <c r="AJ57" s="362">
        <f>'Income Statement'!CN28</f>
        <v>0</v>
      </c>
      <c r="AK57" s="358">
        <f>'Income Statement'!CO28</f>
        <v>0</v>
      </c>
      <c r="AL57" s="358">
        <f>'Income Statement'!CP28</f>
        <v>0</v>
      </c>
      <c r="AM57" s="359">
        <f>'Income Statement'!CQ28</f>
        <v>0</v>
      </c>
      <c r="AN57" s="355">
        <f>'Income Statement'!CR28</f>
        <v>0</v>
      </c>
      <c r="AO57" s="362">
        <f>'Income Statement'!CS28</f>
        <v>0</v>
      </c>
      <c r="AP57" s="358">
        <f>'Income Statement'!CT28</f>
        <v>0</v>
      </c>
      <c r="AQ57" s="358">
        <f>'Income Statement'!CU28</f>
        <v>0</v>
      </c>
      <c r="AR57" s="359">
        <f>'Income Statement'!CV28</f>
        <v>0</v>
      </c>
      <c r="AS57" s="355">
        <f>'Income Statement'!CW28</f>
        <v>0</v>
      </c>
      <c r="AT57" s="362">
        <f>'Income Statement'!CX28</f>
        <v>0</v>
      </c>
      <c r="AU57" s="358">
        <f>'Income Statement'!CY28</f>
        <v>0</v>
      </c>
      <c r="AV57" s="358">
        <f>'Income Statement'!CZ28</f>
        <v>0</v>
      </c>
      <c r="AW57" s="359">
        <f>'Income Statement'!DA28</f>
        <v>0</v>
      </c>
      <c r="AX57" s="355">
        <f>'Income Statement'!DB28</f>
        <v>0</v>
      </c>
      <c r="AY57" s="362">
        <f>'Income Statement'!DC28</f>
        <v>0</v>
      </c>
      <c r="AZ57" s="358">
        <f>'Income Statement'!DD28</f>
        <v>0</v>
      </c>
      <c r="BA57" s="358">
        <f>'Income Statement'!DE28</f>
        <v>0</v>
      </c>
      <c r="BB57" s="359">
        <f>'Income Statement'!DF28</f>
        <v>0</v>
      </c>
      <c r="BC57" s="355">
        <f>'Income Statement'!DG28</f>
        <v>0</v>
      </c>
      <c r="BD57" s="362">
        <f>'Income Statement'!DH28</f>
        <v>0</v>
      </c>
      <c r="BE57" s="358">
        <f>'Income Statement'!DI28</f>
        <v>0</v>
      </c>
      <c r="BF57" s="358">
        <f>'Income Statement'!DJ28</f>
        <v>0</v>
      </c>
      <c r="BG57" s="359">
        <f>'Income Statement'!DK28</f>
        <v>0</v>
      </c>
      <c r="BH57" s="355">
        <f>'Income Statement'!DL28</f>
        <v>0</v>
      </c>
      <c r="BI57" s="362">
        <f>'Income Statement'!DM28</f>
        <v>0</v>
      </c>
      <c r="BJ57" s="358">
        <f>'Income Statement'!DN28</f>
        <v>0</v>
      </c>
      <c r="BK57" s="358">
        <f>'Income Statement'!DO28</f>
        <v>0</v>
      </c>
      <c r="BL57" s="359">
        <f>'Income Statement'!DP28</f>
        <v>0</v>
      </c>
      <c r="BM57" s="355">
        <f>'Income Statement'!DQ28</f>
        <v>0</v>
      </c>
    </row>
    <row r="58" spans="2:65" hidden="1">
      <c r="B58" s="313" t="str">
        <f>'Income Statement'!A29</f>
        <v>Other Operating Income</v>
      </c>
      <c r="C58" s="355">
        <f>'Income Statement'!AY29</f>
        <v>0</v>
      </c>
      <c r="D58" s="355">
        <f>'Income Statement'!BD29</f>
        <v>0</v>
      </c>
      <c r="E58" s="355">
        <f>'Income Statement'!BI29</f>
        <v>0</v>
      </c>
      <c r="F58" s="362">
        <f>'Income Statement'!BJ29</f>
        <v>0</v>
      </c>
      <c r="G58" s="358">
        <f>'Income Statement'!BK29</f>
        <v>0</v>
      </c>
      <c r="H58" s="358">
        <f>'Income Statement'!BL29</f>
        <v>0</v>
      </c>
      <c r="I58" s="359">
        <f>'Income Statement'!BM29</f>
        <v>0</v>
      </c>
      <c r="J58" s="355">
        <f>'Income Statement'!BN29</f>
        <v>0</v>
      </c>
      <c r="K58" s="362">
        <f>'Income Statement'!BO29</f>
        <v>0</v>
      </c>
      <c r="L58" s="358">
        <f>'Income Statement'!BP29</f>
        <v>0</v>
      </c>
      <c r="M58" s="358">
        <f>'Income Statement'!BQ29</f>
        <v>0</v>
      </c>
      <c r="N58" s="359">
        <f>'Income Statement'!BR29</f>
        <v>0</v>
      </c>
      <c r="O58" s="355">
        <f>'Income Statement'!BS29</f>
        <v>0</v>
      </c>
      <c r="P58" s="362">
        <f>'Income Statement'!BT29</f>
        <v>0</v>
      </c>
      <c r="Q58" s="358">
        <f>'Income Statement'!BU29</f>
        <v>0</v>
      </c>
      <c r="R58" s="358">
        <f>'Income Statement'!BV29</f>
        <v>0</v>
      </c>
      <c r="S58" s="359">
        <f>'Income Statement'!BW29</f>
        <v>0</v>
      </c>
      <c r="T58" s="355">
        <f>'Income Statement'!BX29</f>
        <v>0</v>
      </c>
      <c r="U58" s="362">
        <f>'Income Statement'!BY29</f>
        <v>0</v>
      </c>
      <c r="V58" s="358">
        <f>'Income Statement'!BZ29</f>
        <v>0</v>
      </c>
      <c r="W58" s="358">
        <f>'Income Statement'!CA29</f>
        <v>0</v>
      </c>
      <c r="X58" s="359">
        <f>'Income Statement'!CB29</f>
        <v>0</v>
      </c>
      <c r="Y58" s="355">
        <f>'Income Statement'!CC29</f>
        <v>0</v>
      </c>
      <c r="Z58" s="362">
        <f>'Income Statement'!CD29</f>
        <v>0</v>
      </c>
      <c r="AA58" s="358">
        <f>'Income Statement'!CE29</f>
        <v>0</v>
      </c>
      <c r="AB58" s="358">
        <f>'Income Statement'!CF29</f>
        <v>0</v>
      </c>
      <c r="AC58" s="359">
        <f>'Income Statement'!CG29</f>
        <v>0</v>
      </c>
      <c r="AD58" s="355">
        <f>'Income Statement'!CH29</f>
        <v>0</v>
      </c>
      <c r="AE58" s="362">
        <f>'Income Statement'!CI29</f>
        <v>0</v>
      </c>
      <c r="AF58" s="358">
        <f>'Income Statement'!CJ29</f>
        <v>0</v>
      </c>
      <c r="AG58" s="358">
        <f>'Income Statement'!CK29</f>
        <v>0</v>
      </c>
      <c r="AH58" s="359">
        <f>'Income Statement'!CL29</f>
        <v>0</v>
      </c>
      <c r="AI58" s="355">
        <f>'Income Statement'!CM29</f>
        <v>0</v>
      </c>
      <c r="AJ58" s="362">
        <f>'Income Statement'!CN29</f>
        <v>0</v>
      </c>
      <c r="AK58" s="358">
        <f>'Income Statement'!CO29</f>
        <v>0</v>
      </c>
      <c r="AL58" s="358">
        <f>'Income Statement'!CP29</f>
        <v>0</v>
      </c>
      <c r="AM58" s="359">
        <f>'Income Statement'!CQ29</f>
        <v>0</v>
      </c>
      <c r="AN58" s="355">
        <f>'Income Statement'!CR29</f>
        <v>0</v>
      </c>
      <c r="AO58" s="362">
        <f>'Income Statement'!CS29</f>
        <v>0</v>
      </c>
      <c r="AP58" s="358">
        <f>'Income Statement'!CT29</f>
        <v>0</v>
      </c>
      <c r="AQ58" s="358">
        <f>'Income Statement'!CU29</f>
        <v>0</v>
      </c>
      <c r="AR58" s="359">
        <f>'Income Statement'!CV29</f>
        <v>0</v>
      </c>
      <c r="AS58" s="355">
        <f>'Income Statement'!CW29</f>
        <v>0</v>
      </c>
      <c r="AT58" s="362">
        <f>'Income Statement'!CX29</f>
        <v>0</v>
      </c>
      <c r="AU58" s="358">
        <f>'Income Statement'!CY29</f>
        <v>0</v>
      </c>
      <c r="AV58" s="358">
        <f>'Income Statement'!CZ29</f>
        <v>0</v>
      </c>
      <c r="AW58" s="359">
        <f>'Income Statement'!DA29</f>
        <v>0</v>
      </c>
      <c r="AX58" s="355">
        <f>'Income Statement'!DB29</f>
        <v>0</v>
      </c>
      <c r="AY58" s="362">
        <f>'Income Statement'!DC29</f>
        <v>0</v>
      </c>
      <c r="AZ58" s="358">
        <f>'Income Statement'!DD29</f>
        <v>0</v>
      </c>
      <c r="BA58" s="358">
        <f>'Income Statement'!DE29</f>
        <v>0</v>
      </c>
      <c r="BB58" s="359">
        <f>'Income Statement'!DF29</f>
        <v>0</v>
      </c>
      <c r="BC58" s="355">
        <f>'Income Statement'!DG29</f>
        <v>0</v>
      </c>
      <c r="BD58" s="362">
        <f>'Income Statement'!DH29</f>
        <v>0</v>
      </c>
      <c r="BE58" s="358">
        <f>'Income Statement'!DI29</f>
        <v>0</v>
      </c>
      <c r="BF58" s="358">
        <f>'Income Statement'!DJ29</f>
        <v>0</v>
      </c>
      <c r="BG58" s="359">
        <f>'Income Statement'!DK29</f>
        <v>0</v>
      </c>
      <c r="BH58" s="355">
        <f>'Income Statement'!DL29</f>
        <v>0</v>
      </c>
      <c r="BI58" s="362">
        <f>'Income Statement'!DM29</f>
        <v>0</v>
      </c>
      <c r="BJ58" s="358">
        <f>'Income Statement'!DN29</f>
        <v>0</v>
      </c>
      <c r="BK58" s="358">
        <f>'Income Statement'!DO29</f>
        <v>0</v>
      </c>
      <c r="BL58" s="359">
        <f>'Income Statement'!DP29</f>
        <v>0</v>
      </c>
      <c r="BM58" s="355">
        <f>'Income Statement'!DQ29</f>
        <v>0</v>
      </c>
    </row>
    <row r="59" spans="2:65" hidden="1">
      <c r="B59" s="313" t="str">
        <f>'Income Statement'!A30</f>
        <v xml:space="preserve">  Client Financing (when applicable)</v>
      </c>
      <c r="C59" s="355">
        <f>'Income Statement'!AY30</f>
        <v>0</v>
      </c>
      <c r="D59" s="355">
        <f>'Income Statement'!BD30</f>
        <v>0</v>
      </c>
      <c r="E59" s="355">
        <f>'Income Statement'!BI30</f>
        <v>0</v>
      </c>
      <c r="F59" s="362">
        <f>'Income Statement'!BJ30</f>
        <v>0</v>
      </c>
      <c r="G59" s="358">
        <f>'Income Statement'!BK30</f>
        <v>0</v>
      </c>
      <c r="H59" s="358">
        <f>'Income Statement'!BL30</f>
        <v>0</v>
      </c>
      <c r="I59" s="359">
        <f>'Income Statement'!BM30</f>
        <v>0</v>
      </c>
      <c r="J59" s="355">
        <f>'Income Statement'!BN30</f>
        <v>0</v>
      </c>
      <c r="K59" s="362">
        <f>'Income Statement'!BO30</f>
        <v>0</v>
      </c>
      <c r="L59" s="358">
        <f>'Income Statement'!BP30</f>
        <v>0</v>
      </c>
      <c r="M59" s="358">
        <f>'Income Statement'!BQ30</f>
        <v>0</v>
      </c>
      <c r="N59" s="359">
        <f>'Income Statement'!BR30</f>
        <v>0</v>
      </c>
      <c r="O59" s="355">
        <f>'Income Statement'!BS30</f>
        <v>0</v>
      </c>
      <c r="P59" s="362">
        <f>'Income Statement'!BT30</f>
        <v>0</v>
      </c>
      <c r="Q59" s="358">
        <f>'Income Statement'!BU30</f>
        <v>0</v>
      </c>
      <c r="R59" s="358">
        <f>'Income Statement'!BV30</f>
        <v>0</v>
      </c>
      <c r="S59" s="359">
        <f>'Income Statement'!BW30</f>
        <v>0</v>
      </c>
      <c r="T59" s="355">
        <f>'Income Statement'!BX30</f>
        <v>0</v>
      </c>
      <c r="U59" s="362">
        <f>'Income Statement'!BY30</f>
        <v>0</v>
      </c>
      <c r="V59" s="358">
        <f>'Income Statement'!BZ30</f>
        <v>0</v>
      </c>
      <c r="W59" s="358">
        <f>'Income Statement'!CA30</f>
        <v>0</v>
      </c>
      <c r="X59" s="359">
        <f>'Income Statement'!CB30</f>
        <v>0</v>
      </c>
      <c r="Y59" s="355">
        <f>'Income Statement'!CC30</f>
        <v>0</v>
      </c>
      <c r="Z59" s="362">
        <f>'Income Statement'!CD30</f>
        <v>0</v>
      </c>
      <c r="AA59" s="358">
        <f>'Income Statement'!CE30</f>
        <v>0</v>
      </c>
      <c r="AB59" s="358">
        <f>'Income Statement'!CF30</f>
        <v>0</v>
      </c>
      <c r="AC59" s="359">
        <f>'Income Statement'!CG30</f>
        <v>0</v>
      </c>
      <c r="AD59" s="355">
        <f>'Income Statement'!CH30</f>
        <v>0</v>
      </c>
      <c r="AE59" s="362">
        <f>'Income Statement'!CI30</f>
        <v>0</v>
      </c>
      <c r="AF59" s="358">
        <f>'Income Statement'!CJ30</f>
        <v>0</v>
      </c>
      <c r="AG59" s="358">
        <f>'Income Statement'!CK30</f>
        <v>0</v>
      </c>
      <c r="AH59" s="359">
        <f>'Income Statement'!CL30</f>
        <v>0</v>
      </c>
      <c r="AI59" s="355">
        <f>'Income Statement'!CM30</f>
        <v>0</v>
      </c>
      <c r="AJ59" s="362">
        <f>'Income Statement'!CN30</f>
        <v>0</v>
      </c>
      <c r="AK59" s="358">
        <f>'Income Statement'!CO30</f>
        <v>0</v>
      </c>
      <c r="AL59" s="358">
        <f>'Income Statement'!CP30</f>
        <v>0</v>
      </c>
      <c r="AM59" s="359">
        <f>'Income Statement'!CQ30</f>
        <v>0</v>
      </c>
      <c r="AN59" s="355">
        <f>'Income Statement'!CR30</f>
        <v>0</v>
      </c>
      <c r="AO59" s="362">
        <f>'Income Statement'!CS30</f>
        <v>0</v>
      </c>
      <c r="AP59" s="358">
        <f>'Income Statement'!CT30</f>
        <v>0</v>
      </c>
      <c r="AQ59" s="358">
        <f>'Income Statement'!CU30</f>
        <v>0</v>
      </c>
      <c r="AR59" s="359">
        <f>'Income Statement'!CV30</f>
        <v>0</v>
      </c>
      <c r="AS59" s="355">
        <f>'Income Statement'!CW30</f>
        <v>0</v>
      </c>
      <c r="AT59" s="362">
        <f>'Income Statement'!CX30</f>
        <v>0</v>
      </c>
      <c r="AU59" s="358">
        <f>'Income Statement'!CY30</f>
        <v>0</v>
      </c>
      <c r="AV59" s="358">
        <f>'Income Statement'!CZ30</f>
        <v>0</v>
      </c>
      <c r="AW59" s="359">
        <f>'Income Statement'!DA30</f>
        <v>0</v>
      </c>
      <c r="AX59" s="355">
        <f>'Income Statement'!DB30</f>
        <v>0</v>
      </c>
      <c r="AY59" s="362">
        <f>'Income Statement'!DC30</f>
        <v>0</v>
      </c>
      <c r="AZ59" s="358">
        <f>'Income Statement'!DD30</f>
        <v>0</v>
      </c>
      <c r="BA59" s="358">
        <f>'Income Statement'!DE30</f>
        <v>0</v>
      </c>
      <c r="BB59" s="359">
        <f>'Income Statement'!DF30</f>
        <v>0</v>
      </c>
      <c r="BC59" s="355">
        <f>'Income Statement'!DG30</f>
        <v>0</v>
      </c>
      <c r="BD59" s="362">
        <f>'Income Statement'!DH30</f>
        <v>0</v>
      </c>
      <c r="BE59" s="358">
        <f>'Income Statement'!DI30</f>
        <v>0</v>
      </c>
      <c r="BF59" s="358">
        <f>'Income Statement'!DJ30</f>
        <v>0</v>
      </c>
      <c r="BG59" s="359">
        <f>'Income Statement'!DK30</f>
        <v>0</v>
      </c>
      <c r="BH59" s="355">
        <f>'Income Statement'!DL30</f>
        <v>0</v>
      </c>
      <c r="BI59" s="362">
        <f>'Income Statement'!DM30</f>
        <v>0</v>
      </c>
      <c r="BJ59" s="358">
        <f>'Income Statement'!DN30</f>
        <v>0</v>
      </c>
      <c r="BK59" s="358">
        <f>'Income Statement'!DO30</f>
        <v>0</v>
      </c>
      <c r="BL59" s="359">
        <f>'Income Statement'!DP30</f>
        <v>0</v>
      </c>
      <c r="BM59" s="355">
        <f>'Income Statement'!DQ30</f>
        <v>0</v>
      </c>
    </row>
    <row r="60" spans="2:65" hidden="1">
      <c r="B60" s="313" t="str">
        <f>'Income Statement'!A31</f>
        <v xml:space="preserve">  Extraordinary items</v>
      </c>
      <c r="C60" s="355">
        <f>'Income Statement'!AY31</f>
        <v>0</v>
      </c>
      <c r="D60" s="355">
        <f>'Income Statement'!BD31</f>
        <v>0</v>
      </c>
      <c r="E60" s="355">
        <f>'Income Statement'!BI31</f>
        <v>0</v>
      </c>
      <c r="F60" s="362">
        <f>'Income Statement'!BJ31</f>
        <v>0</v>
      </c>
      <c r="G60" s="358">
        <f>'Income Statement'!BK31</f>
        <v>0</v>
      </c>
      <c r="H60" s="358">
        <f>'Income Statement'!BL31</f>
        <v>0</v>
      </c>
      <c r="I60" s="359">
        <f>'Income Statement'!BM31</f>
        <v>0</v>
      </c>
      <c r="J60" s="355">
        <f>'Income Statement'!BN31</f>
        <v>0</v>
      </c>
      <c r="K60" s="362">
        <f>'Income Statement'!BO31</f>
        <v>0</v>
      </c>
      <c r="L60" s="358">
        <f>'Income Statement'!BP31</f>
        <v>0</v>
      </c>
      <c r="M60" s="358">
        <f>'Income Statement'!BQ31</f>
        <v>0</v>
      </c>
      <c r="N60" s="359">
        <f>'Income Statement'!BR31</f>
        <v>0</v>
      </c>
      <c r="O60" s="355">
        <f>'Income Statement'!BS31</f>
        <v>0</v>
      </c>
      <c r="P60" s="362">
        <f>'Income Statement'!BT31</f>
        <v>0</v>
      </c>
      <c r="Q60" s="358">
        <f>'Income Statement'!BU31</f>
        <v>0</v>
      </c>
      <c r="R60" s="358">
        <f>'Income Statement'!BV31</f>
        <v>0</v>
      </c>
      <c r="S60" s="359">
        <f>'Income Statement'!BW31</f>
        <v>0</v>
      </c>
      <c r="T60" s="355">
        <f>'Income Statement'!BX31</f>
        <v>0</v>
      </c>
      <c r="U60" s="362">
        <f>'Income Statement'!BY31</f>
        <v>0</v>
      </c>
      <c r="V60" s="358">
        <f>'Income Statement'!BZ31</f>
        <v>0</v>
      </c>
      <c r="W60" s="358">
        <f>'Income Statement'!CA31</f>
        <v>0</v>
      </c>
      <c r="X60" s="359">
        <f>'Income Statement'!CB31</f>
        <v>0</v>
      </c>
      <c r="Y60" s="355">
        <f>'Income Statement'!CC31</f>
        <v>0</v>
      </c>
      <c r="Z60" s="362">
        <f>'Income Statement'!CD31</f>
        <v>0</v>
      </c>
      <c r="AA60" s="358">
        <f>'Income Statement'!CE31</f>
        <v>0</v>
      </c>
      <c r="AB60" s="358">
        <f>'Income Statement'!CF31</f>
        <v>0</v>
      </c>
      <c r="AC60" s="359">
        <f>'Income Statement'!CG31</f>
        <v>0</v>
      </c>
      <c r="AD60" s="355">
        <f>'Income Statement'!CH31</f>
        <v>0</v>
      </c>
      <c r="AE60" s="362">
        <f>'Income Statement'!CI31</f>
        <v>0</v>
      </c>
      <c r="AF60" s="358">
        <f>'Income Statement'!CJ31</f>
        <v>0</v>
      </c>
      <c r="AG60" s="358">
        <f>'Income Statement'!CK31</f>
        <v>0</v>
      </c>
      <c r="AH60" s="359">
        <f>'Income Statement'!CL31</f>
        <v>0</v>
      </c>
      <c r="AI60" s="355">
        <f>'Income Statement'!CM31</f>
        <v>0</v>
      </c>
      <c r="AJ60" s="362">
        <f>'Income Statement'!CN31</f>
        <v>0</v>
      </c>
      <c r="AK60" s="358">
        <f>'Income Statement'!CO31</f>
        <v>0</v>
      </c>
      <c r="AL60" s="358">
        <f>'Income Statement'!CP31</f>
        <v>0</v>
      </c>
      <c r="AM60" s="359">
        <f>'Income Statement'!CQ31</f>
        <v>0</v>
      </c>
      <c r="AN60" s="355">
        <f>'Income Statement'!CR31</f>
        <v>0</v>
      </c>
      <c r="AO60" s="362">
        <f>'Income Statement'!CS31</f>
        <v>0</v>
      </c>
      <c r="AP60" s="358">
        <f>'Income Statement'!CT31</f>
        <v>0</v>
      </c>
      <c r="AQ60" s="358">
        <f>'Income Statement'!CU31</f>
        <v>0</v>
      </c>
      <c r="AR60" s="359">
        <f>'Income Statement'!CV31</f>
        <v>0</v>
      </c>
      <c r="AS60" s="355">
        <f>'Income Statement'!CW31</f>
        <v>0</v>
      </c>
      <c r="AT60" s="362">
        <f>'Income Statement'!CX31</f>
        <v>0</v>
      </c>
      <c r="AU60" s="358">
        <f>'Income Statement'!CY31</f>
        <v>0</v>
      </c>
      <c r="AV60" s="358">
        <f>'Income Statement'!CZ31</f>
        <v>0</v>
      </c>
      <c r="AW60" s="359">
        <f>'Income Statement'!DA31</f>
        <v>0</v>
      </c>
      <c r="AX60" s="355">
        <f>'Income Statement'!DB31</f>
        <v>0</v>
      </c>
      <c r="AY60" s="362">
        <f>'Income Statement'!DC31</f>
        <v>0</v>
      </c>
      <c r="AZ60" s="358">
        <f>'Income Statement'!DD31</f>
        <v>0</v>
      </c>
      <c r="BA60" s="358">
        <f>'Income Statement'!DE31</f>
        <v>0</v>
      </c>
      <c r="BB60" s="359">
        <f>'Income Statement'!DF31</f>
        <v>0</v>
      </c>
      <c r="BC60" s="355">
        <f>'Income Statement'!DG31</f>
        <v>0</v>
      </c>
      <c r="BD60" s="362">
        <f>'Income Statement'!DH31</f>
        <v>0</v>
      </c>
      <c r="BE60" s="358">
        <f>'Income Statement'!DI31</f>
        <v>0</v>
      </c>
      <c r="BF60" s="358">
        <f>'Income Statement'!DJ31</f>
        <v>0</v>
      </c>
      <c r="BG60" s="359">
        <f>'Income Statement'!DK31</f>
        <v>0</v>
      </c>
      <c r="BH60" s="355">
        <f>'Income Statement'!DL31</f>
        <v>0</v>
      </c>
      <c r="BI60" s="362">
        <f>'Income Statement'!DM31</f>
        <v>0</v>
      </c>
      <c r="BJ60" s="358">
        <f>'Income Statement'!DN31</f>
        <v>0</v>
      </c>
      <c r="BK60" s="358">
        <f>'Income Statement'!DO31</f>
        <v>0</v>
      </c>
      <c r="BL60" s="359">
        <f>'Income Statement'!DP31</f>
        <v>0</v>
      </c>
      <c r="BM60" s="355">
        <f>'Income Statement'!DQ31</f>
        <v>0</v>
      </c>
    </row>
    <row r="61" spans="2:65" hidden="1">
      <c r="B61" s="313" t="str">
        <f>'Income Statement'!A32</f>
        <v>Other Operating Expenses</v>
      </c>
      <c r="C61" s="355">
        <f>'Income Statement'!AY32</f>
        <v>-2946.0430000000001</v>
      </c>
      <c r="D61" s="355">
        <f>'Income Statement'!BD32</f>
        <v>-13514</v>
      </c>
      <c r="E61" s="355">
        <f>'Income Statement'!BI32</f>
        <v>-12889</v>
      </c>
      <c r="F61" s="362">
        <f>'Income Statement'!BJ32</f>
        <v>0</v>
      </c>
      <c r="G61" s="358">
        <f>'Income Statement'!BK32</f>
        <v>0</v>
      </c>
      <c r="H61" s="358">
        <f>'Income Statement'!BL32</f>
        <v>0</v>
      </c>
      <c r="I61" s="359">
        <f>'Income Statement'!BM32</f>
        <v>-7840</v>
      </c>
      <c r="J61" s="355">
        <f>'Income Statement'!BN32</f>
        <v>-7840</v>
      </c>
      <c r="K61" s="362">
        <f>'Income Statement'!BO32</f>
        <v>0</v>
      </c>
      <c r="L61" s="358">
        <f>'Income Statement'!BP32</f>
        <v>0</v>
      </c>
      <c r="M61" s="358">
        <f>'Income Statement'!BQ32</f>
        <v>0</v>
      </c>
      <c r="N61" s="359">
        <f>'Income Statement'!BR32</f>
        <v>21796</v>
      </c>
      <c r="O61" s="355">
        <f>'Income Statement'!BS32</f>
        <v>21796</v>
      </c>
      <c r="P61" s="362">
        <f>'Income Statement'!BT32</f>
        <v>0</v>
      </c>
      <c r="Q61" s="358">
        <f>'Income Statement'!BU32</f>
        <v>0</v>
      </c>
      <c r="R61" s="358">
        <f>'Income Statement'!BV32</f>
        <v>0</v>
      </c>
      <c r="S61" s="359">
        <f>'Income Statement'!BW32</f>
        <v>5717</v>
      </c>
      <c r="T61" s="355">
        <f>'Income Statement'!BX32</f>
        <v>5717</v>
      </c>
      <c r="U61" s="362">
        <f>'Income Statement'!BY32</f>
        <v>12268</v>
      </c>
      <c r="V61" s="358">
        <f>'Income Statement'!BZ32</f>
        <v>26623</v>
      </c>
      <c r="W61" s="358">
        <f>'Income Statement'!CA32</f>
        <v>18961</v>
      </c>
      <c r="X61" s="359">
        <f>'Income Statement'!CB32</f>
        <v>18642</v>
      </c>
      <c r="Y61" s="355">
        <f>'Income Statement'!CC32</f>
        <v>76494</v>
      </c>
      <c r="Z61" s="362">
        <f>'Income Statement'!CD32</f>
        <v>-6104</v>
      </c>
      <c r="AA61" s="358">
        <f>'Income Statement'!CE32</f>
        <v>2058</v>
      </c>
      <c r="AB61" s="358">
        <f>'Income Statement'!CF32</f>
        <v>-3669</v>
      </c>
      <c r="AC61" s="359">
        <f>'Income Statement'!CG32</f>
        <v>124</v>
      </c>
      <c r="AD61" s="355">
        <f>'Income Statement'!CH32</f>
        <v>-7591</v>
      </c>
      <c r="AE61" s="362">
        <f>'Income Statement'!CI32</f>
        <v>-6859</v>
      </c>
      <c r="AF61" s="358">
        <f>'Income Statement'!CJ32</f>
        <v>-11260</v>
      </c>
      <c r="AG61" s="358">
        <f>'Income Statement'!CK32</f>
        <v>-9272</v>
      </c>
      <c r="AH61" s="359">
        <f>'Income Statement'!CL32</f>
        <v>23413</v>
      </c>
      <c r="AI61" s="355">
        <f>'Income Statement'!CM32</f>
        <v>-3978</v>
      </c>
      <c r="AJ61" s="362">
        <f>'Income Statement'!CN32</f>
        <v>-19752</v>
      </c>
      <c r="AK61" s="358">
        <f>'Income Statement'!CO32</f>
        <v>-15841</v>
      </c>
      <c r="AL61" s="358">
        <f>'Income Statement'!CP32</f>
        <v>-11872</v>
      </c>
      <c r="AM61" s="359">
        <f>'Income Statement'!CQ32</f>
        <v>-13461</v>
      </c>
      <c r="AN61" s="355">
        <f>'Income Statement'!CR32</f>
        <v>-60926</v>
      </c>
      <c r="AO61" s="362">
        <f>'Income Statement'!CS32</f>
        <v>-13586</v>
      </c>
      <c r="AP61" s="358">
        <f>'Income Statement'!CT32</f>
        <v>-19289</v>
      </c>
      <c r="AQ61" s="358">
        <f>'Income Statement'!CU32</f>
        <v>-13499</v>
      </c>
      <c r="AR61" s="359">
        <f>'Income Statement'!CV32</f>
        <v>-20648</v>
      </c>
      <c r="AS61" s="355">
        <f>'Income Statement'!CW32</f>
        <v>-67022</v>
      </c>
      <c r="AT61" s="362">
        <f>'Income Statement'!CX32</f>
        <v>-21874</v>
      </c>
      <c r="AU61" s="358">
        <f>'Income Statement'!CY32</f>
        <v>-23978</v>
      </c>
      <c r="AV61" s="358">
        <f>'Income Statement'!CZ32</f>
        <v>-20472</v>
      </c>
      <c r="AW61" s="359">
        <f>'Income Statement'!DA32</f>
        <v>-21847</v>
      </c>
      <c r="AX61" s="355">
        <f>'Income Statement'!DB32</f>
        <v>-88171</v>
      </c>
      <c r="AY61" s="362">
        <f>'Income Statement'!DC32</f>
        <v>-39942</v>
      </c>
      <c r="AZ61" s="358">
        <f>'Income Statement'!DD32</f>
        <v>-30720</v>
      </c>
      <c r="BA61" s="358">
        <f>'Income Statement'!DE32</f>
        <v>-39423</v>
      </c>
      <c r="BB61" s="359">
        <f>'Income Statement'!DF32</f>
        <v>-42467</v>
      </c>
      <c r="BC61" s="355">
        <f>'Income Statement'!DG32</f>
        <v>-152552</v>
      </c>
      <c r="BD61" s="362">
        <f>'Income Statement'!DH32</f>
        <v>-45003</v>
      </c>
      <c r="BE61" s="358">
        <f>'Income Statement'!DI32</f>
        <v>-45995</v>
      </c>
      <c r="BF61" s="358">
        <f>'Income Statement'!DJ32</f>
        <v>-48011.12801703588</v>
      </c>
      <c r="BG61" s="359">
        <f>'Income Statement'!DK32</f>
        <v>-51921.070781156101</v>
      </c>
      <c r="BH61" s="355">
        <f>'Income Statement'!DL32</f>
        <v>-190930.198798192</v>
      </c>
      <c r="BI61" s="362">
        <f>'Income Statement'!DM32</f>
        <v>-48285.660070834303</v>
      </c>
      <c r="BJ61" s="358">
        <f>'Income Statement'!DN32</f>
        <v>-49851.166784537825</v>
      </c>
      <c r="BK61" s="358">
        <f>'Income Statement'!DO32</f>
        <v>-51179.974214780821</v>
      </c>
      <c r="BL61" s="359">
        <f>'Income Statement'!DP32</f>
        <v>-52406.915822728464</v>
      </c>
      <c r="BM61" s="355">
        <f>'Income Statement'!DQ32</f>
        <v>-201723.71689288144</v>
      </c>
    </row>
    <row r="62" spans="2:65" hidden="1">
      <c r="B62" s="313" t="str">
        <f>'Income Statement'!A33</f>
        <v xml:space="preserve">  Expenses</v>
      </c>
      <c r="C62" s="355">
        <f>'Income Statement'!AY33</f>
        <v>-2946.0430000000001</v>
      </c>
      <c r="D62" s="355">
        <f>'Income Statement'!BD33</f>
        <v>-8572</v>
      </c>
      <c r="E62" s="355">
        <f>'Income Statement'!BI33</f>
        <v>-9521</v>
      </c>
      <c r="F62" s="362">
        <f>'Income Statement'!BJ33</f>
        <v>0</v>
      </c>
      <c r="G62" s="358">
        <f>'Income Statement'!BK33</f>
        <v>0</v>
      </c>
      <c r="H62" s="358">
        <f>'Income Statement'!BL33</f>
        <v>0</v>
      </c>
      <c r="I62" s="359">
        <f>'Income Statement'!BM33</f>
        <v>-2066</v>
      </c>
      <c r="J62" s="355">
        <f>'Income Statement'!BN33</f>
        <v>-2066</v>
      </c>
      <c r="K62" s="362">
        <f>'Income Statement'!BO33</f>
        <v>0</v>
      </c>
      <c r="L62" s="358">
        <f>'Income Statement'!BP33</f>
        <v>0</v>
      </c>
      <c r="M62" s="358">
        <f>'Income Statement'!BQ33</f>
        <v>0</v>
      </c>
      <c r="N62" s="359">
        <f>'Income Statement'!BR33</f>
        <v>29267</v>
      </c>
      <c r="O62" s="355">
        <f>'Income Statement'!BS33</f>
        <v>29267</v>
      </c>
      <c r="P62" s="362">
        <f>'Income Statement'!BT33</f>
        <v>0</v>
      </c>
      <c r="Q62" s="358">
        <f>'Income Statement'!BU33</f>
        <v>0</v>
      </c>
      <c r="R62" s="358">
        <f>'Income Statement'!BV33</f>
        <v>0</v>
      </c>
      <c r="S62" s="359">
        <f>'Income Statement'!BW33</f>
        <v>9435</v>
      </c>
      <c r="T62" s="355">
        <f>'Income Statement'!BX33</f>
        <v>9435</v>
      </c>
      <c r="U62" s="362">
        <f>'Income Statement'!BY33</f>
        <v>14122</v>
      </c>
      <c r="V62" s="358">
        <f>'Income Statement'!BZ33</f>
        <v>26802</v>
      </c>
      <c r="W62" s="358">
        <f>'Income Statement'!CA33</f>
        <v>19360</v>
      </c>
      <c r="X62" s="359">
        <f>'Income Statement'!CB33</f>
        <v>17365</v>
      </c>
      <c r="Y62" s="355">
        <f>'Income Statement'!CC33</f>
        <v>77649</v>
      </c>
      <c r="Z62" s="362">
        <f>'Income Statement'!CD33</f>
        <v>-3179</v>
      </c>
      <c r="AA62" s="358">
        <f>'Income Statement'!CE33</f>
        <v>2365</v>
      </c>
      <c r="AB62" s="358">
        <f>'Income Statement'!CF33</f>
        <v>-3304</v>
      </c>
      <c r="AC62" s="359">
        <f>'Income Statement'!CG33</f>
        <v>-1914</v>
      </c>
      <c r="AD62" s="355">
        <f>'Income Statement'!CH33</f>
        <v>-6032</v>
      </c>
      <c r="AE62" s="362">
        <f>'Income Statement'!CI33</f>
        <v>-6524</v>
      </c>
      <c r="AF62" s="358">
        <f>'Income Statement'!CJ33</f>
        <v>-10905</v>
      </c>
      <c r="AG62" s="358">
        <f>'Income Statement'!CK33</f>
        <v>-8907</v>
      </c>
      <c r="AH62" s="359">
        <f>'Income Statement'!CL33</f>
        <v>23796</v>
      </c>
      <c r="AI62" s="355">
        <f>'Income Statement'!CM33</f>
        <v>-2540</v>
      </c>
      <c r="AJ62" s="362">
        <f>'Income Statement'!CN33</f>
        <v>-19298</v>
      </c>
      <c r="AK62" s="358">
        <f>'Income Statement'!CO33</f>
        <v>-15382</v>
      </c>
      <c r="AL62" s="358">
        <f>'Income Statement'!CP33</f>
        <v>-11456</v>
      </c>
      <c r="AM62" s="359">
        <f>'Income Statement'!CQ33</f>
        <v>-12938</v>
      </c>
      <c r="AN62" s="355">
        <f>'Income Statement'!CR33</f>
        <v>-59074</v>
      </c>
      <c r="AO62" s="362">
        <f>'Income Statement'!CS33</f>
        <v>-12810</v>
      </c>
      <c r="AP62" s="358">
        <f>'Income Statement'!CT33</f>
        <v>-18568</v>
      </c>
      <c r="AQ62" s="358">
        <f>'Income Statement'!CU33</f>
        <v>-12803</v>
      </c>
      <c r="AR62" s="359">
        <f>'Income Statement'!CV33</f>
        <v>-19866</v>
      </c>
      <c r="AS62" s="355">
        <f>'Income Statement'!CW33</f>
        <v>-64047</v>
      </c>
      <c r="AT62" s="362">
        <f>'Income Statement'!CX33</f>
        <v>-21345</v>
      </c>
      <c r="AU62" s="358">
        <f>'Income Statement'!CY33</f>
        <v>-23250</v>
      </c>
      <c r="AV62" s="358">
        <f>'Income Statement'!CZ33</f>
        <v>-19747</v>
      </c>
      <c r="AW62" s="359">
        <f>'Income Statement'!DA33</f>
        <v>-21156</v>
      </c>
      <c r="AX62" s="355">
        <f>'Income Statement'!DB33</f>
        <v>-85498</v>
      </c>
      <c r="AY62" s="362">
        <f>'Income Statement'!DC33</f>
        <v>-39738</v>
      </c>
      <c r="AZ62" s="358">
        <f>'Income Statement'!DD33</f>
        <v>-30494</v>
      </c>
      <c r="BA62" s="358">
        <f>'Income Statement'!DE33</f>
        <v>-39204</v>
      </c>
      <c r="BB62" s="359">
        <f>'Income Statement'!DF33</f>
        <v>-42251</v>
      </c>
      <c r="BC62" s="355">
        <f>'Income Statement'!DG33</f>
        <v>-151687</v>
      </c>
      <c r="BD62" s="362">
        <f>'Income Statement'!DH33</f>
        <v>-44791</v>
      </c>
      <c r="BE62" s="358">
        <f>'Income Statement'!DI33</f>
        <v>-45797</v>
      </c>
      <c r="BF62" s="358">
        <f>'Income Statement'!DJ33</f>
        <v>-47137.678725422229</v>
      </c>
      <c r="BG62" s="359">
        <f>'Income Statement'!DK33</f>
        <v>-51043.146222648189</v>
      </c>
      <c r="BH62" s="355">
        <f>'Income Statement'!DL33</f>
        <v>-188768.82494807043</v>
      </c>
      <c r="BI62" s="362">
        <f>'Income Statement'!DM33</f>
        <v>-47403.237315636477</v>
      </c>
      <c r="BJ62" s="358">
        <f>'Income Statement'!DN33</f>
        <v>-48964.22278536969</v>
      </c>
      <c r="BK62" s="358">
        <f>'Income Statement'!DO33</f>
        <v>-50288.485806275305</v>
      </c>
      <c r="BL62" s="359">
        <f>'Income Statement'!DP33</f>
        <v>-51510.859720826775</v>
      </c>
      <c r="BM62" s="355">
        <f>'Income Statement'!DQ33</f>
        <v>-198166.80562810827</v>
      </c>
    </row>
    <row r="63" spans="2:65" hidden="1">
      <c r="B63" s="313" t="str">
        <f>'Income Statement'!A34</f>
        <v xml:space="preserve">  Depreciation</v>
      </c>
      <c r="C63" s="355">
        <f>'Income Statement'!AY34</f>
        <v>0</v>
      </c>
      <c r="D63" s="355">
        <f>'Income Statement'!BD34</f>
        <v>-4942</v>
      </c>
      <c r="E63" s="355">
        <f>'Income Statement'!BI34</f>
        <v>-3368</v>
      </c>
      <c r="F63" s="362">
        <f>'Income Statement'!BJ34</f>
        <v>0</v>
      </c>
      <c r="G63" s="358">
        <f>'Income Statement'!BK34</f>
        <v>0</v>
      </c>
      <c r="H63" s="358">
        <f>'Income Statement'!BL34</f>
        <v>0</v>
      </c>
      <c r="I63" s="359">
        <f>'Income Statement'!BM34</f>
        <v>-5774</v>
      </c>
      <c r="J63" s="355">
        <f>'Income Statement'!BN34</f>
        <v>-5774</v>
      </c>
      <c r="K63" s="362">
        <f>'Income Statement'!BO34</f>
        <v>0</v>
      </c>
      <c r="L63" s="358">
        <f>'Income Statement'!BP34</f>
        <v>0</v>
      </c>
      <c r="M63" s="358">
        <f>'Income Statement'!BQ34</f>
        <v>0</v>
      </c>
      <c r="N63" s="359">
        <f>'Income Statement'!BR34</f>
        <v>-7471</v>
      </c>
      <c r="O63" s="355">
        <f>'Income Statement'!BS34</f>
        <v>-7471</v>
      </c>
      <c r="P63" s="362">
        <f>'Income Statement'!BT34</f>
        <v>0</v>
      </c>
      <c r="Q63" s="358">
        <f>'Income Statement'!BU34</f>
        <v>0</v>
      </c>
      <c r="R63" s="358">
        <f>'Income Statement'!BV34</f>
        <v>0</v>
      </c>
      <c r="S63" s="359">
        <f>'Income Statement'!BW34</f>
        <v>-3718</v>
      </c>
      <c r="T63" s="355">
        <f>'Income Statement'!BX34</f>
        <v>-3718</v>
      </c>
      <c r="U63" s="362">
        <f>'Income Statement'!BY34</f>
        <v>-1854</v>
      </c>
      <c r="V63" s="358">
        <f>'Income Statement'!BZ34</f>
        <v>-179</v>
      </c>
      <c r="W63" s="358">
        <f>'Income Statement'!CA34</f>
        <v>-399</v>
      </c>
      <c r="X63" s="359">
        <f>'Income Statement'!CB34</f>
        <v>1277</v>
      </c>
      <c r="Y63" s="355">
        <f>'Income Statement'!CC34</f>
        <v>-1155</v>
      </c>
      <c r="Z63" s="362">
        <f>'Income Statement'!CD34</f>
        <v>-2925</v>
      </c>
      <c r="AA63" s="358">
        <f>'Income Statement'!CE34</f>
        <v>-307</v>
      </c>
      <c r="AB63" s="358">
        <f>'Income Statement'!CF34</f>
        <v>-365</v>
      </c>
      <c r="AC63" s="359">
        <f>'Income Statement'!CG34</f>
        <v>2038</v>
      </c>
      <c r="AD63" s="355">
        <f>'Income Statement'!CH34</f>
        <v>-1559</v>
      </c>
      <c r="AE63" s="362">
        <f>'Income Statement'!CI34</f>
        <v>-335</v>
      </c>
      <c r="AF63" s="358">
        <f>'Income Statement'!CJ34</f>
        <v>-355</v>
      </c>
      <c r="AG63" s="358">
        <f>'Income Statement'!CK34</f>
        <v>-365</v>
      </c>
      <c r="AH63" s="359">
        <f>'Income Statement'!CL34</f>
        <v>-383</v>
      </c>
      <c r="AI63" s="355">
        <f>'Income Statement'!CM34</f>
        <v>-1438</v>
      </c>
      <c r="AJ63" s="362">
        <f>'Income Statement'!CN34</f>
        <v>-454</v>
      </c>
      <c r="AK63" s="358">
        <f>'Income Statement'!CO34</f>
        <v>-459</v>
      </c>
      <c r="AL63" s="358">
        <f>'Income Statement'!CP34</f>
        <v>-416</v>
      </c>
      <c r="AM63" s="359">
        <f>'Income Statement'!CQ34</f>
        <v>-523</v>
      </c>
      <c r="AN63" s="355">
        <f>'Income Statement'!CR34</f>
        <v>-1852</v>
      </c>
      <c r="AO63" s="362">
        <f>'Income Statement'!CS34</f>
        <v>-776</v>
      </c>
      <c r="AP63" s="358">
        <f>'Income Statement'!CT34</f>
        <v>-721</v>
      </c>
      <c r="AQ63" s="358">
        <f>'Income Statement'!CU34</f>
        <v>-696</v>
      </c>
      <c r="AR63" s="359">
        <f>'Income Statement'!CV34</f>
        <v>-782</v>
      </c>
      <c r="AS63" s="355">
        <f>'Income Statement'!CW34</f>
        <v>-2975</v>
      </c>
      <c r="AT63" s="362">
        <f>'Income Statement'!CX34</f>
        <v>-529</v>
      </c>
      <c r="AU63" s="358">
        <f>'Income Statement'!CY34</f>
        <v>-728</v>
      </c>
      <c r="AV63" s="358">
        <f>'Income Statement'!CZ34</f>
        <v>-725</v>
      </c>
      <c r="AW63" s="359">
        <f>'Income Statement'!DA34</f>
        <v>-691</v>
      </c>
      <c r="AX63" s="355">
        <f>'Income Statement'!DB34</f>
        <v>-2673</v>
      </c>
      <c r="AY63" s="362">
        <f>'Income Statement'!DC34</f>
        <v>-204</v>
      </c>
      <c r="AZ63" s="358">
        <f>'Income Statement'!DD34</f>
        <v>-226</v>
      </c>
      <c r="BA63" s="358">
        <f>'Income Statement'!DE34</f>
        <v>-219</v>
      </c>
      <c r="BB63" s="359">
        <f>'Income Statement'!DF34</f>
        <v>-216</v>
      </c>
      <c r="BC63" s="355">
        <f>'Income Statement'!DG34</f>
        <v>-865</v>
      </c>
      <c r="BD63" s="362">
        <f>'Income Statement'!DH34</f>
        <v>-212</v>
      </c>
      <c r="BE63" s="358">
        <f>'Income Statement'!DI34</f>
        <v>-198</v>
      </c>
      <c r="BF63" s="358">
        <f>'Income Statement'!DJ34</f>
        <v>-873.44929161365451</v>
      </c>
      <c r="BG63" s="359">
        <f>'Income Statement'!DK34</f>
        <v>-877.92455850791214</v>
      </c>
      <c r="BH63" s="355">
        <f>'Income Statement'!DL34</f>
        <v>-2161.3738501215666</v>
      </c>
      <c r="BI63" s="362">
        <f>'Income Statement'!DM34</f>
        <v>-882.42275519782834</v>
      </c>
      <c r="BJ63" s="358">
        <f>'Income Statement'!DN34</f>
        <v>-886.9439991681345</v>
      </c>
      <c r="BK63" s="358">
        <f>'Income Statement'!DO34</f>
        <v>-891.48840850551505</v>
      </c>
      <c r="BL63" s="359">
        <f>'Income Statement'!DP34</f>
        <v>-896.05610190169182</v>
      </c>
      <c r="BM63" s="355">
        <f>'Income Statement'!DQ34</f>
        <v>-3556.9112647731695</v>
      </c>
    </row>
    <row r="64" spans="2:65" hidden="1">
      <c r="B64" s="313" t="str">
        <f>'Income Statement'!A35</f>
        <v xml:space="preserve">  Extraordinary items</v>
      </c>
      <c r="C64" s="355">
        <f>'Income Statement'!AY35</f>
        <v>0</v>
      </c>
      <c r="D64" s="355">
        <f>'Income Statement'!BD35</f>
        <v>0</v>
      </c>
      <c r="E64" s="355">
        <f>'Income Statement'!BI35</f>
        <v>0</v>
      </c>
      <c r="F64" s="362">
        <f>'Income Statement'!BJ35</f>
        <v>0</v>
      </c>
      <c r="G64" s="358">
        <f>'Income Statement'!BK35</f>
        <v>0</v>
      </c>
      <c r="H64" s="358">
        <f>'Income Statement'!BL35</f>
        <v>0</v>
      </c>
      <c r="I64" s="359">
        <f>'Income Statement'!BM35</f>
        <v>0</v>
      </c>
      <c r="J64" s="355">
        <f>'Income Statement'!BN35</f>
        <v>0</v>
      </c>
      <c r="K64" s="362">
        <f>'Income Statement'!BO35</f>
        <v>0</v>
      </c>
      <c r="L64" s="358">
        <f>'Income Statement'!BP35</f>
        <v>0</v>
      </c>
      <c r="M64" s="358">
        <f>'Income Statement'!BQ35</f>
        <v>0</v>
      </c>
      <c r="N64" s="359">
        <f>'Income Statement'!BR35</f>
        <v>0</v>
      </c>
      <c r="O64" s="355">
        <f>'Income Statement'!BS35</f>
        <v>0</v>
      </c>
      <c r="P64" s="362">
        <f>'Income Statement'!BT35</f>
        <v>0</v>
      </c>
      <c r="Q64" s="358">
        <f>'Income Statement'!BU35</f>
        <v>0</v>
      </c>
      <c r="R64" s="358">
        <f>'Income Statement'!BV35</f>
        <v>0</v>
      </c>
      <c r="S64" s="359">
        <f>'Income Statement'!BW35</f>
        <v>0</v>
      </c>
      <c r="T64" s="355">
        <f>'Income Statement'!BX35</f>
        <v>0</v>
      </c>
      <c r="U64" s="362">
        <f>'Income Statement'!BY35</f>
        <v>0</v>
      </c>
      <c r="V64" s="358">
        <f>'Income Statement'!BZ35</f>
        <v>0</v>
      </c>
      <c r="W64" s="358">
        <f>'Income Statement'!CA35</f>
        <v>0</v>
      </c>
      <c r="X64" s="359">
        <f>'Income Statement'!CB35</f>
        <v>0</v>
      </c>
      <c r="Y64" s="355">
        <f>'Income Statement'!CC35</f>
        <v>0</v>
      </c>
      <c r="Z64" s="362">
        <f>'Income Statement'!CD35</f>
        <v>0</v>
      </c>
      <c r="AA64" s="358">
        <f>'Income Statement'!CE35</f>
        <v>0</v>
      </c>
      <c r="AB64" s="358">
        <f>'Income Statement'!CF35</f>
        <v>0</v>
      </c>
      <c r="AC64" s="359">
        <f>'Income Statement'!CG35</f>
        <v>0</v>
      </c>
      <c r="AD64" s="355">
        <f>'Income Statement'!CH35</f>
        <v>0</v>
      </c>
      <c r="AE64" s="362">
        <f>'Income Statement'!CI35</f>
        <v>0</v>
      </c>
      <c r="AF64" s="358">
        <f>'Income Statement'!CJ35</f>
        <v>0</v>
      </c>
      <c r="AG64" s="358">
        <f>'Income Statement'!CK35</f>
        <v>0</v>
      </c>
      <c r="AH64" s="359">
        <f>'Income Statement'!CL35</f>
        <v>0</v>
      </c>
      <c r="AI64" s="355">
        <f>'Income Statement'!CM35</f>
        <v>0</v>
      </c>
      <c r="AJ64" s="362">
        <f>'Income Statement'!CN35</f>
        <v>0</v>
      </c>
      <c r="AK64" s="358">
        <f>'Income Statement'!CO35</f>
        <v>0</v>
      </c>
      <c r="AL64" s="358">
        <f>'Income Statement'!CP35</f>
        <v>0</v>
      </c>
      <c r="AM64" s="359">
        <f>'Income Statement'!CQ35</f>
        <v>0</v>
      </c>
      <c r="AN64" s="355">
        <f>'Income Statement'!CR35</f>
        <v>0</v>
      </c>
      <c r="AO64" s="362">
        <f>'Income Statement'!CS35</f>
        <v>0</v>
      </c>
      <c r="AP64" s="358">
        <f>'Income Statement'!CT35</f>
        <v>0</v>
      </c>
      <c r="AQ64" s="358">
        <f>'Income Statement'!CU35</f>
        <v>0</v>
      </c>
      <c r="AR64" s="359">
        <f>'Income Statement'!CV35</f>
        <v>0</v>
      </c>
      <c r="AS64" s="355">
        <f>'Income Statement'!CW35</f>
        <v>0</v>
      </c>
      <c r="AT64" s="362">
        <f>'Income Statement'!CX35</f>
        <v>0</v>
      </c>
      <c r="AU64" s="358">
        <f>'Income Statement'!CY35</f>
        <v>0</v>
      </c>
      <c r="AV64" s="358">
        <f>'Income Statement'!CZ35</f>
        <v>0</v>
      </c>
      <c r="AW64" s="359">
        <f>'Income Statement'!DA35</f>
        <v>0</v>
      </c>
      <c r="AX64" s="355">
        <f>'Income Statement'!DB35</f>
        <v>0</v>
      </c>
      <c r="AY64" s="362">
        <f>'Income Statement'!DC35</f>
        <v>0</v>
      </c>
      <c r="AZ64" s="358">
        <f>'Income Statement'!DD35</f>
        <v>0</v>
      </c>
      <c r="BA64" s="358">
        <f>'Income Statement'!DE35</f>
        <v>0</v>
      </c>
      <c r="BB64" s="359">
        <f>'Income Statement'!DF35</f>
        <v>0</v>
      </c>
      <c r="BC64" s="355">
        <f>'Income Statement'!DG35</f>
        <v>0</v>
      </c>
      <c r="BD64" s="362">
        <f>'Income Statement'!DH35</f>
        <v>0</v>
      </c>
      <c r="BE64" s="358">
        <f>'Income Statement'!DI35</f>
        <v>0</v>
      </c>
      <c r="BF64" s="358">
        <f>'Income Statement'!DJ35</f>
        <v>0</v>
      </c>
      <c r="BG64" s="359">
        <f>'Income Statement'!DK35</f>
        <v>0</v>
      </c>
      <c r="BH64" s="355">
        <f>'Income Statement'!DL35</f>
        <v>0</v>
      </c>
      <c r="BI64" s="362">
        <f>'Income Statement'!DM35</f>
        <v>0</v>
      </c>
      <c r="BJ64" s="358">
        <f>'Income Statement'!DN35</f>
        <v>0</v>
      </c>
      <c r="BK64" s="358">
        <f>'Income Statement'!DO35</f>
        <v>0</v>
      </c>
      <c r="BL64" s="359">
        <f>'Income Statement'!DP35</f>
        <v>0</v>
      </c>
      <c r="BM64" s="355">
        <f>'Income Statement'!DQ35</f>
        <v>0</v>
      </c>
    </row>
    <row r="65" spans="2:65">
      <c r="B65" s="350" t="s">
        <v>4</v>
      </c>
      <c r="C65" s="351">
        <f>'Income Statement'!AY58</f>
        <v>179812.70499999996</v>
      </c>
      <c r="D65" s="351">
        <f>'Income Statement'!BD58</f>
        <v>185415</v>
      </c>
      <c r="E65" s="351">
        <f>'Income Statement'!BI58</f>
        <v>171439</v>
      </c>
      <c r="F65" s="352">
        <f>'Income Statement'!BJ58</f>
        <v>0</v>
      </c>
      <c r="G65" s="353">
        <f>'Income Statement'!BK58</f>
        <v>0</v>
      </c>
      <c r="H65" s="353">
        <f>'Income Statement'!BL58</f>
        <v>0</v>
      </c>
      <c r="I65" s="354">
        <f>'Income Statement'!BM58</f>
        <v>134305</v>
      </c>
      <c r="J65" s="351">
        <f>'Income Statement'!BN58</f>
        <v>134305</v>
      </c>
      <c r="K65" s="352">
        <f>'Income Statement'!BO58</f>
        <v>0</v>
      </c>
      <c r="L65" s="353">
        <f>'Income Statement'!BP58</f>
        <v>0</v>
      </c>
      <c r="M65" s="353">
        <f>'Income Statement'!BQ58</f>
        <v>0</v>
      </c>
      <c r="N65" s="354">
        <f>'Income Statement'!BR58</f>
        <v>151704</v>
      </c>
      <c r="O65" s="351">
        <f>'Income Statement'!BS58</f>
        <v>151704</v>
      </c>
      <c r="P65" s="352">
        <f>'Income Statement'!BT58</f>
        <v>0</v>
      </c>
      <c r="Q65" s="353">
        <f>'Income Statement'!BU58</f>
        <v>0</v>
      </c>
      <c r="R65" s="353">
        <f>'Income Statement'!BV58</f>
        <v>0</v>
      </c>
      <c r="S65" s="354">
        <f>'Income Statement'!BW58</f>
        <v>209634</v>
      </c>
      <c r="T65" s="351">
        <f>'Income Statement'!BX58</f>
        <v>209634</v>
      </c>
      <c r="U65" s="352">
        <f>'Income Statement'!BY58</f>
        <v>32707</v>
      </c>
      <c r="V65" s="353">
        <f>'Income Statement'!BZ58</f>
        <v>81776</v>
      </c>
      <c r="W65" s="353">
        <f>'Income Statement'!CA58</f>
        <v>50322</v>
      </c>
      <c r="X65" s="354">
        <f>'Income Statement'!CB58</f>
        <v>78699</v>
      </c>
      <c r="Y65" s="351">
        <f>'Income Statement'!CC58</f>
        <v>243504</v>
      </c>
      <c r="Z65" s="352">
        <f>'Income Statement'!CD58</f>
        <v>28829</v>
      </c>
      <c r="AA65" s="353">
        <f>'Income Statement'!CE58</f>
        <v>50574</v>
      </c>
      <c r="AB65" s="353">
        <f>'Income Statement'!CF58</f>
        <v>67767</v>
      </c>
      <c r="AC65" s="354">
        <f>'Income Statement'!CG58</f>
        <v>81266</v>
      </c>
      <c r="AD65" s="351">
        <f>'Income Statement'!CH58</f>
        <v>228436</v>
      </c>
      <c r="AE65" s="352">
        <f>'Income Statement'!CI58</f>
        <v>63300</v>
      </c>
      <c r="AF65" s="353">
        <f>'Income Statement'!CJ58</f>
        <v>89512</v>
      </c>
      <c r="AG65" s="353">
        <f>'Income Statement'!CK58</f>
        <v>87697</v>
      </c>
      <c r="AH65" s="354">
        <f>'Income Statement'!CL58</f>
        <v>137704</v>
      </c>
      <c r="AI65" s="351">
        <f>'Income Statement'!CM58</f>
        <v>378213</v>
      </c>
      <c r="AJ65" s="352">
        <f>'Income Statement'!CN58</f>
        <v>80445</v>
      </c>
      <c r="AK65" s="353">
        <f>'Income Statement'!CO58</f>
        <v>113160</v>
      </c>
      <c r="AL65" s="353">
        <f>'Income Statement'!CP58</f>
        <v>115010</v>
      </c>
      <c r="AM65" s="354">
        <f>'Income Statement'!CQ58</f>
        <v>125583</v>
      </c>
      <c r="AN65" s="351">
        <f>'Income Statement'!CR58</f>
        <v>434198</v>
      </c>
      <c r="AO65" s="352">
        <f>'Income Statement'!CS58</f>
        <v>117021</v>
      </c>
      <c r="AP65" s="353">
        <f>'Income Statement'!CT58</f>
        <v>149306</v>
      </c>
      <c r="AQ65" s="353">
        <f>'Income Statement'!CU58</f>
        <v>138045</v>
      </c>
      <c r="AR65" s="354">
        <f>'Income Statement'!CV58</f>
        <v>184860</v>
      </c>
      <c r="AS65" s="351">
        <f>'Income Statement'!CW58</f>
        <v>589232</v>
      </c>
      <c r="AT65" s="352">
        <f>'Income Statement'!CX58</f>
        <v>180259</v>
      </c>
      <c r="AU65" s="353">
        <f>'Income Statement'!CY58</f>
        <v>201988</v>
      </c>
      <c r="AV65" s="353">
        <f>'Income Statement'!CZ58</f>
        <v>210579</v>
      </c>
      <c r="AW65" s="354">
        <f>'Income Statement'!DA58</f>
        <v>229349</v>
      </c>
      <c r="AX65" s="351">
        <f>'Income Statement'!DB58</f>
        <v>822175</v>
      </c>
      <c r="AY65" s="352">
        <f>'Income Statement'!DC58</f>
        <v>280474</v>
      </c>
      <c r="AZ65" s="353">
        <f>'Income Statement'!DD58</f>
        <v>316816</v>
      </c>
      <c r="BA65" s="353">
        <f>'Income Statement'!DE58</f>
        <v>329473</v>
      </c>
      <c r="BB65" s="354">
        <f>'Income Statement'!DF58</f>
        <v>347328</v>
      </c>
      <c r="BC65" s="351">
        <f>'Income Statement'!DG58</f>
        <v>1274091</v>
      </c>
      <c r="BD65" s="352">
        <f>'Income Statement'!DH58</f>
        <v>405318</v>
      </c>
      <c r="BE65" s="353">
        <f>'Income Statement'!DI58</f>
        <v>382884</v>
      </c>
      <c r="BF65" s="353">
        <f>'Income Statement'!DJ58</f>
        <v>396583.00239077071</v>
      </c>
      <c r="BG65" s="354">
        <f>'Income Statement'!DK58</f>
        <v>460954.7060783839</v>
      </c>
      <c r="BH65" s="351">
        <f>'Income Statement'!DL58</f>
        <v>1645739.7084691548</v>
      </c>
      <c r="BI65" s="352">
        <f>'Income Statement'!DM58</f>
        <v>452751.43858345947</v>
      </c>
      <c r="BJ65" s="353">
        <f>'Income Statement'!DN58</f>
        <v>467999.32366856909</v>
      </c>
      <c r="BK65" s="353">
        <f>'Income Statement'!DO58</f>
        <v>475768.33092695032</v>
      </c>
      <c r="BL65" s="354">
        <f>'Income Statement'!DP58</f>
        <v>486886.85712958412</v>
      </c>
      <c r="BM65" s="351">
        <f>'Income Statement'!DQ58</f>
        <v>1883405.9503085625</v>
      </c>
    </row>
    <row r="66" spans="2:65" hidden="1">
      <c r="B66" s="350" t="str">
        <f>'Income Statement'!A36</f>
        <v>Equity Income</v>
      </c>
      <c r="C66" s="351">
        <f>'Income Statement'!AY36</f>
        <v>2995.6120000000001</v>
      </c>
      <c r="D66" s="351">
        <f>'Income Statement'!BD36</f>
        <v>7534</v>
      </c>
      <c r="E66" s="351">
        <f>'Income Statement'!BI36</f>
        <v>8164</v>
      </c>
      <c r="F66" s="352">
        <f>'Income Statement'!BJ36</f>
        <v>0</v>
      </c>
      <c r="G66" s="353">
        <f>'Income Statement'!BK36</f>
        <v>0</v>
      </c>
      <c r="H66" s="353">
        <f>'Income Statement'!BL36</f>
        <v>0</v>
      </c>
      <c r="I66" s="354">
        <f>'Income Statement'!BM36</f>
        <v>-355</v>
      </c>
      <c r="J66" s="351">
        <f>'Income Statement'!BN36</f>
        <v>-355</v>
      </c>
      <c r="K66" s="352">
        <f>'Income Statement'!BO36</f>
        <v>0</v>
      </c>
      <c r="L66" s="353">
        <f>'Income Statement'!BP36</f>
        <v>0</v>
      </c>
      <c r="M66" s="353">
        <f>'Income Statement'!BQ36</f>
        <v>0</v>
      </c>
      <c r="N66" s="354">
        <f>'Income Statement'!BR36</f>
        <v>1042</v>
      </c>
      <c r="O66" s="351">
        <f>'Income Statement'!BS36</f>
        <v>1042</v>
      </c>
      <c r="P66" s="352">
        <f>'Income Statement'!BT36</f>
        <v>0</v>
      </c>
      <c r="Q66" s="353">
        <f>'Income Statement'!BU36</f>
        <v>0</v>
      </c>
      <c r="R66" s="353">
        <f>'Income Statement'!BV36</f>
        <v>0</v>
      </c>
      <c r="S66" s="354">
        <f>'Income Statement'!BW36</f>
        <v>-498</v>
      </c>
      <c r="T66" s="351">
        <f>'Income Statement'!BX36</f>
        <v>-498</v>
      </c>
      <c r="U66" s="352">
        <f>'Income Statement'!BY36</f>
        <v>-359</v>
      </c>
      <c r="V66" s="353">
        <f>'Income Statement'!BZ36</f>
        <v>-1062</v>
      </c>
      <c r="W66" s="353">
        <f>'Income Statement'!CA36</f>
        <v>849</v>
      </c>
      <c r="X66" s="354">
        <f>'Income Statement'!CB36</f>
        <v>2058</v>
      </c>
      <c r="Y66" s="351">
        <f>'Income Statement'!CC36</f>
        <v>1486</v>
      </c>
      <c r="Z66" s="352">
        <f>'Income Statement'!CD36</f>
        <v>791</v>
      </c>
      <c r="AA66" s="353">
        <f>'Income Statement'!CE36</f>
        <v>195</v>
      </c>
      <c r="AB66" s="353">
        <f>'Income Statement'!CF36</f>
        <v>336</v>
      </c>
      <c r="AC66" s="354">
        <f>'Income Statement'!CG36</f>
        <v>1038</v>
      </c>
      <c r="AD66" s="351">
        <f>'Income Statement'!CH36</f>
        <v>2360</v>
      </c>
      <c r="AE66" s="352">
        <f>'Income Statement'!CI36</f>
        <v>1138</v>
      </c>
      <c r="AF66" s="353">
        <f>'Income Statement'!CJ36</f>
        <v>1726</v>
      </c>
      <c r="AG66" s="353">
        <f>'Income Statement'!CK36</f>
        <v>-946</v>
      </c>
      <c r="AH66" s="354">
        <f>'Income Statement'!CL36</f>
        <v>-991</v>
      </c>
      <c r="AI66" s="351">
        <f>'Income Statement'!CM36</f>
        <v>927</v>
      </c>
      <c r="AJ66" s="352">
        <f>'Income Statement'!CN36</f>
        <v>-311</v>
      </c>
      <c r="AK66" s="353">
        <f>'Income Statement'!CO36</f>
        <v>-141</v>
      </c>
      <c r="AL66" s="353">
        <f>'Income Statement'!CP36</f>
        <v>976</v>
      </c>
      <c r="AM66" s="354">
        <f>'Income Statement'!CQ36</f>
        <v>-145</v>
      </c>
      <c r="AN66" s="351">
        <f>'Income Statement'!CR36</f>
        <v>379</v>
      </c>
      <c r="AO66" s="352">
        <f>'Income Statement'!CS36</f>
        <v>-110</v>
      </c>
      <c r="AP66" s="353">
        <f>'Income Statement'!CT36</f>
        <v>696</v>
      </c>
      <c r="AQ66" s="353">
        <f>'Income Statement'!CU36</f>
        <v>-295</v>
      </c>
      <c r="AR66" s="354">
        <f>'Income Statement'!CV36</f>
        <v>1356</v>
      </c>
      <c r="AS66" s="351">
        <f>'Income Statement'!CW36</f>
        <v>1647</v>
      </c>
      <c r="AT66" s="352">
        <f>'Income Statement'!CX36</f>
        <v>1299</v>
      </c>
      <c r="AU66" s="353">
        <f>'Income Statement'!CY36</f>
        <v>2806</v>
      </c>
      <c r="AV66" s="353">
        <f>'Income Statement'!CZ36</f>
        <v>3390</v>
      </c>
      <c r="AW66" s="354">
        <f>'Income Statement'!DA36</f>
        <v>1044</v>
      </c>
      <c r="AX66" s="351">
        <f>'Income Statement'!DB36</f>
        <v>8539</v>
      </c>
      <c r="AY66" s="352">
        <f>'Income Statement'!DC36</f>
        <v>688</v>
      </c>
      <c r="AZ66" s="353">
        <f>'Income Statement'!DD36</f>
        <v>1091</v>
      </c>
      <c r="BA66" s="353">
        <f>'Income Statement'!DE36</f>
        <v>2474</v>
      </c>
      <c r="BB66" s="354">
        <f>'Income Statement'!DF36</f>
        <v>3137</v>
      </c>
      <c r="BC66" s="351">
        <f>'Income Statement'!DG36</f>
        <v>7390</v>
      </c>
      <c r="BD66" s="352">
        <f>'Income Statement'!DH36</f>
        <v>2282</v>
      </c>
      <c r="BE66" s="353">
        <f>'Income Statement'!DI36</f>
        <v>1014</v>
      </c>
      <c r="BF66" s="353">
        <f>'Income Statement'!DJ36</f>
        <v>1142.6624999999999</v>
      </c>
      <c r="BG66" s="354">
        <f>'Income Statement'!DK36</f>
        <v>1164.087421875</v>
      </c>
      <c r="BH66" s="351">
        <f>'Income Statement'!DL36</f>
        <v>5602.7499218749999</v>
      </c>
      <c r="BI66" s="352">
        <f>'Income Statement'!DM36</f>
        <v>1185.9140610351562</v>
      </c>
      <c r="BJ66" s="353">
        <f>'Income Statement'!DN36</f>
        <v>1208.1499496795655</v>
      </c>
      <c r="BK66" s="353">
        <f>'Income Statement'!DO36</f>
        <v>1230.8027612360572</v>
      </c>
      <c r="BL66" s="354">
        <f>'Income Statement'!DP36</f>
        <v>1253.8803130092333</v>
      </c>
      <c r="BM66" s="351">
        <f>'Income Statement'!DQ36</f>
        <v>4878.7470849600122</v>
      </c>
    </row>
    <row r="67" spans="2:65" hidden="1">
      <c r="B67" s="350" t="str">
        <f>'Income Statement'!A37</f>
        <v>Operating Income</v>
      </c>
      <c r="C67" s="351">
        <f>'Income Statement'!AY37</f>
        <v>185290.56399999995</v>
      </c>
      <c r="D67" s="351">
        <f>'Income Statement'!BD37</f>
        <v>184594</v>
      </c>
      <c r="E67" s="351">
        <f>'Income Statement'!BI37</f>
        <v>171769</v>
      </c>
      <c r="F67" s="352">
        <f>'Income Statement'!BJ37</f>
        <v>0</v>
      </c>
      <c r="G67" s="353">
        <f>'Income Statement'!BK37</f>
        <v>0</v>
      </c>
      <c r="H67" s="353">
        <f>'Income Statement'!BL37</f>
        <v>0</v>
      </c>
      <c r="I67" s="354">
        <f>'Income Statement'!BM37</f>
        <v>123109</v>
      </c>
      <c r="J67" s="351">
        <f>'Income Statement'!BN37</f>
        <v>123109</v>
      </c>
      <c r="K67" s="352">
        <f>'Income Statement'!BO37</f>
        <v>0</v>
      </c>
      <c r="L67" s="353">
        <f>'Income Statement'!BP37</f>
        <v>0</v>
      </c>
      <c r="M67" s="353">
        <f>'Income Statement'!BQ37</f>
        <v>0</v>
      </c>
      <c r="N67" s="354">
        <f>'Income Statement'!BR37</f>
        <v>142596</v>
      </c>
      <c r="O67" s="351">
        <f>'Income Statement'!BS37</f>
        <v>142596</v>
      </c>
      <c r="P67" s="352">
        <f>'Income Statement'!BT37</f>
        <v>0</v>
      </c>
      <c r="Q67" s="353">
        <f>'Income Statement'!BU37</f>
        <v>0</v>
      </c>
      <c r="R67" s="353">
        <f>'Income Statement'!BV37</f>
        <v>0</v>
      </c>
      <c r="S67" s="354">
        <f>'Income Statement'!BW37</f>
        <v>194461</v>
      </c>
      <c r="T67" s="351">
        <f>'Income Statement'!BX37</f>
        <v>194461</v>
      </c>
      <c r="U67" s="352">
        <f>'Income Statement'!BY37</f>
        <v>28257</v>
      </c>
      <c r="V67" s="353">
        <f>'Income Statement'!BZ37</f>
        <v>79268</v>
      </c>
      <c r="W67" s="353">
        <f>'Income Statement'!CA37</f>
        <v>45183</v>
      </c>
      <c r="X67" s="354">
        <f>'Income Statement'!CB37</f>
        <v>73387</v>
      </c>
      <c r="Y67" s="351">
        <f>'Income Statement'!CC37</f>
        <v>226095</v>
      </c>
      <c r="Z67" s="352">
        <f>'Income Statement'!CD37</f>
        <v>23155</v>
      </c>
      <c r="AA67" s="353">
        <f>'Income Statement'!CE37</f>
        <v>45884</v>
      </c>
      <c r="AB67" s="353">
        <f>'Income Statement'!CF37</f>
        <v>66118</v>
      </c>
      <c r="AC67" s="354">
        <f>'Income Statement'!CG37</f>
        <v>81055</v>
      </c>
      <c r="AD67" s="351">
        <f>'Income Statement'!CH37</f>
        <v>216212</v>
      </c>
      <c r="AE67" s="352">
        <f>'Income Statement'!CI37</f>
        <v>58947</v>
      </c>
      <c r="AF67" s="353">
        <f>'Income Statement'!CJ37</f>
        <v>85365</v>
      </c>
      <c r="AG67" s="353">
        <f>'Income Statement'!CK37</f>
        <v>84976</v>
      </c>
      <c r="AH67" s="354">
        <f>'Income Statement'!CL37</f>
        <v>122353</v>
      </c>
      <c r="AI67" s="351">
        <f>'Income Statement'!CM37</f>
        <v>351641</v>
      </c>
      <c r="AJ67" s="352">
        <f>'Income Statement'!CN37</f>
        <v>74988</v>
      </c>
      <c r="AK67" s="353">
        <f>'Income Statement'!CO37</f>
        <v>107387</v>
      </c>
      <c r="AL67" s="353">
        <f>'Income Statement'!CP37</f>
        <v>110405</v>
      </c>
      <c r="AM67" s="354">
        <f>'Income Statement'!CQ37</f>
        <v>112224</v>
      </c>
      <c r="AN67" s="351">
        <f>'Income Statement'!CR37</f>
        <v>405004</v>
      </c>
      <c r="AO67" s="352">
        <f>'Income Statement'!CS37</f>
        <v>109392</v>
      </c>
      <c r="AP67" s="353">
        <f>'Income Statement'!CT37</f>
        <v>142265</v>
      </c>
      <c r="AQ67" s="353">
        <f>'Income Statement'!CU37</f>
        <v>132019</v>
      </c>
      <c r="AR67" s="354">
        <f>'Income Statement'!CV37</f>
        <v>184353</v>
      </c>
      <c r="AS67" s="351">
        <f>'Income Statement'!CW37</f>
        <v>568029</v>
      </c>
      <c r="AT67" s="352">
        <f>'Income Statement'!CX37</f>
        <v>174256</v>
      </c>
      <c r="AU67" s="353">
        <f>'Income Statement'!CY37</f>
        <v>196190</v>
      </c>
      <c r="AV67" s="353">
        <f>'Income Statement'!CZ37</f>
        <v>203590</v>
      </c>
      <c r="AW67" s="354">
        <f>'Income Statement'!DA37</f>
        <v>214560</v>
      </c>
      <c r="AX67" s="351">
        <f>'Income Statement'!DB37</f>
        <v>788596</v>
      </c>
      <c r="AY67" s="352">
        <f>'Income Statement'!DC37</f>
        <v>264667</v>
      </c>
      <c r="AZ67" s="353">
        <f>'Income Statement'!DD37</f>
        <v>298596</v>
      </c>
      <c r="BA67" s="353">
        <f>'Income Statement'!DE37</f>
        <v>319973</v>
      </c>
      <c r="BB67" s="354">
        <f>'Income Statement'!DF37</f>
        <v>337010</v>
      </c>
      <c r="BC67" s="351">
        <f>'Income Statement'!DG37</f>
        <v>1220246</v>
      </c>
      <c r="BD67" s="352">
        <f>'Income Statement'!DH37</f>
        <v>392436</v>
      </c>
      <c r="BE67" s="353">
        <f>'Income Statement'!DI37</f>
        <v>356305</v>
      </c>
      <c r="BF67" s="353">
        <f ca="1">'Income Statement'!DJ37</f>
        <v>384038.84438960347</v>
      </c>
      <c r="BG67" s="354">
        <f ca="1">'Income Statement'!DK37</f>
        <v>444716.232788119</v>
      </c>
      <c r="BH67" s="351">
        <f ca="1">'Income Statement'!DL37</f>
        <v>1577496.0771777225</v>
      </c>
      <c r="BI67" s="352">
        <f ca="1">'Income Statement'!DM37</f>
        <v>444420.43367186619</v>
      </c>
      <c r="BJ67" s="353">
        <f ca="1">'Income Statement'!DN37</f>
        <v>458696.18572926283</v>
      </c>
      <c r="BK67" s="353">
        <f ca="1">'Income Statement'!DO37</f>
        <v>464668.55710972875</v>
      </c>
      <c r="BL67" s="354">
        <f ca="1">'Income Statement'!DP37</f>
        <v>478867.89482466306</v>
      </c>
      <c r="BM67" s="351">
        <f ca="1">'Income Statement'!DQ37</f>
        <v>1846653.0713355206</v>
      </c>
    </row>
    <row r="68" spans="2:65" hidden="1">
      <c r="B68" s="350" t="str">
        <f>'Income Statement'!A38</f>
        <v>Non-operating Expenses</v>
      </c>
      <c r="C68" s="351">
        <f>'Income Statement'!AY38</f>
        <v>0</v>
      </c>
      <c r="D68" s="351">
        <f>'Income Statement'!BD38</f>
        <v>0</v>
      </c>
      <c r="E68" s="351">
        <f>'Income Statement'!BI38</f>
        <v>0</v>
      </c>
      <c r="F68" s="377">
        <f>'Income Statement'!BJ38</f>
        <v>0</v>
      </c>
      <c r="G68" s="378">
        <f>'Income Statement'!BK38</f>
        <v>0</v>
      </c>
      <c r="H68" s="378">
        <f>'Income Statement'!BL38</f>
        <v>0</v>
      </c>
      <c r="I68" s="379">
        <f>'Income Statement'!BM38</f>
        <v>0</v>
      </c>
      <c r="J68" s="351">
        <f>'Income Statement'!BN38</f>
        <v>0</v>
      </c>
      <c r="K68" s="377">
        <f>'Income Statement'!BO38</f>
        <v>0</v>
      </c>
      <c r="L68" s="378">
        <f>'Income Statement'!BP38</f>
        <v>0</v>
      </c>
      <c r="M68" s="378">
        <f>'Income Statement'!BQ38</f>
        <v>0</v>
      </c>
      <c r="N68" s="379">
        <f>'Income Statement'!BR38</f>
        <v>0</v>
      </c>
      <c r="O68" s="351">
        <f>'Income Statement'!BS38</f>
        <v>0</v>
      </c>
      <c r="P68" s="377">
        <f>'Income Statement'!BT38</f>
        <v>0</v>
      </c>
      <c r="Q68" s="378">
        <f>'Income Statement'!BU38</f>
        <v>0</v>
      </c>
      <c r="R68" s="378">
        <f>'Income Statement'!BV38</f>
        <v>0</v>
      </c>
      <c r="S68" s="379">
        <f>'Income Statement'!BW38</f>
        <v>0</v>
      </c>
      <c r="T68" s="351">
        <f>'Income Statement'!BX38</f>
        <v>0</v>
      </c>
      <c r="U68" s="377">
        <f>'Income Statement'!BY38</f>
        <v>0</v>
      </c>
      <c r="V68" s="378">
        <f>'Income Statement'!BZ38</f>
        <v>0</v>
      </c>
      <c r="W68" s="378">
        <f>'Income Statement'!CA38</f>
        <v>0</v>
      </c>
      <c r="X68" s="379">
        <f>'Income Statement'!CB38</f>
        <v>0</v>
      </c>
      <c r="Y68" s="351">
        <f>'Income Statement'!CC38</f>
        <v>0</v>
      </c>
      <c r="Z68" s="377">
        <f>'Income Statement'!CD38</f>
        <v>0</v>
      </c>
      <c r="AA68" s="378">
        <f>'Income Statement'!CE38</f>
        <v>0</v>
      </c>
      <c r="AB68" s="378">
        <f>'Income Statement'!CF38</f>
        <v>0</v>
      </c>
      <c r="AC68" s="379">
        <f>'Income Statement'!CG38</f>
        <v>0</v>
      </c>
      <c r="AD68" s="351">
        <f>'Income Statement'!CH38</f>
        <v>0</v>
      </c>
      <c r="AE68" s="377">
        <f>'Income Statement'!CI38</f>
        <v>0</v>
      </c>
      <c r="AF68" s="378">
        <f>'Income Statement'!CJ38</f>
        <v>0</v>
      </c>
      <c r="AG68" s="378">
        <f>'Income Statement'!CK38</f>
        <v>0</v>
      </c>
      <c r="AH68" s="379">
        <f>'Income Statement'!CL38</f>
        <v>0</v>
      </c>
      <c r="AI68" s="351">
        <f>'Income Statement'!CM38</f>
        <v>0</v>
      </c>
      <c r="AJ68" s="377">
        <f>'Income Statement'!CN38</f>
        <v>0</v>
      </c>
      <c r="AK68" s="378">
        <f>'Income Statement'!CO38</f>
        <v>0</v>
      </c>
      <c r="AL68" s="378">
        <f>'Income Statement'!CP38</f>
        <v>0</v>
      </c>
      <c r="AM68" s="379">
        <f>'Income Statement'!CQ38</f>
        <v>0</v>
      </c>
      <c r="AN68" s="351">
        <f>'Income Statement'!CR38</f>
        <v>0</v>
      </c>
      <c r="AO68" s="377">
        <f>'Income Statement'!CS38</f>
        <v>0</v>
      </c>
      <c r="AP68" s="378">
        <f>'Income Statement'!CT38</f>
        <v>0</v>
      </c>
      <c r="AQ68" s="378">
        <f>'Income Statement'!CU38</f>
        <v>0</v>
      </c>
      <c r="AR68" s="379">
        <f>'Income Statement'!CV38</f>
        <v>0</v>
      </c>
      <c r="AS68" s="351">
        <f>'Income Statement'!CW38</f>
        <v>0</v>
      </c>
      <c r="AT68" s="377">
        <f>'Income Statement'!CX38</f>
        <v>0</v>
      </c>
      <c r="AU68" s="378">
        <f>'Income Statement'!CY38</f>
        <v>0</v>
      </c>
      <c r="AV68" s="378">
        <f>'Income Statement'!CZ38</f>
        <v>0</v>
      </c>
      <c r="AW68" s="379">
        <f>'Income Statement'!DA38</f>
        <v>0</v>
      </c>
      <c r="AX68" s="351">
        <f>'Income Statement'!DB38</f>
        <v>0</v>
      </c>
      <c r="AY68" s="377">
        <f>'Income Statement'!DC38</f>
        <v>0</v>
      </c>
      <c r="AZ68" s="378">
        <f>'Income Statement'!DD38</f>
        <v>0</v>
      </c>
      <c r="BA68" s="378">
        <f>'Income Statement'!DE38</f>
        <v>0</v>
      </c>
      <c r="BB68" s="379">
        <f>'Income Statement'!DF38</f>
        <v>0</v>
      </c>
      <c r="BC68" s="351">
        <f>'Income Statement'!DG38</f>
        <v>0</v>
      </c>
      <c r="BD68" s="377">
        <f>'Income Statement'!DH38</f>
        <v>0</v>
      </c>
      <c r="BE68" s="378">
        <f>'Income Statement'!DI38</f>
        <v>0</v>
      </c>
      <c r="BF68" s="378">
        <f>'Income Statement'!DJ38</f>
        <v>0</v>
      </c>
      <c r="BG68" s="379">
        <f>'Income Statement'!DK38</f>
        <v>0</v>
      </c>
      <c r="BH68" s="351">
        <f>'Income Statement'!DL38</f>
        <v>0</v>
      </c>
      <c r="BI68" s="377">
        <f>'Income Statement'!DM38</f>
        <v>0</v>
      </c>
      <c r="BJ68" s="378">
        <f>'Income Statement'!DN38</f>
        <v>0</v>
      </c>
      <c r="BK68" s="378">
        <f>'Income Statement'!DO38</f>
        <v>0</v>
      </c>
      <c r="BL68" s="379">
        <f>'Income Statement'!DP38</f>
        <v>0</v>
      </c>
      <c r="BM68" s="351">
        <f>'Income Statement'!DQ38</f>
        <v>0</v>
      </c>
    </row>
    <row r="69" spans="2:65">
      <c r="B69" s="350" t="str">
        <f>'Income Statement'!A39</f>
        <v>Income Before Taxes on Income</v>
      </c>
      <c r="C69" s="351">
        <f>'Income Statement'!AY39</f>
        <v>185290.56399999995</v>
      </c>
      <c r="D69" s="351">
        <f>'Income Statement'!BD39</f>
        <v>184594</v>
      </c>
      <c r="E69" s="351">
        <f>'Income Statement'!BI39</f>
        <v>171769</v>
      </c>
      <c r="F69" s="352">
        <f>'Income Statement'!BJ39</f>
        <v>0</v>
      </c>
      <c r="G69" s="353">
        <f>'Income Statement'!BK39</f>
        <v>0</v>
      </c>
      <c r="H69" s="353">
        <f>'Income Statement'!BL39</f>
        <v>0</v>
      </c>
      <c r="I69" s="354">
        <f>'Income Statement'!BM39</f>
        <v>123109</v>
      </c>
      <c r="J69" s="351">
        <f>'Income Statement'!BN39</f>
        <v>123109</v>
      </c>
      <c r="K69" s="352">
        <f>'Income Statement'!BO39</f>
        <v>0</v>
      </c>
      <c r="L69" s="353">
        <f>'Income Statement'!BP39</f>
        <v>0</v>
      </c>
      <c r="M69" s="353">
        <f>'Income Statement'!BQ39</f>
        <v>0</v>
      </c>
      <c r="N69" s="354">
        <f>'Income Statement'!BR39</f>
        <v>142596</v>
      </c>
      <c r="O69" s="351">
        <f>'Income Statement'!BS39</f>
        <v>142596</v>
      </c>
      <c r="P69" s="352">
        <f>'Income Statement'!BT39</f>
        <v>0</v>
      </c>
      <c r="Q69" s="353">
        <f>'Income Statement'!BU39</f>
        <v>0</v>
      </c>
      <c r="R69" s="353">
        <f>'Income Statement'!BV39</f>
        <v>0</v>
      </c>
      <c r="S69" s="354">
        <f>'Income Statement'!BW39</f>
        <v>194461</v>
      </c>
      <c r="T69" s="351">
        <f>'Income Statement'!BX39</f>
        <v>194461</v>
      </c>
      <c r="U69" s="352">
        <f>'Income Statement'!BY39</f>
        <v>28257</v>
      </c>
      <c r="V69" s="353">
        <f>'Income Statement'!BZ39</f>
        <v>79268</v>
      </c>
      <c r="W69" s="353">
        <f>'Income Statement'!CA39</f>
        <v>45183</v>
      </c>
      <c r="X69" s="354">
        <f>'Income Statement'!CB39</f>
        <v>73387</v>
      </c>
      <c r="Y69" s="351">
        <f>'Income Statement'!CC39</f>
        <v>226095</v>
      </c>
      <c r="Z69" s="352">
        <f>'Income Statement'!CD39</f>
        <v>23155</v>
      </c>
      <c r="AA69" s="353">
        <f>'Income Statement'!CE39</f>
        <v>45884</v>
      </c>
      <c r="AB69" s="353">
        <f>'Income Statement'!CF39</f>
        <v>66118</v>
      </c>
      <c r="AC69" s="354">
        <f>'Income Statement'!CG39</f>
        <v>81055</v>
      </c>
      <c r="AD69" s="351">
        <f>'Income Statement'!CH39</f>
        <v>216212</v>
      </c>
      <c r="AE69" s="352">
        <f>'Income Statement'!CI39</f>
        <v>58947</v>
      </c>
      <c r="AF69" s="353">
        <f>'Income Statement'!CJ39</f>
        <v>85365</v>
      </c>
      <c r="AG69" s="353">
        <f>'Income Statement'!CK39</f>
        <v>84976</v>
      </c>
      <c r="AH69" s="354">
        <f>'Income Statement'!CL39</f>
        <v>122353</v>
      </c>
      <c r="AI69" s="351">
        <f>'Income Statement'!CM39</f>
        <v>351641</v>
      </c>
      <c r="AJ69" s="352">
        <f>'Income Statement'!CN39</f>
        <v>74988</v>
      </c>
      <c r="AK69" s="353">
        <f>'Income Statement'!CO39</f>
        <v>107387</v>
      </c>
      <c r="AL69" s="353">
        <f>'Income Statement'!CP39</f>
        <v>110405</v>
      </c>
      <c r="AM69" s="354">
        <f>'Income Statement'!CQ39</f>
        <v>112224</v>
      </c>
      <c r="AN69" s="351">
        <f>'Income Statement'!CR39</f>
        <v>405004</v>
      </c>
      <c r="AO69" s="352">
        <f>'Income Statement'!CS39</f>
        <v>109392</v>
      </c>
      <c r="AP69" s="353">
        <f>'Income Statement'!CT39</f>
        <v>142265</v>
      </c>
      <c r="AQ69" s="353">
        <f>'Income Statement'!CU39</f>
        <v>132019</v>
      </c>
      <c r="AR69" s="354">
        <f>'Income Statement'!CV39</f>
        <v>184353</v>
      </c>
      <c r="AS69" s="351">
        <f>'Income Statement'!CW39</f>
        <v>568029</v>
      </c>
      <c r="AT69" s="352">
        <f>'Income Statement'!CX39</f>
        <v>174256</v>
      </c>
      <c r="AU69" s="353">
        <f>'Income Statement'!CY39</f>
        <v>196190</v>
      </c>
      <c r="AV69" s="353">
        <f>'Income Statement'!CZ39</f>
        <v>203590</v>
      </c>
      <c r="AW69" s="354">
        <f>'Income Statement'!DA39</f>
        <v>214560</v>
      </c>
      <c r="AX69" s="351">
        <f>'Income Statement'!DB39</f>
        <v>788596</v>
      </c>
      <c r="AY69" s="352">
        <f>'Income Statement'!DC39</f>
        <v>264667</v>
      </c>
      <c r="AZ69" s="353">
        <f>'Income Statement'!DD39</f>
        <v>298596</v>
      </c>
      <c r="BA69" s="353">
        <f>'Income Statement'!DE39</f>
        <v>319973</v>
      </c>
      <c r="BB69" s="354">
        <f>'Income Statement'!DF39</f>
        <v>337010</v>
      </c>
      <c r="BC69" s="351">
        <f>'Income Statement'!DG39</f>
        <v>1220246</v>
      </c>
      <c r="BD69" s="352">
        <f>'Income Statement'!DH39</f>
        <v>392436</v>
      </c>
      <c r="BE69" s="353">
        <f>'Income Statement'!DI39</f>
        <v>356305</v>
      </c>
      <c r="BF69" s="353">
        <f ca="1">'Income Statement'!DJ39</f>
        <v>384038.84438960347</v>
      </c>
      <c r="BG69" s="354">
        <f ca="1">'Income Statement'!DK39</f>
        <v>444716.232788119</v>
      </c>
      <c r="BH69" s="351">
        <f ca="1">'Income Statement'!DL39</f>
        <v>1577496.0771777225</v>
      </c>
      <c r="BI69" s="352">
        <f ca="1">'Income Statement'!DM39</f>
        <v>444420.43367186619</v>
      </c>
      <c r="BJ69" s="353">
        <f ca="1">'Income Statement'!DN39</f>
        <v>458696.18572926283</v>
      </c>
      <c r="BK69" s="353">
        <f ca="1">'Income Statement'!DO39</f>
        <v>464668.55710972875</v>
      </c>
      <c r="BL69" s="354">
        <f ca="1">'Income Statement'!DP39</f>
        <v>478867.89482466306</v>
      </c>
      <c r="BM69" s="351">
        <f ca="1">'Income Statement'!DQ39</f>
        <v>1846653.0713355206</v>
      </c>
    </row>
    <row r="70" spans="2:65">
      <c r="B70" s="350" t="str">
        <f>'Income Statement'!A40</f>
        <v>Income Tax and Social Contribution</v>
      </c>
      <c r="C70" s="351">
        <f>'Income Statement'!AY40</f>
        <v>-13554.618</v>
      </c>
      <c r="D70" s="351">
        <f>'Income Statement'!BD40</f>
        <v>-11220</v>
      </c>
      <c r="E70" s="351">
        <f>'Income Statement'!BI40</f>
        <v>-10765</v>
      </c>
      <c r="F70" s="377">
        <f>'Income Statement'!BJ40</f>
        <v>0</v>
      </c>
      <c r="G70" s="378">
        <f>'Income Statement'!BK40</f>
        <v>0</v>
      </c>
      <c r="H70" s="353">
        <f>'Income Statement'!BL40</f>
        <v>0</v>
      </c>
      <c r="I70" s="354">
        <f>'Income Statement'!BM40</f>
        <v>-11226</v>
      </c>
      <c r="J70" s="351">
        <f>'Income Statement'!BN40</f>
        <v>-11226</v>
      </c>
      <c r="K70" s="352">
        <f>'Income Statement'!BO40</f>
        <v>0</v>
      </c>
      <c r="L70" s="353">
        <f>'Income Statement'!BP40</f>
        <v>0</v>
      </c>
      <c r="M70" s="353">
        <f>'Income Statement'!BQ40</f>
        <v>0</v>
      </c>
      <c r="N70" s="354">
        <f>'Income Statement'!BR40</f>
        <v>-13399</v>
      </c>
      <c r="O70" s="351">
        <f>'Income Statement'!BS40</f>
        <v>-13399</v>
      </c>
      <c r="P70" s="352">
        <f>'Income Statement'!BT40</f>
        <v>0</v>
      </c>
      <c r="Q70" s="353">
        <f>'Income Statement'!BU40</f>
        <v>0</v>
      </c>
      <c r="R70" s="353">
        <f>'Income Statement'!BV40</f>
        <v>0</v>
      </c>
      <c r="S70" s="354">
        <f>'Income Statement'!BW40</f>
        <v>-17745</v>
      </c>
      <c r="T70" s="351">
        <f>'Income Statement'!BX40</f>
        <v>-17745</v>
      </c>
      <c r="U70" s="352">
        <f>'Income Statement'!BY40</f>
        <v>-4567</v>
      </c>
      <c r="V70" s="353">
        <f>'Income Statement'!BZ40</f>
        <v>-5053</v>
      </c>
      <c r="W70" s="353">
        <f>'Income Statement'!CA40</f>
        <v>-5661</v>
      </c>
      <c r="X70" s="354">
        <f>'Income Statement'!CB40</f>
        <v>-6002</v>
      </c>
      <c r="Y70" s="351">
        <f>'Income Statement'!CC40</f>
        <v>-21283</v>
      </c>
      <c r="Z70" s="352">
        <f>'Income Statement'!CD40</f>
        <v>-7071</v>
      </c>
      <c r="AA70" s="353">
        <f>'Income Statement'!CE40</f>
        <v>-5058</v>
      </c>
      <c r="AB70" s="353">
        <f>'Income Statement'!CF40</f>
        <v>-5901</v>
      </c>
      <c r="AC70" s="354">
        <f>'Income Statement'!CG40</f>
        <v>-6620</v>
      </c>
      <c r="AD70" s="351">
        <f>'Income Statement'!CH40</f>
        <v>-24650</v>
      </c>
      <c r="AE70" s="352">
        <f>'Income Statement'!CI40</f>
        <v>-5387</v>
      </c>
      <c r="AF70" s="353">
        <f>'Income Statement'!CJ40</f>
        <v>-6221</v>
      </c>
      <c r="AG70" s="353">
        <f>'Income Statement'!CK40</f>
        <v>-9486</v>
      </c>
      <c r="AH70" s="354">
        <f>'Income Statement'!CL40</f>
        <v>-10799</v>
      </c>
      <c r="AI70" s="351">
        <f>'Income Statement'!CM40</f>
        <v>-31893</v>
      </c>
      <c r="AJ70" s="352">
        <f>'Income Statement'!CN40</f>
        <v>-9507</v>
      </c>
      <c r="AK70" s="353">
        <f>'Income Statement'!CO40</f>
        <v>-12324</v>
      </c>
      <c r="AL70" s="353">
        <f>'Income Statement'!CP40</f>
        <v>-13899</v>
      </c>
      <c r="AM70" s="354">
        <f>'Income Statement'!CQ40</f>
        <v>-15026</v>
      </c>
      <c r="AN70" s="351">
        <f>'Income Statement'!CR40</f>
        <v>-50756</v>
      </c>
      <c r="AO70" s="352">
        <f>'Income Statement'!CS40</f>
        <v>-13709</v>
      </c>
      <c r="AP70" s="353">
        <f>'Income Statement'!CT40</f>
        <v>-15906</v>
      </c>
      <c r="AQ70" s="353">
        <f>'Income Statement'!CU40</f>
        <v>-18328</v>
      </c>
      <c r="AR70" s="354">
        <f>'Income Statement'!CV40</f>
        <v>-19892</v>
      </c>
      <c r="AS70" s="351">
        <f>'Income Statement'!CW40</f>
        <v>-67835</v>
      </c>
      <c r="AT70" s="352">
        <f>'Income Statement'!CX40</f>
        <v>-17229</v>
      </c>
      <c r="AU70" s="353">
        <f>'Income Statement'!CY40</f>
        <v>-19957</v>
      </c>
      <c r="AV70" s="353">
        <f>'Income Statement'!CZ40</f>
        <v>-21440</v>
      </c>
      <c r="AW70" s="354">
        <f>'Income Statement'!DA40</f>
        <v>-27925</v>
      </c>
      <c r="AX70" s="351">
        <f>'Income Statement'!DB40</f>
        <v>-86551</v>
      </c>
      <c r="AY70" s="352">
        <f>'Income Statement'!DC40</f>
        <v>-22310</v>
      </c>
      <c r="AZ70" s="353">
        <f>'Income Statement'!DD40</f>
        <v>-28545</v>
      </c>
      <c r="BA70" s="353">
        <f>'Income Statement'!DE40</f>
        <v>-37023</v>
      </c>
      <c r="BB70" s="354">
        <f>'Income Statement'!DF40</f>
        <v>-39957</v>
      </c>
      <c r="BC70" s="351">
        <f>'Income Statement'!DG40</f>
        <v>-127835</v>
      </c>
      <c r="BD70" s="352">
        <f>'Income Statement'!DH40</f>
        <v>-37247</v>
      </c>
      <c r="BE70" s="353">
        <f>'Income Statement'!DI40</f>
        <v>-42103</v>
      </c>
      <c r="BF70" s="353">
        <f>'Income Statement'!DJ40</f>
        <v>-31145.687680788084</v>
      </c>
      <c r="BG70" s="354">
        <f>'Income Statement'!DK40</f>
        <v>-33179.115521517226</v>
      </c>
      <c r="BH70" s="351">
        <f>'Income Statement'!DL40</f>
        <v>-143674.80320230531</v>
      </c>
      <c r="BI70" s="352">
        <f>'Income Statement'!DM40</f>
        <v>-37252.485970244627</v>
      </c>
      <c r="BJ70" s="353">
        <f>'Income Statement'!DN40</f>
        <v>-35840.42082803935</v>
      </c>
      <c r="BK70" s="353">
        <f>'Income Statement'!DO40</f>
        <v>-37138.419281825845</v>
      </c>
      <c r="BL70" s="354">
        <f>'Income Statement'!DP40</f>
        <v>-38199.136088125349</v>
      </c>
      <c r="BM70" s="351">
        <f>'Income Statement'!DQ40</f>
        <v>-148430.46216823516</v>
      </c>
    </row>
    <row r="71" spans="2:65" hidden="1">
      <c r="B71" s="363" t="str">
        <f>'Income Statement'!A41</f>
        <v xml:space="preserve">  Cash tax rate (% of collection)</v>
      </c>
      <c r="C71" s="364">
        <f>'Income Statement'!AY41</f>
        <v>2.0092522593598811E-2</v>
      </c>
      <c r="D71" s="364">
        <f>'Income Statement'!BD41</f>
        <v>1.335237415208854E-2</v>
      </c>
      <c r="E71" s="364">
        <f>'Income Statement'!BI41</f>
        <v>1.3781316810262055E-2</v>
      </c>
      <c r="F71" s="380">
        <f>'Income Statement'!BJ41</f>
        <v>0</v>
      </c>
      <c r="G71" s="381" t="e">
        <f>'Income Statement'!BK41</f>
        <v>#DIV/0!</v>
      </c>
      <c r="H71" s="366" t="e">
        <f>'Income Statement'!BL41</f>
        <v>#DIV/0!</v>
      </c>
      <c r="I71" s="367">
        <f>'Income Statement'!BM41</f>
        <v>6.5046586010290647E-2</v>
      </c>
      <c r="J71" s="364">
        <f>'Income Statement'!BN41</f>
        <v>1.4316941842046866E-2</v>
      </c>
      <c r="K71" s="380">
        <f>'Income Statement'!BO41</f>
        <v>0</v>
      </c>
      <c r="L71" s="381" t="e">
        <f>'Income Statement'!BP41</f>
        <v>#DIV/0!</v>
      </c>
      <c r="M71" s="366" t="e">
        <f>'Income Statement'!BQ41</f>
        <v>#DIV/0!</v>
      </c>
      <c r="N71" s="367">
        <f>'Income Statement'!BR41</f>
        <v>0.20111371277617676</v>
      </c>
      <c r="O71" s="364">
        <f>'Income Statement'!BS41</f>
        <v>1.8717608437521828E-2</v>
      </c>
      <c r="P71" s="380">
        <f>'Income Statement'!BT41</f>
        <v>0</v>
      </c>
      <c r="Q71" s="381" t="e">
        <f>'Income Statement'!BU41</f>
        <v>#DIV/0!</v>
      </c>
      <c r="R71" s="366" t="e">
        <f>'Income Statement'!BV41</f>
        <v>#DIV/0!</v>
      </c>
      <c r="S71" s="367">
        <f>'Income Statement'!BW41</f>
        <v>4.5985798693894478E-2</v>
      </c>
      <c r="T71" s="364">
        <f>'Income Statement'!BX41</f>
        <v>1.541464482469262E-2</v>
      </c>
      <c r="U71" s="380">
        <f>'Income Statement'!BY41</f>
        <v>6.086476746913449E-3</v>
      </c>
      <c r="V71" s="381">
        <f>'Income Statement'!BZ41</f>
        <v>1.846789225540002E-2</v>
      </c>
      <c r="W71" s="366">
        <f>'Income Statement'!CA41</f>
        <v>2.1109350237717907E-2</v>
      </c>
      <c r="X71" s="367">
        <f>'Income Statement'!CB41</f>
        <v>-1.7118247675546174E-2</v>
      </c>
      <c r="Y71" s="364">
        <f>'Income Statement'!CC41</f>
        <v>2.2605008725280585E-2</v>
      </c>
      <c r="Z71" s="380">
        <f>'Income Statement'!CD41</f>
        <v>2.4639433547402424E-2</v>
      </c>
      <c r="AA71" s="381">
        <f>'Income Statement'!CE41</f>
        <v>2.9366853427003802E-2</v>
      </c>
      <c r="AB71" s="366">
        <f>'Income Statement'!CF41</f>
        <v>3.120175123199594E-2</v>
      </c>
      <c r="AC71" s="367">
        <f>'Income Statement'!CG41</f>
        <v>1.7206156789154402E-2</v>
      </c>
      <c r="AD71" s="364">
        <f>'Income Statement'!CH41</f>
        <v>2.386059604059302E-2</v>
      </c>
      <c r="AE71" s="380">
        <f>'Income Statement'!CI41</f>
        <v>2.5863600355282425E-2</v>
      </c>
      <c r="AF71" s="381">
        <f>'Income Statement'!CJ41</f>
        <v>1.7725515225251665E-2</v>
      </c>
      <c r="AG71" s="366">
        <f>'Income Statement'!CK41</f>
        <v>2.3162685758098149E-2</v>
      </c>
      <c r="AH71" s="367">
        <f>'Income Statement'!CL41</f>
        <v>3.2621336934095774E-2</v>
      </c>
      <c r="AI71" s="364">
        <f>'Income Statement'!CM41</f>
        <v>2.4536342143993008E-2</v>
      </c>
      <c r="AJ71" s="380">
        <f>'Income Statement'!CN41</f>
        <v>9.0322641939651893E-2</v>
      </c>
      <c r="AK71" s="381">
        <f>'Income Statement'!CO41</f>
        <v>1.7855849225000508E-2</v>
      </c>
      <c r="AL71" s="366">
        <f>'Income Statement'!CP41</f>
        <v>1.7427601287979856E-2</v>
      </c>
      <c r="AM71" s="367">
        <f>'Income Statement'!CQ41</f>
        <v>1.8462634851202909E-2</v>
      </c>
      <c r="AN71" s="364">
        <f>'Income Statement'!CR41</f>
        <v>2.1088249396095625E-2</v>
      </c>
      <c r="AO71" s="380">
        <f>'Income Statement'!CS41</f>
        <v>1.8625118708129485E-2</v>
      </c>
      <c r="AP71" s="381">
        <f>'Income Statement'!CT41</f>
        <v>2.2456617897243961E-2</v>
      </c>
      <c r="AQ71" s="366">
        <f>'Income Statement'!CU41</f>
        <v>2.3696333196716542E-2</v>
      </c>
      <c r="AR71" s="367">
        <f>'Income Statement'!CV41</f>
        <v>2.4298095069411788E-2</v>
      </c>
      <c r="AS71" s="364">
        <f>'Income Statement'!CW41</f>
        <v>2.2340115120669884E-2</v>
      </c>
      <c r="AT71" s="380">
        <f>'Income Statement'!CX41</f>
        <v>2.6084073409051684E-2</v>
      </c>
      <c r="AU71" s="381">
        <f>'Income Statement'!CY41</f>
        <v>2.1602412559859369E-2</v>
      </c>
      <c r="AV71" s="366">
        <f>'Income Statement'!CZ41</f>
        <v>2.1368032466652316E-2</v>
      </c>
      <c r="AW71" s="367">
        <f>'Income Statement'!DA41</f>
        <v>2.6013792666579102E-2</v>
      </c>
      <c r="AX71" s="364">
        <f>'Income Statement'!DB41</f>
        <v>2.3640147307416967E-2</v>
      </c>
      <c r="AY71" s="380">
        <f>'Income Statement'!DC41</f>
        <v>2.8422699430272022E-2</v>
      </c>
      <c r="AZ71" s="381">
        <f>'Income Statement'!DD41</f>
        <v>2.5072728039294223E-2</v>
      </c>
      <c r="BA71" s="366">
        <f>'Income Statement'!DE41</f>
        <v>2.6743959258857947E-2</v>
      </c>
      <c r="BB71" s="367">
        <f>'Income Statement'!DF41</f>
        <v>2.6733259514737515E-2</v>
      </c>
      <c r="BC71" s="364">
        <f>'Income Statement'!DG41</f>
        <v>2.6618821433903553E-2</v>
      </c>
      <c r="BD71" s="380">
        <f>'Income Statement'!DH41</f>
        <v>2.9725379218650368E-2</v>
      </c>
      <c r="BE71" s="381">
        <f>'Income Statement'!DI41</f>
        <v>2.7114350003928402E-2</v>
      </c>
      <c r="BF71" s="366">
        <f>'Income Statement'!DJ41</f>
        <v>1.9200000000000002E-2</v>
      </c>
      <c r="BG71" s="367">
        <f>'Income Statement'!DK41</f>
        <v>1.9200000000000002E-2</v>
      </c>
      <c r="BH71" s="364">
        <f>'Income Statement'!DL41</f>
        <v>2.3338679154761486E-2</v>
      </c>
      <c r="BI71" s="380">
        <f>'Income Statement'!DM41</f>
        <v>1.9200000000000002E-2</v>
      </c>
      <c r="BJ71" s="381">
        <f>'Income Statement'!DN41</f>
        <v>1.9200000000000002E-2</v>
      </c>
      <c r="BK71" s="366">
        <f>'Income Statement'!DO41</f>
        <v>1.9200000000000002E-2</v>
      </c>
      <c r="BL71" s="367">
        <f>'Income Statement'!DP41</f>
        <v>1.9200000000000002E-2</v>
      </c>
      <c r="BM71" s="364">
        <f>'Income Statement'!DQ41</f>
        <v>1.9199999999999998E-2</v>
      </c>
    </row>
    <row r="72" spans="2:65" hidden="1">
      <c r="B72" s="350" t="str">
        <f>'Income Statement'!A42</f>
        <v>Deffered Taxes</v>
      </c>
      <c r="C72" s="351">
        <f>'Income Statement'!AY42</f>
        <v>0</v>
      </c>
      <c r="D72" s="351">
        <f>'Income Statement'!BD42</f>
        <v>-585</v>
      </c>
      <c r="E72" s="351">
        <f>'Income Statement'!BI42</f>
        <v>325</v>
      </c>
      <c r="F72" s="377">
        <f>'Income Statement'!BJ42</f>
        <v>0</v>
      </c>
      <c r="G72" s="378">
        <f>'Income Statement'!BK42</f>
        <v>0</v>
      </c>
      <c r="H72" s="353">
        <f>'Income Statement'!BL42</f>
        <v>0</v>
      </c>
      <c r="I72" s="354">
        <f>'Income Statement'!BM42</f>
        <v>-87</v>
      </c>
      <c r="J72" s="351">
        <f>'Income Statement'!BN42</f>
        <v>-87</v>
      </c>
      <c r="K72" s="377">
        <f>'Income Statement'!BO42</f>
        <v>0</v>
      </c>
      <c r="L72" s="378">
        <f>'Income Statement'!BP42</f>
        <v>0</v>
      </c>
      <c r="M72" s="353">
        <f>'Income Statement'!BQ42</f>
        <v>0</v>
      </c>
      <c r="N72" s="354">
        <f>'Income Statement'!BR42</f>
        <v>-420</v>
      </c>
      <c r="O72" s="351">
        <f>'Income Statement'!BS42</f>
        <v>-420</v>
      </c>
      <c r="P72" s="377">
        <f>'Income Statement'!BT42</f>
        <v>0</v>
      </c>
      <c r="Q72" s="378">
        <f>'Income Statement'!BU42</f>
        <v>0</v>
      </c>
      <c r="R72" s="353">
        <f>'Income Statement'!BV42</f>
        <v>0</v>
      </c>
      <c r="S72" s="354">
        <f>'Income Statement'!BW42</f>
        <v>-705</v>
      </c>
      <c r="T72" s="351">
        <f>'Income Statement'!BX42</f>
        <v>-705</v>
      </c>
      <c r="U72" s="377">
        <f>'Income Statement'!BY42</f>
        <v>-184</v>
      </c>
      <c r="V72" s="378">
        <f>'Income Statement'!BZ42</f>
        <v>-481</v>
      </c>
      <c r="W72" s="353">
        <f>'Income Statement'!CA42</f>
        <v>782</v>
      </c>
      <c r="X72" s="354">
        <f>'Income Statement'!CB42</f>
        <v>-873</v>
      </c>
      <c r="Y72" s="351">
        <f>'Income Statement'!CC42</f>
        <v>-756</v>
      </c>
      <c r="Z72" s="377">
        <f>'Income Statement'!CD42</f>
        <v>-666</v>
      </c>
      <c r="AA72" s="378">
        <f>'Income Statement'!CE42</f>
        <v>186</v>
      </c>
      <c r="AB72" s="353">
        <f>'Income Statement'!CF42</f>
        <v>-1002</v>
      </c>
      <c r="AC72" s="354">
        <f>'Income Statement'!CG42</f>
        <v>-82</v>
      </c>
      <c r="AD72" s="351">
        <f>'Income Statement'!CH42</f>
        <v>-1564</v>
      </c>
      <c r="AE72" s="377">
        <f>'Income Statement'!CI42</f>
        <v>-1492</v>
      </c>
      <c r="AF72" s="378">
        <f>'Income Statement'!CJ42</f>
        <v>-2193</v>
      </c>
      <c r="AG72" s="353">
        <f>'Income Statement'!CK42</f>
        <v>-843</v>
      </c>
      <c r="AH72" s="354">
        <f>'Income Statement'!CL42</f>
        <v>89</v>
      </c>
      <c r="AI72" s="351">
        <f>'Income Statement'!CM42</f>
        <v>-4439</v>
      </c>
      <c r="AJ72" s="377">
        <f>'Income Statement'!CN42</f>
        <v>-2130</v>
      </c>
      <c r="AK72" s="378">
        <f>'Income Statement'!CO42</f>
        <v>-2124</v>
      </c>
      <c r="AL72" s="353">
        <f>'Income Statement'!CP42</f>
        <v>-1635</v>
      </c>
      <c r="AM72" s="354">
        <f>'Income Statement'!CQ42</f>
        <v>81</v>
      </c>
      <c r="AN72" s="351">
        <f>'Income Statement'!CR42</f>
        <v>-5808</v>
      </c>
      <c r="AO72" s="377">
        <f>'Income Statement'!CS42</f>
        <v>-1627</v>
      </c>
      <c r="AP72" s="378">
        <f>'Income Statement'!CT42</f>
        <v>-2289</v>
      </c>
      <c r="AQ72" s="353">
        <f>'Income Statement'!CU42</f>
        <v>-800</v>
      </c>
      <c r="AR72" s="354">
        <f>'Income Statement'!CV42</f>
        <v>133</v>
      </c>
      <c r="AS72" s="351">
        <f>'Income Statement'!CW42</f>
        <v>-4583</v>
      </c>
      <c r="AT72" s="377">
        <f>'Income Statement'!CX42</f>
        <v>-2957</v>
      </c>
      <c r="AU72" s="378">
        <f>'Income Statement'!CY42</f>
        <v>-951</v>
      </c>
      <c r="AV72" s="353">
        <f>'Income Statement'!CZ42</f>
        <v>-1562</v>
      </c>
      <c r="AW72" s="354">
        <f>'Income Statement'!DA42</f>
        <v>2237</v>
      </c>
      <c r="AX72" s="351">
        <f>'Income Statement'!DB42</f>
        <v>-3233</v>
      </c>
      <c r="AY72" s="377">
        <f>'Income Statement'!DC42</f>
        <v>-8693</v>
      </c>
      <c r="AZ72" s="378">
        <f>'Income Statement'!DD42</f>
        <v>-2894</v>
      </c>
      <c r="BA72" s="353">
        <f>'Income Statement'!DE42</f>
        <v>260</v>
      </c>
      <c r="BB72" s="354">
        <f>'Income Statement'!DF42</f>
        <v>136</v>
      </c>
      <c r="BC72" s="351">
        <f>'Income Statement'!DG42</f>
        <v>-11191</v>
      </c>
      <c r="BD72" s="377">
        <f>'Income Statement'!DH42</f>
        <v>-4033</v>
      </c>
      <c r="BE72" s="378">
        <f>'Income Statement'!DI42</f>
        <v>-3011</v>
      </c>
      <c r="BF72" s="353">
        <f>'Income Statement'!DJ42</f>
        <v>-1144.8928722528908</v>
      </c>
      <c r="BG72" s="354">
        <f>'Income Statement'!DK42</f>
        <v>-1786.8155414852226</v>
      </c>
      <c r="BH72" s="351">
        <f>'Income Statement'!DL42</f>
        <v>-9975.7084137381134</v>
      </c>
      <c r="BI72" s="377">
        <f>'Income Statement'!DM42</f>
        <v>1532.7410900422474</v>
      </c>
      <c r="BJ72" s="378">
        <f>'Income Statement'!DN42</f>
        <v>-1055.5728886993675</v>
      </c>
      <c r="BK72" s="353">
        <f>'Income Statement'!DO42</f>
        <v>-755.4458871529423</v>
      </c>
      <c r="BL72" s="354">
        <f>'Income Statement'!DP42</f>
        <v>-615.82407032138144</v>
      </c>
      <c r="BM72" s="351">
        <f>'Income Statement'!DQ42</f>
        <v>-894.10175613144384</v>
      </c>
    </row>
    <row r="73" spans="2:65" hidden="1">
      <c r="B73" s="363" t="str">
        <f>'Income Statement'!A43</f>
        <v xml:space="preserve">  Total tax rate (% of revenues)</v>
      </c>
      <c r="C73" s="364">
        <f>'Income Statement'!AY43</f>
        <v>1.8381107573777873E-2</v>
      </c>
      <c r="D73" s="364">
        <f>'Income Statement'!BD43</f>
        <v>1.3125840170519173E-2</v>
      </c>
      <c r="E73" s="364">
        <f>'Income Statement'!BI43</f>
        <v>1.2133679677829884E-2</v>
      </c>
      <c r="F73" s="380" t="e">
        <f>'Income Statement'!BJ43</f>
        <v>#DIV/0!</v>
      </c>
      <c r="G73" s="381" t="e">
        <f>'Income Statement'!BK43</f>
        <v>#DIV/0!</v>
      </c>
      <c r="H73" s="366" t="e">
        <f>'Income Statement'!BL43</f>
        <v>#DIV/0!</v>
      </c>
      <c r="I73" s="367">
        <f>'Income Statement'!BM43</f>
        <v>1.3988028631379032E-2</v>
      </c>
      <c r="J73" s="364">
        <f>'Income Statement'!BN43</f>
        <v>1.3988028631379032E-2</v>
      </c>
      <c r="K73" s="380" t="e">
        <f>'Income Statement'!BO43</f>
        <v>#DIV/0!</v>
      </c>
      <c r="L73" s="381" t="e">
        <f>'Income Statement'!BP43</f>
        <v>#DIV/0!</v>
      </c>
      <c r="M73" s="366" t="e">
        <f>'Income Statement'!BQ43</f>
        <v>#DIV/0!</v>
      </c>
      <c r="N73" s="367">
        <f>'Income Statement'!BR43</f>
        <v>1.6968632771969031E-2</v>
      </c>
      <c r="O73" s="364">
        <f>'Income Statement'!BS43</f>
        <v>1.6968632771969031E-2</v>
      </c>
      <c r="P73" s="380" t="e">
        <f>'Income Statement'!BT43</f>
        <v>#DIV/0!</v>
      </c>
      <c r="Q73" s="381" t="e">
        <f>'Income Statement'!BU43</f>
        <v>#DIV/0!</v>
      </c>
      <c r="R73" s="366" t="e">
        <f>'Income Statement'!BV43</f>
        <v>#DIV/0!</v>
      </c>
      <c r="S73" s="367">
        <f>'Income Statement'!BW43</f>
        <v>2.0048834396627885E-2</v>
      </c>
      <c r="T73" s="364">
        <f>'Income Statement'!BX43</f>
        <v>2.0048834396627885E-2</v>
      </c>
      <c r="U73" s="380">
        <f>'Income Statement'!BY43</f>
        <v>2.5221638265116527E-2</v>
      </c>
      <c r="V73" s="381">
        <f>'Income Statement'!BZ43</f>
        <v>2.0669846451502057E-2</v>
      </c>
      <c r="W73" s="366">
        <f>'Income Statement'!CA43</f>
        <v>1.8656031568804392E-2</v>
      </c>
      <c r="X73" s="367">
        <f>'Income Statement'!CB43</f>
        <v>2.2791314437261727E-2</v>
      </c>
      <c r="Y73" s="364">
        <f>'Income Statement'!CC43</f>
        <v>2.1622189061462193E-2</v>
      </c>
      <c r="Z73" s="380">
        <f>'Income Statement'!CD43</f>
        <v>3.4035570844752575E-2</v>
      </c>
      <c r="AA73" s="381">
        <f>'Income Statement'!CE43</f>
        <v>1.9788468099624701E-2</v>
      </c>
      <c r="AB73" s="366">
        <f>'Income Statement'!CF43</f>
        <v>2.1181538952491124E-2</v>
      </c>
      <c r="AC73" s="367">
        <f>'Income Statement'!CG43</f>
        <v>1.9411458031628338E-2</v>
      </c>
      <c r="AD73" s="364">
        <f>'Income Statement'!CH43</f>
        <v>2.2900683333886618E-2</v>
      </c>
      <c r="AE73" s="380">
        <f>'Income Statement'!CI43</f>
        <v>2.0274930294795542E-2</v>
      </c>
      <c r="AF73" s="381">
        <f>'Income Statement'!CJ43</f>
        <v>1.8642389168182533E-2</v>
      </c>
      <c r="AG73" s="366">
        <f>'Income Statement'!CK43</f>
        <v>2.2629034130866758E-2</v>
      </c>
      <c r="AH73" s="367">
        <f>'Income Statement'!CL43</f>
        <v>2.1802725035269113E-2</v>
      </c>
      <c r="AI73" s="364">
        <f>'Income Statement'!CM43</f>
        <v>2.0900940289191421E-2</v>
      </c>
      <c r="AJ73" s="380">
        <f>'Income Statement'!CN43</f>
        <v>2.6011793264695757E-2</v>
      </c>
      <c r="AK73" s="381">
        <f>'Income Statement'!CO43</f>
        <v>2.396882460188824E-2</v>
      </c>
      <c r="AL73" s="366">
        <f>'Income Statement'!CP43</f>
        <v>2.4788601137141573E-2</v>
      </c>
      <c r="AM73" s="367">
        <f>'Income Statement'!CQ43</f>
        <v>2.5746023105096143E-2</v>
      </c>
      <c r="AN73" s="364">
        <f>'Income Statement'!CR43</f>
        <v>2.5058322044004901E-2</v>
      </c>
      <c r="AO73" s="380">
        <f>'Income Statement'!CS43</f>
        <v>2.5776696091811831E-2</v>
      </c>
      <c r="AP73" s="381">
        <f>'Income Statement'!CT43</f>
        <v>2.5001855042830878E-2</v>
      </c>
      <c r="AQ73" s="366">
        <f>'Income Statement'!CU43</f>
        <v>2.5440432838480916E-2</v>
      </c>
      <c r="AR73" s="367">
        <f>'Income Statement'!CV43</f>
        <v>2.4345856805602788E-2</v>
      </c>
      <c r="AS73" s="364">
        <f>'Income Statement'!CW43</f>
        <v>2.5091366696094342E-2</v>
      </c>
      <c r="AT73" s="380">
        <f>'Income Statement'!CX43</f>
        <v>2.4106083006322086E-2</v>
      </c>
      <c r="AU73" s="381">
        <f>'Income Statement'!CY43</f>
        <v>2.0948115641453383E-2</v>
      </c>
      <c r="AV73" s="366">
        <f>'Income Statement'!CZ43</f>
        <v>2.1784837556067402E-2</v>
      </c>
      <c r="AW73" s="367">
        <f>'Income Statement'!DA43</f>
        <v>2.4820019111646607E-2</v>
      </c>
      <c r="AX73" s="364">
        <f>'Income Statement'!DB43</f>
        <v>2.2867272324396188E-2</v>
      </c>
      <c r="AY73" s="380">
        <f>'Income Statement'!DC43</f>
        <v>2.5492030811127265E-2</v>
      </c>
      <c r="AZ73" s="381">
        <f>'Income Statement'!DD43</f>
        <v>2.3346965206420024E-2</v>
      </c>
      <c r="BA73" s="366">
        <f>'Income Statement'!DE43</f>
        <v>2.594560336954788E-2</v>
      </c>
      <c r="BB73" s="367">
        <f>'Income Statement'!DF43</f>
        <v>2.8048587216448373E-2</v>
      </c>
      <c r="BC73" s="364">
        <f>'Income Statement'!DG43</f>
        <v>2.5748302041106608E-2</v>
      </c>
      <c r="BD73" s="380">
        <f>'Income Statement'!DH43</f>
        <v>2.5598872855830845E-2</v>
      </c>
      <c r="BE73" s="381">
        <f>'Income Statement'!DI43</f>
        <v>2.6685295227594562E-2</v>
      </c>
      <c r="BF73" s="366">
        <f>'Income Statement'!DJ43</f>
        <v>1.9200000000000002E-2</v>
      </c>
      <c r="BG73" s="367">
        <f>'Income Statement'!DK43</f>
        <v>1.9200000000000002E-2</v>
      </c>
      <c r="BH73" s="364">
        <f>'Income Statement'!DL43</f>
        <v>2.2575384425632377E-2</v>
      </c>
      <c r="BI73" s="380">
        <f>'Income Statement'!DM43</f>
        <v>1.9200000000000002E-2</v>
      </c>
      <c r="BJ73" s="381">
        <f>'Income Statement'!DN43</f>
        <v>1.9200000000000002E-2</v>
      </c>
      <c r="BK73" s="366">
        <f>'Income Statement'!DO43</f>
        <v>1.9200000000000002E-2</v>
      </c>
      <c r="BL73" s="367">
        <f>'Income Statement'!DP43</f>
        <v>1.9200000000000002E-2</v>
      </c>
      <c r="BM73" s="364">
        <f>'Income Statement'!DQ43</f>
        <v>1.9200000000000002E-2</v>
      </c>
    </row>
    <row r="74" spans="2:65" hidden="1">
      <c r="B74" s="350" t="str">
        <f>'Income Statement'!A44</f>
        <v>Employee compensation</v>
      </c>
      <c r="C74" s="351">
        <f>'Income Statement'!AY44</f>
        <v>0</v>
      </c>
      <c r="D74" s="351">
        <f>'Income Statement'!BD44</f>
        <v>0</v>
      </c>
      <c r="E74" s="351">
        <f>'Income Statement'!BI44</f>
        <v>0</v>
      </c>
      <c r="F74" s="377">
        <f>'Income Statement'!BJ44</f>
        <v>0</v>
      </c>
      <c r="G74" s="378">
        <f>'Income Statement'!BK44</f>
        <v>0</v>
      </c>
      <c r="H74" s="353">
        <f>'Income Statement'!BL44</f>
        <v>0</v>
      </c>
      <c r="I74" s="354">
        <f>'Income Statement'!BM44</f>
        <v>0</v>
      </c>
      <c r="J74" s="351">
        <f>'Income Statement'!BN44</f>
        <v>0</v>
      </c>
      <c r="K74" s="377">
        <f>'Income Statement'!BO44</f>
        <v>0</v>
      </c>
      <c r="L74" s="378">
        <f>'Income Statement'!BP44</f>
        <v>0</v>
      </c>
      <c r="M74" s="353">
        <f>'Income Statement'!BQ44</f>
        <v>0</v>
      </c>
      <c r="N74" s="354">
        <f>'Income Statement'!BR44</f>
        <v>0</v>
      </c>
      <c r="O74" s="351">
        <f>'Income Statement'!BS44</f>
        <v>0</v>
      </c>
      <c r="P74" s="377">
        <f>'Income Statement'!BT44</f>
        <v>0</v>
      </c>
      <c r="Q74" s="378">
        <f>'Income Statement'!BU44</f>
        <v>0</v>
      </c>
      <c r="R74" s="353">
        <f>'Income Statement'!BV44</f>
        <v>0</v>
      </c>
      <c r="S74" s="354">
        <f>'Income Statement'!BW44</f>
        <v>0</v>
      </c>
      <c r="T74" s="351">
        <f>'Income Statement'!BX44</f>
        <v>0</v>
      </c>
      <c r="U74" s="377">
        <f>'Income Statement'!BY44</f>
        <v>0</v>
      </c>
      <c r="V74" s="378">
        <f>'Income Statement'!BZ44</f>
        <v>0</v>
      </c>
      <c r="W74" s="353">
        <f>'Income Statement'!CA44</f>
        <v>0</v>
      </c>
      <c r="X74" s="354">
        <f>'Income Statement'!CB44</f>
        <v>0</v>
      </c>
      <c r="Y74" s="351">
        <f>'Income Statement'!CC44</f>
        <v>0</v>
      </c>
      <c r="Z74" s="377">
        <f>'Income Statement'!CD44</f>
        <v>0</v>
      </c>
      <c r="AA74" s="378">
        <f>'Income Statement'!CE44</f>
        <v>0</v>
      </c>
      <c r="AB74" s="353">
        <f>'Income Statement'!CF44</f>
        <v>0</v>
      </c>
      <c r="AC74" s="354">
        <f>'Income Statement'!CG44</f>
        <v>0</v>
      </c>
      <c r="AD74" s="351">
        <f>'Income Statement'!CH44</f>
        <v>0</v>
      </c>
      <c r="AE74" s="377">
        <f>'Income Statement'!CI44</f>
        <v>0</v>
      </c>
      <c r="AF74" s="378">
        <f>'Income Statement'!CJ44</f>
        <v>0</v>
      </c>
      <c r="AG74" s="353">
        <f>'Income Statement'!CK44</f>
        <v>0</v>
      </c>
      <c r="AH74" s="354">
        <f>'Income Statement'!CL44</f>
        <v>0</v>
      </c>
      <c r="AI74" s="351">
        <f>'Income Statement'!CM44</f>
        <v>0</v>
      </c>
      <c r="AJ74" s="377">
        <f>'Income Statement'!CN44</f>
        <v>0</v>
      </c>
      <c r="AK74" s="378">
        <f>'Income Statement'!CO44</f>
        <v>0</v>
      </c>
      <c r="AL74" s="353">
        <f>'Income Statement'!CP44</f>
        <v>0</v>
      </c>
      <c r="AM74" s="354">
        <f>'Income Statement'!CQ44</f>
        <v>0</v>
      </c>
      <c r="AN74" s="351">
        <f>'Income Statement'!CR44</f>
        <v>0</v>
      </c>
      <c r="AO74" s="377">
        <f>'Income Statement'!CS44</f>
        <v>0</v>
      </c>
      <c r="AP74" s="378">
        <f>'Income Statement'!CT44</f>
        <v>0</v>
      </c>
      <c r="AQ74" s="353">
        <f>'Income Statement'!CU44</f>
        <v>0</v>
      </c>
      <c r="AR74" s="354">
        <f>'Income Statement'!CV44</f>
        <v>0</v>
      </c>
      <c r="AS74" s="351">
        <f>'Income Statement'!CW44</f>
        <v>0</v>
      </c>
      <c r="AT74" s="377">
        <f>'Income Statement'!CX44</f>
        <v>0</v>
      </c>
      <c r="AU74" s="378">
        <f>'Income Statement'!CY44</f>
        <v>0</v>
      </c>
      <c r="AV74" s="353">
        <f>'Income Statement'!CZ44</f>
        <v>0</v>
      </c>
      <c r="AW74" s="354">
        <f>'Income Statement'!DA44</f>
        <v>0</v>
      </c>
      <c r="AX74" s="351">
        <f>'Income Statement'!DB44</f>
        <v>0</v>
      </c>
      <c r="AY74" s="377">
        <f>'Income Statement'!DC44</f>
        <v>0</v>
      </c>
      <c r="AZ74" s="378">
        <f>'Income Statement'!DD44</f>
        <v>0</v>
      </c>
      <c r="BA74" s="353">
        <f>'Income Statement'!DE44</f>
        <v>0</v>
      </c>
      <c r="BB74" s="354">
        <f>'Income Statement'!DF44</f>
        <v>0</v>
      </c>
      <c r="BC74" s="351">
        <f>'Income Statement'!DG44</f>
        <v>0</v>
      </c>
      <c r="BD74" s="377">
        <f>'Income Statement'!DH44</f>
        <v>0</v>
      </c>
      <c r="BE74" s="378">
        <f>'Income Statement'!DI44</f>
        <v>0</v>
      </c>
      <c r="BF74" s="353">
        <f>'Income Statement'!DJ44</f>
        <v>0</v>
      </c>
      <c r="BG74" s="354">
        <f>'Income Statement'!DK44</f>
        <v>0</v>
      </c>
      <c r="BH74" s="351">
        <f>'Income Statement'!DL44</f>
        <v>0</v>
      </c>
      <c r="BI74" s="377">
        <f>'Income Statement'!DM44</f>
        <v>0</v>
      </c>
      <c r="BJ74" s="378">
        <f>'Income Statement'!DN44</f>
        <v>0</v>
      </c>
      <c r="BK74" s="353">
        <f>'Income Statement'!DO44</f>
        <v>0</v>
      </c>
      <c r="BL74" s="354">
        <f>'Income Statement'!DP44</f>
        <v>0</v>
      </c>
      <c r="BM74" s="351">
        <f>'Income Statement'!DQ44</f>
        <v>0</v>
      </c>
    </row>
    <row r="75" spans="2:65" hidden="1">
      <c r="B75" s="350" t="str">
        <f>'Income Statement'!A45</f>
        <v>Majority Earnings</v>
      </c>
      <c r="C75" s="351">
        <f>'Income Statement'!AY45</f>
        <v>171735.94599999997</v>
      </c>
      <c r="D75" s="351">
        <f>'Income Statement'!BD45</f>
        <v>172789</v>
      </c>
      <c r="E75" s="351">
        <f>'Income Statement'!BI45</f>
        <v>161329</v>
      </c>
      <c r="F75" s="377">
        <f>'Income Statement'!BJ45</f>
        <v>0</v>
      </c>
      <c r="G75" s="378">
        <f>'Income Statement'!BK45</f>
        <v>0</v>
      </c>
      <c r="H75" s="353">
        <f>'Income Statement'!BL45</f>
        <v>0</v>
      </c>
      <c r="I75" s="354">
        <f>'Income Statement'!BM45</f>
        <v>111796</v>
      </c>
      <c r="J75" s="351">
        <f>'Income Statement'!BN45</f>
        <v>111796</v>
      </c>
      <c r="K75" s="377">
        <f>'Income Statement'!BO45</f>
        <v>0</v>
      </c>
      <c r="L75" s="378">
        <f>'Income Statement'!BP45</f>
        <v>0</v>
      </c>
      <c r="M75" s="353">
        <f>'Income Statement'!BQ45</f>
        <v>0</v>
      </c>
      <c r="N75" s="354">
        <f>'Income Statement'!BR45</f>
        <v>128777</v>
      </c>
      <c r="O75" s="351">
        <f>'Income Statement'!BS45</f>
        <v>128777</v>
      </c>
      <c r="P75" s="377">
        <f>'Income Statement'!BT45</f>
        <v>0</v>
      </c>
      <c r="Q75" s="378">
        <f>'Income Statement'!BU45</f>
        <v>0</v>
      </c>
      <c r="R75" s="353">
        <f>'Income Statement'!BV45</f>
        <v>0</v>
      </c>
      <c r="S75" s="354">
        <f>'Income Statement'!BW45</f>
        <v>176011</v>
      </c>
      <c r="T75" s="351">
        <f>'Income Statement'!BX45</f>
        <v>176011</v>
      </c>
      <c r="U75" s="377">
        <f>'Income Statement'!BY45</f>
        <v>23506</v>
      </c>
      <c r="V75" s="378">
        <f>'Income Statement'!BZ45</f>
        <v>73734</v>
      </c>
      <c r="W75" s="353">
        <f>'Income Statement'!CA45</f>
        <v>40304</v>
      </c>
      <c r="X75" s="354">
        <f>'Income Statement'!CB45</f>
        <v>66512</v>
      </c>
      <c r="Y75" s="351">
        <f>'Income Statement'!CC45</f>
        <v>204056</v>
      </c>
      <c r="Z75" s="377">
        <f>'Income Statement'!CD45</f>
        <v>15418</v>
      </c>
      <c r="AA75" s="378">
        <f>'Income Statement'!CE45</f>
        <v>41012</v>
      </c>
      <c r="AB75" s="353">
        <f>'Income Statement'!CF45</f>
        <v>59215</v>
      </c>
      <c r="AC75" s="354">
        <f>'Income Statement'!CG45</f>
        <v>74353</v>
      </c>
      <c r="AD75" s="351">
        <f>'Income Statement'!CH45</f>
        <v>189998</v>
      </c>
      <c r="AE75" s="377">
        <f>'Income Statement'!CI45</f>
        <v>52068</v>
      </c>
      <c r="AF75" s="378">
        <f>'Income Statement'!CJ45</f>
        <v>76951</v>
      </c>
      <c r="AG75" s="353">
        <f>'Income Statement'!CK45</f>
        <v>74647</v>
      </c>
      <c r="AH75" s="354">
        <f>'Income Statement'!CL45</f>
        <v>111643</v>
      </c>
      <c r="AI75" s="351">
        <f>'Income Statement'!CM45</f>
        <v>315309</v>
      </c>
      <c r="AJ75" s="377">
        <f>'Income Statement'!CN45</f>
        <v>63351</v>
      </c>
      <c r="AK75" s="378">
        <f>'Income Statement'!CO45</f>
        <v>92939</v>
      </c>
      <c r="AL75" s="353">
        <f>'Income Statement'!CP45</f>
        <v>94871</v>
      </c>
      <c r="AM75" s="354">
        <f>'Income Statement'!CQ45</f>
        <v>97279</v>
      </c>
      <c r="AN75" s="351">
        <f>'Income Statement'!CR45</f>
        <v>348440</v>
      </c>
      <c r="AO75" s="377">
        <f>'Income Statement'!CS45</f>
        <v>94056</v>
      </c>
      <c r="AP75" s="378">
        <f>'Income Statement'!CT45</f>
        <v>124070</v>
      </c>
      <c r="AQ75" s="353">
        <f>'Income Statement'!CU45</f>
        <v>112891</v>
      </c>
      <c r="AR75" s="354">
        <f>'Income Statement'!CV45</f>
        <v>164594</v>
      </c>
      <c r="AS75" s="351">
        <f>'Income Statement'!CW45</f>
        <v>495611</v>
      </c>
      <c r="AT75" s="377">
        <f>'Income Statement'!CX45</f>
        <v>154070</v>
      </c>
      <c r="AU75" s="378">
        <f>'Income Statement'!CY45</f>
        <v>175282</v>
      </c>
      <c r="AV75" s="353">
        <f>'Income Statement'!CZ45</f>
        <v>180588</v>
      </c>
      <c r="AW75" s="354">
        <f>'Income Statement'!DA45</f>
        <v>188872</v>
      </c>
      <c r="AX75" s="351">
        <f>'Income Statement'!DB45</f>
        <v>698812</v>
      </c>
      <c r="AY75" s="377">
        <f>'Income Statement'!DC45</f>
        <v>233664</v>
      </c>
      <c r="AZ75" s="378">
        <f>'Income Statement'!DD45</f>
        <v>267157</v>
      </c>
      <c r="BA75" s="353">
        <f>'Income Statement'!DE45</f>
        <v>283210</v>
      </c>
      <c r="BB75" s="354">
        <f>'Income Statement'!DF45</f>
        <v>297189</v>
      </c>
      <c r="BC75" s="351">
        <f>'Income Statement'!DG45</f>
        <v>1081220</v>
      </c>
      <c r="BD75" s="377">
        <f>'Income Statement'!DH45</f>
        <v>351156</v>
      </c>
      <c r="BE75" s="378">
        <f>'Income Statement'!DI45</f>
        <v>311191</v>
      </c>
      <c r="BF75" s="353">
        <f ca="1">'Income Statement'!DJ45</f>
        <v>351748.26383656246</v>
      </c>
      <c r="BG75" s="354">
        <f ca="1">'Income Statement'!DK45</f>
        <v>409750.30172511656</v>
      </c>
      <c r="BH75" s="351">
        <f ca="1">'Income Statement'!DL45</f>
        <v>1423845.565561679</v>
      </c>
      <c r="BI75" s="377">
        <f ca="1">'Income Statement'!DM45</f>
        <v>408700.68879166379</v>
      </c>
      <c r="BJ75" s="378">
        <f ca="1">'Income Statement'!DN45</f>
        <v>421800.19201252412</v>
      </c>
      <c r="BK75" s="353">
        <f ca="1">'Income Statement'!DO45</f>
        <v>426774.69194075</v>
      </c>
      <c r="BL75" s="354">
        <f ca="1">'Income Statement'!DP45</f>
        <v>440052.93466621632</v>
      </c>
      <c r="BM75" s="351">
        <f ca="1">'Income Statement'!DQ45</f>
        <v>1697328.5074111542</v>
      </c>
    </row>
    <row r="76" spans="2:65">
      <c r="B76" s="350" t="str">
        <f>'Income Statement'!A46</f>
        <v>Minority Interest</v>
      </c>
      <c r="C76" s="351">
        <f>'Income Statement'!AY46</f>
        <v>-66655.695000000007</v>
      </c>
      <c r="D76" s="351">
        <f>'Income Statement'!BD46</f>
        <v>-38258</v>
      </c>
      <c r="E76" s="351">
        <f>'Income Statement'!BI46</f>
        <v>-30221</v>
      </c>
      <c r="F76" s="377">
        <f>'Income Statement'!BJ46</f>
        <v>0</v>
      </c>
      <c r="G76" s="378">
        <f>'Income Statement'!BK46</f>
        <v>0</v>
      </c>
      <c r="H76" s="378">
        <f>'Income Statement'!BL46</f>
        <v>0</v>
      </c>
      <c r="I76" s="379">
        <f>'Income Statement'!BM46</f>
        <v>-20810</v>
      </c>
      <c r="J76" s="351">
        <f>'Income Statement'!BN46</f>
        <v>-20810</v>
      </c>
      <c r="K76" s="377">
        <f>'Income Statement'!BO46</f>
        <v>0</v>
      </c>
      <c r="L76" s="378">
        <f>'Income Statement'!BP46</f>
        <v>0</v>
      </c>
      <c r="M76" s="378">
        <f>'Income Statement'!BQ46</f>
        <v>0</v>
      </c>
      <c r="N76" s="379">
        <f>'Income Statement'!BR46</f>
        <v>-15943</v>
      </c>
      <c r="O76" s="351">
        <f>'Income Statement'!BS46</f>
        <v>-15943</v>
      </c>
      <c r="P76" s="377">
        <f>'Income Statement'!BT46</f>
        <v>0</v>
      </c>
      <c r="Q76" s="378">
        <f>'Income Statement'!BU46</f>
        <v>0</v>
      </c>
      <c r="R76" s="378">
        <f>'Income Statement'!BV46</f>
        <v>0</v>
      </c>
      <c r="S76" s="379">
        <f>'Income Statement'!BW46</f>
        <v>-45012</v>
      </c>
      <c r="T76" s="351">
        <f>'Income Statement'!BX46</f>
        <v>-45012</v>
      </c>
      <c r="U76" s="377">
        <f>'Income Statement'!BY46</f>
        <v>-5130</v>
      </c>
      <c r="V76" s="378">
        <f>'Income Statement'!BZ46</f>
        <v>-12661</v>
      </c>
      <c r="W76" s="378">
        <f>'Income Statement'!CA46</f>
        <v>-9996</v>
      </c>
      <c r="X76" s="379">
        <f>'Income Statement'!CB46</f>
        <v>-16141</v>
      </c>
      <c r="Y76" s="351">
        <f>'Income Statement'!CC46</f>
        <v>-43928</v>
      </c>
      <c r="Z76" s="377">
        <f>'Income Statement'!CD46</f>
        <v>-8918</v>
      </c>
      <c r="AA76" s="378">
        <f>'Income Statement'!CE46</f>
        <v>-4023</v>
      </c>
      <c r="AB76" s="378">
        <f>'Income Statement'!CF46</f>
        <v>-9861</v>
      </c>
      <c r="AC76" s="379">
        <f>'Income Statement'!CG46</f>
        <v>-6384</v>
      </c>
      <c r="AD76" s="351">
        <f>'Income Statement'!CH46</f>
        <v>-29186</v>
      </c>
      <c r="AE76" s="377">
        <f>'Income Statement'!CI46</f>
        <v>-2075</v>
      </c>
      <c r="AF76" s="378">
        <f>'Income Statement'!CJ46</f>
        <v>1652</v>
      </c>
      <c r="AG76" s="378">
        <f>'Income Statement'!CK46</f>
        <v>-7242</v>
      </c>
      <c r="AH76" s="379">
        <f>'Income Statement'!CL46</f>
        <v>-7895</v>
      </c>
      <c r="AI76" s="351">
        <f>'Income Statement'!CM46</f>
        <v>-15560</v>
      </c>
      <c r="AJ76" s="377">
        <f>'Income Statement'!CN46</f>
        <v>-1448</v>
      </c>
      <c r="AK76" s="378">
        <f>'Income Statement'!CO46</f>
        <v>-6614</v>
      </c>
      <c r="AL76" s="378">
        <f>'Income Statement'!CP46</f>
        <v>-4999</v>
      </c>
      <c r="AM76" s="379">
        <f>'Income Statement'!CQ46</f>
        <v>-5494</v>
      </c>
      <c r="AN76" s="351">
        <f>'Income Statement'!CR46</f>
        <v>-18555</v>
      </c>
      <c r="AO76" s="377">
        <f>'Income Statement'!CS46</f>
        <v>-2207</v>
      </c>
      <c r="AP76" s="378">
        <f>'Income Statement'!CT46</f>
        <v>-2697</v>
      </c>
      <c r="AQ76" s="378">
        <f>'Income Statement'!CU46</f>
        <v>-4671</v>
      </c>
      <c r="AR76" s="379">
        <f>'Income Statement'!CV46</f>
        <v>-4271</v>
      </c>
      <c r="AS76" s="351">
        <f>'Income Statement'!CW46</f>
        <v>-13846</v>
      </c>
      <c r="AT76" s="377">
        <f>'Income Statement'!CX46</f>
        <v>-12829</v>
      </c>
      <c r="AU76" s="378">
        <f>'Income Statement'!CY46</f>
        <v>-3035</v>
      </c>
      <c r="AV76" s="378">
        <f>'Income Statement'!CZ46</f>
        <v>-10017</v>
      </c>
      <c r="AW76" s="379">
        <f>'Income Statement'!DA46</f>
        <v>-23088</v>
      </c>
      <c r="AX76" s="351">
        <f>'Income Statement'!DB46</f>
        <v>-48969</v>
      </c>
      <c r="AY76" s="377">
        <f>'Income Statement'!DC46</f>
        <v>-20189</v>
      </c>
      <c r="AZ76" s="378">
        <f>'Income Statement'!DD46</f>
        <v>-30426</v>
      </c>
      <c r="BA76" s="378">
        <f>'Income Statement'!DE46</f>
        <v>-27957</v>
      </c>
      <c r="BB76" s="379">
        <f>'Income Statement'!DF46</f>
        <v>-27112</v>
      </c>
      <c r="BC76" s="351">
        <f>'Income Statement'!DG46</f>
        <v>-105684</v>
      </c>
      <c r="BD76" s="377">
        <f>'Income Statement'!DH46</f>
        <v>-48319</v>
      </c>
      <c r="BE76" s="378">
        <f>'Income Statement'!DI46</f>
        <v>-40740</v>
      </c>
      <c r="BF76" s="378">
        <f>'Income Statement'!DJ46</f>
        <v>-44304.412499999999</v>
      </c>
      <c r="BG76" s="379">
        <f>'Income Statement'!DK46</f>
        <v>-46796.535703125002</v>
      </c>
      <c r="BH76" s="351">
        <f>'Income Statement'!DL46</f>
        <v>-180159.94820312501</v>
      </c>
      <c r="BI76" s="377">
        <f>'Income Statement'!DM46</f>
        <v>-38444.653983886717</v>
      </c>
      <c r="BJ76" s="378">
        <f>'Income Statement'!DN46</f>
        <v>-40126.607595681759</v>
      </c>
      <c r="BK76" s="378">
        <f>'Income Statement'!DO46</f>
        <v>-41882.146677992838</v>
      </c>
      <c r="BL76" s="379">
        <f>'Income Statement'!DP46</f>
        <v>-43714.490595155032</v>
      </c>
      <c r="BM76" s="351">
        <f>'Income Statement'!DQ46</f>
        <v>-164167.89885271632</v>
      </c>
    </row>
    <row r="77" spans="2:65" hidden="1">
      <c r="B77" s="382" t="str">
        <f>'Income Statement'!A47</f>
        <v>As % of majority earnings</v>
      </c>
      <c r="C77" s="369">
        <f>'Income Statement'!AY47</f>
        <v>0.38812896514978884</v>
      </c>
      <c r="D77" s="369">
        <f>'Income Statement'!BD47</f>
        <v>0.22141455763966456</v>
      </c>
      <c r="E77" s="369">
        <f>'Income Statement'!BI47</f>
        <v>0.18732527939800037</v>
      </c>
      <c r="F77" s="370" t="e">
        <f>'Income Statement'!BJ47</f>
        <v>#DIV/0!</v>
      </c>
      <c r="G77" s="371" t="e">
        <f>'Income Statement'!BK47</f>
        <v>#DIV/0!</v>
      </c>
      <c r="H77" s="371" t="e">
        <f>'Income Statement'!BL47</f>
        <v>#DIV/0!</v>
      </c>
      <c r="I77" s="372">
        <f>'Income Statement'!BM47</f>
        <v>0.18614261690937065</v>
      </c>
      <c r="J77" s="369">
        <f>'Income Statement'!BN47</f>
        <v>0.18614261690937065</v>
      </c>
      <c r="K77" s="370" t="e">
        <f>'Income Statement'!BO47</f>
        <v>#DIV/0!</v>
      </c>
      <c r="L77" s="371" t="e">
        <f>'Income Statement'!BP47</f>
        <v>#DIV/0!</v>
      </c>
      <c r="M77" s="371" t="e">
        <f>'Income Statement'!BQ47</f>
        <v>#DIV/0!</v>
      </c>
      <c r="N77" s="372">
        <f>'Income Statement'!BR47</f>
        <v>0.12380316360840833</v>
      </c>
      <c r="O77" s="369">
        <f>'Income Statement'!BS47</f>
        <v>0.12380316360840833</v>
      </c>
      <c r="P77" s="370" t="e">
        <f>'Income Statement'!BT47</f>
        <v>#DIV/0!</v>
      </c>
      <c r="Q77" s="371" t="e">
        <f>'Income Statement'!BU47</f>
        <v>#DIV/0!</v>
      </c>
      <c r="R77" s="371" t="e">
        <f>'Income Statement'!BV47</f>
        <v>#DIV/0!</v>
      </c>
      <c r="S77" s="372">
        <f>'Income Statement'!BW47</f>
        <v>0.255734016623961</v>
      </c>
      <c r="T77" s="369">
        <f>'Income Statement'!BX47</f>
        <v>0.255734016623961</v>
      </c>
      <c r="U77" s="370">
        <f>'Income Statement'!BY47</f>
        <v>0.21824215094018548</v>
      </c>
      <c r="V77" s="371">
        <f>'Income Statement'!BZ47</f>
        <v>0.17171182900697102</v>
      </c>
      <c r="W77" s="371">
        <f>'Income Statement'!CA47</f>
        <v>0.24801508535132991</v>
      </c>
      <c r="X77" s="372">
        <f>'Income Statement'!CB47</f>
        <v>0.24267801299013711</v>
      </c>
      <c r="Y77" s="369">
        <f>'Income Statement'!CC47</f>
        <v>0.21527423844434862</v>
      </c>
      <c r="Z77" s="370">
        <f>'Income Statement'!CD47</f>
        <v>0.57841483979763908</v>
      </c>
      <c r="AA77" s="371">
        <f>'Income Statement'!CE47</f>
        <v>9.8093241002633377E-2</v>
      </c>
      <c r="AB77" s="371">
        <f>'Income Statement'!CF47</f>
        <v>0.16652875116102339</v>
      </c>
      <c r="AC77" s="372">
        <f>'Income Statement'!CG47</f>
        <v>8.5860691565908573E-2</v>
      </c>
      <c r="AD77" s="369">
        <f>'Income Statement'!CH47</f>
        <v>0.15361214328571879</v>
      </c>
      <c r="AE77" s="370">
        <f>'Income Statement'!CI47</f>
        <v>3.9851732350003839E-2</v>
      </c>
      <c r="AF77" s="371">
        <f>'Income Statement'!CJ47</f>
        <v>-2.1468207040844175E-2</v>
      </c>
      <c r="AG77" s="371">
        <f>'Income Statement'!CK47</f>
        <v>9.7016624914598046E-2</v>
      </c>
      <c r="AH77" s="372">
        <f>'Income Statement'!CL47</f>
        <v>7.0716480209238375E-2</v>
      </c>
      <c r="AI77" s="369">
        <f>'Income Statement'!CM47</f>
        <v>4.9348416949722335E-2</v>
      </c>
      <c r="AJ77" s="370">
        <f>'Income Statement'!CN47</f>
        <v>2.2856782055531877E-2</v>
      </c>
      <c r="AK77" s="371">
        <f>'Income Statement'!CO47</f>
        <v>7.1164957660400902E-2</v>
      </c>
      <c r="AL77" s="371">
        <f>'Income Statement'!CP47</f>
        <v>5.2692603640733207E-2</v>
      </c>
      <c r="AM77" s="372">
        <f>'Income Statement'!CQ47</f>
        <v>5.6476731874299697E-2</v>
      </c>
      <c r="AN77" s="369">
        <f>'Income Statement'!CR47</f>
        <v>5.3251635862702332E-2</v>
      </c>
      <c r="AO77" s="370">
        <f>'Income Statement'!CS47</f>
        <v>2.346474440758697E-2</v>
      </c>
      <c r="AP77" s="371">
        <f>'Income Statement'!CT47</f>
        <v>2.1737728701539453E-2</v>
      </c>
      <c r="AQ77" s="371">
        <f>'Income Statement'!CU47</f>
        <v>4.1376194736515756E-2</v>
      </c>
      <c r="AR77" s="372">
        <f>'Income Statement'!CV47</f>
        <v>2.5948698008432872E-2</v>
      </c>
      <c r="AS77" s="369">
        <f>'Income Statement'!CW47</f>
        <v>2.7937233031550955E-2</v>
      </c>
      <c r="AT77" s="370">
        <f>'Income Statement'!CX47</f>
        <v>8.3267346011553195E-2</v>
      </c>
      <c r="AU77" s="371">
        <f>'Income Statement'!CY47</f>
        <v>1.7314955329126778E-2</v>
      </c>
      <c r="AV77" s="371">
        <f>'Income Statement'!CZ47</f>
        <v>5.5468801913748422E-2</v>
      </c>
      <c r="AW77" s="372">
        <f>'Income Statement'!DA47</f>
        <v>0.12224151806514465</v>
      </c>
      <c r="AX77" s="369">
        <f>'Income Statement'!DB47</f>
        <v>7.0074640962089943E-2</v>
      </c>
      <c r="AY77" s="370">
        <f>'Income Statement'!DC47</f>
        <v>8.6401841961106549E-2</v>
      </c>
      <c r="AZ77" s="371">
        <f>'Income Statement'!DD47</f>
        <v>0.11388808827767942</v>
      </c>
      <c r="BA77" s="371">
        <f>'Income Statement'!DE47</f>
        <v>9.8714734649200234E-2</v>
      </c>
      <c r="BB77" s="372">
        <f>'Income Statement'!DF47</f>
        <v>9.122814101464051E-2</v>
      </c>
      <c r="BC77" s="369">
        <f>'Income Statement'!DG47</f>
        <v>9.7745139749542187E-2</v>
      </c>
      <c r="BD77" s="370">
        <f>'Income Statement'!DH47</f>
        <v>0.13759981318844047</v>
      </c>
      <c r="BE77" s="371">
        <f>'Income Statement'!DI47</f>
        <v>0.13091638254319693</v>
      </c>
      <c r="BF77" s="371">
        <f ca="1">'Income Statement'!DJ47</f>
        <v>0.1259548860789424</v>
      </c>
      <c r="BG77" s="372">
        <f ca="1">'Income Statement'!DK47</f>
        <v>0.11420744659882823</v>
      </c>
      <c r="BH77" s="369">
        <f ca="1">'Income Statement'!DL47</f>
        <v>0.1265305399410051</v>
      </c>
      <c r="BI77" s="370">
        <f ca="1">'Income Statement'!DM47</f>
        <v>9.4065547326454294E-2</v>
      </c>
      <c r="BJ77" s="371">
        <f ca="1">'Income Statement'!DN47</f>
        <v>9.513179072827524E-2</v>
      </c>
      <c r="BK77" s="371">
        <f ca="1">'Income Statement'!DO47</f>
        <v>9.8136434678294887E-2</v>
      </c>
      <c r="BL77" s="372">
        <f ca="1">'Income Statement'!DP47</f>
        <v>9.9339163885619405E-2</v>
      </c>
      <c r="BM77" s="369">
        <f ca="1">'Income Statement'!DQ47</f>
        <v>9.6721346596077007E-2</v>
      </c>
    </row>
    <row r="78" spans="2:65">
      <c r="B78" s="383" t="str">
        <f>'Income Statement'!A48</f>
        <v>Net Earnings</v>
      </c>
      <c r="C78" s="384">
        <f>'Income Statement'!AY48</f>
        <v>105080.25099999996</v>
      </c>
      <c r="D78" s="384">
        <f>'Income Statement'!BD48</f>
        <v>134531</v>
      </c>
      <c r="E78" s="384">
        <f>'Income Statement'!BI48</f>
        <v>131108</v>
      </c>
      <c r="F78" s="385">
        <f>'Income Statement'!BJ48</f>
        <v>0</v>
      </c>
      <c r="G78" s="386">
        <f>'Income Statement'!BK48</f>
        <v>0</v>
      </c>
      <c r="H78" s="386">
        <f>'Income Statement'!BL48</f>
        <v>0</v>
      </c>
      <c r="I78" s="387">
        <f>'Income Statement'!BM48</f>
        <v>90986</v>
      </c>
      <c r="J78" s="384">
        <f>'Income Statement'!BN48</f>
        <v>90986</v>
      </c>
      <c r="K78" s="385">
        <f>'Income Statement'!BO48</f>
        <v>0</v>
      </c>
      <c r="L78" s="386">
        <f>'Income Statement'!BP48</f>
        <v>0</v>
      </c>
      <c r="M78" s="386">
        <f>'Income Statement'!BQ48</f>
        <v>0</v>
      </c>
      <c r="N78" s="387">
        <f>'Income Statement'!BR48</f>
        <v>112834</v>
      </c>
      <c r="O78" s="384">
        <f>'Income Statement'!BS48</f>
        <v>112834</v>
      </c>
      <c r="P78" s="385">
        <f>'Income Statement'!BT48</f>
        <v>0</v>
      </c>
      <c r="Q78" s="386">
        <f>'Income Statement'!BU48</f>
        <v>0</v>
      </c>
      <c r="R78" s="386">
        <f>'Income Statement'!BV48</f>
        <v>0</v>
      </c>
      <c r="S78" s="387">
        <f>'Income Statement'!BW48</f>
        <v>130999</v>
      </c>
      <c r="T78" s="384">
        <f>'Income Statement'!BX48</f>
        <v>130999</v>
      </c>
      <c r="U78" s="385">
        <f>'Income Statement'!BY48</f>
        <v>18376</v>
      </c>
      <c r="V78" s="386">
        <f>'Income Statement'!BZ48</f>
        <v>61073</v>
      </c>
      <c r="W78" s="386">
        <f>'Income Statement'!CA48</f>
        <v>30308</v>
      </c>
      <c r="X78" s="387">
        <f>'Income Statement'!CB48</f>
        <v>50371</v>
      </c>
      <c r="Y78" s="384">
        <f>'Income Statement'!CC48</f>
        <v>160128</v>
      </c>
      <c r="Z78" s="385">
        <f>'Income Statement'!CD48</f>
        <v>6500</v>
      </c>
      <c r="AA78" s="386">
        <f>'Income Statement'!CE48</f>
        <v>36989</v>
      </c>
      <c r="AB78" s="386">
        <f>'Income Statement'!CF48</f>
        <v>49354</v>
      </c>
      <c r="AC78" s="387">
        <f>'Income Statement'!CG48</f>
        <v>67969</v>
      </c>
      <c r="AD78" s="384">
        <f>'Income Statement'!CH48</f>
        <v>160812</v>
      </c>
      <c r="AE78" s="385">
        <f>'Income Statement'!CI48</f>
        <v>49993</v>
      </c>
      <c r="AF78" s="386">
        <f>'Income Statement'!CJ48</f>
        <v>78603</v>
      </c>
      <c r="AG78" s="386">
        <f>'Income Statement'!CK48</f>
        <v>67405</v>
      </c>
      <c r="AH78" s="387">
        <f>'Income Statement'!CL48</f>
        <v>103748</v>
      </c>
      <c r="AI78" s="384">
        <f>'Income Statement'!CM48</f>
        <v>299749</v>
      </c>
      <c r="AJ78" s="385">
        <f>'Income Statement'!CN48</f>
        <v>61903</v>
      </c>
      <c r="AK78" s="386">
        <f>'Income Statement'!CO48</f>
        <v>86325</v>
      </c>
      <c r="AL78" s="386">
        <f>'Income Statement'!CP48</f>
        <v>89872</v>
      </c>
      <c r="AM78" s="387">
        <f>'Income Statement'!CQ48</f>
        <v>91785</v>
      </c>
      <c r="AN78" s="384">
        <f>'Income Statement'!CR48</f>
        <v>329885</v>
      </c>
      <c r="AO78" s="385">
        <f>'Income Statement'!CS48</f>
        <v>91849</v>
      </c>
      <c r="AP78" s="386">
        <f>'Income Statement'!CT48</f>
        <v>121373</v>
      </c>
      <c r="AQ78" s="386">
        <f>'Income Statement'!CU48</f>
        <v>108220</v>
      </c>
      <c r="AR78" s="387">
        <f>'Income Statement'!CV48</f>
        <v>160323</v>
      </c>
      <c r="AS78" s="384">
        <f>'Income Statement'!CW48</f>
        <v>481765</v>
      </c>
      <c r="AT78" s="385">
        <f>'Income Statement'!CX48</f>
        <v>141241</v>
      </c>
      <c r="AU78" s="386">
        <f>'Income Statement'!CY48</f>
        <v>172247</v>
      </c>
      <c r="AV78" s="386">
        <f>'Income Statement'!CZ48</f>
        <v>170571</v>
      </c>
      <c r="AW78" s="387">
        <f>'Income Statement'!DA48</f>
        <v>165784</v>
      </c>
      <c r="AX78" s="384">
        <f>'Income Statement'!DB48</f>
        <v>649843</v>
      </c>
      <c r="AY78" s="385">
        <f>'Income Statement'!DC48</f>
        <v>213475</v>
      </c>
      <c r="AZ78" s="386">
        <f>'Income Statement'!DD48</f>
        <v>236731</v>
      </c>
      <c r="BA78" s="386">
        <f>'Income Statement'!DE48</f>
        <v>255253</v>
      </c>
      <c r="BB78" s="387">
        <f>'Income Statement'!DF48</f>
        <v>270077</v>
      </c>
      <c r="BC78" s="384">
        <f>'Income Statement'!DG48</f>
        <v>975536</v>
      </c>
      <c r="BD78" s="385">
        <f>'Income Statement'!DH48</f>
        <v>302837</v>
      </c>
      <c r="BE78" s="386">
        <f>'Income Statement'!DI48</f>
        <v>270451</v>
      </c>
      <c r="BF78" s="386">
        <f ca="1">'Income Statement'!DJ48</f>
        <v>307443.85133656248</v>
      </c>
      <c r="BG78" s="387">
        <f ca="1">'Income Statement'!DK48</f>
        <v>362953.76602199156</v>
      </c>
      <c r="BH78" s="384">
        <f ca="1">'Income Statement'!DL48</f>
        <v>1243685.6173585542</v>
      </c>
      <c r="BI78" s="385">
        <f ca="1">'Income Statement'!DM48</f>
        <v>370256.03480777709</v>
      </c>
      <c r="BJ78" s="386">
        <f ca="1">'Income Statement'!DN48</f>
        <v>381673.58441684238</v>
      </c>
      <c r="BK78" s="386">
        <f ca="1">'Income Statement'!DO48</f>
        <v>384892.54526275716</v>
      </c>
      <c r="BL78" s="387">
        <f ca="1">'Income Statement'!DP48</f>
        <v>396338.44407106127</v>
      </c>
      <c r="BM78" s="384">
        <f ca="1">'Income Statement'!DQ48</f>
        <v>1533160.6085584378</v>
      </c>
    </row>
    <row r="79" spans="2:65">
      <c r="B79" s="350" t="str">
        <f>'Income Statement'!A70</f>
        <v>Gross Margin</v>
      </c>
      <c r="C79" s="388">
        <f>'Income Statement'!AY70</f>
        <v>0.34601824657658525</v>
      </c>
      <c r="D79" s="388">
        <f>'Income Statement'!BD70</f>
        <v>0.29752571519428578</v>
      </c>
      <c r="E79" s="388">
        <f>'Income Statement'!BI70</f>
        <v>0.30441589233102628</v>
      </c>
      <c r="F79" s="389" t="e">
        <f>'Income Statement'!BJ70</f>
        <v>#DIV/0!</v>
      </c>
      <c r="G79" s="390" t="e">
        <f>'Income Statement'!BK70</f>
        <v>#DIV/0!</v>
      </c>
      <c r="H79" s="390" t="e">
        <f>'Income Statement'!BL70</f>
        <v>#DIV/0!</v>
      </c>
      <c r="I79" s="391">
        <f>'Income Statement'!BM70</f>
        <v>0.27134896131499586</v>
      </c>
      <c r="J79" s="388">
        <f>'Income Statement'!BN70</f>
        <v>0.27134896131499586</v>
      </c>
      <c r="K79" s="389" t="e">
        <f>'Income Statement'!BO70</f>
        <v>#DIV/0!</v>
      </c>
      <c r="L79" s="390" t="e">
        <f>'Income Statement'!BP70</f>
        <v>#DIV/0!</v>
      </c>
      <c r="M79" s="390" t="e">
        <f>'Income Statement'!BQ70</f>
        <v>#DIV/0!</v>
      </c>
      <c r="N79" s="391">
        <f>'Income Statement'!BR70</f>
        <v>0.32120066062120495</v>
      </c>
      <c r="O79" s="388">
        <f>'Income Statement'!BS70</f>
        <v>0.32120066062120495</v>
      </c>
      <c r="P79" s="389" t="e">
        <f>'Income Statement'!BT70</f>
        <v>#DIV/0!</v>
      </c>
      <c r="Q79" s="390" t="e">
        <f>'Income Statement'!BU70</f>
        <v>#DIV/0!</v>
      </c>
      <c r="R79" s="390" t="e">
        <f>'Income Statement'!BV70</f>
        <v>#DIV/0!</v>
      </c>
      <c r="S79" s="391">
        <f>'Income Statement'!BW70</f>
        <v>0.35658346128727642</v>
      </c>
      <c r="T79" s="388">
        <f>'Income Statement'!BX70</f>
        <v>0.35658346128727642</v>
      </c>
      <c r="U79" s="389">
        <f>'Income Statement'!BY70</f>
        <v>0.30320645538036844</v>
      </c>
      <c r="V79" s="390">
        <f>'Income Statement'!BZ70</f>
        <v>0.38202238797608062</v>
      </c>
      <c r="W79" s="390">
        <f>'Income Statement'!CA70</f>
        <v>0.31347409797953535</v>
      </c>
      <c r="X79" s="391">
        <f>'Income Statement'!CB70</f>
        <v>0.40058014254931212</v>
      </c>
      <c r="Y79" s="388">
        <f>'Income Statement'!CC70</f>
        <v>0.35536071156319626</v>
      </c>
      <c r="Z79" s="389">
        <f>'Income Statement'!CD70</f>
        <v>0.34974771358563439</v>
      </c>
      <c r="AA79" s="390">
        <f>'Income Statement'!CE70</f>
        <v>0.36048561355623793</v>
      </c>
      <c r="AB79" s="390">
        <f>'Income Statement'!CF70</f>
        <v>0.37976722706867505</v>
      </c>
      <c r="AC79" s="391">
        <f>'Income Statement'!CG70</f>
        <v>0.4071771997914615</v>
      </c>
      <c r="AD79" s="388">
        <f>'Income Statement'!CH70</f>
        <v>0.37792592178439077</v>
      </c>
      <c r="AE79" s="389">
        <f>'Income Statement'!CI70</f>
        <v>0.35505149048295537</v>
      </c>
      <c r="AF79" s="390">
        <f>'Income Statement'!CJ70</f>
        <v>0.36127771487823956</v>
      </c>
      <c r="AG79" s="390">
        <f>'Income Statement'!CK70</f>
        <v>0.38407357667559794</v>
      </c>
      <c r="AH79" s="391">
        <f>'Income Statement'!CL70</f>
        <v>0.38103468282226199</v>
      </c>
      <c r="AI79" s="388">
        <f>'Income Statement'!CM70</f>
        <v>0.37163139743254164</v>
      </c>
      <c r="AJ79" s="389">
        <f>'Income Statement'!CN70</f>
        <v>0.37220759364647921</v>
      </c>
      <c r="AK79" s="390">
        <f>'Income Statement'!CO70</f>
        <v>0.35843910661050493</v>
      </c>
      <c r="AL79" s="390">
        <f>'Income Statement'!CP70</f>
        <v>0.37475405284213581</v>
      </c>
      <c r="AM79" s="391">
        <f>'Income Statement'!CQ70</f>
        <v>0.3837458094880426</v>
      </c>
      <c r="AN79" s="388">
        <f>'Income Statement'!CR70</f>
        <v>0.37220494982044872</v>
      </c>
      <c r="AO79" s="389">
        <f>'Income Statement'!CS70</f>
        <v>0.37727327735160249</v>
      </c>
      <c r="AP79" s="390">
        <f>'Income Statement'!CT70</f>
        <v>0.37921060369964243</v>
      </c>
      <c r="AQ79" s="390">
        <f>'Income Statement'!CU70</f>
        <v>0.37957423717271777</v>
      </c>
      <c r="AR79" s="391">
        <f>'Income Statement'!CV70</f>
        <v>0.38873404994603228</v>
      </c>
      <c r="AS79" s="388">
        <f>'Income Statement'!CW70</f>
        <v>0.38158398044191405</v>
      </c>
      <c r="AT79" s="389">
        <f>'Income Statement'!CX70</f>
        <v>0.38031030043635999</v>
      </c>
      <c r="AU79" s="390">
        <f>'Income Statement'!CY70</f>
        <v>0.38539603340396861</v>
      </c>
      <c r="AV79" s="390">
        <f>'Income Statement'!CZ70</f>
        <v>0.38971295763122804</v>
      </c>
      <c r="AW79" s="391">
        <f>'Income Statement'!DA70</f>
        <v>0.39294917442131228</v>
      </c>
      <c r="AX79" s="388">
        <f>'Income Statement'!DB70</f>
        <v>0.38746329250619538</v>
      </c>
      <c r="AY79" s="389">
        <f>'Income Statement'!DC70</f>
        <v>0.39188066937239757</v>
      </c>
      <c r="AZ79" s="390">
        <f>'Income Statement'!DD70</f>
        <v>0.3982128309912602</v>
      </c>
      <c r="BA79" s="390">
        <f>'Income Statement'!DE70</f>
        <v>0.401776804152087</v>
      </c>
      <c r="BB79" s="391">
        <f>'Income Statement'!DF70</f>
        <v>0.40643579873425301</v>
      </c>
      <c r="BC79" s="388">
        <f>'Income Statement'!DG70</f>
        <v>0.39988395058435861</v>
      </c>
      <c r="BD79" s="389">
        <f>'Income Statement'!DH70</f>
        <v>0.393098350398215</v>
      </c>
      <c r="BE79" s="390">
        <f>'Income Statement'!DI70</f>
        <v>0.39846172410407232</v>
      </c>
      <c r="BF79" s="390">
        <f>'Income Statement'!DJ70</f>
        <v>0.4014308775289866</v>
      </c>
      <c r="BG79" s="391">
        <f>'Income Statement'!DK70</f>
        <v>0.40447903197561597</v>
      </c>
      <c r="BH79" s="388">
        <f>'Income Statement'!DL70</f>
        <v>0.39953474229966379</v>
      </c>
      <c r="BI79" s="389">
        <f>'Income Statement'!DM70</f>
        <v>0.39806785361470559</v>
      </c>
      <c r="BJ79" s="390">
        <f>'Income Statement'!DN70</f>
        <v>0.39642400571189318</v>
      </c>
      <c r="BK79" s="390">
        <f>'Income Statement'!DO70</f>
        <v>0.39251144445362141</v>
      </c>
      <c r="BL79" s="391">
        <f>'Income Statement'!DP70</f>
        <v>0.39104513225725951</v>
      </c>
      <c r="BM79" s="388">
        <f>'Income Statement'!DQ70</f>
        <v>0.39442617633891708</v>
      </c>
    </row>
    <row r="80" spans="2:65" hidden="1">
      <c r="B80" s="392" t="str">
        <f>'Income Statement'!A71</f>
        <v xml:space="preserve">  Development &amp; Sales</v>
      </c>
      <c r="C80" s="393">
        <f>'Income Statement'!AY71</f>
        <v>0.61900954556637378</v>
      </c>
      <c r="D80" s="393">
        <f>'Income Statement'!BD71</f>
        <v>0.40229875256861725</v>
      </c>
      <c r="E80" s="393">
        <f>'Income Statement'!BI71</f>
        <v>0.40512506818186833</v>
      </c>
      <c r="F80" s="394" t="e">
        <f>'Income Statement'!BJ71</f>
        <v>#DIV/0!</v>
      </c>
      <c r="G80" s="395" t="e">
        <f>'Income Statement'!BK71</f>
        <v>#DIV/0!</v>
      </c>
      <c r="H80" s="395" t="e">
        <f>'Income Statement'!BL71</f>
        <v>#DIV/0!</v>
      </c>
      <c r="I80" s="396">
        <f>'Income Statement'!BM71</f>
        <v>0.37664030683703587</v>
      </c>
      <c r="J80" s="393">
        <f>'Income Statement'!BN71</f>
        <v>0.37664030683703587</v>
      </c>
      <c r="K80" s="394" t="e">
        <f>'Income Statement'!BO71</f>
        <v>#DIV/0!</v>
      </c>
      <c r="L80" s="395" t="e">
        <f>'Income Statement'!BP71</f>
        <v>#DIV/0!</v>
      </c>
      <c r="M80" s="395" t="e">
        <f>'Income Statement'!BQ71</f>
        <v>#DIV/0!</v>
      </c>
      <c r="N80" s="396">
        <f>'Income Statement'!BR71</f>
        <v>0.39101243139561503</v>
      </c>
      <c r="O80" s="393">
        <f>'Income Statement'!BS71</f>
        <v>0.39101243139561503</v>
      </c>
      <c r="P80" s="394" t="e">
        <f>'Income Statement'!BT71</f>
        <v>#DIV/0!</v>
      </c>
      <c r="Q80" s="395" t="e">
        <f>'Income Statement'!BU71</f>
        <v>#DIV/0!</v>
      </c>
      <c r="R80" s="395" t="e">
        <f>'Income Statement'!BV71</f>
        <v>#DIV/0!</v>
      </c>
      <c r="S80" s="396">
        <f>'Income Statement'!BW71</f>
        <v>0.41007875282308115</v>
      </c>
      <c r="T80" s="393">
        <f>'Income Statement'!BX71</f>
        <v>0.41007875282308115</v>
      </c>
      <c r="U80" s="394">
        <f>'Income Statement'!BY71</f>
        <v>0.3582721125349585</v>
      </c>
      <c r="V80" s="395">
        <f>'Income Statement'!BZ71</f>
        <v>0.35970230857739727</v>
      </c>
      <c r="W80" s="395">
        <f>'Income Statement'!CA71</f>
        <v>0.35651509361864731</v>
      </c>
      <c r="X80" s="396">
        <f>'Income Statement'!CB71</f>
        <v>0.45913224833795097</v>
      </c>
      <c r="Y80" s="393">
        <f>'Income Statement'!CC71</f>
        <v>0.39015719688516926</v>
      </c>
      <c r="Z80" s="394">
        <f>'Income Statement'!CD71</f>
        <v>0.40530102429636139</v>
      </c>
      <c r="AA80" s="395">
        <f>'Income Statement'!CE71</f>
        <v>0.41144275642935157</v>
      </c>
      <c r="AB80" s="395">
        <f>'Income Statement'!CF71</f>
        <v>0.41055049999100202</v>
      </c>
      <c r="AC80" s="396">
        <f>'Income Statement'!CG71</f>
        <v>0.43263214280543771</v>
      </c>
      <c r="AD80" s="393">
        <f>'Income Statement'!CH71</f>
        <v>0.41625365603631914</v>
      </c>
      <c r="AE80" s="394">
        <f>'Income Statement'!CI71</f>
        <v>0.38624653763639838</v>
      </c>
      <c r="AF80" s="395">
        <f>'Income Statement'!CJ71</f>
        <v>0.39085324824727052</v>
      </c>
      <c r="AG80" s="395">
        <f>'Income Statement'!CK71</f>
        <v>0.41656143154132952</v>
      </c>
      <c r="AH80" s="396">
        <f>'Income Statement'!CL71</f>
        <v>0.36861501542680841</v>
      </c>
      <c r="AI80" s="393">
        <f>'Income Statement'!CM71</f>
        <v>0.3904133219085415</v>
      </c>
      <c r="AJ80" s="394">
        <f>'Income Statement'!CN71</f>
        <v>0.38966101880311965</v>
      </c>
      <c r="AK80" s="395">
        <f>'Income Statement'!CO71</f>
        <v>0.37204852835186142</v>
      </c>
      <c r="AL80" s="395">
        <f>'Income Statement'!CP71</f>
        <v>0.40062685721707314</v>
      </c>
      <c r="AM80" s="396">
        <f>'Income Statement'!CQ71</f>
        <v>0.38459421354338152</v>
      </c>
      <c r="AN80" s="393">
        <f>'Income Statement'!CR71</f>
        <v>0.3867004014655272</v>
      </c>
      <c r="AO80" s="394">
        <f>'Income Statement'!CS71</f>
        <v>0.38932931911852331</v>
      </c>
      <c r="AP80" s="395">
        <f>'Income Statement'!CT71</f>
        <v>0.3917397285560491</v>
      </c>
      <c r="AQ80" s="395">
        <f>'Income Statement'!CU71</f>
        <v>0.39160724209998987</v>
      </c>
      <c r="AR80" s="396">
        <f>'Income Statement'!CV71</f>
        <v>0.40135223907992679</v>
      </c>
      <c r="AS80" s="393">
        <f>'Income Statement'!CW71</f>
        <v>0.39391406119378025</v>
      </c>
      <c r="AT80" s="394">
        <f>'Income Statement'!CX71</f>
        <v>0.39261033048745608</v>
      </c>
      <c r="AU80" s="395">
        <f>'Income Statement'!CY71</f>
        <v>0.39753121868666652</v>
      </c>
      <c r="AV80" s="395">
        <f>'Income Statement'!CZ71</f>
        <v>0.40394641423068289</v>
      </c>
      <c r="AW80" s="396">
        <f>'Income Statement'!DA71</f>
        <v>0.4048444806239706</v>
      </c>
      <c r="AX80" s="393">
        <f>'Income Statement'!DB71</f>
        <v>0.40013942888589982</v>
      </c>
      <c r="AY80" s="394">
        <f>'Income Statement'!DC71</f>
        <v>0.4030830545891616</v>
      </c>
      <c r="AZ80" s="395">
        <f>'Income Statement'!DD71</f>
        <v>0.41141628354468673</v>
      </c>
      <c r="BA80" s="395">
        <f>'Income Statement'!DE71</f>
        <v>0.41507169180780557</v>
      </c>
      <c r="BB80" s="396">
        <f>'Income Statement'!DF71</f>
        <v>0.42039895214116896</v>
      </c>
      <c r="BC80" s="393">
        <f>'Income Statement'!DG71</f>
        <v>0.4128706710447545</v>
      </c>
      <c r="BD80" s="394">
        <f>'Income Statement'!DH71</f>
        <v>0.40483678071374007</v>
      </c>
      <c r="BE80" s="395">
        <f>'Income Statement'!DI71</f>
        <v>0.41108590950956958</v>
      </c>
      <c r="BF80" s="395">
        <f>'Income Statement'!DJ71</f>
        <v>0.41310887750693653</v>
      </c>
      <c r="BG80" s="396">
        <f>'Income Statement'!DK71</f>
        <v>0.41609959984674416</v>
      </c>
      <c r="BH80" s="393">
        <f>'Income Statement'!DL71</f>
        <v>0.41144708689842735</v>
      </c>
      <c r="BI80" s="394">
        <f>'Income Statement'!DM71</f>
        <v>0.4100092183440387</v>
      </c>
      <c r="BJ80" s="395">
        <f>'Income Statement'!DN71</f>
        <v>0.40839634316587192</v>
      </c>
      <c r="BK80" s="395">
        <f>'Income Statement'!DO71</f>
        <v>0.40455750082180408</v>
      </c>
      <c r="BL80" s="396">
        <f>'Income Statement'!DP71</f>
        <v>0.40311881629332114</v>
      </c>
      <c r="BM80" s="393">
        <f>'Income Statement'!DQ71</f>
        <v>0.40643615609480976</v>
      </c>
    </row>
    <row r="81" spans="2:65">
      <c r="B81" s="350" t="str">
        <f>'Income Statement'!A73</f>
        <v>EBITDA Margin</v>
      </c>
      <c r="C81" s="388">
        <f>'Income Statement'!AY73</f>
        <v>0.24383989823519819</v>
      </c>
      <c r="D81" s="388">
        <f>'Income Statement'!BD73</f>
        <v>0.2061607501242535</v>
      </c>
      <c r="E81" s="388">
        <f>'Income Statement'!BI73</f>
        <v>0.19925152397389631</v>
      </c>
      <c r="F81" s="389" t="e">
        <f>'Income Statement'!BJ73</f>
        <v>#DIV/0!</v>
      </c>
      <c r="G81" s="390" t="e">
        <f>'Income Statement'!BK73</f>
        <v>#DIV/0!</v>
      </c>
      <c r="H81" s="390" t="e">
        <f>'Income Statement'!BL73</f>
        <v>#DIV/0!</v>
      </c>
      <c r="I81" s="391">
        <f>'Income Statement'!BM73</f>
        <v>0.16606224567642189</v>
      </c>
      <c r="J81" s="388">
        <f>'Income Statement'!BN73</f>
        <v>0.16606224567642189</v>
      </c>
      <c r="K81" s="389" t="e">
        <f>'Income Statement'!BO73</f>
        <v>#DIV/0!</v>
      </c>
      <c r="L81" s="390" t="e">
        <f>'Income Statement'!BP73</f>
        <v>#DIV/0!</v>
      </c>
      <c r="M81" s="390" t="e">
        <f>'Income Statement'!BQ73</f>
        <v>#DIV/0!</v>
      </c>
      <c r="N81" s="391">
        <f>'Income Statement'!BR73</f>
        <v>0.1862804447527889</v>
      </c>
      <c r="O81" s="388">
        <f>'Income Statement'!BS73</f>
        <v>0.1862804447527889</v>
      </c>
      <c r="P81" s="389" t="e">
        <f>'Income Statement'!BT73</f>
        <v>#DIV/0!</v>
      </c>
      <c r="Q81" s="390" t="e">
        <f>'Income Statement'!BU73</f>
        <v>#DIV/0!</v>
      </c>
      <c r="R81" s="390" t="e">
        <f>'Income Statement'!BV73</f>
        <v>#DIV/0!</v>
      </c>
      <c r="S81" s="391">
        <f>'Income Statement'!BW73</f>
        <v>0.22780039836870947</v>
      </c>
      <c r="T81" s="388">
        <f>'Income Statement'!BX73</f>
        <v>0.22780039836870947</v>
      </c>
      <c r="U81" s="389">
        <f>'Income Statement'!BY73</f>
        <v>0.1736316823273345</v>
      </c>
      <c r="V81" s="390">
        <f>'Income Statement'!BZ73</f>
        <v>0.30543862728912757</v>
      </c>
      <c r="W81" s="390">
        <f>'Income Statement'!CA73</f>
        <v>0.19241828665820346</v>
      </c>
      <c r="X81" s="391">
        <f>'Income Statement'!CB73</f>
        <v>0.26089507707608156</v>
      </c>
      <c r="Y81" s="388">
        <f>'Income Statement'!CC73</f>
        <v>0.23889874881901582</v>
      </c>
      <c r="Z81" s="389">
        <f>'Income Statement'!CD73</f>
        <v>0.12682066329111696</v>
      </c>
      <c r="AA81" s="390">
        <f>'Income Statement'!CE73</f>
        <v>0.20541502168933079</v>
      </c>
      <c r="AB81" s="390">
        <f>'Income Statement'!CF73</f>
        <v>0.20793993194168708</v>
      </c>
      <c r="AC81" s="391">
        <f>'Income Statement'!CG73</f>
        <v>0.23537623819730058</v>
      </c>
      <c r="AD81" s="388">
        <f>'Income Statement'!CH73</f>
        <v>0.19956284802242019</v>
      </c>
      <c r="AE81" s="389">
        <f>'Income Statement'!CI73</f>
        <v>0.18656826394251458</v>
      </c>
      <c r="AF81" s="390">
        <f>'Income Statement'!CJ73</f>
        <v>0.19832630606398324</v>
      </c>
      <c r="AG81" s="390">
        <f>'Income Statement'!CK73</f>
        <v>0.19212880299880161</v>
      </c>
      <c r="AH81" s="391">
        <f>'Income Statement'!CL73</f>
        <v>0.28032889339464967</v>
      </c>
      <c r="AI81" s="388">
        <f>'Income Statement'!CM73</f>
        <v>0.21757699354827575</v>
      </c>
      <c r="AJ81" s="389">
        <f>'Income Statement'!CN73</f>
        <v>0.17981599288291228</v>
      </c>
      <c r="AK81" s="390">
        <f>'Income Statement'!CO73</f>
        <v>0.18772924916595193</v>
      </c>
      <c r="AL81" s="390">
        <f>'Income Statement'!CP73</f>
        <v>0.18352884104433193</v>
      </c>
      <c r="AM81" s="391">
        <f>'Income Statement'!CQ73</f>
        <v>0.21634411640062157</v>
      </c>
      <c r="AN81" s="388">
        <f>'Income Statement'!CR73</f>
        <v>0.19235332216361714</v>
      </c>
      <c r="AO81" s="389">
        <f>'Income Statement'!CS73</f>
        <v>0.19668849461136623</v>
      </c>
      <c r="AP81" s="390">
        <f>'Income Statement'!CT73</f>
        <v>0.20516224067188277</v>
      </c>
      <c r="AQ81" s="390">
        <f>'Income Statement'!CU73</f>
        <v>0.18360124169741207</v>
      </c>
      <c r="AR81" s="391">
        <f>'Income Statement'!CV73</f>
        <v>0.22777342421598923</v>
      </c>
      <c r="AS81" s="388">
        <f>'Income Statement'!CW73</f>
        <v>0.20415692481251985</v>
      </c>
      <c r="AT81" s="389">
        <f>'Income Statement'!CX73</f>
        <v>0.21526495673420254</v>
      </c>
      <c r="AU81" s="390">
        <f>'Income Statement'!CY73</f>
        <v>0.20237554917667333</v>
      </c>
      <c r="AV81" s="390">
        <f>'Income Statement'!CZ73</f>
        <v>0.19943610589162322</v>
      </c>
      <c r="AW81" s="391">
        <f>'Income Statement'!DA73</f>
        <v>0.22159944578157262</v>
      </c>
      <c r="AX81" s="388">
        <f>'Income Statement'!DB73</f>
        <v>0.20940144817907907</v>
      </c>
      <c r="AY81" s="389">
        <f>'Income Statement'!DC73</f>
        <v>0.23061806437183846</v>
      </c>
      <c r="AZ81" s="390">
        <f>'Income Statement'!DD73</f>
        <v>0.23527122773743334</v>
      </c>
      <c r="BA81" s="390">
        <f>'Income Statement'!DE73</f>
        <v>0.23252661042284495</v>
      </c>
      <c r="BB81" s="391">
        <f>'Income Statement'!DF73</f>
        <v>0.24464628464163582</v>
      </c>
      <c r="BC81" s="388">
        <f>'Income Statement'!DG73</f>
        <v>0.23596794769219828</v>
      </c>
      <c r="BD81" s="389">
        <f>'Income Statement'!DH73</f>
        <v>0.2513489328531891</v>
      </c>
      <c r="BE81" s="390">
        <f>'Income Statement'!DI73</f>
        <v>0.22647897721155996</v>
      </c>
      <c r="BF81" s="390">
        <f>'Income Statement'!DJ73</f>
        <v>0.23580850871960277</v>
      </c>
      <c r="BG81" s="391">
        <f>'Income Statement'!DK73</f>
        <v>0.25311296132107097</v>
      </c>
      <c r="BH81" s="388">
        <f>'Income Statement'!DL73</f>
        <v>0.241803337928749</v>
      </c>
      <c r="BI81" s="389">
        <f>'Income Statement'!DM73</f>
        <v>0.24336197388745659</v>
      </c>
      <c r="BJ81" s="390">
        <f>'Income Statement'!DN73</f>
        <v>0.24353828449293152</v>
      </c>
      <c r="BK81" s="390">
        <f>'Income Statement'!DO73</f>
        <v>0.24106149934991239</v>
      </c>
      <c r="BL81" s="391">
        <f>'Income Statement'!DP73</f>
        <v>0.2408408412304836</v>
      </c>
      <c r="BM81" s="388">
        <f>'Income Statement'!DQ73</f>
        <v>0.2421664145240047</v>
      </c>
    </row>
    <row r="82" spans="2:65">
      <c r="B82" s="350" t="str">
        <f>'Income Statement'!A74</f>
        <v>EBIT Margin</v>
      </c>
      <c r="C82" s="388">
        <f>'Income Statement'!AY74</f>
        <v>0.24383989823519819</v>
      </c>
      <c r="D82" s="388">
        <f>'Income Statement'!BD74</f>
        <v>0.20066579865261389</v>
      </c>
      <c r="E82" s="388">
        <f>'Income Statement'!BI74</f>
        <v>0.19533713382495657</v>
      </c>
      <c r="F82" s="389" t="e">
        <f>'Income Statement'!BJ74</f>
        <v>#DIV/0!</v>
      </c>
      <c r="G82" s="390" t="e">
        <f>'Income Statement'!BK74</f>
        <v>#DIV/0!</v>
      </c>
      <c r="H82" s="390" t="e">
        <f>'Income Statement'!BL74</f>
        <v>#DIV/0!</v>
      </c>
      <c r="I82" s="391">
        <f>'Income Statement'!BM74</f>
        <v>0.15892294776096336</v>
      </c>
      <c r="J82" s="388">
        <f>'Income Statement'!BN74</f>
        <v>0.15892294776096336</v>
      </c>
      <c r="K82" s="389" t="e">
        <f>'Income Statement'!BO74</f>
        <v>#DIV/0!</v>
      </c>
      <c r="L82" s="390" t="e">
        <f>'Income Statement'!BP74</f>
        <v>#DIV/0!</v>
      </c>
      <c r="M82" s="390" t="e">
        <f>'Income Statement'!BQ74</f>
        <v>#DIV/0!</v>
      </c>
      <c r="N82" s="391">
        <f>'Income Statement'!BR74</f>
        <v>0.1771066510311462</v>
      </c>
      <c r="O82" s="388">
        <f>'Income Statement'!BS74</f>
        <v>0.1771066510311462</v>
      </c>
      <c r="P82" s="389" t="e">
        <f>'Income Statement'!BT74</f>
        <v>#DIV/0!</v>
      </c>
      <c r="Q82" s="390" t="e">
        <f>'Income Statement'!BU74</f>
        <v>#DIV/0!</v>
      </c>
      <c r="R82" s="390" t="e">
        <f>'Income Statement'!BV74</f>
        <v>#DIV/0!</v>
      </c>
      <c r="S82" s="391">
        <f>'Income Statement'!BW74</f>
        <v>0.22376020507403943</v>
      </c>
      <c r="T82" s="388">
        <f>'Income Statement'!BX74</f>
        <v>0.22376020507403943</v>
      </c>
      <c r="U82" s="389">
        <f>'Income Statement'!BY74</f>
        <v>0.16378935074587248</v>
      </c>
      <c r="V82" s="390">
        <f>'Income Statement'!BZ74</f>
        <v>0.30477005075952535</v>
      </c>
      <c r="W82" s="390">
        <f>'Income Statement'!CA74</f>
        <v>0.19089261406218933</v>
      </c>
      <c r="X82" s="391">
        <f>'Income Statement'!CB74</f>
        <v>0.26512846013591912</v>
      </c>
      <c r="Y82" s="388">
        <f>'Income Statement'!CC74</f>
        <v>0.2377655926700985</v>
      </c>
      <c r="Z82" s="389">
        <f>'Income Statement'!CD74</f>
        <v>0.11395339629862618</v>
      </c>
      <c r="AA82" s="390">
        <f>'Income Statement'!CE74</f>
        <v>0.20416808825201865</v>
      </c>
      <c r="AB82" s="390">
        <f>'Income Statement'!CF74</f>
        <v>0.20681994617931432</v>
      </c>
      <c r="AC82" s="391">
        <f>'Income Statement'!CG74</f>
        <v>0.24127903608874471</v>
      </c>
      <c r="AD82" s="388">
        <f>'Income Statement'!CH74</f>
        <v>0.19820089771657107</v>
      </c>
      <c r="AE82" s="389">
        <f>'Income Statement'!CI74</f>
        <v>0.18558089635292938</v>
      </c>
      <c r="AF82" s="390">
        <f>'Income Statement'!CJ74</f>
        <v>0.1975397541083492</v>
      </c>
      <c r="AG82" s="390">
        <f>'Income Statement'!CK74</f>
        <v>0.19132915177818333</v>
      </c>
      <c r="AH82" s="391">
        <f>'Income Statement'!CL74</f>
        <v>0.27954920677574135</v>
      </c>
      <c r="AI82" s="388">
        <f>'Income Statement'!CM74</f>
        <v>0.21674974615931128</v>
      </c>
      <c r="AJ82" s="389">
        <f>'Income Statement'!CN74</f>
        <v>0.17880118200878906</v>
      </c>
      <c r="AK82" s="390">
        <f>'Income Statement'!CO74</f>
        <v>0.1869677811086245</v>
      </c>
      <c r="AL82" s="390">
        <f>'Income Statement'!CP74</f>
        <v>0.18286500313567666</v>
      </c>
      <c r="AM82" s="391">
        <f>'Income Statement'!CQ74</f>
        <v>0.21544313479580621</v>
      </c>
      <c r="AN82" s="388">
        <f>'Income Statement'!CR74</f>
        <v>0.19153287077358996</v>
      </c>
      <c r="AO82" s="389">
        <f>'Income Statement'!CS74</f>
        <v>0.19538419647839503</v>
      </c>
      <c r="AP82" s="390">
        <f>'Income Statement'!CT74</f>
        <v>0.20417151038961395</v>
      </c>
      <c r="AQ82" s="390">
        <f>'Income Statement'!CU74</f>
        <v>0.18267555468070448</v>
      </c>
      <c r="AR82" s="391">
        <f>'Income Statement'!CV74</f>
        <v>0.22680989063524218</v>
      </c>
      <c r="AS82" s="388">
        <f>'Income Statement'!CW74</f>
        <v>0.20312614771399626</v>
      </c>
      <c r="AT82" s="389">
        <f>'Income Statement'!CX74</f>
        <v>0.21463322593511683</v>
      </c>
      <c r="AU82" s="390">
        <f>'Income Statement'!CY74</f>
        <v>0.20164615238181116</v>
      </c>
      <c r="AV82" s="390">
        <f>'Income Statement'!CZ74</f>
        <v>0.19874946963268275</v>
      </c>
      <c r="AW82" s="391">
        <f>'Income Statement'!DA74</f>
        <v>0.22093179422418599</v>
      </c>
      <c r="AX82" s="388">
        <f>'Income Statement'!DB74</f>
        <v>0.20872065629051195</v>
      </c>
      <c r="AY82" s="389">
        <f>'Income Statement'!DC74</f>
        <v>0.23045032659531781</v>
      </c>
      <c r="AZ82" s="390">
        <f>'Income Statement'!DD74</f>
        <v>0.23510339752220222</v>
      </c>
      <c r="BA82" s="390">
        <f>'Income Statement'!DE74</f>
        <v>0.23237205048111192</v>
      </c>
      <c r="BB82" s="391">
        <f>'Income Statement'!DF74</f>
        <v>0.244494141429794</v>
      </c>
      <c r="BC82" s="388">
        <f>'Income Statement'!DG74</f>
        <v>0.23580774541877059</v>
      </c>
      <c r="BD82" s="389">
        <f>'Income Statement'!DH74</f>
        <v>0.25121746577360005</v>
      </c>
      <c r="BE82" s="390">
        <f>'Income Statement'!DI74</f>
        <v>0.2263618586130082</v>
      </c>
      <c r="BF82" s="390">
        <f>'Income Statement'!DJ74</f>
        <v>0.23528915520809079</v>
      </c>
      <c r="BG82" s="391">
        <f>'Income Statement'!DK74</f>
        <v>0.25263088774227849</v>
      </c>
      <c r="BH82" s="388">
        <f>'Income Statement'!DL74</f>
        <v>0.24148577409481961</v>
      </c>
      <c r="BI82" s="389">
        <f>'Income Statement'!DM74</f>
        <v>0.24288765591691616</v>
      </c>
      <c r="BJ82" s="390">
        <f>'Income Statement'!DN74</f>
        <v>0.24307673506524119</v>
      </c>
      <c r="BK82" s="390">
        <f>'Income Statement'!DO74</f>
        <v>0.24060980149942976</v>
      </c>
      <c r="BL82" s="391">
        <f>'Income Statement'!DP74</f>
        <v>0.24039760292529708</v>
      </c>
      <c r="BM82" s="388">
        <f>'Income Statement'!DQ74</f>
        <v>0.24170907050444851</v>
      </c>
    </row>
    <row r="83" spans="2:65">
      <c r="B83" s="397" t="str">
        <f>'Income Statement'!A79</f>
        <v>EPS</v>
      </c>
      <c r="C83" s="398">
        <f>'Income Statement'!AY79</f>
        <v>0.38393436199582093</v>
      </c>
      <c r="D83" s="398">
        <f>'Income Statement'!BD79</f>
        <v>0.49153930602677953</v>
      </c>
      <c r="E83" s="398">
        <f>'Income Statement'!BI79</f>
        <v>0.47903260463803143</v>
      </c>
      <c r="F83" s="399">
        <f>'Income Statement'!BJ79</f>
        <v>0</v>
      </c>
      <c r="G83" s="400">
        <f>'Income Statement'!BK79</f>
        <v>0</v>
      </c>
      <c r="H83" s="400">
        <f>'Income Statement'!BL79</f>
        <v>0</v>
      </c>
      <c r="I83" s="401">
        <f>'Income Statement'!BM79</f>
        <v>0.33243784182197827</v>
      </c>
      <c r="J83" s="398">
        <f>'Income Statement'!BN79</f>
        <v>0.33243784182197827</v>
      </c>
      <c r="K83" s="399">
        <f>'Income Statement'!BO79</f>
        <v>0</v>
      </c>
      <c r="L83" s="400">
        <f>'Income Statement'!BP79</f>
        <v>0</v>
      </c>
      <c r="M83" s="400">
        <f>'Income Statement'!BQ79</f>
        <v>0</v>
      </c>
      <c r="N83" s="401">
        <f>'Income Statement'!BR79</f>
        <v>0.41226443017762182</v>
      </c>
      <c r="O83" s="398">
        <f>'Income Statement'!BS79</f>
        <v>0.41226443017762182</v>
      </c>
      <c r="P83" s="399">
        <f>'Income Statement'!BT79</f>
        <v>0</v>
      </c>
      <c r="Q83" s="400">
        <f>'Income Statement'!BU79</f>
        <v>0</v>
      </c>
      <c r="R83" s="400">
        <f>'Income Statement'!BV79</f>
        <v>0</v>
      </c>
      <c r="S83" s="401">
        <f>'Income Statement'!BW79</f>
        <v>0.47863434859030324</v>
      </c>
      <c r="T83" s="398">
        <f>'Income Statement'!BX79</f>
        <v>0.47863434859030324</v>
      </c>
      <c r="U83" s="399">
        <f>'Income Statement'!BY79</f>
        <v>6.7140854431678207E-2</v>
      </c>
      <c r="V83" s="400">
        <f>'Income Statement'!BZ79</f>
        <v>0.22314395965965841</v>
      </c>
      <c r="W83" s="400">
        <f>'Income Statement'!CA79</f>
        <v>0.11073710361968345</v>
      </c>
      <c r="X83" s="401">
        <f>'Income Statement'!CB79</f>
        <v>0.18404179247812705</v>
      </c>
      <c r="Y83" s="398">
        <f>'Income Statement'!CC79</f>
        <v>0.58506371018914716</v>
      </c>
      <c r="Z83" s="399">
        <f>'Income Statement'!CD79</f>
        <v>2.374921385534982E-2</v>
      </c>
      <c r="AA83" s="400">
        <f>'Income Statement'!CE79</f>
        <v>0.13514764173777455</v>
      </c>
      <c r="AB83" s="400">
        <f>'Income Statement'!CF79</f>
        <v>0.17452885863179779</v>
      </c>
      <c r="AC83" s="401">
        <f>'Income Statement'!CG79</f>
        <v>0.23287016533593302</v>
      </c>
      <c r="AD83" s="398">
        <f>'Income Statement'!CH79</f>
        <v>0.56867396389951508</v>
      </c>
      <c r="AE83" s="399">
        <f>'Income Statement'!CI79</f>
        <v>0.17128217533933557</v>
      </c>
      <c r="AF83" s="400">
        <f>'Income Statement'!CJ79</f>
        <v>0.26930355906222458</v>
      </c>
      <c r="AG83" s="400">
        <f>'Income Statement'!CK79</f>
        <v>0.23093783187142028</v>
      </c>
      <c r="AH83" s="401">
        <f>'Income Statement'!CL79</f>
        <v>0.35551956634425919</v>
      </c>
      <c r="AI83" s="398">
        <f>'Income Statement'!CM79</f>
        <v>1.0270725298048877</v>
      </c>
      <c r="AJ83" s="399">
        <f>'Income Statement'!CN79</f>
        <v>0.2121267659656926</v>
      </c>
      <c r="AK83" s="400">
        <f>'Income Statement'!CO79</f>
        <v>0.29677218300646696</v>
      </c>
      <c r="AL83" s="400">
        <f>'Income Statement'!CP79</f>
        <v>0.31002715124732805</v>
      </c>
      <c r="AM83" s="401">
        <f>'Income Statement'!CQ79</f>
        <v>0.31662633609173052</v>
      </c>
      <c r="AN83" s="398">
        <f>'Income Statement'!CR79</f>
        <v>1.136038093382018</v>
      </c>
      <c r="AO83" s="399">
        <f>'Income Statement'!CS79</f>
        <v>0.31684711383874659</v>
      </c>
      <c r="AP83" s="400">
        <f>'Income Statement'!CT79</f>
        <v>0.41869464825910124</v>
      </c>
      <c r="AQ83" s="400">
        <f>'Income Statement'!CU79</f>
        <v>0.37332137159500001</v>
      </c>
      <c r="AR83" s="401">
        <f>'Income Statement'!CV79</f>
        <v>0.55305860523216765</v>
      </c>
      <c r="AS83" s="398">
        <f>'Income Statement'!CW79</f>
        <v>1.6619217389250154</v>
      </c>
      <c r="AT83" s="399">
        <f>'Income Statement'!CX79</f>
        <v>0.48723234009840505</v>
      </c>
      <c r="AU83" s="400">
        <f>'Income Statement'!CY79</f>
        <v>0.59419225922310082</v>
      </c>
      <c r="AV83" s="400">
        <f>'Income Statement'!CZ79</f>
        <v>0.58841064197311721</v>
      </c>
      <c r="AW83" s="401">
        <f>'Income Statement'!DA79</f>
        <v>0.57189715642677397</v>
      </c>
      <c r="AX83" s="398">
        <f>'Income Statement'!DB79</f>
        <v>2.241732397721397</v>
      </c>
      <c r="AY83" s="399">
        <f>'Income Statement'!DC79</f>
        <v>0.73641452412902075</v>
      </c>
      <c r="AZ83" s="400">
        <f>'Income Statement'!DD79</f>
        <v>0.81384506985582306</v>
      </c>
      <c r="BA83" s="400">
        <f>'Income Statement'!DE79</f>
        <v>0.87452821598806685</v>
      </c>
      <c r="BB83" s="401">
        <f>'Income Statement'!DF79</f>
        <v>0.90037269169296053</v>
      </c>
      <c r="BC83" s="398">
        <f>'Income Statement'!DG79</f>
        <v>3.3021945061977069</v>
      </c>
      <c r="BD83" s="399">
        <f>'Income Statement'!DH79</f>
        <v>0.98308510080426081</v>
      </c>
      <c r="BE83" s="400">
        <f>'Income Statement'!DI79</f>
        <v>0.87795199595034012</v>
      </c>
      <c r="BF83" s="400">
        <f ca="1">'Income Statement'!DJ79</f>
        <v>0.99804009940282956</v>
      </c>
      <c r="BG83" s="401">
        <f ca="1">'Income Statement'!DK79</f>
        <v>1.1782392496855261</v>
      </c>
      <c r="BH83" s="398">
        <f ca="1">'Income Statement'!DL79</f>
        <v>4.0373164458429569</v>
      </c>
      <c r="BI83" s="399">
        <f ca="1">'Income Statement'!DM79</f>
        <v>1.20194425153594</v>
      </c>
      <c r="BJ83" s="400">
        <f ca="1">'Income Statement'!DN79</f>
        <v>1.2390084904115253</v>
      </c>
      <c r="BK83" s="400">
        <f ca="1">'Income Statement'!DO79</f>
        <v>1.2494580472612202</v>
      </c>
      <c r="BL83" s="401">
        <f ca="1">'Income Statement'!DP79</f>
        <v>1.2866143147706626</v>
      </c>
      <c r="BM83" s="398">
        <f ca="1">'Income Statement'!DQ79</f>
        <v>4.9770251039793481</v>
      </c>
    </row>
    <row r="84" spans="2:65">
      <c r="B84" s="303"/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5266-78AA-4990-98A7-6363B25F9A61}">
  <dimension ref="B2:AO80"/>
  <sheetViews>
    <sheetView showGridLines="0" topLeftCell="J3" zoomScaleNormal="100" workbookViewId="0">
      <selection activeCell="K41" sqref="K41:Y64"/>
    </sheetView>
  </sheetViews>
  <sheetFormatPr defaultColWidth="9.140625" defaultRowHeight="12.75"/>
  <cols>
    <col min="1" max="1" width="9.140625" style="437"/>
    <col min="2" max="2" width="29.140625" style="437" customWidth="1"/>
    <col min="3" max="7" width="13.140625" style="448" customWidth="1"/>
    <col min="8" max="9" width="13.140625" style="437" customWidth="1"/>
    <col min="10" max="10" width="9.140625" style="437"/>
    <col min="11" max="11" width="12.140625" style="437" bestFit="1" customWidth="1"/>
    <col min="12" max="13" width="6.28515625" style="437" customWidth="1"/>
    <col min="14" max="17" width="8" style="437" customWidth="1"/>
    <col min="18" max="18" width="8.85546875"/>
    <col min="19" max="19" width="12.140625" style="437" bestFit="1" customWidth="1"/>
    <col min="20" max="21" width="6.28515625" style="437" customWidth="1"/>
    <col min="22" max="25" width="8" style="437" customWidth="1"/>
    <col min="26" max="26" width="8.85546875"/>
    <col min="27" max="27" width="12.140625" style="437" bestFit="1" customWidth="1"/>
    <col min="28" max="29" width="6.28515625" style="437" customWidth="1"/>
    <col min="30" max="33" width="8" style="437" customWidth="1"/>
    <col min="34" max="34" width="9.140625" style="437"/>
    <col min="35" max="35" width="12.140625" style="437" bestFit="1" customWidth="1"/>
    <col min="36" max="37" width="6.28515625" style="437" customWidth="1"/>
    <col min="38" max="41" width="8" style="437" customWidth="1"/>
    <col min="42" max="16384" width="9.140625" style="437"/>
  </cols>
  <sheetData>
    <row r="2" spans="2:9" ht="10.5" customHeight="1" thickBot="1">
      <c r="B2" s="435" t="s">
        <v>356</v>
      </c>
      <c r="C2" s="436" t="s">
        <v>357</v>
      </c>
      <c r="D2" s="436" t="s">
        <v>358</v>
      </c>
      <c r="E2" s="436" t="s">
        <v>359</v>
      </c>
      <c r="F2" s="436" t="s">
        <v>362</v>
      </c>
      <c r="G2" s="436" t="s">
        <v>360</v>
      </c>
      <c r="H2" s="436" t="s">
        <v>361</v>
      </c>
      <c r="I2" s="436" t="s">
        <v>363</v>
      </c>
    </row>
    <row r="3" spans="2:9" ht="10.5" customHeight="1" thickTop="1">
      <c r="B3" s="437" t="s">
        <v>355</v>
      </c>
      <c r="C3" s="438">
        <v>42795</v>
      </c>
      <c r="D3" s="439">
        <v>62511</v>
      </c>
      <c r="E3" s="440">
        <v>1</v>
      </c>
      <c r="F3" s="439">
        <f t="shared" ref="F3:F38" si="0">E3*D3</f>
        <v>62511</v>
      </c>
      <c r="G3" s="439">
        <v>0</v>
      </c>
      <c r="H3" s="440">
        <v>0.98199999999999998</v>
      </c>
      <c r="I3" s="439">
        <f t="shared" ref="I3:I38" si="1">F3*(1-H3)</f>
        <v>1125.198000000001</v>
      </c>
    </row>
    <row r="4" spans="2:9" ht="10.5" customHeight="1">
      <c r="B4" s="437" t="s">
        <v>325</v>
      </c>
      <c r="C4" s="438">
        <v>42917</v>
      </c>
      <c r="D4" s="439">
        <v>59440</v>
      </c>
      <c r="E4" s="440">
        <v>1</v>
      </c>
      <c r="F4" s="439">
        <f t="shared" si="0"/>
        <v>59440</v>
      </c>
      <c r="G4" s="439">
        <v>0</v>
      </c>
      <c r="H4" s="440">
        <v>0.96899999999999997</v>
      </c>
      <c r="I4" s="439">
        <f t="shared" si="1"/>
        <v>1842.6400000000017</v>
      </c>
    </row>
    <row r="5" spans="2:9" ht="10.5" customHeight="1">
      <c r="B5" s="437" t="s">
        <v>333</v>
      </c>
      <c r="C5" s="438">
        <v>42948</v>
      </c>
      <c r="D5" s="439">
        <v>48961</v>
      </c>
      <c r="E5" s="440">
        <v>1</v>
      </c>
      <c r="F5" s="439">
        <f t="shared" si="0"/>
        <v>48961</v>
      </c>
      <c r="G5" s="439">
        <v>0</v>
      </c>
      <c r="H5" s="440">
        <v>0.97199999999999998</v>
      </c>
      <c r="I5" s="439">
        <f t="shared" si="1"/>
        <v>1370.9080000000013</v>
      </c>
    </row>
    <row r="6" spans="2:9" ht="10.5" customHeight="1">
      <c r="B6" s="437" t="s">
        <v>337</v>
      </c>
      <c r="C6" s="438">
        <v>42948</v>
      </c>
      <c r="D6" s="439">
        <v>180897</v>
      </c>
      <c r="E6" s="440">
        <v>0.997</v>
      </c>
      <c r="F6" s="439">
        <f t="shared" si="0"/>
        <v>180354.30900000001</v>
      </c>
      <c r="G6" s="439">
        <v>573</v>
      </c>
      <c r="H6" s="440">
        <v>0.995</v>
      </c>
      <c r="I6" s="439">
        <f t="shared" si="1"/>
        <v>901.77154500000086</v>
      </c>
    </row>
    <row r="7" spans="2:9" ht="10.5" customHeight="1">
      <c r="B7" s="437" t="s">
        <v>330</v>
      </c>
      <c r="C7" s="438">
        <v>43009</v>
      </c>
      <c r="D7" s="439">
        <v>71311</v>
      </c>
      <c r="E7" s="440">
        <v>1</v>
      </c>
      <c r="F7" s="439">
        <f t="shared" si="0"/>
        <v>71311</v>
      </c>
      <c r="G7" s="439">
        <v>0</v>
      </c>
      <c r="H7" s="440">
        <v>0.999</v>
      </c>
      <c r="I7" s="439">
        <f t="shared" si="1"/>
        <v>71.311000000000064</v>
      </c>
    </row>
    <row r="8" spans="2:9" ht="10.5" customHeight="1">
      <c r="B8" s="437" t="s">
        <v>343</v>
      </c>
      <c r="C8" s="438">
        <v>43040</v>
      </c>
      <c r="D8" s="439">
        <v>52462</v>
      </c>
      <c r="E8" s="440">
        <v>1</v>
      </c>
      <c r="F8" s="439">
        <f t="shared" si="0"/>
        <v>52462</v>
      </c>
      <c r="G8" s="439">
        <v>0</v>
      </c>
      <c r="H8" s="440">
        <v>0.97099999999999997</v>
      </c>
      <c r="I8" s="439">
        <f t="shared" si="1"/>
        <v>1521.3980000000013</v>
      </c>
    </row>
    <row r="9" spans="2:9" ht="10.5" customHeight="1">
      <c r="B9" s="437" t="s">
        <v>345</v>
      </c>
      <c r="C9" s="438">
        <v>43070</v>
      </c>
      <c r="D9" s="439">
        <v>55166</v>
      </c>
      <c r="E9" s="440">
        <v>1</v>
      </c>
      <c r="F9" s="439">
        <f t="shared" si="0"/>
        <v>55166</v>
      </c>
      <c r="G9" s="439">
        <v>0</v>
      </c>
      <c r="H9" s="440">
        <v>0.93100000000000005</v>
      </c>
      <c r="I9" s="439">
        <f t="shared" si="1"/>
        <v>3806.4539999999974</v>
      </c>
    </row>
    <row r="10" spans="2:9" ht="10.5" customHeight="1">
      <c r="B10" s="441" t="s">
        <v>346</v>
      </c>
      <c r="C10" s="442">
        <v>43070</v>
      </c>
      <c r="D10" s="443">
        <v>67801</v>
      </c>
      <c r="E10" s="444">
        <v>1</v>
      </c>
      <c r="F10" s="443">
        <f t="shared" si="0"/>
        <v>67801</v>
      </c>
      <c r="G10" s="443">
        <v>0</v>
      </c>
      <c r="H10" s="444">
        <v>0.92800000000000005</v>
      </c>
      <c r="I10" s="443">
        <f t="shared" si="1"/>
        <v>4881.6719999999968</v>
      </c>
    </row>
    <row r="11" spans="2:9" ht="10.5" customHeight="1">
      <c r="B11" s="437" t="s">
        <v>341</v>
      </c>
      <c r="C11" s="438">
        <v>43160</v>
      </c>
      <c r="D11" s="439">
        <v>55583</v>
      </c>
      <c r="E11" s="440">
        <v>0.82699999999999996</v>
      </c>
      <c r="F11" s="439">
        <f t="shared" si="0"/>
        <v>45967.140999999996</v>
      </c>
      <c r="G11" s="439">
        <v>9616</v>
      </c>
      <c r="H11" s="440">
        <v>0.89400000000000002</v>
      </c>
      <c r="I11" s="439">
        <f t="shared" si="1"/>
        <v>4872.5169459999988</v>
      </c>
    </row>
    <row r="12" spans="2:9" ht="10.5" customHeight="1">
      <c r="B12" s="437" t="s">
        <v>347</v>
      </c>
      <c r="C12" s="438">
        <v>43160</v>
      </c>
      <c r="D12" s="439">
        <v>93397</v>
      </c>
      <c r="E12" s="440">
        <v>0.95199999999999996</v>
      </c>
      <c r="F12" s="439">
        <f t="shared" si="0"/>
        <v>88913.944000000003</v>
      </c>
      <c r="G12" s="439">
        <v>4466</v>
      </c>
      <c r="H12" s="440">
        <v>0.97299999999999998</v>
      </c>
      <c r="I12" s="439">
        <f t="shared" si="1"/>
        <v>2400.6764880000023</v>
      </c>
    </row>
    <row r="13" spans="2:9" ht="10.5" customHeight="1">
      <c r="B13" s="437" t="s">
        <v>334</v>
      </c>
      <c r="C13" s="438">
        <v>43191</v>
      </c>
      <c r="D13" s="439">
        <v>77427</v>
      </c>
      <c r="E13" s="440">
        <v>1</v>
      </c>
      <c r="F13" s="439">
        <f t="shared" si="0"/>
        <v>77427</v>
      </c>
      <c r="G13" s="439">
        <v>0</v>
      </c>
      <c r="H13" s="440">
        <v>0.97599999999999998</v>
      </c>
      <c r="I13" s="439">
        <f t="shared" si="1"/>
        <v>1858.2480000000016</v>
      </c>
    </row>
    <row r="14" spans="2:9" ht="10.5" customHeight="1">
      <c r="B14" s="437" t="s">
        <v>320</v>
      </c>
      <c r="C14" s="438">
        <v>43221</v>
      </c>
      <c r="D14" s="439">
        <v>100348</v>
      </c>
      <c r="E14" s="440">
        <v>1</v>
      </c>
      <c r="F14" s="439">
        <f t="shared" si="0"/>
        <v>100348</v>
      </c>
      <c r="G14" s="439">
        <v>0</v>
      </c>
      <c r="H14" s="440">
        <v>0.76100000000000001</v>
      </c>
      <c r="I14" s="439">
        <f t="shared" si="1"/>
        <v>23983.171999999999</v>
      </c>
    </row>
    <row r="15" spans="2:9" ht="10.5" customHeight="1">
      <c r="B15" s="437" t="s">
        <v>326</v>
      </c>
      <c r="C15" s="438">
        <v>43252</v>
      </c>
      <c r="D15" s="439">
        <v>37564</v>
      </c>
      <c r="E15" s="440">
        <v>0.996</v>
      </c>
      <c r="F15" s="439">
        <f t="shared" si="0"/>
        <v>37413.743999999999</v>
      </c>
      <c r="G15" s="439">
        <v>135</v>
      </c>
      <c r="H15" s="440">
        <v>1</v>
      </c>
      <c r="I15" s="439">
        <f t="shared" si="1"/>
        <v>0</v>
      </c>
    </row>
    <row r="16" spans="2:9" ht="10.5" customHeight="1">
      <c r="B16" s="437" t="s">
        <v>344</v>
      </c>
      <c r="C16" s="438">
        <v>43252</v>
      </c>
      <c r="D16" s="439">
        <v>18039</v>
      </c>
      <c r="E16" s="440">
        <v>0.88800000000000001</v>
      </c>
      <c r="F16" s="439">
        <f t="shared" si="0"/>
        <v>16018.632</v>
      </c>
      <c r="G16" s="439">
        <v>2028</v>
      </c>
      <c r="H16" s="440">
        <v>0.64300000000000002</v>
      </c>
      <c r="I16" s="439">
        <f t="shared" si="1"/>
        <v>5718.6516239999992</v>
      </c>
    </row>
    <row r="17" spans="2:9" ht="10.5" customHeight="1">
      <c r="B17" s="437" t="s">
        <v>328</v>
      </c>
      <c r="C17" s="438">
        <v>43282</v>
      </c>
      <c r="D17" s="439">
        <v>42718</v>
      </c>
      <c r="E17" s="440">
        <v>0.89700000000000002</v>
      </c>
      <c r="F17" s="439">
        <f t="shared" si="0"/>
        <v>38318.046000000002</v>
      </c>
      <c r="G17" s="439">
        <v>4413</v>
      </c>
      <c r="H17" s="440">
        <v>0.96099999999999997</v>
      </c>
      <c r="I17" s="439">
        <f t="shared" si="1"/>
        <v>1494.4037940000014</v>
      </c>
    </row>
    <row r="18" spans="2:9" ht="10.5" customHeight="1">
      <c r="B18" s="437" t="s">
        <v>348</v>
      </c>
      <c r="C18" s="438">
        <v>43313</v>
      </c>
      <c r="D18" s="439">
        <v>28179</v>
      </c>
      <c r="E18" s="440">
        <v>1</v>
      </c>
      <c r="F18" s="439">
        <f t="shared" si="0"/>
        <v>28179</v>
      </c>
      <c r="G18" s="439">
        <v>0</v>
      </c>
      <c r="H18" s="440">
        <v>0.47099999999999997</v>
      </c>
      <c r="I18" s="439">
        <f t="shared" si="1"/>
        <v>14906.691000000001</v>
      </c>
    </row>
    <row r="19" spans="2:9" ht="10.5" customHeight="1">
      <c r="B19" s="437" t="s">
        <v>331</v>
      </c>
      <c r="C19" s="438">
        <v>43344</v>
      </c>
      <c r="D19" s="439">
        <v>66975</v>
      </c>
      <c r="E19" s="440">
        <v>0.97499999999999998</v>
      </c>
      <c r="F19" s="439">
        <f t="shared" si="0"/>
        <v>65300.625</v>
      </c>
      <c r="G19" s="439">
        <v>1693</v>
      </c>
      <c r="H19" s="440">
        <v>0.72</v>
      </c>
      <c r="I19" s="439">
        <f t="shared" si="1"/>
        <v>18284.175000000003</v>
      </c>
    </row>
    <row r="20" spans="2:9" ht="10.5" customHeight="1">
      <c r="B20" s="437" t="s">
        <v>339</v>
      </c>
      <c r="C20" s="438">
        <v>43344</v>
      </c>
      <c r="D20" s="439">
        <v>82275</v>
      </c>
      <c r="E20" s="440">
        <v>1</v>
      </c>
      <c r="F20" s="439">
        <f t="shared" si="0"/>
        <v>82275</v>
      </c>
      <c r="G20" s="439">
        <v>0</v>
      </c>
      <c r="H20" s="440">
        <v>0.749</v>
      </c>
      <c r="I20" s="439">
        <f t="shared" si="1"/>
        <v>20651.025000000001</v>
      </c>
    </row>
    <row r="21" spans="2:9" ht="10.5" customHeight="1">
      <c r="B21" s="437" t="s">
        <v>322</v>
      </c>
      <c r="C21" s="438">
        <v>43374</v>
      </c>
      <c r="D21" s="439">
        <v>102705</v>
      </c>
      <c r="E21" s="440">
        <v>1</v>
      </c>
      <c r="F21" s="439">
        <f t="shared" si="0"/>
        <v>102705</v>
      </c>
      <c r="G21" s="439">
        <v>0</v>
      </c>
      <c r="H21" s="440">
        <v>0.66</v>
      </c>
      <c r="I21" s="439">
        <f t="shared" si="1"/>
        <v>34919.699999999997</v>
      </c>
    </row>
    <row r="22" spans="2:9" ht="10.5" customHeight="1">
      <c r="B22" s="437" t="s">
        <v>327</v>
      </c>
      <c r="C22" s="438">
        <v>43374</v>
      </c>
      <c r="D22" s="439">
        <v>0</v>
      </c>
      <c r="E22" s="440">
        <v>1</v>
      </c>
      <c r="F22" s="439">
        <f t="shared" si="0"/>
        <v>0</v>
      </c>
      <c r="G22" s="439">
        <v>0</v>
      </c>
      <c r="H22" s="440">
        <v>1</v>
      </c>
      <c r="I22" s="439">
        <f t="shared" si="1"/>
        <v>0</v>
      </c>
    </row>
    <row r="23" spans="2:9" ht="10.5" customHeight="1">
      <c r="B23" s="437" t="s">
        <v>329</v>
      </c>
      <c r="C23" s="438">
        <v>43405</v>
      </c>
      <c r="D23" s="439">
        <v>27093</v>
      </c>
      <c r="E23" s="440">
        <v>0.94199999999999995</v>
      </c>
      <c r="F23" s="439">
        <f t="shared" si="0"/>
        <v>25521.606</v>
      </c>
      <c r="G23" s="439">
        <v>1571</v>
      </c>
      <c r="H23" s="440">
        <v>0.92400000000000004</v>
      </c>
      <c r="I23" s="439">
        <f t="shared" si="1"/>
        <v>1939.6420559999988</v>
      </c>
    </row>
    <row r="24" spans="2:9" ht="10.5" customHeight="1">
      <c r="B24" s="441" t="s">
        <v>352</v>
      </c>
      <c r="C24" s="442">
        <v>43405</v>
      </c>
      <c r="D24" s="443">
        <v>57367</v>
      </c>
      <c r="E24" s="444">
        <v>1</v>
      </c>
      <c r="F24" s="443">
        <f t="shared" si="0"/>
        <v>57367</v>
      </c>
      <c r="G24" s="443">
        <v>0</v>
      </c>
      <c r="H24" s="444">
        <v>0.39100000000000001</v>
      </c>
      <c r="I24" s="443">
        <f t="shared" si="1"/>
        <v>34936.502999999997</v>
      </c>
    </row>
    <row r="25" spans="2:9" ht="10.5" customHeight="1">
      <c r="B25" s="437" t="s">
        <v>342</v>
      </c>
      <c r="C25" s="438">
        <v>43497</v>
      </c>
      <c r="D25" s="439">
        <v>71901</v>
      </c>
      <c r="E25" s="440">
        <v>0.873</v>
      </c>
      <c r="F25" s="439">
        <f t="shared" si="0"/>
        <v>62769.572999999997</v>
      </c>
      <c r="G25" s="439">
        <v>9158</v>
      </c>
      <c r="H25" s="440">
        <v>0.57799999999999996</v>
      </c>
      <c r="I25" s="439">
        <f t="shared" si="1"/>
        <v>26488.759806000002</v>
      </c>
    </row>
    <row r="26" spans="2:9" ht="10.5" customHeight="1">
      <c r="B26" s="437" t="s">
        <v>332</v>
      </c>
      <c r="C26" s="438">
        <v>43525</v>
      </c>
      <c r="D26" s="439">
        <v>66626</v>
      </c>
      <c r="E26" s="440">
        <v>0.91400000000000003</v>
      </c>
      <c r="F26" s="439">
        <f t="shared" si="0"/>
        <v>60896.164000000004</v>
      </c>
      <c r="G26" s="439">
        <v>5725</v>
      </c>
      <c r="H26" s="440">
        <v>0.36799999999999999</v>
      </c>
      <c r="I26" s="439">
        <f t="shared" si="1"/>
        <v>38486.375648000001</v>
      </c>
    </row>
    <row r="27" spans="2:9" ht="10.5" customHeight="1">
      <c r="B27" s="437" t="s">
        <v>349</v>
      </c>
      <c r="C27" s="438">
        <v>43525</v>
      </c>
      <c r="D27" s="439">
        <v>50406</v>
      </c>
      <c r="E27" s="440">
        <v>0.79800000000000004</v>
      </c>
      <c r="F27" s="439">
        <f t="shared" si="0"/>
        <v>40223.988000000005</v>
      </c>
      <c r="G27" s="439">
        <v>10157</v>
      </c>
      <c r="H27" s="440">
        <v>0.30599999999999999</v>
      </c>
      <c r="I27" s="439">
        <f t="shared" si="1"/>
        <v>27915.447672000002</v>
      </c>
    </row>
    <row r="28" spans="2:9" ht="10.5" customHeight="1">
      <c r="B28" s="437" t="s">
        <v>340</v>
      </c>
      <c r="C28" s="438">
        <v>43586</v>
      </c>
      <c r="D28" s="439">
        <v>83452</v>
      </c>
      <c r="E28" s="440">
        <v>0.436</v>
      </c>
      <c r="F28" s="439">
        <f t="shared" si="0"/>
        <v>36385.072</v>
      </c>
      <c r="G28" s="439">
        <v>47094</v>
      </c>
      <c r="H28" s="440">
        <v>0.374</v>
      </c>
      <c r="I28" s="439">
        <f t="shared" si="1"/>
        <v>22777.055071999999</v>
      </c>
    </row>
    <row r="29" spans="2:9" ht="10.5" customHeight="1">
      <c r="B29" s="437" t="s">
        <v>324</v>
      </c>
      <c r="C29" s="438">
        <v>43617</v>
      </c>
      <c r="D29" s="439">
        <v>78665</v>
      </c>
      <c r="E29" s="440">
        <v>0.54500000000000004</v>
      </c>
      <c r="F29" s="439">
        <f t="shared" si="0"/>
        <v>42872.425000000003</v>
      </c>
      <c r="G29" s="439">
        <v>35768</v>
      </c>
      <c r="H29" s="440">
        <v>0.193</v>
      </c>
      <c r="I29" s="439">
        <f t="shared" si="1"/>
        <v>34598.046974999997</v>
      </c>
    </row>
    <row r="30" spans="2:9" ht="10.5" customHeight="1">
      <c r="B30" s="437" t="s">
        <v>350</v>
      </c>
      <c r="C30" s="438">
        <v>43617</v>
      </c>
      <c r="D30" s="439">
        <v>58219</v>
      </c>
      <c r="E30" s="440">
        <v>0.72599999999999998</v>
      </c>
      <c r="F30" s="439">
        <f t="shared" si="0"/>
        <v>42266.993999999999</v>
      </c>
      <c r="G30" s="439">
        <v>15956</v>
      </c>
      <c r="H30" s="440">
        <v>0.26500000000000001</v>
      </c>
      <c r="I30" s="439">
        <f t="shared" si="1"/>
        <v>31066.240589999998</v>
      </c>
    </row>
    <row r="31" spans="2:9" ht="10.5" customHeight="1">
      <c r="B31" s="437" t="s">
        <v>335</v>
      </c>
      <c r="C31" s="438">
        <v>43647</v>
      </c>
      <c r="D31" s="439">
        <v>77016</v>
      </c>
      <c r="E31" s="440">
        <v>0.41499999999999998</v>
      </c>
      <c r="F31" s="439">
        <f t="shared" si="0"/>
        <v>31961.64</v>
      </c>
      <c r="G31" s="439">
        <v>45064</v>
      </c>
      <c r="H31" s="440">
        <v>0.29899999999999999</v>
      </c>
      <c r="I31" s="439">
        <f t="shared" si="1"/>
        <v>22405.109640000002</v>
      </c>
    </row>
    <row r="32" spans="2:9" ht="10.5" customHeight="1">
      <c r="B32" s="437" t="s">
        <v>336</v>
      </c>
      <c r="C32" s="438">
        <v>43678</v>
      </c>
      <c r="D32" s="439">
        <v>71144</v>
      </c>
      <c r="E32" s="440">
        <v>0.57999999999999996</v>
      </c>
      <c r="F32" s="439">
        <f t="shared" si="0"/>
        <v>41263.519999999997</v>
      </c>
      <c r="G32" s="439">
        <v>29866</v>
      </c>
      <c r="H32" s="440">
        <v>0.32600000000000001</v>
      </c>
      <c r="I32" s="439">
        <f t="shared" si="1"/>
        <v>27811.612479999996</v>
      </c>
    </row>
    <row r="33" spans="2:41" ht="10.5" customHeight="1">
      <c r="B33" s="437" t="s">
        <v>338</v>
      </c>
      <c r="C33" s="438">
        <v>43678</v>
      </c>
      <c r="D33" s="439">
        <v>92989</v>
      </c>
      <c r="E33" s="440">
        <v>0.625</v>
      </c>
      <c r="F33" s="439">
        <f t="shared" si="0"/>
        <v>58118.125</v>
      </c>
      <c r="G33" s="439">
        <v>34865</v>
      </c>
      <c r="H33" s="440">
        <v>0.34499999999999997</v>
      </c>
      <c r="I33" s="439">
        <f t="shared" si="1"/>
        <v>38067.371875000004</v>
      </c>
    </row>
    <row r="34" spans="2:41" ht="10.5" customHeight="1">
      <c r="B34" s="437" t="s">
        <v>323</v>
      </c>
      <c r="C34" s="438">
        <v>43709</v>
      </c>
      <c r="D34" s="439">
        <v>120229</v>
      </c>
      <c r="E34" s="440">
        <v>0.54600000000000004</v>
      </c>
      <c r="F34" s="439">
        <f t="shared" si="0"/>
        <v>65645.034</v>
      </c>
      <c r="G34" s="439">
        <v>54559</v>
      </c>
      <c r="H34" s="440">
        <v>0.124</v>
      </c>
      <c r="I34" s="439">
        <f t="shared" si="1"/>
        <v>57505.049784000003</v>
      </c>
    </row>
    <row r="35" spans="2:41" ht="10.5" customHeight="1">
      <c r="B35" s="437" t="s">
        <v>321</v>
      </c>
      <c r="C35" s="438">
        <v>43770</v>
      </c>
      <c r="D35" s="439">
        <v>77527</v>
      </c>
      <c r="E35" s="440">
        <v>0.51500000000000001</v>
      </c>
      <c r="F35" s="439">
        <f t="shared" si="0"/>
        <v>39926.404999999999</v>
      </c>
      <c r="G35" s="439">
        <v>37567</v>
      </c>
      <c r="H35" s="440">
        <v>0.36799999999999999</v>
      </c>
      <c r="I35" s="439">
        <f t="shared" si="1"/>
        <v>25233.487959999999</v>
      </c>
    </row>
    <row r="36" spans="2:41" ht="10.5" customHeight="1">
      <c r="B36" s="437" t="s">
        <v>351</v>
      </c>
      <c r="C36" s="438">
        <v>43770</v>
      </c>
      <c r="D36" s="439">
        <v>122217</v>
      </c>
      <c r="E36" s="440">
        <v>0.55300000000000005</v>
      </c>
      <c r="F36" s="439">
        <f t="shared" si="0"/>
        <v>67586.001000000004</v>
      </c>
      <c r="G36" s="439">
        <v>54654</v>
      </c>
      <c r="H36" s="440">
        <v>0.65100000000000002</v>
      </c>
      <c r="I36" s="439">
        <f t="shared" si="1"/>
        <v>23587.514349000001</v>
      </c>
    </row>
    <row r="37" spans="2:41" ht="10.5" customHeight="1">
      <c r="B37" s="437" t="s">
        <v>353</v>
      </c>
      <c r="C37" s="438">
        <v>43770</v>
      </c>
      <c r="D37" s="439">
        <v>83336</v>
      </c>
      <c r="E37" s="440">
        <v>0.62</v>
      </c>
      <c r="F37" s="439">
        <f t="shared" si="0"/>
        <v>51668.32</v>
      </c>
      <c r="G37" s="439">
        <v>31657</v>
      </c>
      <c r="H37" s="440">
        <v>0.34899999999999998</v>
      </c>
      <c r="I37" s="439">
        <f t="shared" si="1"/>
        <v>33636.07632</v>
      </c>
    </row>
    <row r="38" spans="2:41" ht="10.5" customHeight="1">
      <c r="B38" s="437" t="s">
        <v>354</v>
      </c>
      <c r="C38" s="438">
        <v>43770</v>
      </c>
      <c r="D38" s="439">
        <v>37127</v>
      </c>
      <c r="E38" s="440">
        <v>0.79800000000000004</v>
      </c>
      <c r="F38" s="439">
        <f t="shared" si="0"/>
        <v>29627.346000000001</v>
      </c>
      <c r="G38" s="439">
        <v>7488</v>
      </c>
      <c r="H38" s="440">
        <v>0.34899999999999998</v>
      </c>
      <c r="I38" s="439">
        <f t="shared" si="1"/>
        <v>19287.402246000001</v>
      </c>
    </row>
    <row r="39" spans="2:41" ht="10.5" customHeight="1" thickBot="1">
      <c r="B39" s="445"/>
      <c r="C39" s="445"/>
      <c r="D39" s="446">
        <f>SUM(D3:D38)</f>
        <v>2479073</v>
      </c>
      <c r="E39" s="447">
        <f>SUMPRODUCT(D3:D38,E3:E38)/SUM(D3:D38)</f>
        <v>0.82085991578303652</v>
      </c>
      <c r="F39" s="446">
        <f>SUM(F3:F38)</f>
        <v>2034971.6539999996</v>
      </c>
      <c r="G39" s="446">
        <f>SUM(G3:G38)</f>
        <v>444073</v>
      </c>
      <c r="H39" s="447">
        <f>SUMPRODUCT(F3:F38,H3:H38)/SUM(F3:F38)</f>
        <v>0.70006839816649358</v>
      </c>
      <c r="I39" s="446">
        <f>SUM(I3:I38)</f>
        <v>610352.30787000002</v>
      </c>
    </row>
    <row r="40" spans="2:41" ht="13.5" thickTop="1"/>
    <row r="41" spans="2:41" ht="27.75" customHeight="1" thickBot="1">
      <c r="K41" s="452" t="s">
        <v>356</v>
      </c>
      <c r="L41" s="436" t="s">
        <v>357</v>
      </c>
      <c r="M41" s="436" t="s">
        <v>402</v>
      </c>
      <c r="N41" s="436" t="s">
        <v>412</v>
      </c>
      <c r="O41" s="436" t="s">
        <v>358</v>
      </c>
      <c r="P41" s="436" t="s">
        <v>401</v>
      </c>
      <c r="Q41" s="436" t="s">
        <v>406</v>
      </c>
      <c r="S41" s="452" t="s">
        <v>356</v>
      </c>
      <c r="T41" s="436" t="s">
        <v>357</v>
      </c>
      <c r="U41" s="436" t="s">
        <v>402</v>
      </c>
      <c r="V41" s="436" t="s">
        <v>412</v>
      </c>
      <c r="W41" s="436" t="s">
        <v>358</v>
      </c>
      <c r="X41" s="436" t="s">
        <v>401</v>
      </c>
      <c r="Y41" s="436" t="s">
        <v>406</v>
      </c>
      <c r="AA41" s="452" t="s">
        <v>356</v>
      </c>
      <c r="AB41" s="436" t="s">
        <v>357</v>
      </c>
      <c r="AC41" s="436" t="s">
        <v>402</v>
      </c>
      <c r="AD41" s="436" t="s">
        <v>412</v>
      </c>
      <c r="AE41" s="436" t="s">
        <v>358</v>
      </c>
      <c r="AF41" s="436" t="s">
        <v>401</v>
      </c>
      <c r="AG41" s="436" t="s">
        <v>406</v>
      </c>
      <c r="AI41" s="452" t="s">
        <v>356</v>
      </c>
      <c r="AJ41" s="436" t="s">
        <v>357</v>
      </c>
      <c r="AK41" s="436" t="s">
        <v>402</v>
      </c>
      <c r="AL41" s="436" t="s">
        <v>412</v>
      </c>
      <c r="AM41" s="436" t="s">
        <v>358</v>
      </c>
      <c r="AN41" s="436" t="s">
        <v>401</v>
      </c>
      <c r="AO41" s="436" t="s">
        <v>406</v>
      </c>
    </row>
    <row r="42" spans="2:41" ht="13.5" customHeight="1" thickTop="1">
      <c r="J42" s="454">
        <f>O46+O48+O58+O60</f>
        <v>279082</v>
      </c>
      <c r="K42" s="313" t="s">
        <v>380</v>
      </c>
      <c r="L42" s="448">
        <v>2020</v>
      </c>
      <c r="M42" s="448" t="s">
        <v>403</v>
      </c>
      <c r="N42" s="439" t="s">
        <v>407</v>
      </c>
      <c r="O42" s="439">
        <v>81264.063999999998</v>
      </c>
      <c r="P42" s="440">
        <v>1</v>
      </c>
      <c r="Q42" s="439">
        <v>181393</v>
      </c>
      <c r="R42" s="454">
        <f>W50+W52+W53+W54+W55+W56+W59+W60+W62</f>
        <v>711176.52800000005</v>
      </c>
      <c r="S42" s="313" t="s">
        <v>413</v>
      </c>
      <c r="T42" s="448">
        <v>2021</v>
      </c>
      <c r="U42" s="448" t="s">
        <v>403</v>
      </c>
      <c r="V42" s="439" t="s">
        <v>407</v>
      </c>
      <c r="W42" s="439">
        <v>77636.203999999998</v>
      </c>
      <c r="X42" s="440">
        <v>1</v>
      </c>
      <c r="Y42" s="439">
        <v>181393</v>
      </c>
      <c r="AA42" s="313" t="s">
        <v>435</v>
      </c>
      <c r="AB42" s="448">
        <v>2022</v>
      </c>
      <c r="AC42" s="448" t="s">
        <v>403</v>
      </c>
      <c r="AD42" s="439" t="s">
        <v>407</v>
      </c>
      <c r="AE42" s="439">
        <v>30651.39</v>
      </c>
      <c r="AF42" s="440">
        <v>1</v>
      </c>
      <c r="AG42" s="439">
        <v>185766</v>
      </c>
      <c r="AI42" s="313" t="s">
        <v>450</v>
      </c>
      <c r="AJ42" s="448">
        <v>2023</v>
      </c>
      <c r="AK42" s="448" t="s">
        <v>403</v>
      </c>
      <c r="AL42" s="439" t="s">
        <v>407</v>
      </c>
      <c r="AM42" s="439">
        <v>103049.45600000001</v>
      </c>
      <c r="AN42" s="440">
        <v>1</v>
      </c>
      <c r="AO42" s="439">
        <v>207761</v>
      </c>
    </row>
    <row r="43" spans="2:41" ht="13.5" customHeight="1">
      <c r="J43" s="455">
        <f>J42/O63</f>
        <v>0.16248774202434824</v>
      </c>
      <c r="K43" s="313" t="s">
        <v>381</v>
      </c>
      <c r="L43" s="448">
        <v>2020</v>
      </c>
      <c r="M43" s="448" t="s">
        <v>403</v>
      </c>
      <c r="N43" s="439" t="s">
        <v>408</v>
      </c>
      <c r="O43" s="439">
        <v>89600</v>
      </c>
      <c r="P43" s="440">
        <v>1</v>
      </c>
      <c r="Q43" s="439">
        <v>200000</v>
      </c>
      <c r="R43" s="455">
        <f>R42/W64</f>
        <v>0.41838070220926193</v>
      </c>
      <c r="S43" s="313" t="s">
        <v>414</v>
      </c>
      <c r="T43" s="448">
        <v>2021</v>
      </c>
      <c r="U43" s="448" t="s">
        <v>403</v>
      </c>
      <c r="V43" s="439" t="s">
        <v>407</v>
      </c>
      <c r="W43" s="439">
        <v>130036.2</v>
      </c>
      <c r="X43" s="440">
        <v>1</v>
      </c>
      <c r="Y43" s="439">
        <v>185766</v>
      </c>
      <c r="AA43" s="313" t="s">
        <v>436</v>
      </c>
      <c r="AB43" s="448">
        <v>2022</v>
      </c>
      <c r="AC43" s="448" t="s">
        <v>404</v>
      </c>
      <c r="AD43" s="439" t="s">
        <v>411</v>
      </c>
      <c r="AE43" s="439">
        <v>78500</v>
      </c>
      <c r="AF43" s="440">
        <v>0.5</v>
      </c>
      <c r="AG43" s="439">
        <v>157000</v>
      </c>
      <c r="AI43" s="313" t="s">
        <v>451</v>
      </c>
      <c r="AJ43" s="448">
        <v>2023</v>
      </c>
      <c r="AK43" s="448" t="s">
        <v>403</v>
      </c>
      <c r="AL43" s="439" t="s">
        <v>407</v>
      </c>
      <c r="AM43" s="439">
        <v>81236.864000000001</v>
      </c>
      <c r="AN43" s="440">
        <v>0.7</v>
      </c>
      <c r="AO43" s="439">
        <v>163784</v>
      </c>
    </row>
    <row r="44" spans="2:41" ht="13.5" customHeight="1">
      <c r="K44" s="313" t="s">
        <v>382</v>
      </c>
      <c r="L44" s="448">
        <v>2020</v>
      </c>
      <c r="M44" s="448" t="s">
        <v>403</v>
      </c>
      <c r="N44" s="439" t="s">
        <v>407</v>
      </c>
      <c r="O44" s="439">
        <v>130036.2</v>
      </c>
      <c r="P44" s="440">
        <v>1</v>
      </c>
      <c r="Q44" s="439">
        <v>185766</v>
      </c>
      <c r="R44" s="454">
        <f>W42+W43+W44+W49+W50+W52+W53+W54+W55+W56+W59+W60+W62</f>
        <v>1057122.5720000002</v>
      </c>
      <c r="S44" s="313" t="s">
        <v>415</v>
      </c>
      <c r="T44" s="448">
        <v>2021</v>
      </c>
      <c r="U44" s="448" t="s">
        <v>403</v>
      </c>
      <c r="V44" s="439" t="s">
        <v>407</v>
      </c>
      <c r="W44" s="439">
        <v>76222.8</v>
      </c>
      <c r="X44" s="440">
        <v>1</v>
      </c>
      <c r="Y44" s="439">
        <v>163920</v>
      </c>
      <c r="AA44" s="313" t="s">
        <v>437</v>
      </c>
      <c r="AB44" s="448">
        <v>2022</v>
      </c>
      <c r="AC44" s="448" t="s">
        <v>404</v>
      </c>
      <c r="AD44" s="439" t="s">
        <v>409</v>
      </c>
      <c r="AE44" s="439">
        <v>74000</v>
      </c>
      <c r="AF44" s="440">
        <v>1</v>
      </c>
      <c r="AG44" s="439">
        <v>148000</v>
      </c>
      <c r="AI44" s="313" t="s">
        <v>452</v>
      </c>
      <c r="AJ44" s="448">
        <v>2023</v>
      </c>
      <c r="AK44" s="448" t="s">
        <v>404</v>
      </c>
      <c r="AL44" s="439" t="s">
        <v>411</v>
      </c>
      <c r="AM44" s="439">
        <v>69200</v>
      </c>
      <c r="AN44" s="440">
        <v>0.5</v>
      </c>
      <c r="AO44" s="439">
        <v>182105.26315789475</v>
      </c>
    </row>
    <row r="45" spans="2:41" ht="13.5" customHeight="1">
      <c r="K45" s="313" t="s">
        <v>383</v>
      </c>
      <c r="L45" s="448">
        <v>2020</v>
      </c>
      <c r="M45" s="448" t="s">
        <v>403</v>
      </c>
      <c r="N45" s="439" t="s">
        <v>407</v>
      </c>
      <c r="O45" s="439">
        <v>80648.639999999999</v>
      </c>
      <c r="P45" s="440">
        <v>1</v>
      </c>
      <c r="Q45" s="439">
        <v>163920</v>
      </c>
      <c r="R45" s="455">
        <f>R44/W64</f>
        <v>0.62189859561087912</v>
      </c>
      <c r="S45" s="313" t="s">
        <v>416</v>
      </c>
      <c r="T45" s="448">
        <v>2021</v>
      </c>
      <c r="U45" s="448" t="s">
        <v>404</v>
      </c>
      <c r="V45" s="439" t="s">
        <v>411</v>
      </c>
      <c r="W45" s="439">
        <v>78500</v>
      </c>
      <c r="X45" s="440">
        <v>0.5</v>
      </c>
      <c r="Y45" s="439">
        <v>157000</v>
      </c>
      <c r="AA45" s="313" t="s">
        <v>438</v>
      </c>
      <c r="AB45" s="448">
        <v>2022</v>
      </c>
      <c r="AC45" s="448" t="s">
        <v>403</v>
      </c>
      <c r="AD45" s="439" t="s">
        <v>407</v>
      </c>
      <c r="AE45" s="439">
        <v>37202.76</v>
      </c>
      <c r="AF45" s="440">
        <v>1</v>
      </c>
      <c r="AG45" s="439">
        <v>163170</v>
      </c>
      <c r="AI45" s="313" t="s">
        <v>453</v>
      </c>
      <c r="AJ45" s="448">
        <v>2023</v>
      </c>
      <c r="AK45" s="448" t="s">
        <v>403</v>
      </c>
      <c r="AL45" s="439" t="s">
        <v>407</v>
      </c>
      <c r="AM45" s="439">
        <v>74692</v>
      </c>
      <c r="AN45" s="440">
        <v>1</v>
      </c>
      <c r="AO45" s="439">
        <v>186730</v>
      </c>
    </row>
    <row r="46" spans="2:41" ht="13.5" customHeight="1">
      <c r="K46" s="313" t="s">
        <v>384</v>
      </c>
      <c r="L46" s="448">
        <v>2020</v>
      </c>
      <c r="M46" s="448" t="s">
        <v>403</v>
      </c>
      <c r="N46" s="439" t="s">
        <v>407</v>
      </c>
      <c r="O46" s="439">
        <v>67482</v>
      </c>
      <c r="P46" s="440">
        <v>1</v>
      </c>
      <c r="Q46" s="439">
        <v>163000</v>
      </c>
      <c r="S46" s="313" t="s">
        <v>417</v>
      </c>
      <c r="T46" s="448">
        <v>2021</v>
      </c>
      <c r="U46" s="448" t="s">
        <v>404</v>
      </c>
      <c r="V46" s="439" t="s">
        <v>409</v>
      </c>
      <c r="W46" s="439">
        <v>74000</v>
      </c>
      <c r="X46" s="440">
        <v>1</v>
      </c>
      <c r="Y46" s="439">
        <v>148000</v>
      </c>
      <c r="AA46" s="313" t="s">
        <v>439</v>
      </c>
      <c r="AB46" s="448">
        <v>2022</v>
      </c>
      <c r="AC46" s="448" t="s">
        <v>405</v>
      </c>
      <c r="AD46" s="439" t="s">
        <v>409</v>
      </c>
      <c r="AE46" s="439">
        <v>57803.040000000001</v>
      </c>
      <c r="AF46" s="440">
        <v>1</v>
      </c>
      <c r="AG46" s="439">
        <v>160564</v>
      </c>
      <c r="AI46" s="313" t="s">
        <v>454</v>
      </c>
      <c r="AJ46" s="448">
        <v>2023</v>
      </c>
      <c r="AK46" s="448" t="s">
        <v>403</v>
      </c>
      <c r="AL46" s="439" t="s">
        <v>407</v>
      </c>
      <c r="AM46" s="439">
        <v>74692</v>
      </c>
      <c r="AN46" s="440">
        <v>1</v>
      </c>
      <c r="AO46" s="439">
        <v>186730</v>
      </c>
    </row>
    <row r="47" spans="2:41" ht="13.5" customHeight="1">
      <c r="K47" s="313" t="s">
        <v>385</v>
      </c>
      <c r="L47" s="448">
        <v>2020</v>
      </c>
      <c r="M47" s="448" t="s">
        <v>404</v>
      </c>
      <c r="N47" s="439" t="s">
        <v>409</v>
      </c>
      <c r="O47" s="439">
        <v>73500</v>
      </c>
      <c r="P47" s="440">
        <v>1</v>
      </c>
      <c r="Q47" s="439">
        <v>147000</v>
      </c>
      <c r="S47" s="313" t="s">
        <v>418</v>
      </c>
      <c r="T47" s="448">
        <v>2021</v>
      </c>
      <c r="U47" s="448" t="s">
        <v>403</v>
      </c>
      <c r="V47" s="439" t="s">
        <v>407</v>
      </c>
      <c r="W47" s="439">
        <v>77832.09</v>
      </c>
      <c r="X47" s="440">
        <v>1</v>
      </c>
      <c r="Y47" s="439">
        <v>163170</v>
      </c>
      <c r="AA47" s="313" t="s">
        <v>440</v>
      </c>
      <c r="AB47" s="448">
        <v>2022</v>
      </c>
      <c r="AC47" s="448" t="s">
        <v>404</v>
      </c>
      <c r="AD47" s="439" t="s">
        <v>410</v>
      </c>
      <c r="AE47" s="439">
        <v>46037.72</v>
      </c>
      <c r="AF47" s="440">
        <v>1</v>
      </c>
      <c r="AG47" s="439">
        <v>250205</v>
      </c>
      <c r="AI47" s="313" t="s">
        <v>455</v>
      </c>
      <c r="AJ47" s="448">
        <v>2024</v>
      </c>
      <c r="AK47" s="448" t="s">
        <v>403</v>
      </c>
      <c r="AL47" s="439" t="s">
        <v>407</v>
      </c>
      <c r="AM47" s="439">
        <v>81236.864000000001</v>
      </c>
      <c r="AN47" s="440">
        <v>0.7</v>
      </c>
      <c r="AO47" s="439">
        <v>163784</v>
      </c>
    </row>
    <row r="48" spans="2:41" ht="13.5" customHeight="1">
      <c r="K48" s="313" t="s">
        <v>386</v>
      </c>
      <c r="L48" s="448">
        <v>2020</v>
      </c>
      <c r="M48" s="448" t="s">
        <v>404</v>
      </c>
      <c r="N48" s="439" t="s">
        <v>410</v>
      </c>
      <c r="O48" s="439">
        <v>56800</v>
      </c>
      <c r="P48" s="440">
        <v>0.5</v>
      </c>
      <c r="Q48" s="439">
        <v>270476.19047619047</v>
      </c>
      <c r="S48" s="313" t="s">
        <v>419</v>
      </c>
      <c r="T48" s="448">
        <v>2021</v>
      </c>
      <c r="U48" s="448" t="s">
        <v>405</v>
      </c>
      <c r="V48" s="439" t="s">
        <v>409</v>
      </c>
      <c r="W48" s="439">
        <v>80282</v>
      </c>
      <c r="X48" s="440">
        <v>1</v>
      </c>
      <c r="Y48" s="439">
        <v>160564</v>
      </c>
      <c r="AA48" s="313" t="s">
        <v>441</v>
      </c>
      <c r="AB48" s="448">
        <v>2022</v>
      </c>
      <c r="AC48" s="448" t="s">
        <v>403</v>
      </c>
      <c r="AD48" s="439" t="s">
        <v>407</v>
      </c>
      <c r="AE48" s="439">
        <v>103049.45600000001</v>
      </c>
      <c r="AF48" s="440">
        <v>1</v>
      </c>
      <c r="AG48" s="439">
        <v>207761</v>
      </c>
      <c r="AI48" s="313" t="s">
        <v>456</v>
      </c>
      <c r="AJ48" s="448">
        <v>2024</v>
      </c>
      <c r="AK48" s="448" t="s">
        <v>403</v>
      </c>
      <c r="AL48" s="439" t="s">
        <v>407</v>
      </c>
      <c r="AM48" s="439">
        <v>74692</v>
      </c>
      <c r="AN48" s="440">
        <v>1</v>
      </c>
      <c r="AO48" s="439">
        <v>186730</v>
      </c>
    </row>
    <row r="49" spans="11:41" ht="13.5" customHeight="1">
      <c r="K49" s="313" t="s">
        <v>387</v>
      </c>
      <c r="L49" s="448">
        <v>2020</v>
      </c>
      <c r="M49" s="448" t="s">
        <v>404</v>
      </c>
      <c r="N49" s="439" t="s">
        <v>411</v>
      </c>
      <c r="O49" s="439">
        <v>77280</v>
      </c>
      <c r="P49" s="440">
        <v>1</v>
      </c>
      <c r="Q49" s="439">
        <v>161000</v>
      </c>
      <c r="S49" s="313" t="s">
        <v>420</v>
      </c>
      <c r="T49" s="448">
        <v>2021</v>
      </c>
      <c r="U49" s="448" t="s">
        <v>404</v>
      </c>
      <c r="V49" s="439" t="s">
        <v>410</v>
      </c>
      <c r="W49" s="439">
        <v>62050.84</v>
      </c>
      <c r="X49" s="440">
        <v>1</v>
      </c>
      <c r="Y49" s="439">
        <v>250205</v>
      </c>
      <c r="AA49" s="313" t="s">
        <v>442</v>
      </c>
      <c r="AB49" s="448">
        <v>2022</v>
      </c>
      <c r="AC49" s="448" t="s">
        <v>403</v>
      </c>
      <c r="AD49" s="439" t="s">
        <v>407</v>
      </c>
      <c r="AE49" s="439">
        <v>81236.864000000001</v>
      </c>
      <c r="AF49" s="440">
        <v>0.7</v>
      </c>
      <c r="AG49" s="439">
        <v>163784</v>
      </c>
      <c r="AI49" s="313" t="s">
        <v>457</v>
      </c>
      <c r="AJ49" s="448">
        <v>2024</v>
      </c>
      <c r="AK49" s="448" t="s">
        <v>403</v>
      </c>
      <c r="AL49" s="439" t="s">
        <v>407</v>
      </c>
      <c r="AM49" s="439">
        <v>74692</v>
      </c>
      <c r="AN49" s="440">
        <v>1</v>
      </c>
      <c r="AO49" s="439">
        <v>186730</v>
      </c>
    </row>
    <row r="50" spans="11:41" ht="13.5" customHeight="1">
      <c r="K50" s="313" t="s">
        <v>388</v>
      </c>
      <c r="L50" s="448">
        <v>2020</v>
      </c>
      <c r="M50" s="448" t="s">
        <v>404</v>
      </c>
      <c r="N50" s="439" t="s">
        <v>410</v>
      </c>
      <c r="O50" s="439">
        <v>88572.57</v>
      </c>
      <c r="P50" s="440">
        <v>1</v>
      </c>
      <c r="Q50" s="439">
        <v>250205</v>
      </c>
      <c r="S50" s="313" t="s">
        <v>421</v>
      </c>
      <c r="T50" s="448">
        <v>2021</v>
      </c>
      <c r="U50" s="448" t="s">
        <v>403</v>
      </c>
      <c r="V50" s="439" t="s">
        <v>407</v>
      </c>
      <c r="W50" s="439">
        <v>91725</v>
      </c>
      <c r="X50" s="440">
        <v>0.41499999999999998</v>
      </c>
      <c r="Y50" s="439">
        <v>183450</v>
      </c>
      <c r="AA50" s="313" t="s">
        <v>443</v>
      </c>
      <c r="AB50" s="448">
        <v>2022</v>
      </c>
      <c r="AC50" s="448" t="s">
        <v>404</v>
      </c>
      <c r="AD50" s="439" t="s">
        <v>410</v>
      </c>
      <c r="AE50" s="439">
        <v>69616.232000000004</v>
      </c>
      <c r="AF50" s="440">
        <v>1</v>
      </c>
      <c r="AG50" s="439">
        <v>260734.95131086142</v>
      </c>
      <c r="AI50" s="313" t="s">
        <v>458</v>
      </c>
      <c r="AJ50" s="448">
        <v>2025</v>
      </c>
      <c r="AK50" s="448" t="s">
        <v>403</v>
      </c>
      <c r="AL50" s="439" t="s">
        <v>407</v>
      </c>
      <c r="AM50" s="439">
        <v>81236.864000000001</v>
      </c>
      <c r="AN50" s="440">
        <v>0.7</v>
      </c>
      <c r="AO50" s="439">
        <v>163784</v>
      </c>
    </row>
    <row r="51" spans="11:41" ht="13.5" customHeight="1">
      <c r="K51" s="313" t="s">
        <v>389</v>
      </c>
      <c r="L51" s="448">
        <v>2020</v>
      </c>
      <c r="M51" s="448" t="s">
        <v>405</v>
      </c>
      <c r="N51" s="439" t="s">
        <v>407</v>
      </c>
      <c r="O51" s="439">
        <v>94192.195999999996</v>
      </c>
      <c r="P51" s="440">
        <v>1</v>
      </c>
      <c r="Q51" s="439">
        <v>177053</v>
      </c>
      <c r="S51" s="313" t="s">
        <v>422</v>
      </c>
      <c r="T51" s="448">
        <v>2021</v>
      </c>
      <c r="U51" s="448" t="s">
        <v>403</v>
      </c>
      <c r="V51" s="439" t="s">
        <v>407</v>
      </c>
      <c r="W51" s="439">
        <v>90376.035000000003</v>
      </c>
      <c r="X51" s="440">
        <v>1</v>
      </c>
      <c r="Y51" s="439">
        <v>207761</v>
      </c>
      <c r="AA51" s="313" t="s">
        <v>444</v>
      </c>
      <c r="AB51" s="448">
        <v>2022</v>
      </c>
      <c r="AC51" s="448" t="s">
        <v>404</v>
      </c>
      <c r="AD51" s="439" t="s">
        <v>411</v>
      </c>
      <c r="AE51" s="439">
        <v>101698.69500000001</v>
      </c>
      <c r="AF51" s="440">
        <v>0.5</v>
      </c>
      <c r="AG51" s="439">
        <v>203805</v>
      </c>
      <c r="AI51" s="313" t="s">
        <v>459</v>
      </c>
      <c r="AJ51" s="448">
        <v>2026</v>
      </c>
      <c r="AK51" s="448" t="s">
        <v>403</v>
      </c>
      <c r="AL51" s="439" t="s">
        <v>407</v>
      </c>
      <c r="AM51" s="439">
        <v>81236.864000000001</v>
      </c>
      <c r="AN51" s="440">
        <v>0.7</v>
      </c>
      <c r="AO51" s="439">
        <v>163784</v>
      </c>
    </row>
    <row r="52" spans="11:41" ht="13.5" customHeight="1">
      <c r="K52" s="313" t="s">
        <v>390</v>
      </c>
      <c r="L52" s="448">
        <v>2020</v>
      </c>
      <c r="M52" s="448" t="s">
        <v>403</v>
      </c>
      <c r="N52" s="439" t="s">
        <v>407</v>
      </c>
      <c r="O52" s="439">
        <v>73380</v>
      </c>
      <c r="P52" s="440">
        <v>0.41499999999999998</v>
      </c>
      <c r="Q52" s="439">
        <v>183450</v>
      </c>
      <c r="S52" s="313" t="s">
        <v>423</v>
      </c>
      <c r="T52" s="448">
        <v>2021</v>
      </c>
      <c r="U52" s="448" t="s">
        <v>403</v>
      </c>
      <c r="V52" s="439" t="s">
        <v>407</v>
      </c>
      <c r="W52" s="439">
        <v>81236.864000000001</v>
      </c>
      <c r="X52" s="440">
        <v>0.7</v>
      </c>
      <c r="Y52" s="439">
        <v>163784</v>
      </c>
      <c r="AA52" s="313" t="s">
        <v>445</v>
      </c>
      <c r="AB52" s="448">
        <v>2022</v>
      </c>
      <c r="AC52" s="448" t="s">
        <v>404</v>
      </c>
      <c r="AD52" s="439" t="s">
        <v>411</v>
      </c>
      <c r="AE52" s="439">
        <v>89800</v>
      </c>
      <c r="AF52" s="440">
        <v>0.5</v>
      </c>
      <c r="AG52" s="439">
        <v>179600</v>
      </c>
      <c r="AI52" s="313" t="s">
        <v>460</v>
      </c>
      <c r="AJ52" s="448">
        <v>2026</v>
      </c>
      <c r="AK52" s="448" t="s">
        <v>403</v>
      </c>
      <c r="AL52" s="439" t="s">
        <v>407</v>
      </c>
      <c r="AM52" s="439">
        <v>40618.432000000001</v>
      </c>
      <c r="AN52" s="440">
        <v>0.7</v>
      </c>
      <c r="AO52" s="439">
        <v>163784</v>
      </c>
    </row>
    <row r="53" spans="11:41" ht="13.5" customHeight="1">
      <c r="K53" s="313" t="s">
        <v>391</v>
      </c>
      <c r="L53" s="448">
        <v>2020</v>
      </c>
      <c r="M53" s="448" t="s">
        <v>403</v>
      </c>
      <c r="N53" s="439" t="s">
        <v>407</v>
      </c>
      <c r="O53" s="439">
        <v>91725</v>
      </c>
      <c r="P53" s="440">
        <v>0.41499999999999998</v>
      </c>
      <c r="Q53" s="439">
        <v>183450</v>
      </c>
      <c r="S53" s="313" t="s">
        <v>424</v>
      </c>
      <c r="T53" s="448">
        <v>2021</v>
      </c>
      <c r="U53" s="448" t="s">
        <v>403</v>
      </c>
      <c r="V53" s="439" t="s">
        <v>407</v>
      </c>
      <c r="W53" s="439">
        <v>92975</v>
      </c>
      <c r="X53" s="440">
        <v>0.5</v>
      </c>
      <c r="Y53" s="439">
        <v>185950</v>
      </c>
      <c r="AA53" s="313" t="s">
        <v>446</v>
      </c>
      <c r="AB53" s="448">
        <v>2022</v>
      </c>
      <c r="AC53" s="448" t="s">
        <v>403</v>
      </c>
      <c r="AD53" s="439" t="s">
        <v>410</v>
      </c>
      <c r="AE53" s="439">
        <v>89224.2</v>
      </c>
      <c r="AF53" s="440">
        <v>1</v>
      </c>
      <c r="AG53" s="439">
        <v>221400</v>
      </c>
      <c r="AI53" s="313" t="s">
        <v>461</v>
      </c>
      <c r="AJ53" s="448" t="s">
        <v>464</v>
      </c>
      <c r="AK53" s="448" t="s">
        <v>403</v>
      </c>
      <c r="AL53" s="439" t="s">
        <v>407</v>
      </c>
      <c r="AM53" s="439">
        <v>70923.3</v>
      </c>
      <c r="AN53" s="440">
        <v>1</v>
      </c>
      <c r="AO53" s="439">
        <v>236411</v>
      </c>
    </row>
    <row r="54" spans="11:41" ht="13.5" customHeight="1">
      <c r="K54" s="313" t="s">
        <v>392</v>
      </c>
      <c r="L54" s="448">
        <v>2020</v>
      </c>
      <c r="M54" s="448" t="s">
        <v>403</v>
      </c>
      <c r="N54" s="439" t="s">
        <v>407</v>
      </c>
      <c r="O54" s="439">
        <v>81564.432000000001</v>
      </c>
      <c r="P54" s="440">
        <v>0.7</v>
      </c>
      <c r="Q54" s="439">
        <v>163784</v>
      </c>
      <c r="S54" s="313" t="s">
        <v>425</v>
      </c>
      <c r="T54" s="448">
        <v>2021</v>
      </c>
      <c r="U54" s="448" t="s">
        <v>404</v>
      </c>
      <c r="V54" s="439" t="s">
        <v>411</v>
      </c>
      <c r="W54" s="439">
        <v>79000</v>
      </c>
      <c r="X54" s="440">
        <v>0.5</v>
      </c>
      <c r="Y54" s="439">
        <v>158000</v>
      </c>
      <c r="AA54" s="313" t="s">
        <v>447</v>
      </c>
      <c r="AB54" s="448">
        <v>2022</v>
      </c>
      <c r="AC54" s="448" t="s">
        <v>403</v>
      </c>
      <c r="AD54" s="439" t="s">
        <v>410</v>
      </c>
      <c r="AE54" s="439">
        <v>79482.600000000006</v>
      </c>
      <c r="AF54" s="440">
        <v>1</v>
      </c>
      <c r="AG54" s="439">
        <v>221400</v>
      </c>
      <c r="AI54" s="313" t="s">
        <v>462</v>
      </c>
      <c r="AJ54" s="448" t="s">
        <v>464</v>
      </c>
      <c r="AK54" s="448" t="s">
        <v>403</v>
      </c>
      <c r="AL54" s="439" t="s">
        <v>407</v>
      </c>
      <c r="AM54" s="439">
        <v>70923.3</v>
      </c>
      <c r="AN54" s="440">
        <v>1</v>
      </c>
      <c r="AO54" s="439">
        <v>236411</v>
      </c>
    </row>
    <row r="55" spans="11:41" ht="13.5" customHeight="1">
      <c r="K55" s="313" t="s">
        <v>393</v>
      </c>
      <c r="L55" s="448">
        <v>2020</v>
      </c>
      <c r="M55" s="448" t="s">
        <v>403</v>
      </c>
      <c r="N55" s="439" t="s">
        <v>407</v>
      </c>
      <c r="O55" s="439">
        <v>83483.744000000006</v>
      </c>
      <c r="P55" s="440">
        <v>1</v>
      </c>
      <c r="Q55" s="439">
        <v>168314</v>
      </c>
      <c r="S55" s="313" t="s">
        <v>426</v>
      </c>
      <c r="T55" s="448">
        <v>2021</v>
      </c>
      <c r="U55" s="448" t="s">
        <v>404</v>
      </c>
      <c r="V55" s="439" t="s">
        <v>411</v>
      </c>
      <c r="W55" s="439">
        <v>79000</v>
      </c>
      <c r="X55" s="440">
        <v>0.5</v>
      </c>
      <c r="Y55" s="439">
        <v>158000</v>
      </c>
      <c r="AA55" s="313" t="s">
        <v>448</v>
      </c>
      <c r="AB55" s="448">
        <v>2022</v>
      </c>
      <c r="AC55" s="448" t="s">
        <v>403</v>
      </c>
      <c r="AD55" s="439" t="s">
        <v>407</v>
      </c>
      <c r="AE55" s="439">
        <v>74692</v>
      </c>
      <c r="AF55" s="440">
        <v>1</v>
      </c>
      <c r="AG55" s="439">
        <v>186730</v>
      </c>
      <c r="AI55" s="313" t="s">
        <v>463</v>
      </c>
      <c r="AJ55" s="448" t="s">
        <v>464</v>
      </c>
      <c r="AK55" s="448" t="s">
        <v>403</v>
      </c>
      <c r="AL55" s="439" t="s">
        <v>407</v>
      </c>
      <c r="AM55" s="439">
        <v>117732.678</v>
      </c>
      <c r="AN55" s="440">
        <v>1</v>
      </c>
      <c r="AO55" s="439">
        <v>236411</v>
      </c>
    </row>
    <row r="56" spans="11:41" ht="13.5" customHeight="1" thickBot="1">
      <c r="K56" s="313" t="s">
        <v>394</v>
      </c>
      <c r="L56" s="448">
        <v>2020</v>
      </c>
      <c r="M56" s="448" t="s">
        <v>403</v>
      </c>
      <c r="N56" s="439" t="s">
        <v>407</v>
      </c>
      <c r="O56" s="439">
        <v>83483.744000000006</v>
      </c>
      <c r="P56" s="440">
        <v>1</v>
      </c>
      <c r="Q56" s="439">
        <v>168314</v>
      </c>
      <c r="S56" s="313" t="s">
        <v>427</v>
      </c>
      <c r="T56" s="448">
        <v>2021</v>
      </c>
      <c r="U56" s="448" t="s">
        <v>404</v>
      </c>
      <c r="V56" s="439" t="s">
        <v>411</v>
      </c>
      <c r="W56" s="439">
        <v>59500</v>
      </c>
      <c r="X56" s="440">
        <v>0.5</v>
      </c>
      <c r="Y56" s="439">
        <v>175000</v>
      </c>
      <c r="AA56" s="313" t="s">
        <v>449</v>
      </c>
      <c r="AB56" s="448">
        <v>2022</v>
      </c>
      <c r="AC56" s="448" t="s">
        <v>403</v>
      </c>
      <c r="AD56" s="439" t="s">
        <v>407</v>
      </c>
      <c r="AE56" s="439">
        <v>74692</v>
      </c>
      <c r="AF56" s="440">
        <v>1</v>
      </c>
      <c r="AG56" s="439">
        <v>186730</v>
      </c>
      <c r="AI56" s="453" t="s">
        <v>17</v>
      </c>
      <c r="AJ56" s="451"/>
      <c r="AK56" s="451"/>
      <c r="AL56" s="446"/>
      <c r="AM56" s="446">
        <f>SUM(AM42:AM55)</f>
        <v>1096162.6220000002</v>
      </c>
      <c r="AN56" s="447">
        <f>SUMPRODUCT(AM42:AM55,AN42:AN55)/SUM(AM42:AM55)</f>
        <v>0.86838652996872567</v>
      </c>
      <c r="AO56" s="446">
        <f>SUMPRODUCT(AM42:AM55,AO42:AO55)/SUM(AM42:AM55)</f>
        <v>192527.57459010699</v>
      </c>
    </row>
    <row r="57" spans="11:41" ht="13.5" customHeight="1" thickTop="1" thickBot="1">
      <c r="K57" s="313" t="s">
        <v>395</v>
      </c>
      <c r="L57" s="448">
        <v>2020</v>
      </c>
      <c r="M57" s="448" t="s">
        <v>403</v>
      </c>
      <c r="N57" s="439" t="s">
        <v>407</v>
      </c>
      <c r="O57" s="439">
        <v>92975</v>
      </c>
      <c r="P57" s="440">
        <v>0.5</v>
      </c>
      <c r="Q57" s="439">
        <v>185950</v>
      </c>
      <c r="S57" s="313" t="s">
        <v>428</v>
      </c>
      <c r="T57" s="448">
        <v>2021</v>
      </c>
      <c r="U57" s="448" t="s">
        <v>404</v>
      </c>
      <c r="V57" s="439" t="s">
        <v>407</v>
      </c>
      <c r="W57" s="439">
        <v>69000</v>
      </c>
      <c r="X57" s="440">
        <v>1</v>
      </c>
      <c r="Y57" s="439">
        <v>169950.73891625614</v>
      </c>
      <c r="AA57" s="453" t="s">
        <v>17</v>
      </c>
      <c r="AB57" s="451"/>
      <c r="AC57" s="451"/>
      <c r="AD57" s="446"/>
      <c r="AE57" s="446">
        <f>SUM(AE42:AE56)</f>
        <v>1087686.9569999999</v>
      </c>
      <c r="AF57" s="447">
        <f>SUMPRODUCT(AE42:AE56,AF42:AF56)/SUM(AE42:AE56)</f>
        <v>0.85347768889353337</v>
      </c>
      <c r="AG57" s="446">
        <f>SUMPRODUCT(AE42:AE56,AG42:AG56)/SUM(AE42:AE56)</f>
        <v>193813.20880170548</v>
      </c>
    </row>
    <row r="58" spans="11:41" ht="13.5" customHeight="1" thickTop="1">
      <c r="K58" s="313" t="s">
        <v>396</v>
      </c>
      <c r="L58" s="448">
        <v>2020</v>
      </c>
      <c r="M58" s="448" t="s">
        <v>404</v>
      </c>
      <c r="N58" s="439" t="s">
        <v>411</v>
      </c>
      <c r="O58" s="439">
        <v>75800</v>
      </c>
      <c r="P58" s="440">
        <v>0.5</v>
      </c>
      <c r="Q58" s="439">
        <v>180476.19047619047</v>
      </c>
      <c r="S58" s="313" t="s">
        <v>429</v>
      </c>
      <c r="T58" s="448">
        <v>2021</v>
      </c>
      <c r="U58" s="448" t="s">
        <v>404</v>
      </c>
      <c r="V58" s="439" t="s">
        <v>411</v>
      </c>
      <c r="W58" s="439">
        <v>101902.5</v>
      </c>
      <c r="X58" s="440">
        <v>0.5</v>
      </c>
      <c r="Y58" s="439">
        <v>203805</v>
      </c>
      <c r="AA58" s="313"/>
      <c r="AB58" s="448"/>
      <c r="AC58" s="448"/>
      <c r="AD58" s="439"/>
      <c r="AE58" s="439"/>
      <c r="AF58" s="440"/>
      <c r="AG58" s="439"/>
      <c r="AI58" s="313"/>
      <c r="AJ58" s="448"/>
      <c r="AK58" s="448"/>
      <c r="AL58" s="439"/>
      <c r="AM58" s="439"/>
      <c r="AN58" s="440"/>
      <c r="AO58" s="439"/>
    </row>
    <row r="59" spans="11:41" ht="13.5" customHeight="1">
      <c r="K59" s="313" t="s">
        <v>397</v>
      </c>
      <c r="L59" s="448">
        <v>2020</v>
      </c>
      <c r="M59" s="448" t="s">
        <v>404</v>
      </c>
      <c r="N59" s="439" t="s">
        <v>407</v>
      </c>
      <c r="O59" s="439">
        <v>80130</v>
      </c>
      <c r="P59" s="440">
        <v>1</v>
      </c>
      <c r="Q59" s="439">
        <v>169766.94915254237</v>
      </c>
      <c r="S59" s="313" t="s">
        <v>430</v>
      </c>
      <c r="T59" s="448">
        <v>2021</v>
      </c>
      <c r="U59" s="448" t="s">
        <v>404</v>
      </c>
      <c r="V59" s="439" t="s">
        <v>411</v>
      </c>
      <c r="W59" s="439">
        <v>48000</v>
      </c>
      <c r="X59" s="440">
        <v>0.5</v>
      </c>
      <c r="Y59" s="439">
        <v>150000</v>
      </c>
      <c r="AA59" s="313"/>
      <c r="AB59" s="448"/>
      <c r="AC59" s="448"/>
      <c r="AD59" s="439"/>
      <c r="AE59" s="439"/>
      <c r="AF59" s="440"/>
      <c r="AG59" s="439"/>
      <c r="AI59" s="313"/>
      <c r="AJ59" s="448"/>
      <c r="AK59" s="448"/>
      <c r="AL59" s="439"/>
      <c r="AM59" s="439"/>
      <c r="AN59" s="440"/>
      <c r="AO59" s="439"/>
    </row>
    <row r="60" spans="11:41" ht="13.5" customHeight="1">
      <c r="K60" s="313" t="s">
        <v>398</v>
      </c>
      <c r="L60" s="448">
        <v>2020</v>
      </c>
      <c r="M60" s="448" t="s">
        <v>404</v>
      </c>
      <c r="N60" s="439" t="s">
        <v>411</v>
      </c>
      <c r="O60" s="439">
        <v>79000</v>
      </c>
      <c r="P60" s="440">
        <v>0.5</v>
      </c>
      <c r="Q60" s="439">
        <v>158000</v>
      </c>
      <c r="S60" s="313" t="s">
        <v>431</v>
      </c>
      <c r="T60" s="448">
        <v>2021</v>
      </c>
      <c r="U60" s="448" t="s">
        <v>404</v>
      </c>
      <c r="V60" s="439" t="s">
        <v>411</v>
      </c>
      <c r="W60" s="439">
        <v>91100</v>
      </c>
      <c r="X60" s="440">
        <v>0.5</v>
      </c>
      <c r="Y60" s="439">
        <v>182200</v>
      </c>
      <c r="AA60" s="313"/>
      <c r="AB60" s="448"/>
      <c r="AC60" s="448"/>
      <c r="AD60" s="439"/>
      <c r="AE60" s="439"/>
      <c r="AF60" s="440"/>
      <c r="AG60" s="439"/>
      <c r="AI60" s="313"/>
      <c r="AJ60" s="448"/>
      <c r="AK60" s="448"/>
      <c r="AL60" s="439"/>
      <c r="AM60" s="439"/>
      <c r="AN60" s="440"/>
      <c r="AO60" s="439"/>
    </row>
    <row r="61" spans="11:41" ht="13.5" customHeight="1">
      <c r="K61" s="313" t="s">
        <v>399</v>
      </c>
      <c r="L61" s="448">
        <v>2020</v>
      </c>
      <c r="M61" s="448" t="s">
        <v>404</v>
      </c>
      <c r="N61" s="439" t="s">
        <v>411</v>
      </c>
      <c r="O61" s="439">
        <v>48000</v>
      </c>
      <c r="P61" s="440">
        <v>0.5</v>
      </c>
      <c r="Q61" s="439">
        <v>150000</v>
      </c>
      <c r="R61" s="437"/>
      <c r="S61" s="313" t="s">
        <v>432</v>
      </c>
      <c r="T61" s="448">
        <v>2021</v>
      </c>
      <c r="U61" s="448" t="s">
        <v>404</v>
      </c>
      <c r="V61" s="439" t="s">
        <v>407</v>
      </c>
      <c r="W61" s="439">
        <v>70815.899999999994</v>
      </c>
      <c r="X61" s="440">
        <v>1</v>
      </c>
      <c r="Y61" s="439">
        <v>206460.34985422742</v>
      </c>
      <c r="AA61" s="313"/>
      <c r="AB61" s="448"/>
      <c r="AC61" s="448"/>
      <c r="AD61" s="439"/>
      <c r="AE61" s="439"/>
      <c r="AF61" s="440"/>
      <c r="AG61" s="439"/>
      <c r="AI61" s="313"/>
      <c r="AJ61" s="448"/>
      <c r="AK61" s="448"/>
      <c r="AL61" s="439"/>
      <c r="AM61" s="439"/>
      <c r="AN61" s="440"/>
      <c r="AO61" s="439"/>
    </row>
    <row r="62" spans="11:41" ht="13.5" customHeight="1">
      <c r="K62" s="313" t="s">
        <v>400</v>
      </c>
      <c r="L62" s="448">
        <v>2020</v>
      </c>
      <c r="M62" s="448" t="s">
        <v>403</v>
      </c>
      <c r="N62" s="439" t="s">
        <v>407</v>
      </c>
      <c r="O62" s="439">
        <v>88639.664000000004</v>
      </c>
      <c r="P62" s="440">
        <v>1</v>
      </c>
      <c r="Q62" s="439">
        <v>178709</v>
      </c>
      <c r="R62" s="437"/>
      <c r="S62" s="313" t="s">
        <v>433</v>
      </c>
      <c r="T62" s="448">
        <v>2021</v>
      </c>
      <c r="U62" s="448" t="s">
        <v>403</v>
      </c>
      <c r="V62" s="439" t="s">
        <v>407</v>
      </c>
      <c r="W62" s="439">
        <v>88639.664000000004</v>
      </c>
      <c r="X62" s="440">
        <v>1</v>
      </c>
      <c r="Y62" s="439">
        <v>178709</v>
      </c>
      <c r="AA62" s="313"/>
      <c r="AB62" s="448"/>
      <c r="AC62" s="448"/>
      <c r="AD62" s="439"/>
      <c r="AE62" s="439"/>
      <c r="AF62" s="440"/>
      <c r="AG62" s="439"/>
      <c r="AI62" s="313"/>
      <c r="AJ62" s="448"/>
      <c r="AK62" s="448"/>
      <c r="AL62" s="439"/>
      <c r="AM62" s="439"/>
      <c r="AN62" s="440"/>
      <c r="AO62" s="439"/>
    </row>
    <row r="63" spans="11:41" ht="13.5" customHeight="1" thickBot="1">
      <c r="K63" s="453" t="s">
        <v>17</v>
      </c>
      <c r="L63" s="451"/>
      <c r="M63" s="451"/>
      <c r="N63" s="446"/>
      <c r="O63" s="446">
        <f>SUM(O42:O62)</f>
        <v>1717557.2540000002</v>
      </c>
      <c r="P63" s="447">
        <f>SUMPRODUCT(O42:O62,P42:P62)/SUM(O42:O62)</f>
        <v>0.82688014975482149</v>
      </c>
      <c r="Q63" s="446">
        <f>SUMPRODUCT(O42:O62,Q42:Q62)/SUM(O42:O62)</f>
        <v>180680.9179746983</v>
      </c>
      <c r="R63" s="437"/>
      <c r="S63" s="313" t="s">
        <v>434</v>
      </c>
      <c r="T63" s="448">
        <v>2021</v>
      </c>
      <c r="U63" s="448" t="s">
        <v>403</v>
      </c>
      <c r="V63" s="439" t="s">
        <v>407</v>
      </c>
      <c r="W63" s="439">
        <v>74692</v>
      </c>
      <c r="X63" s="440">
        <v>1</v>
      </c>
      <c r="Y63" s="439">
        <v>186730</v>
      </c>
    </row>
    <row r="64" spans="11:41" ht="13.5" customHeight="1" thickTop="1" thickBot="1">
      <c r="R64" s="437"/>
      <c r="S64" s="453" t="s">
        <v>17</v>
      </c>
      <c r="T64" s="451"/>
      <c r="U64" s="451"/>
      <c r="V64" s="446"/>
      <c r="W64" s="446">
        <f>SUM(W42:W62)</f>
        <v>1699831.0970000001</v>
      </c>
      <c r="X64" s="447">
        <f>SUMPRODUCT(W42:W62,X42:X62)/SUM(W42:W62)</f>
        <v>0.76878941978786497</v>
      </c>
      <c r="Y64" s="446">
        <f>SUMPRODUCT(W42:W62,Y42:Y62)/SUM(W42:W62)</f>
        <v>178520.27170827941</v>
      </c>
      <c r="Z64" s="437"/>
    </row>
    <row r="65" spans="18:26" ht="13.5" thickTop="1">
      <c r="R65" s="437"/>
      <c r="Z65" s="437"/>
    </row>
    <row r="66" spans="18:26">
      <c r="R66" s="437"/>
      <c r="Z66" s="437"/>
    </row>
    <row r="67" spans="18:26">
      <c r="R67" s="437"/>
      <c r="Z67" s="437"/>
    </row>
    <row r="68" spans="18:26">
      <c r="R68" s="437"/>
      <c r="Z68" s="437"/>
    </row>
    <row r="69" spans="18:26">
      <c r="R69" s="437"/>
      <c r="Z69" s="437"/>
    </row>
    <row r="70" spans="18:26">
      <c r="R70" s="437"/>
      <c r="Z70" s="437"/>
    </row>
    <row r="71" spans="18:26">
      <c r="R71" s="437"/>
      <c r="Z71" s="437"/>
    </row>
    <row r="72" spans="18:26">
      <c r="R72" s="437"/>
      <c r="Z72" s="437"/>
    </row>
    <row r="73" spans="18:26">
      <c r="R73" s="437"/>
      <c r="Z73" s="437"/>
    </row>
    <row r="74" spans="18:26">
      <c r="R74" s="437"/>
      <c r="Z74" s="437"/>
    </row>
    <row r="75" spans="18:26">
      <c r="R75" s="437"/>
      <c r="Z75" s="437"/>
    </row>
    <row r="76" spans="18:26">
      <c r="R76" s="437"/>
      <c r="Z76" s="437"/>
    </row>
    <row r="77" spans="18:26">
      <c r="R77" s="437"/>
      <c r="Z77" s="437"/>
    </row>
    <row r="78" spans="18:26">
      <c r="R78" s="437"/>
      <c r="Z78" s="437"/>
    </row>
    <row r="79" spans="18:26">
      <c r="R79" s="437"/>
      <c r="Z79" s="437"/>
    </row>
    <row r="80" spans="18:26">
      <c r="R80" s="437"/>
      <c r="Z80" s="437"/>
    </row>
  </sheetData>
  <pageMargins left="0.7" right="0.7" top="0.75" bottom="0.75" header="0.3" footer="0.3"/>
  <pageSetup orientation="portrait" horizontalDpi="90" verticalDpi="90" r:id="rId1"/>
  <ignoredErrors>
    <ignoredError sqref="W1:Y1 W82:Y1048576 A63:J63 A41:J41 AH59:XFD61 AQ42:XFD42 A64:L1048576 A1:L40 O64:P1048576 O1:P40 Q2:Q40 W2:Y40 Q65:Q69 W65:Y81 Q82:Q1048576 Q1 Q64 Q71:Q81 Q70 AH63:XFD63 AP41:XFD41 AA64:XFD64 S65:U81 S2:U40 S82:U1048576 S1:U1 AA1:XFD1 AA82:XFD1048576 AA2:XFD37 AA65:XFD81 AQ43:XFD55 AI58:XFD58 AA38:AG40 AI38:XFD40 AP57:XFD57 AQ56:XFD56 A44:J61 A42:I42 A43:I43" formula="1"/>
    <ignoredError sqref="W64:Y6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Macro</vt:lpstr>
      <vt:lpstr>Income Statement</vt:lpstr>
      <vt:lpstr>Balance Sheet</vt:lpstr>
      <vt:lpstr>Forecasts</vt:lpstr>
      <vt:lpstr>Cash Flow</vt:lpstr>
      <vt:lpstr>TP Calculation</vt:lpstr>
      <vt:lpstr>DCF</vt:lpstr>
      <vt:lpstr>Tables</vt:lpstr>
      <vt:lpstr>Inventory &amp; Landbank</vt:lpstr>
      <vt:lpstr>'Balance Sheet'!Print_Area</vt:lpstr>
      <vt:lpstr>Forecasts!Print_Area</vt:lpstr>
      <vt:lpstr>'Income Statement'!Print_Area</vt:lpstr>
    </vt:vector>
  </TitlesOfParts>
  <Company>Gafisa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Cambauva, Gustavo</dc:creator>
  <cp:lastModifiedBy>Fabris, Gustavo</cp:lastModifiedBy>
  <cp:lastPrinted>2016-07-22T18:41:11Z</cp:lastPrinted>
  <dcterms:created xsi:type="dcterms:W3CDTF">2006-05-29T22:49:54Z</dcterms:created>
  <dcterms:modified xsi:type="dcterms:W3CDTF">2026-09-21T17:46:17Z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10bd7e-5127-4e54-969c-4515b2527c83_Enabled">
    <vt:lpwstr>true</vt:lpwstr>
  </property>
  <property fmtid="{D5CDD505-2E9C-101B-9397-08002B2CF9AE}" pid="3" name="MSIP_Label_b710bd7e-5127-4e54-969c-4515b2527c83_SetDate">
    <vt:lpwstr>2020-10-21T16:41:01Z</vt:lpwstr>
  </property>
  <property fmtid="{D5CDD505-2E9C-101B-9397-08002B2CF9AE}" pid="4" name="MSIP_Label_b710bd7e-5127-4e54-969c-4515b2527c83_Method">
    <vt:lpwstr>Standard</vt:lpwstr>
  </property>
  <property fmtid="{D5CDD505-2E9C-101B-9397-08002B2CF9AE}" pid="5" name="MSIP_Label_b710bd7e-5127-4e54-969c-4515b2527c83_Name">
    <vt:lpwstr>b710bd7e-5127-4e54-969c-4515b2527c83</vt:lpwstr>
  </property>
  <property fmtid="{D5CDD505-2E9C-101B-9397-08002B2CF9AE}" pid="6" name="MSIP_Label_b710bd7e-5127-4e54-969c-4515b2527c83_SiteId">
    <vt:lpwstr>16e7cf3f-6af4-4e76-941e-aecafb9704e9</vt:lpwstr>
  </property>
  <property fmtid="{D5CDD505-2E9C-101B-9397-08002B2CF9AE}" pid="7" name="MSIP_Label_b710bd7e-5127-4e54-969c-4515b2527c83_ActionId">
    <vt:lpwstr>1a115a10-9d89-47d4-963f-907b0ca87562</vt:lpwstr>
  </property>
  <property fmtid="{D5CDD505-2E9C-101B-9397-08002B2CF9AE}" pid="8" name="MSIP_Label_b710bd7e-5127-4e54-969c-4515b2527c83_ContentBits">
    <vt:lpwstr>0</vt:lpwstr>
  </property>
  <property fmtid="{D5CDD505-2E9C-101B-9397-08002B2CF9AE}" pid="9" name="EcoUpdateId">
    <vt:lpwstr>1470952230</vt:lpwstr>
  </property>
  <property fmtid="{D5CDD505-2E9C-101B-9397-08002B2CF9AE}" pid="10" name="EcoUpdateMessage">
    <vt:lpwstr>2026/08/11-21:50:30</vt:lpwstr>
  </property>
  <property fmtid="{D5CDD505-2E9C-101B-9397-08002B2CF9AE}" pid="11" name="EcoUpdateStatus">
    <vt:lpwstr>2026-08-11=BRA:St,ME,Fd;USA:St,ME;ARG:St,ME,TP;MEX:St,ME,Fd;CHL:St,ME;SAU:St|2026-08-10=BRA:TP;USA:TP;ARG:Fd;MEX:TP;CHL:Fd;COL:St,ME;PER:St,ME|2021-11-17=CHL:TP|2014-02-26=VEN:St|2002-11-08=JPN:St|2026-08-06=GBR:St,ME|2016-08-18=NNN:St|2026-04-07=COL:Fd|2026-08-07=PER:Fd|2026-04-15=PER:TP|2007-01-31=ESP:St|2003-01-29=CHN:St|2003-01-28=TWN:St|2003-01-30=HKG:St;KOR:St|2023-01-19=OTH:St|2025-06-24=PAN:St|2024-06-24=SAU:ME</vt:lpwstr>
  </property>
</Properties>
</file>